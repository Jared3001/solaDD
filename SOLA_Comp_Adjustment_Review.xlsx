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1 · Adjustment Ruleset" sheetId="2" state="visible" r:id="rId4"/>
    <sheet name="2 · Tier-B Field Checklist" sheetId="3" state="visible" r:id="rId5"/>
    <sheet name="3 · Go-No-Go Ques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<sst xmlns="http://schemas.openxmlformats.org/spreadsheetml/2006/main" count="264" uniqueCount="157">
  <si>
    <t xml:space="preserve">SoLa Impact — Rent-Comp Adjustment Ruleset · Review Packet</t>
  </si>
  <si>
    <t xml:space="preserve">Reverse-engineered from “Stick Rent Comp – 17719 Kinzie” (1-Bedroom tab). DRAFT for your notes — 2026-06-22.</t>
  </si>
  <si>
    <t xml:space="preserve">WHAT THIS IS</t>
  </si>
  <si>
    <t xml:space="preserve">The automated comp tool already pulls the data fields of a comp grid (address, distance, size, rent, $/SF, beds, year). It does NOT yet apply the dollar ADJUSTMENTS that turn raw comps into a defensible Adjusted Rent — those are appraiser judgment. This packet is the proposed ruleset for those adjustments, recovered from your Kinzie model, so you can confirm or correct the numbers before we hard-code them.</t>
  </si>
  <si>
    <t xml:space="preserve">HOW TO REVIEW</t>
  </si>
  <si>
    <t xml:space="preserve">• Tab “1 · Adjustment Ruleset” — every adjustment, the rule, and the $ value we inferred. Put corrections in the yellow “Boss notes / correction” column.</t>
  </si>
  <si>
    <t xml:space="preserve">• Tab “2 · Tier-B Field Checklist” — fields the comp source may not give us; mark how each should be filled.</t>
  </si>
  <si>
    <t xml:space="preserve">• Tab “3 · Go / No-Go Questions” — short list to set the model’s pass/fail screen.</t>
  </si>
  <si>
    <t xml:space="preserve">TWO THINGS WE CAUGHT IN THE KINZIE FILE</t>
  </si>
  <si>
    <t xml:space="preserve">• The 2-Bedroom tab’s age adjustment is broken (computes −9,920, which drives the adjusted rents negative). We modeled the ruleset on the 1-Bedroom tab, which is correct. Worth fixing in your file too.</t>
  </si>
  <si>
    <t xml:space="preserve">• The Studio tab applies the age adjustment as raw years (3) instead of dollars (3 × $5 = $15). The 1-Bedroom tab is the consistent one.</t>
  </si>
  <si>
    <t xml:space="preserve">1 · Adjustment Ruleset  (inferred from Kinzie 1-BR — confirm the blue values)</t>
  </si>
  <si>
    <t xml:space="preserve">Adjustment</t>
  </si>
  <si>
    <t xml:space="preserve">Rule (how it’s computed)</t>
  </si>
  <si>
    <t xml:space="preserve">Value / rate</t>
  </si>
  <si>
    <t xml:space="preserve">Evidence (Kinzie 1-BR)</t>
  </si>
  <si>
    <t xml:space="preserve">Boss notes / correction</t>
  </si>
  <si>
    <t xml:space="preserve">CORE ADJUSTMENTS</t>
  </si>
  <si>
    <t xml:space="preserve">Unit size</t>
  </si>
  <si>
    <t xml:space="preserve">(subject SF − comp SF) × rate. Rate = subject $/SF ÷ 10.</t>
  </si>
  <si>
    <t xml:space="preserve">$0.4286 /SF</t>
  </si>
  <si>
    <t xml:space="preserve">D22/F22/H22 — rate exact across all 3 comps</t>
  </si>
  <si>
    <t xml:space="preserve">Age / condition</t>
  </si>
  <si>
    <t xml:space="preserve">(subject year − comp year) × rate. Newer subject ⇒ comps adjusted UP.</t>
  </si>
  <si>
    <t xml:space="preserve">$5 / year</t>
  </si>
  <si>
    <t xml:space="preserve">D24=220 (44 yr), F24=250 (50 yr), H24=205 (41 yr)</t>
  </si>
  <si>
    <t xml:space="preserve">Bathrooms</t>
  </si>
  <si>
    <t xml:space="preserve">$ per bathroom difference.</t>
  </si>
  <si>
    <t xml:space="preserve">(not set)</t>
  </si>
  <si>
    <t xml:space="preserve">All comps same bath count — no data point; please set</t>
  </si>
  <si>
    <t xml:space="preserve">Rent concessions</t>
  </si>
  <si>
    <t xml:space="preserve">Dollar value of any concession (free month, etc.).</t>
  </si>
  <si>
    <t xml:space="preserve">judgment</t>
  </si>
  <si>
    <t xml:space="preserve">Row 23 — left blank in model</t>
  </si>
  <si>
    <t xml:space="preserve">UTILITIES PAID BY TENANT  ($/mo, applied only when responsibility differs)</t>
  </si>
  <si>
    <t xml:space="preserve">Water</t>
  </si>
  <si>
    <t xml:space="preserve">Add when subject tenant pays &amp; comp tenant doesn’t (or reverse).</t>
  </si>
  <si>
    <t xml:space="preserve">$96</t>
  </si>
  <si>
    <t xml:space="preserve">Studio tab D31</t>
  </si>
  <si>
    <t xml:space="preserve">Sewer</t>
  </si>
  <si>
    <t xml:space="preserve">same</t>
  </si>
  <si>
    <t xml:space="preserve">$64</t>
  </si>
  <si>
    <t xml:space="preserve">Studio tab D32</t>
  </si>
  <si>
    <t xml:space="preserve">Trash</t>
  </si>
  <si>
    <t xml:space="preserve">$10</t>
  </si>
  <si>
    <t xml:space="preserve">Studio tab D33</t>
  </si>
  <si>
    <t xml:space="preserve">Electric / Heat / Hot Water / Cooking / TV</t>
  </si>
  <si>
    <t xml:space="preserve">Adjust if responsibility or fuel type differs.</t>
  </si>
  <si>
    <t xml:space="preserve">$0 obs.</t>
  </si>
  <si>
    <t xml:space="preserve">1-BR rows 26–30 = 0 (all same)</t>
  </si>
  <si>
    <t xml:space="preserve">AMENITY LINE ITEMS  (subtract value if COMP has it &amp; subject doesn’t; add if reverse)</t>
  </si>
  <si>
    <t xml:space="preserve">Central Heat/Cool</t>
  </si>
  <si>
    <t xml:space="preserve">per-line $ (see rule above)</t>
  </si>
  <si>
    <t xml:space="preserve">$25</t>
  </si>
  <si>
    <t xml:space="preserve">observed in Kinzie 1-BR</t>
  </si>
  <si>
    <t xml:space="preserve">Blinds</t>
  </si>
  <si>
    <t xml:space="preserve">$5</t>
  </si>
  <si>
    <t xml:space="preserve">Carpet</t>
  </si>
  <si>
    <t xml:space="preserve">Ceiling Fan</t>
  </si>
  <si>
    <t xml:space="preserve">Skylight</t>
  </si>
  <si>
    <t xml:space="preserve">(not obs.)</t>
  </si>
  <si>
    <t xml:space="preserve">not present in Kinzie 1-BR — please set</t>
  </si>
  <si>
    <t xml:space="preserve">Storage Closet</t>
  </si>
  <si>
    <t xml:space="preserve">Coat Closet</t>
  </si>
  <si>
    <t xml:space="preserve">Walk-In Closet</t>
  </si>
  <si>
    <t xml:space="preserve">Fireplace</t>
  </si>
  <si>
    <t xml:space="preserve">Patio/Balcony</t>
  </si>
  <si>
    <t xml:space="preserve">Refrigerator</t>
  </si>
  <si>
    <t xml:space="preserve">Stove/Oven</t>
  </si>
  <si>
    <t xml:space="preserve">Dishwasher</t>
  </si>
  <si>
    <t xml:space="preserve">$15</t>
  </si>
  <si>
    <t xml:space="preserve">Garbage Disposal</t>
  </si>
  <si>
    <t xml:space="preserve">Microwave</t>
  </si>
  <si>
    <t xml:space="preserve">Washer/Dryer (in unit)</t>
  </si>
  <si>
    <t xml:space="preserve">Washer/Dryer Hook-ups</t>
  </si>
  <si>
    <t xml:space="preserve">Surface Parking</t>
  </si>
  <si>
    <t xml:space="preserve">$0</t>
  </si>
  <si>
    <t xml:space="preserve">Carport</t>
  </si>
  <si>
    <t xml:space="preserve">Tuck-under Garage</t>
  </si>
  <si>
    <t xml:space="preserve">Underground / Detached / Attached Garage</t>
  </si>
  <si>
    <t xml:space="preserve">Parking Garage</t>
  </si>
  <si>
    <t xml:space="preserve">Clubhouse/Community Room</t>
  </si>
  <si>
    <t xml:space="preserve">Swimming Pool</t>
  </si>
  <si>
    <t xml:space="preserve">Spa/Jacuzzi</t>
  </si>
  <si>
    <t xml:space="preserve">Exercise Room</t>
  </si>
  <si>
    <t xml:space="preserve">Picnic Area</t>
  </si>
  <si>
    <t xml:space="preserve">Tot Lot/Playground</t>
  </si>
  <si>
    <t xml:space="preserve">Tennis / Basketball / Volleyball Court</t>
  </si>
  <si>
    <t xml:space="preserve">On Site Manager</t>
  </si>
  <si>
    <t xml:space="preserve">Laundry Room</t>
  </si>
  <si>
    <t xml:space="preserve">Computer Room / Business Center</t>
  </si>
  <si>
    <t xml:space="preserve">Car Wash Area</t>
  </si>
  <si>
    <t xml:space="preserve">Gated</t>
  </si>
  <si>
    <t xml:space="preserve">Courtesy Patrol</t>
  </si>
  <si>
    <t xml:space="preserve">Surveillance Camera</t>
  </si>
  <si>
    <t xml:space="preserve">RESULT</t>
  </si>
  <si>
    <t xml:space="preserve">Adjusted Rent</t>
  </si>
  <si>
    <t xml:space="preserve">Base rent + Σ(all adjustments above).</t>
  </si>
  <si>
    <t xml:space="preserve">formula</t>
  </si>
  <si>
    <t xml:space="preserve">Row 80</t>
  </si>
  <si>
    <t xml:space="preserve">110% guardrail</t>
  </si>
  <si>
    <t xml:space="preserve">Comps whose Adjusted Rent ÷ Base Rent exceeds 110% must be justified.</t>
  </si>
  <si>
    <t xml:space="preserve">110%</t>
  </si>
  <si>
    <t xml:space="preserve">Row 84 note</t>
  </si>
  <si>
    <t xml:space="preserve">WORKED EXAMPLE — live formulas (Zelzah comp)</t>
  </si>
  <si>
    <t xml:space="preserve">Subject SF</t>
  </si>
  <si>
    <t xml:space="preserve">Subject rent</t>
  </si>
  <si>
    <t xml:space="preserve">Subject year</t>
  </si>
  <si>
    <t xml:space="preserve">Comp SF</t>
  </si>
  <si>
    <t xml:space="preserve">Comp year</t>
  </si>
  <si>
    <t xml:space="preserve">Comp base rent</t>
  </si>
  <si>
    <t xml:space="preserve">  Size adj</t>
  </si>
  <si>
    <t xml:space="preserve">  Age adj</t>
  </si>
  <si>
    <t xml:space="preserve">Adjusted rent (size+age only)</t>
  </si>
  <si>
    <t xml:space="preserve">2 · Tier-B Field Checklist — how should each be filled?</t>
  </si>
  <si>
    <t xml:space="preserve">These drive the adjustments but the comp data source often doesn’t carry them. For each, circle/choose: AUTO (vendor feed) · OM (offering memo) · ANALYST (manual/site visit).</t>
  </si>
  <si>
    <t xml:space="preserve">Field</t>
  </si>
  <si>
    <t xml:space="preserve">Why it’s needed</t>
  </si>
  <si>
    <t xml:space="preserve">Likely source today</t>
  </si>
  <si>
    <t xml:space="preserve">Auto / OM / Analyst</t>
  </si>
  <si>
    <t xml:space="preserve">Notes</t>
  </si>
  <si>
    <t xml:space="preserve"># of Units</t>
  </si>
  <si>
    <t xml:space="preserve">Weighting &amp; comp credibility</t>
  </si>
  <si>
    <t xml:space="preserve">HelloData (estimate)</t>
  </si>
  <si>
    <t xml:space="preserve"># of Stories</t>
  </si>
  <si>
    <t xml:space="preserve">Product comparability</t>
  </si>
  <si>
    <t xml:space="preserve">Rarely in feeds</t>
  </si>
  <si>
    <t xml:space="preserve">Elevator (Y/N)</t>
  </si>
  <si>
    <t xml:space="preserve">Comparability</t>
  </si>
  <si>
    <t xml:space="preserve">Year built / renovated</t>
  </si>
  <si>
    <t xml:space="preserve">Age adjustment</t>
  </si>
  <si>
    <t xml:space="preserve">HelloData (built only)</t>
  </si>
  <si>
    <t xml:space="preserve">Unit amenities</t>
  </si>
  <si>
    <t xml:space="preserve">Per-line amenity adjustments</t>
  </si>
  <si>
    <t xml:space="preserve">HelloData (partial)</t>
  </si>
  <si>
    <t xml:space="preserve">Project amenities (pool, gym…)</t>
  </si>
  <si>
    <t xml:space="preserve">Parking type</t>
  </si>
  <si>
    <t xml:space="preserve">Amenity adjustment</t>
  </si>
  <si>
    <t xml:space="preserve">Utilities paid by tenant</t>
  </si>
  <si>
    <t xml:space="preserve">Utility adjustments</t>
  </si>
  <si>
    <t xml:space="preserve">Not in feeds</t>
  </si>
  <si>
    <t xml:space="preserve">Concession adjustment</t>
  </si>
  <si>
    <t xml:space="preserve">Price history (signal only)</t>
  </si>
  <si>
    <t xml:space="preserve">Vacancy / turnover / waiting list</t>
  </si>
  <si>
    <t xml:space="preserve">Context rows</t>
  </si>
  <si>
    <t xml:space="preserve">3 · Go / No-Go — questions for the screening criteria</t>
  </si>
  <si>
    <t xml:space="preserve">Brief: what thresholds should the model use to flag a deal pass/fail before deeper work?</t>
  </si>
  <si>
    <t xml:space="preserve">#</t>
  </si>
  <si>
    <t xml:space="preserve">Question</t>
  </si>
  <si>
    <t xml:space="preserve">Answer</t>
  </si>
  <si>
    <t xml:space="preserve">Minimum levered IRR to pass screening?</t>
  </si>
  <si>
    <t xml:space="preserve">Minimum untrended yield-on-cost (going-in)? And minimum spread over exit cap?</t>
  </si>
  <si>
    <t xml:space="preserve">Minimum MOIC / equity multiple?</t>
  </si>
  <si>
    <t xml:space="preserve">Maximum equity check we’d write for a single deal?</t>
  </si>
  <si>
    <t xml:space="preserve">Which metric is the primary go/no-go vs. a tiebreaker?</t>
  </si>
  <si>
    <t xml:space="preserve">Do Stick and Modular use the same thresholds, or different?</t>
  </si>
  <si>
    <t xml:space="preserve">Hard disqualifiers regardless of returns (e.g., flood zone, fault, &gt; X% affordable)?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</si>
</sst>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"/>
    <numFmt numFmtId="167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CE4D6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0" hidden="false" customHeight="true" outlineLevel="0" collapsed="false">
      <c r="B6" s="4" t="s">
        <v>3</v>
      </c>
    </row>
    <row r="8" customFormat="false" ht="15" hidden="false" customHeight="false" outlineLevel="0" collapsed="false">
      <c r="B8" s="3" t="s">
        <v>4</v>
      </c>
    </row>
    <row r="9" customFormat="false" ht="30" hidden="false" customHeight="true" outlineLevel="0" collapsed="false">
      <c r="B9" s="4" t="s">
        <v>5</v>
      </c>
    </row>
    <row r="10" customFormat="false" ht="30" hidden="false" customHeight="true" outlineLevel="0" collapsed="false">
      <c r="B10" s="4" t="s">
        <v>6</v>
      </c>
    </row>
    <row r="11" customFormat="false" ht="30" hidden="false" customHeight="true" outlineLevel="0" collapsed="false">
      <c r="B11" s="4" t="s">
        <v>7</v>
      </c>
    </row>
    <row r="13" customFormat="false" ht="15" hidden="false" customHeight="false" outlineLevel="0" collapsed="false">
      <c r="B13" s="3" t="s">
        <v>8</v>
      </c>
    </row>
    <row r="14" customFormat="false" ht="42" hidden="false" customHeight="true" outlineLevel="0" collapsed="false">
      <c r="B14" s="5" t="s">
        <v>9</v>
      </c>
    </row>
    <row r="15" customFormat="false" ht="42" hidden="false" customHeight="true" outlineLevel="0" collapsed="false">
      <c r="B15" s="5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6" t="s">
        <v>11</v>
      </c>
      <c r="B1" s="6"/>
      <c r="C1" s="6"/>
      <c r="D1" s="6"/>
      <c r="E1" s="6"/>
    </row>
    <row r="3" customFormat="false" ht="27.75" hidden="false" customHeight="true" outlineLevel="0" collapsed="false">
      <c r="A3" s="7" t="s">
        <v>12</v>
      </c>
      <c r="B3" s="7" t="s">
        <v>13</v>
      </c>
      <c r="C3" s="7" t="s">
        <v>14</v>
      </c>
      <c r="D3" s="7" t="s">
        <v>15</v>
      </c>
      <c r="E3" s="7" t="s">
        <v>16</v>
      </c>
    </row>
    <row r="4" customFormat="false" ht="15" hidden="false" customHeight="false" outlineLevel="0" collapsed="false">
      <c r="A4" s="8" t="s">
        <v>17</v>
      </c>
      <c r="B4" s="8"/>
      <c r="C4" s="8"/>
      <c r="D4" s="8"/>
      <c r="E4" s="8"/>
    </row>
    <row r="5" customFormat="false" ht="23.85" hidden="false" customHeight="false" outlineLevel="0" collapsed="false">
      <c r="A5" s="9" t="s">
        <v>18</v>
      </c>
      <c r="B5" s="9" t="s">
        <v>19</v>
      </c>
      <c r="C5" s="10" t="s">
        <v>20</v>
      </c>
      <c r="D5" s="11" t="s">
        <v>21</v>
      </c>
      <c r="E5" s="12"/>
    </row>
    <row r="6" customFormat="false" ht="23.85" hidden="false" customHeight="false" outlineLevel="0" collapsed="false">
      <c r="A6" s="9" t="s">
        <v>22</v>
      </c>
      <c r="B6" s="9" t="s">
        <v>23</v>
      </c>
      <c r="C6" s="10" t="s">
        <v>24</v>
      </c>
      <c r="D6" s="11" t="s">
        <v>25</v>
      </c>
      <c r="E6" s="12"/>
    </row>
    <row r="7" customFormat="false" ht="22.35" hidden="false" customHeight="false" outlineLevel="0" collapsed="false">
      <c r="A7" s="9" t="s">
        <v>26</v>
      </c>
      <c r="B7" s="9" t="s">
        <v>27</v>
      </c>
      <c r="C7" s="10" t="s">
        <v>28</v>
      </c>
      <c r="D7" s="11" t="s">
        <v>29</v>
      </c>
      <c r="E7" s="12"/>
    </row>
    <row r="8" customFormat="false" ht="15" hidden="false" customHeight="false" outlineLevel="0" collapsed="false">
      <c r="A8" s="9" t="s">
        <v>30</v>
      </c>
      <c r="B8" s="9" t="s">
        <v>31</v>
      </c>
      <c r="C8" s="10" t="s">
        <v>32</v>
      </c>
      <c r="D8" s="11" t="s">
        <v>33</v>
      </c>
      <c r="E8" s="12"/>
    </row>
    <row r="9" customFormat="false" ht="15" hidden="false" customHeight="false" outlineLevel="0" collapsed="false">
      <c r="A9" s="8" t="s">
        <v>34</v>
      </c>
      <c r="B9" s="8"/>
      <c r="C9" s="8"/>
      <c r="D9" s="8"/>
      <c r="E9" s="8"/>
    </row>
    <row r="10" customFormat="false" ht="23.85" hidden="false" customHeight="false" outlineLevel="0" collapsed="false">
      <c r="A10" s="9" t="s">
        <v>35</v>
      </c>
      <c r="B10" s="9" t="s">
        <v>36</v>
      </c>
      <c r="C10" s="10" t="s">
        <v>37</v>
      </c>
      <c r="D10" s="11" t="s">
        <v>38</v>
      </c>
      <c r="E10" s="12"/>
    </row>
    <row r="11" customFormat="false" ht="15" hidden="false" customHeight="false" outlineLevel="0" collapsed="false">
      <c r="A11" s="9" t="s">
        <v>39</v>
      </c>
      <c r="B11" s="9" t="s">
        <v>40</v>
      </c>
      <c r="C11" s="10" t="s">
        <v>41</v>
      </c>
      <c r="D11" s="11" t="s">
        <v>42</v>
      </c>
      <c r="E11" s="12"/>
    </row>
    <row r="12" customFormat="false" ht="15" hidden="false" customHeight="false" outlineLevel="0" collapsed="false">
      <c r="A12" s="9" t="s">
        <v>43</v>
      </c>
      <c r="B12" s="9" t="s">
        <v>40</v>
      </c>
      <c r="C12" s="10" t="s">
        <v>44</v>
      </c>
      <c r="D12" s="11" t="s">
        <v>45</v>
      </c>
      <c r="E12" s="12"/>
    </row>
    <row r="13" customFormat="false" ht="23.85" hidden="false" customHeight="false" outlineLevel="0" collapsed="false">
      <c r="A13" s="9" t="s">
        <v>46</v>
      </c>
      <c r="B13" s="9" t="s">
        <v>47</v>
      </c>
      <c r="C13" s="10" t="s">
        <v>48</v>
      </c>
      <c r="D13" s="11" t="s">
        <v>49</v>
      </c>
      <c r="E13" s="12"/>
    </row>
    <row r="14" customFormat="false" ht="15" hidden="false" customHeight="false" outlineLevel="0" collapsed="false">
      <c r="A14" s="8" t="s">
        <v>50</v>
      </c>
      <c r="B14" s="8"/>
      <c r="C14" s="8"/>
      <c r="D14" s="8"/>
      <c r="E14" s="8"/>
    </row>
    <row r="15" customFormat="false" ht="15" hidden="false" customHeight="false" outlineLevel="0" collapsed="false">
      <c r="A15" s="9" t="s">
        <v>51</v>
      </c>
      <c r="B15" s="9" t="s">
        <v>52</v>
      </c>
      <c r="C15" s="10" t="s">
        <v>53</v>
      </c>
      <c r="D15" s="11" t="s">
        <v>54</v>
      </c>
      <c r="E15" s="12"/>
    </row>
    <row r="16" customFormat="false" ht="15" hidden="false" customHeight="false" outlineLevel="0" collapsed="false">
      <c r="A16" s="9" t="s">
        <v>55</v>
      </c>
      <c r="B16" s="9" t="s">
        <v>52</v>
      </c>
      <c r="C16" s="10" t="s">
        <v>56</v>
      </c>
      <c r="D16" s="11" t="s">
        <v>54</v>
      </c>
      <c r="E16" s="12"/>
    </row>
    <row r="17" customFormat="false" ht="15" hidden="false" customHeight="false" outlineLevel="0" collapsed="false">
      <c r="A17" s="9" t="s">
        <v>57</v>
      </c>
      <c r="B17" s="9" t="s">
        <v>52</v>
      </c>
      <c r="C17" s="10" t="s">
        <v>56</v>
      </c>
      <c r="D17" s="11" t="s">
        <v>54</v>
      </c>
      <c r="E17" s="12"/>
    </row>
    <row r="18" customFormat="false" ht="15" hidden="false" customHeight="false" outlineLevel="0" collapsed="false">
      <c r="A18" s="9" t="s">
        <v>58</v>
      </c>
      <c r="B18" s="9" t="s">
        <v>52</v>
      </c>
      <c r="C18" s="10" t="s">
        <v>56</v>
      </c>
      <c r="D18" s="11" t="s">
        <v>54</v>
      </c>
      <c r="E18" s="12"/>
    </row>
    <row r="19" customFormat="false" ht="22.35" hidden="false" customHeight="false" outlineLevel="0" collapsed="false">
      <c r="A19" s="9" t="s">
        <v>59</v>
      </c>
      <c r="B19" s="9" t="s">
        <v>52</v>
      </c>
      <c r="C19" s="10" t="s">
        <v>60</v>
      </c>
      <c r="D19" s="11" t="s">
        <v>61</v>
      </c>
      <c r="E19" s="12"/>
    </row>
    <row r="20" customFormat="false" ht="15" hidden="false" customHeight="false" outlineLevel="0" collapsed="false">
      <c r="A20" s="9" t="s">
        <v>62</v>
      </c>
      <c r="B20" s="9" t="s">
        <v>52</v>
      </c>
      <c r="C20" s="10" t="s">
        <v>56</v>
      </c>
      <c r="D20" s="11" t="s">
        <v>54</v>
      </c>
      <c r="E20" s="12"/>
    </row>
    <row r="21" customFormat="false" ht="15" hidden="false" customHeight="false" outlineLevel="0" collapsed="false">
      <c r="A21" s="9" t="s">
        <v>63</v>
      </c>
      <c r="B21" s="9" t="s">
        <v>52</v>
      </c>
      <c r="C21" s="10" t="s">
        <v>56</v>
      </c>
      <c r="D21" s="11" t="s">
        <v>54</v>
      </c>
      <c r="E21" s="12"/>
    </row>
    <row r="22" customFormat="false" ht="15" hidden="false" customHeight="false" outlineLevel="0" collapsed="false">
      <c r="A22" s="9" t="s">
        <v>64</v>
      </c>
      <c r="B22" s="9" t="s">
        <v>52</v>
      </c>
      <c r="C22" s="10" t="s">
        <v>56</v>
      </c>
      <c r="D22" s="11" t="s">
        <v>54</v>
      </c>
      <c r="E22" s="12"/>
    </row>
    <row r="23" customFormat="false" ht="15" hidden="false" customHeight="false" outlineLevel="0" collapsed="false">
      <c r="A23" s="9" t="s">
        <v>65</v>
      </c>
      <c r="B23" s="9" t="s">
        <v>52</v>
      </c>
      <c r="C23" s="10" t="s">
        <v>56</v>
      </c>
      <c r="D23" s="11" t="s">
        <v>54</v>
      </c>
      <c r="E23" s="12"/>
    </row>
    <row r="24" customFormat="false" ht="15" hidden="false" customHeight="false" outlineLevel="0" collapsed="false">
      <c r="A24" s="9" t="s">
        <v>66</v>
      </c>
      <c r="B24" s="9" t="s">
        <v>52</v>
      </c>
      <c r="C24" s="10" t="s">
        <v>56</v>
      </c>
      <c r="D24" s="11" t="s">
        <v>54</v>
      </c>
      <c r="E24" s="12"/>
    </row>
    <row r="25" customFormat="false" ht="15" hidden="false" customHeight="false" outlineLevel="0" collapsed="false">
      <c r="A25" s="9" t="s">
        <v>67</v>
      </c>
      <c r="B25" s="9" t="s">
        <v>52</v>
      </c>
      <c r="C25" s="10" t="s">
        <v>53</v>
      </c>
      <c r="D25" s="11" t="s">
        <v>54</v>
      </c>
      <c r="E25" s="12"/>
    </row>
    <row r="26" customFormat="false" ht="15" hidden="false" customHeight="false" outlineLevel="0" collapsed="false">
      <c r="A26" s="9" t="s">
        <v>68</v>
      </c>
      <c r="B26" s="9" t="s">
        <v>52</v>
      </c>
      <c r="C26" s="10" t="s">
        <v>53</v>
      </c>
      <c r="D26" s="11" t="s">
        <v>54</v>
      </c>
      <c r="E26" s="12"/>
    </row>
    <row r="27" customFormat="false" ht="15" hidden="false" customHeight="false" outlineLevel="0" collapsed="false">
      <c r="A27" s="9" t="s">
        <v>69</v>
      </c>
      <c r="B27" s="9" t="s">
        <v>52</v>
      </c>
      <c r="C27" s="10" t="s">
        <v>70</v>
      </c>
      <c r="D27" s="11" t="s">
        <v>54</v>
      </c>
      <c r="E27" s="12"/>
    </row>
    <row r="28" customFormat="false" ht="15" hidden="false" customHeight="false" outlineLevel="0" collapsed="false">
      <c r="A28" s="9" t="s">
        <v>71</v>
      </c>
      <c r="B28" s="9" t="s">
        <v>52</v>
      </c>
      <c r="C28" s="10" t="s">
        <v>56</v>
      </c>
      <c r="D28" s="11" t="s">
        <v>54</v>
      </c>
      <c r="E28" s="12"/>
    </row>
    <row r="29" customFormat="false" ht="15" hidden="false" customHeight="false" outlineLevel="0" collapsed="false">
      <c r="A29" s="9" t="s">
        <v>72</v>
      </c>
      <c r="B29" s="9" t="s">
        <v>52</v>
      </c>
      <c r="C29" s="10" t="s">
        <v>56</v>
      </c>
      <c r="D29" s="11" t="s">
        <v>54</v>
      </c>
      <c r="E29" s="12"/>
    </row>
    <row r="30" customFormat="false" ht="15" hidden="false" customHeight="false" outlineLevel="0" collapsed="false">
      <c r="A30" s="9" t="s">
        <v>73</v>
      </c>
      <c r="B30" s="9" t="s">
        <v>52</v>
      </c>
      <c r="C30" s="10" t="s">
        <v>53</v>
      </c>
      <c r="D30" s="11" t="s">
        <v>54</v>
      </c>
      <c r="E30" s="12"/>
    </row>
    <row r="31" customFormat="false" ht="15" hidden="false" customHeight="false" outlineLevel="0" collapsed="false">
      <c r="A31" s="9" t="s">
        <v>74</v>
      </c>
      <c r="B31" s="9" t="s">
        <v>52</v>
      </c>
      <c r="C31" s="10" t="s">
        <v>44</v>
      </c>
      <c r="D31" s="11" t="s">
        <v>54</v>
      </c>
      <c r="E31" s="12"/>
    </row>
    <row r="32" customFormat="false" ht="15" hidden="false" customHeight="false" outlineLevel="0" collapsed="false">
      <c r="A32" s="9" t="s">
        <v>75</v>
      </c>
      <c r="B32" s="9" t="s">
        <v>52</v>
      </c>
      <c r="C32" s="10" t="s">
        <v>76</v>
      </c>
      <c r="D32" s="11" t="s">
        <v>54</v>
      </c>
      <c r="E32" s="12"/>
    </row>
    <row r="33" customFormat="false" ht="15" hidden="false" customHeight="false" outlineLevel="0" collapsed="false">
      <c r="A33" s="9" t="s">
        <v>77</v>
      </c>
      <c r="B33" s="9" t="s">
        <v>52</v>
      </c>
      <c r="C33" s="10" t="s">
        <v>56</v>
      </c>
      <c r="D33" s="11" t="s">
        <v>54</v>
      </c>
      <c r="E33" s="12"/>
    </row>
    <row r="34" customFormat="false" ht="15" hidden="false" customHeight="false" outlineLevel="0" collapsed="false">
      <c r="A34" s="9" t="s">
        <v>78</v>
      </c>
      <c r="B34" s="9" t="s">
        <v>52</v>
      </c>
      <c r="C34" s="10" t="s">
        <v>70</v>
      </c>
      <c r="D34" s="11" t="s">
        <v>54</v>
      </c>
      <c r="E34" s="12"/>
    </row>
    <row r="35" customFormat="false" ht="23.85" hidden="false" customHeight="false" outlineLevel="0" collapsed="false">
      <c r="A35" s="9" t="s">
        <v>79</v>
      </c>
      <c r="B35" s="9" t="s">
        <v>52</v>
      </c>
      <c r="C35" s="10" t="s">
        <v>60</v>
      </c>
      <c r="D35" s="11" t="s">
        <v>61</v>
      </c>
      <c r="E35" s="12"/>
    </row>
    <row r="36" customFormat="false" ht="22.35" hidden="false" customHeight="false" outlineLevel="0" collapsed="false">
      <c r="A36" s="9" t="s">
        <v>80</v>
      </c>
      <c r="B36" s="9" t="s">
        <v>52</v>
      </c>
      <c r="C36" s="10" t="s">
        <v>60</v>
      </c>
      <c r="D36" s="11" t="s">
        <v>61</v>
      </c>
      <c r="E36" s="12"/>
    </row>
    <row r="37" customFormat="false" ht="15" hidden="false" customHeight="false" outlineLevel="0" collapsed="false">
      <c r="A37" s="9" t="s">
        <v>81</v>
      </c>
      <c r="B37" s="9" t="s">
        <v>52</v>
      </c>
      <c r="C37" s="10" t="s">
        <v>56</v>
      </c>
      <c r="D37" s="11" t="s">
        <v>54</v>
      </c>
      <c r="E37" s="12"/>
    </row>
    <row r="38" customFormat="false" ht="15" hidden="false" customHeight="false" outlineLevel="0" collapsed="false">
      <c r="A38" s="9" t="s">
        <v>82</v>
      </c>
      <c r="B38" s="9" t="s">
        <v>52</v>
      </c>
      <c r="C38" s="10" t="s">
        <v>56</v>
      </c>
      <c r="D38" s="11" t="s">
        <v>54</v>
      </c>
      <c r="E38" s="12"/>
    </row>
    <row r="39" customFormat="false" ht="22.35" hidden="false" customHeight="false" outlineLevel="0" collapsed="false">
      <c r="A39" s="9" t="s">
        <v>83</v>
      </c>
      <c r="B39" s="9" t="s">
        <v>52</v>
      </c>
      <c r="C39" s="10" t="s">
        <v>60</v>
      </c>
      <c r="D39" s="11" t="s">
        <v>61</v>
      </c>
      <c r="E39" s="12"/>
    </row>
    <row r="40" customFormat="false" ht="15" hidden="false" customHeight="false" outlineLevel="0" collapsed="false">
      <c r="A40" s="9" t="s">
        <v>84</v>
      </c>
      <c r="B40" s="9" t="s">
        <v>52</v>
      </c>
      <c r="C40" s="10" t="s">
        <v>56</v>
      </c>
      <c r="D40" s="11" t="s">
        <v>54</v>
      </c>
      <c r="E40" s="12"/>
    </row>
    <row r="41" customFormat="false" ht="15" hidden="false" customHeight="false" outlineLevel="0" collapsed="false">
      <c r="A41" s="9" t="s">
        <v>85</v>
      </c>
      <c r="B41" s="9" t="s">
        <v>52</v>
      </c>
      <c r="C41" s="10" t="s">
        <v>56</v>
      </c>
      <c r="D41" s="11" t="s">
        <v>54</v>
      </c>
      <c r="E41" s="12"/>
    </row>
    <row r="42" customFormat="false" ht="22.35" hidden="false" customHeight="false" outlineLevel="0" collapsed="false">
      <c r="A42" s="9" t="s">
        <v>86</v>
      </c>
      <c r="B42" s="9" t="s">
        <v>52</v>
      </c>
      <c r="C42" s="10" t="s">
        <v>60</v>
      </c>
      <c r="D42" s="11" t="s">
        <v>61</v>
      </c>
      <c r="E42" s="12"/>
    </row>
    <row r="43" customFormat="false" ht="23.85" hidden="false" customHeight="false" outlineLevel="0" collapsed="false">
      <c r="A43" s="9" t="s">
        <v>87</v>
      </c>
      <c r="B43" s="9" t="s">
        <v>52</v>
      </c>
      <c r="C43" s="10" t="s">
        <v>60</v>
      </c>
      <c r="D43" s="11" t="s">
        <v>61</v>
      </c>
      <c r="E43" s="12"/>
    </row>
    <row r="44" customFormat="false" ht="15" hidden="false" customHeight="false" outlineLevel="0" collapsed="false">
      <c r="A44" s="9" t="s">
        <v>88</v>
      </c>
      <c r="B44" s="9" t="s">
        <v>52</v>
      </c>
      <c r="C44" s="10" t="s">
        <v>56</v>
      </c>
      <c r="D44" s="11" t="s">
        <v>54</v>
      </c>
      <c r="E44" s="12"/>
    </row>
    <row r="45" customFormat="false" ht="15" hidden="false" customHeight="false" outlineLevel="0" collapsed="false">
      <c r="A45" s="9" t="s">
        <v>89</v>
      </c>
      <c r="B45" s="9" t="s">
        <v>52</v>
      </c>
      <c r="C45" s="10" t="s">
        <v>56</v>
      </c>
      <c r="D45" s="11" t="s">
        <v>54</v>
      </c>
      <c r="E45" s="12"/>
    </row>
    <row r="46" customFormat="false" ht="23.85" hidden="false" customHeight="false" outlineLevel="0" collapsed="false">
      <c r="A46" s="9" t="s">
        <v>90</v>
      </c>
      <c r="B46" s="9" t="s">
        <v>52</v>
      </c>
      <c r="C46" s="10" t="s">
        <v>60</v>
      </c>
      <c r="D46" s="11" t="s">
        <v>61</v>
      </c>
      <c r="E46" s="12"/>
    </row>
    <row r="47" customFormat="false" ht="22.35" hidden="false" customHeight="false" outlineLevel="0" collapsed="false">
      <c r="A47" s="9" t="s">
        <v>91</v>
      </c>
      <c r="B47" s="9" t="s">
        <v>52</v>
      </c>
      <c r="C47" s="10" t="s">
        <v>60</v>
      </c>
      <c r="D47" s="11" t="s">
        <v>61</v>
      </c>
      <c r="E47" s="12"/>
    </row>
    <row r="48" customFormat="false" ht="15" hidden="false" customHeight="false" outlineLevel="0" collapsed="false">
      <c r="A48" s="9" t="s">
        <v>92</v>
      </c>
      <c r="B48" s="9" t="s">
        <v>52</v>
      </c>
      <c r="C48" s="10" t="s">
        <v>56</v>
      </c>
      <c r="D48" s="11" t="s">
        <v>54</v>
      </c>
      <c r="E48" s="12"/>
    </row>
    <row r="49" customFormat="false" ht="15" hidden="false" customHeight="false" outlineLevel="0" collapsed="false">
      <c r="A49" s="9" t="s">
        <v>93</v>
      </c>
      <c r="B49" s="9" t="s">
        <v>52</v>
      </c>
      <c r="C49" s="10" t="s">
        <v>56</v>
      </c>
      <c r="D49" s="11" t="s">
        <v>54</v>
      </c>
      <c r="E49" s="12"/>
    </row>
    <row r="50" customFormat="false" ht="22.35" hidden="false" customHeight="false" outlineLevel="0" collapsed="false">
      <c r="A50" s="9" t="s">
        <v>94</v>
      </c>
      <c r="B50" s="9" t="s">
        <v>52</v>
      </c>
      <c r="C50" s="10" t="s">
        <v>60</v>
      </c>
      <c r="D50" s="11" t="s">
        <v>61</v>
      </c>
      <c r="E50" s="12"/>
    </row>
    <row r="51" customFormat="false" ht="15" hidden="false" customHeight="false" outlineLevel="0" collapsed="false">
      <c r="A51" s="8" t="s">
        <v>95</v>
      </c>
      <c r="B51" s="8"/>
      <c r="C51" s="8"/>
      <c r="D51" s="8"/>
      <c r="E51" s="8"/>
    </row>
    <row r="52" customFormat="false" ht="15" hidden="false" customHeight="false" outlineLevel="0" collapsed="false">
      <c r="A52" s="9" t="s">
        <v>96</v>
      </c>
      <c r="B52" s="9" t="s">
        <v>97</v>
      </c>
      <c r="C52" s="13" t="s">
        <v>98</v>
      </c>
      <c r="D52" s="11" t="s">
        <v>99</v>
      </c>
      <c r="E52" s="12"/>
    </row>
    <row r="53" customFormat="false" ht="23.85" hidden="false" customHeight="false" outlineLevel="0" collapsed="false">
      <c r="A53" s="9" t="s">
        <v>100</v>
      </c>
      <c r="B53" s="9" t="s">
        <v>101</v>
      </c>
      <c r="C53" s="13" t="s">
        <v>102</v>
      </c>
      <c r="D53" s="11" t="s">
        <v>103</v>
      </c>
      <c r="E53" s="12"/>
    </row>
    <row r="55" customFormat="false" ht="15" hidden="false" customHeight="false" outlineLevel="0" collapsed="false">
      <c r="A55" s="14" t="s">
        <v>104</v>
      </c>
    </row>
    <row r="56" customFormat="false" ht="15" hidden="false" customHeight="false" outlineLevel="0" collapsed="false">
      <c r="A56" s="15" t="s">
        <v>105</v>
      </c>
      <c r="C56" s="16" t="n">
        <v>420</v>
      </c>
    </row>
    <row r="57" customFormat="false" ht="15" hidden="false" customHeight="false" outlineLevel="0" collapsed="false">
      <c r="A57" s="15" t="s">
        <v>106</v>
      </c>
      <c r="C57" s="17" t="n">
        <v>1800</v>
      </c>
    </row>
    <row r="58" customFormat="false" ht="15" hidden="false" customHeight="false" outlineLevel="0" collapsed="false">
      <c r="A58" s="15" t="s">
        <v>107</v>
      </c>
      <c r="C58" s="18" t="n">
        <v>2028</v>
      </c>
    </row>
    <row r="59" customFormat="false" ht="15" hidden="false" customHeight="false" outlineLevel="0" collapsed="false">
      <c r="A59" s="15" t="s">
        <v>108</v>
      </c>
      <c r="C59" s="16" t="n">
        <v>754</v>
      </c>
    </row>
    <row r="60" customFormat="false" ht="15" hidden="false" customHeight="false" outlineLevel="0" collapsed="false">
      <c r="A60" s="15" t="s">
        <v>109</v>
      </c>
      <c r="C60" s="18" t="n">
        <v>1984</v>
      </c>
    </row>
    <row r="61" customFormat="false" ht="15" hidden="false" customHeight="false" outlineLevel="0" collapsed="false">
      <c r="A61" s="15" t="s">
        <v>110</v>
      </c>
      <c r="C61" s="17" t="n">
        <v>2200</v>
      </c>
    </row>
    <row r="62" customFormat="false" ht="15" hidden="false" customHeight="false" outlineLevel="0" collapsed="false">
      <c r="A62" s="15" t="s">
        <v>111</v>
      </c>
      <c r="C62" s="19" t="n">
        <f aca="false">(C56-C59)*(C57/C56/10)</f>
        <v>-143.142857142857</v>
      </c>
    </row>
    <row r="63" customFormat="false" ht="15" hidden="false" customHeight="false" outlineLevel="0" collapsed="false">
      <c r="A63" s="15" t="s">
        <v>112</v>
      </c>
      <c r="C63" s="19" t="n">
        <f aca="false">(C58-C60)*5</f>
        <v>220</v>
      </c>
    </row>
    <row r="64" customFormat="false" ht="15" hidden="false" customHeight="false" outlineLevel="0" collapsed="false">
      <c r="A64" s="20" t="s">
        <v>113</v>
      </c>
      <c r="C64" s="21" t="n">
        <f aca="false">C61+C62+C63</f>
        <v>2276.85714285714</v>
      </c>
    </row>
  </sheetData>
  <mergeCells count="5">
    <mergeCell ref="A1:E1"/>
    <mergeCell ref="A4:E4"/>
    <mergeCell ref="A9:E9"/>
    <mergeCell ref="A14:E14"/>
    <mergeCell ref="A51:E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40"/>
    <col collapsed="false" customWidth="true" hidden="false" outlineLevel="0" max="4" min="4" style="0" width="18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6" t="s">
        <v>114</v>
      </c>
      <c r="B1" s="6"/>
      <c r="C1" s="6"/>
      <c r="D1" s="6"/>
      <c r="E1" s="6"/>
    </row>
    <row r="2" customFormat="false" ht="30" hidden="false" customHeight="true" outlineLevel="0" collapsed="false">
      <c r="A2" s="22" t="s">
        <v>115</v>
      </c>
      <c r="B2" s="22"/>
      <c r="C2" s="22"/>
      <c r="D2" s="22"/>
      <c r="E2" s="22"/>
    </row>
    <row r="4" customFormat="false" ht="25.5" hidden="false" customHeight="true" outlineLevel="0" collapsed="false">
      <c r="A4" s="7" t="s">
        <v>116</v>
      </c>
      <c r="B4" s="7" t="s">
        <v>117</v>
      </c>
      <c r="C4" s="7" t="s">
        <v>118</v>
      </c>
      <c r="D4" s="7" t="s">
        <v>119</v>
      </c>
      <c r="E4" s="7" t="s">
        <v>120</v>
      </c>
    </row>
    <row r="5" customFormat="false" ht="15" hidden="false" customHeight="false" outlineLevel="0" collapsed="false">
      <c r="A5" s="9" t="s">
        <v>121</v>
      </c>
      <c r="B5" s="9" t="s">
        <v>122</v>
      </c>
      <c r="C5" s="9" t="s">
        <v>123</v>
      </c>
      <c r="D5" s="23"/>
      <c r="E5" s="23"/>
    </row>
    <row r="6" customFormat="false" ht="15" hidden="false" customHeight="false" outlineLevel="0" collapsed="false">
      <c r="A6" s="9" t="s">
        <v>124</v>
      </c>
      <c r="B6" s="9" t="s">
        <v>125</v>
      </c>
      <c r="C6" s="9" t="s">
        <v>126</v>
      </c>
      <c r="D6" s="23"/>
      <c r="E6" s="23"/>
    </row>
    <row r="7" customFormat="false" ht="15" hidden="false" customHeight="false" outlineLevel="0" collapsed="false">
      <c r="A7" s="9" t="s">
        <v>127</v>
      </c>
      <c r="B7" s="9" t="s">
        <v>128</v>
      </c>
      <c r="C7" s="9" t="s">
        <v>126</v>
      </c>
      <c r="D7" s="23"/>
      <c r="E7" s="23"/>
    </row>
    <row r="8" customFormat="false" ht="15" hidden="false" customHeight="false" outlineLevel="0" collapsed="false">
      <c r="A8" s="9" t="s">
        <v>129</v>
      </c>
      <c r="B8" s="9" t="s">
        <v>130</v>
      </c>
      <c r="C8" s="9" t="s">
        <v>131</v>
      </c>
      <c r="D8" s="23"/>
      <c r="E8" s="23"/>
    </row>
    <row r="9" customFormat="false" ht="15" hidden="false" customHeight="false" outlineLevel="0" collapsed="false">
      <c r="A9" s="9" t="s">
        <v>132</v>
      </c>
      <c r="B9" s="9" t="s">
        <v>133</v>
      </c>
      <c r="C9" s="9" t="s">
        <v>134</v>
      </c>
      <c r="D9" s="23"/>
      <c r="E9" s="23"/>
    </row>
    <row r="10" customFormat="false" ht="15" hidden="false" customHeight="false" outlineLevel="0" collapsed="false">
      <c r="A10" s="9" t="s">
        <v>135</v>
      </c>
      <c r="B10" s="9" t="s">
        <v>133</v>
      </c>
      <c r="C10" s="9" t="s">
        <v>134</v>
      </c>
      <c r="D10" s="23"/>
      <c r="E10" s="23"/>
    </row>
    <row r="11" customFormat="false" ht="15" hidden="false" customHeight="false" outlineLevel="0" collapsed="false">
      <c r="A11" s="9" t="s">
        <v>136</v>
      </c>
      <c r="B11" s="9" t="s">
        <v>137</v>
      </c>
      <c r="C11" s="9" t="s">
        <v>126</v>
      </c>
      <c r="D11" s="23"/>
      <c r="E11" s="23"/>
    </row>
    <row r="12" customFormat="false" ht="15" hidden="false" customHeight="false" outlineLevel="0" collapsed="false">
      <c r="A12" s="9" t="s">
        <v>138</v>
      </c>
      <c r="B12" s="9" t="s">
        <v>139</v>
      </c>
      <c r="C12" s="9" t="s">
        <v>140</v>
      </c>
      <c r="D12" s="23"/>
      <c r="E12" s="23"/>
    </row>
    <row r="13" customFormat="false" ht="15" hidden="false" customHeight="false" outlineLevel="0" collapsed="false">
      <c r="A13" s="9" t="s">
        <v>30</v>
      </c>
      <c r="B13" s="9" t="s">
        <v>141</v>
      </c>
      <c r="C13" s="9" t="s">
        <v>142</v>
      </c>
      <c r="D13" s="23"/>
      <c r="E13" s="23"/>
    </row>
    <row r="14" customFormat="false" ht="15" hidden="false" customHeight="false" outlineLevel="0" collapsed="false">
      <c r="A14" s="9" t="s">
        <v>143</v>
      </c>
      <c r="B14" s="9" t="s">
        <v>144</v>
      </c>
      <c r="C14" s="9" t="s">
        <v>140</v>
      </c>
      <c r="D14" s="23"/>
      <c r="E14" s="23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6" t="s">
        <v>145</v>
      </c>
      <c r="B1" s="6"/>
      <c r="C1" s="6"/>
    </row>
    <row r="2" customFormat="false" ht="15" hidden="false" customHeight="false" outlineLevel="0" collapsed="false">
      <c r="A2" s="24" t="s">
        <v>146</v>
      </c>
      <c r="B2" s="24"/>
      <c r="C2" s="24"/>
    </row>
    <row r="4" customFormat="false" ht="15" hidden="false" customHeight="false" outlineLevel="0" collapsed="false">
      <c r="A4" s="25" t="s">
        <v>147</v>
      </c>
      <c r="B4" s="25" t="s">
        <v>148</v>
      </c>
      <c r="C4" s="25" t="s">
        <v>149</v>
      </c>
    </row>
    <row r="5" customFormat="false" ht="24" hidden="false" customHeight="true" outlineLevel="0" collapsed="false">
      <c r="A5" s="26" t="n">
        <v>1</v>
      </c>
      <c r="B5" s="9" t="s">
        <v>150</v>
      </c>
      <c r="C5" s="12"/>
    </row>
    <row r="6" customFormat="false" ht="24" hidden="false" customHeight="true" outlineLevel="0" collapsed="false">
      <c r="A6" s="26" t="n">
        <v>2</v>
      </c>
      <c r="B6" s="9" t="s">
        <v>151</v>
      </c>
      <c r="C6" s="12"/>
    </row>
    <row r="7" customFormat="false" ht="24" hidden="false" customHeight="true" outlineLevel="0" collapsed="false">
      <c r="A7" s="26" t="n">
        <v>3</v>
      </c>
      <c r="B7" s="9" t="s">
        <v>152</v>
      </c>
      <c r="C7" s="12"/>
    </row>
    <row r="8" customFormat="false" ht="24" hidden="false" customHeight="true" outlineLevel="0" collapsed="false">
      <c r="A8" s="26" t="n">
        <v>4</v>
      </c>
      <c r="B8" s="9" t="s">
        <v>153</v>
      </c>
      <c r="C8" s="12"/>
    </row>
    <row r="9" customFormat="false" ht="24" hidden="false" customHeight="true" outlineLevel="0" collapsed="false">
      <c r="A9" s="26" t="n">
        <v>5</v>
      </c>
      <c r="B9" s="9" t="s">
        <v>154</v>
      </c>
      <c r="C9" s="12"/>
    </row>
    <row r="10" customFormat="false" ht="24" hidden="false" customHeight="true" outlineLevel="0" collapsed="false">
      <c r="A10" s="26" t="n">
        <v>6</v>
      </c>
      <c r="B10" s="9" t="s">
        <v>155</v>
      </c>
      <c r="C10" s="12"/>
    </row>
    <row r="11" customFormat="false" ht="24" hidden="false" customHeight="true" outlineLevel="0" collapsed="false">
      <c r="A11" s="26" t="n">
        <v>7</v>
      </c>
      <c r="B11" s="9" t="s">
        <v>156</v>
      </c>
      <c r="C11" s="12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2026-06-22T18:53:42Z</dcterms:created>
  <dc:creator>openpyxl</dc:creator>
  <dc:description/>
  <dc:language>en-US</dc:language>
  <cp:lastModifiedBy/>
  <dcterms:modified xsi:type="dcterms:W3CDTF">2026-06-22T18:53:42Z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