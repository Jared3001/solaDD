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4200" yWindow="-1880" windowWidth="38400" windowHeight="21000" tabRatio="600" firstSheet="0" activeTab="2" autoFilterDateGrouping="1"/>
  </bookViews>
  <sheets>
    <sheet name="Model Changelog" sheetId="1" state="visible" r:id="rId1"/>
    <sheet name="Sheet1" sheetId="2" state="visible" r:id="rId2"/>
    <sheet name="Pro_Forma" sheetId="3" state="visible" r:id="rId3"/>
    <sheet name="Tiebreak" sheetId="4" state="visible" r:id="rId4"/>
    <sheet name="Draws_Module" sheetId="5" state="visible" r:id="rId5"/>
    <sheet name="Cell Mapping" sheetId="6" state="visible" r:id="rId6"/>
    <sheet name="UA" sheetId="7" state="visible" r:id="rId7"/>
    <sheet name="Market Inputs" sheetId="8" state="visible" r:id="rId8"/>
  </sheets>
  <definedNames>
    <definedName name="_xleta.MAX" hidden="1" xlm="1">#NAME?</definedName>
    <definedName name="_xleta.MIN" hidden="1" xlm="1">#NAME?</definedName>
    <definedName name="_xleta.ROUNDDOWN" hidden="1" xlm="1">#NAME?</definedName>
    <definedName name="_xlpm.br" hidden="1" xlm="1">#NAME?</definedName>
    <definedName name="_xlpm.cat" hidden="1" xlm="1">#NAME?</definedName>
    <definedName name="_xlpm.colIdx" hidden="1" xlm="1">#NAME?</definedName>
    <definedName name="_xlpm.ind" hidden="1" xlm="1">#NAME?</definedName>
    <definedName name="_xlpm.index" hidden="1" xlm="1">#NAME?</definedName>
    <definedName name="_xlpm.indx" hidden="1" xlm="1">#NAME?</definedName>
    <definedName name="_xlpm.jur" hidden="1" xlm="1">#NAME?</definedName>
    <definedName name="_xlpm.rowIdx" hidden="1" xlm="1">#NAME?</definedName>
    <definedName name="_xlpm.ut" hidden="1" xlm="1">#NAME?</definedName>
    <definedName name="solver_cvg" localSheetId="2" hidden="1">0.001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500</definedName>
    <definedName name="solver_lhs1" localSheetId="2" hidden="1">Pro_Forma!$R$39</definedName>
    <definedName name="solver_lhs2" localSheetId="2" hidden="1">Pro_Forma!$I$7</definedName>
    <definedName name="solver_lhs3" localSheetId="2" hidden="1">Pro_Forma!$C$24</definedName>
    <definedName name="solver_lhs4" localSheetId="2" hidden="1">Pro_Forma!$R$35:$R$36</definedName>
    <definedName name="solver_lhs5" localSheetId="2" hidden="1">Pro_Forma!$R$38</definedName>
    <definedName name="solver_lhs6" localSheetId="2" hidden="1">Pro_Forma!$I$3:$I$6</definedName>
    <definedName name="solver_lhs7" localSheetId="2" hidden="1">Pro_Forma!$R$35</definedName>
    <definedName name="solver_lhs8" localSheetId="2" hidden="1">Pro_Forma!#REF!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1" localSheetId="2" hidden="1">1</definedName>
    <definedName name="solver_rhs2" localSheetId="2" hidden="1">1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0.1</definedName>
    <definedName name="solver_rhs8" localSheetId="2" hidden="1">0.2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60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  <definedName name="_xlnm.Print_Area" localSheetId="2">'Pro_Forma'!$B$1:$Z$92</definedName>
  </definedNames>
  <calcPr calcId="191029" calcMode="autoNoTable" fullCalcOnLoad="1" iterate="1" iterateDelta="0.0001"/>
</workbook>
</file>

<file path=xl/styles.xml><?xml version="1.0" encoding="utf-8"?>
<styleSheet xmlns="http://schemas.openxmlformats.org/spreadsheetml/2006/main">
  <numFmts count="21">
    <numFmt numFmtId="164" formatCode="_(* #,##0_);_(* \(#,##0\);_(* &quot;-&quot;??_);_(@_)"/>
    <numFmt numFmtId="165" formatCode="0.0%"/>
    <numFmt numFmtId="166" formatCode="_(&quot;$&quot;* #,##0_);_(&quot;$&quot;* \(#,##0\);_(&quot;$&quot;* &quot;-&quot;??_);_(@_)"/>
    <numFmt numFmtId="167" formatCode="0.0&quot;x&quot;"/>
    <numFmt numFmtId="168" formatCode="\$#,##0"/>
    <numFmt numFmtId="169" formatCode="0.000%"/>
    <numFmt numFmtId="170" formatCode="&quot;$&quot;#,##0_);[Red]\(&quot;$&quot;#,##0\)"/>
    <numFmt numFmtId="171" formatCode="m/yyyy"/>
    <numFmt numFmtId="172" formatCode="&quot;$&quot;#,##0"/>
    <numFmt numFmtId="173" formatCode="0%&quot; AMI&quot;"/>
    <numFmt numFmtId="174" formatCode="0.0%&quot; AMI&quot;"/>
    <numFmt numFmtId="175" formatCode="0.000"/>
    <numFmt numFmtId="176" formatCode="0.00&quot; ac&quot;"/>
    <numFmt numFmtId="177" formatCode="_(* #,##0.0_);_(* \(#,##0.0\);_(* &quot;-&quot;??_);_(@_)"/>
    <numFmt numFmtId="178" formatCode="&quot;$&quot;0&quot;/u&quot;"/>
    <numFmt numFmtId="179" formatCode="&quot;$&quot;#,##0&quot;/unit&quot;"/>
    <numFmt numFmtId="180" formatCode="0&quot; spaces&quot;"/>
    <numFmt numFmtId="181" formatCode="&quot;$&quot;#,##0&quot;/space&quot;"/>
    <numFmt numFmtId="182" formatCode="0.00&quot;/unit&quot;"/>
    <numFmt numFmtId="183" formatCode="_(* #,##0_);_(* \(#,##0\);_(* \-??_);_(@_)"/>
    <numFmt numFmtId="184" formatCode="&quot;$&quot;0&quot;/SF&quot;"/>
  </numFmts>
  <fonts count="2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rgb="FF0000FF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i val="1"/>
      <color theme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color theme="1"/>
      <sz val="9"/>
      <scheme val="minor"/>
    </font>
    <font>
      <name val="Calibri"/>
      <family val="2"/>
      <sz val="11"/>
    </font>
    <font>
      <name val="Calibri"/>
      <family val="2"/>
      <color rgb="FF3333FF"/>
      <sz val="11"/>
      <scheme val="minor"/>
    </font>
    <font>
      <name val="Calibri"/>
      <family val="2"/>
      <i val="1"/>
      <color rgb="FF0000FF"/>
      <sz val="11"/>
      <scheme val="minor"/>
    </font>
    <font>
      <name val="Calibri"/>
      <family val="2"/>
      <color theme="9" tint="-0.499984740745262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i val="1"/>
      <sz val="11"/>
      <scheme val="minor"/>
    </font>
    <font>
      <name val="Tahoma"/>
      <family val="2"/>
      <b val="1"/>
      <color rgb="FF000000"/>
      <sz val="9"/>
    </font>
    <font>
      <name val="Tahoma"/>
      <family val="2"/>
      <color rgb="FF000000"/>
      <sz val="9"/>
    </font>
    <font>
      <name val="Tahoma"/>
      <family val="2"/>
      <color rgb="FF000000"/>
      <sz val="10"/>
    </font>
    <font>
      <name val="Tahoma"/>
      <family val="2"/>
      <b val="1"/>
      <color rgb="FF000000"/>
      <sz val="10"/>
    </font>
    <font>
      <name val="Calibri"/>
      <family val="2"/>
      <b val="1"/>
      <color rgb="FF0000FF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3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1" fillId="0" borderId="0"/>
    <xf numFmtId="43" fontId="1" fillId="0" borderId="0"/>
    <xf numFmtId="9" fontId="1" fillId="0" borderId="0"/>
    <xf numFmtId="44" fontId="1" fillId="0" borderId="0"/>
    <xf numFmtId="0" fontId="19" fillId="0" borderId="0"/>
  </cellStyleXfs>
  <cellXfs count="364">
    <xf numFmtId="0" fontId="0" fillId="0" borderId="0" pivotButton="0" quotePrefix="0" xfId="0"/>
    <xf numFmtId="0" fontId="2" fillId="0" borderId="0" pivotButton="0" quotePrefix="0" xfId="0"/>
    <xf numFmtId="164" fontId="0" fillId="0" borderId="0" pivotButton="0" quotePrefix="0" xfId="1"/>
    <xf numFmtId="164" fontId="0" fillId="0" borderId="0" pivotButton="0" quotePrefix="0" xfId="0"/>
    <xf numFmtId="10" fontId="4" fillId="0" borderId="0" pivotButton="0" quotePrefix="0" xfId="0"/>
    <xf numFmtId="0" fontId="2" fillId="0" borderId="1" pivotButton="0" quotePrefix="0" xfId="0"/>
    <xf numFmtId="0" fontId="0" fillId="0" borderId="4" pivotButton="0" quotePrefix="0" xfId="0"/>
    <xf numFmtId="164" fontId="4" fillId="0" borderId="0" pivotButton="0" quotePrefix="0" xfId="1"/>
    <xf numFmtId="164" fontId="0" fillId="0" borderId="5" pivotButton="0" quotePrefix="0" xfId="1"/>
    <xf numFmtId="164" fontId="0" fillId="0" borderId="0" pivotButton="0" quotePrefix="0" xfId="1"/>
    <xf numFmtId="164" fontId="4" fillId="0" borderId="5" pivotButton="0" quotePrefix="0" xfId="1"/>
    <xf numFmtId="0" fontId="2" fillId="0" borderId="9" pivotButton="0" quotePrefix="0" xfId="0"/>
    <xf numFmtId="0" fontId="2" fillId="0" borderId="10" applyAlignment="1" pivotButton="0" quotePrefix="0" xfId="0">
      <alignment horizontal="center"/>
    </xf>
    <xf numFmtId="0" fontId="2" fillId="0" borderId="11" applyAlignment="1" pivotButton="0" quotePrefix="0" xfId="0">
      <alignment horizontal="center"/>
    </xf>
    <xf numFmtId="164" fontId="2" fillId="0" borderId="2" pivotButton="0" quotePrefix="0" xfId="0"/>
    <xf numFmtId="164" fontId="2" fillId="0" borderId="3" pivotButton="0" quotePrefix="0" xfId="0"/>
    <xf numFmtId="164" fontId="0" fillId="0" borderId="5" pivotButton="0" quotePrefix="0" xfId="0"/>
    <xf numFmtId="0" fontId="2" fillId="0" borderId="10" pivotButton="0" quotePrefix="0" xfId="0"/>
    <xf numFmtId="164" fontId="2" fillId="0" borderId="11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10" pivotButton="0" quotePrefix="0" xfId="0"/>
    <xf numFmtId="0" fontId="0" fillId="0" borderId="11" pivotButton="0" quotePrefix="0" xfId="0"/>
    <xf numFmtId="164" fontId="0" fillId="0" borderId="8" pivotButton="0" quotePrefix="0" xfId="0"/>
    <xf numFmtId="164" fontId="2" fillId="0" borderId="10" pivotButton="0" quotePrefix="0" xfId="1"/>
    <xf numFmtId="164" fontId="2" fillId="0" borderId="11" pivotButton="0" quotePrefix="0" xfId="1"/>
    <xf numFmtId="0" fontId="2" fillId="0" borderId="2" pivotButton="0" quotePrefix="0" xfId="0"/>
    <xf numFmtId="0" fontId="2" fillId="0" borderId="11" pivotButton="0" quotePrefix="0" xfId="0"/>
    <xf numFmtId="0" fontId="0" fillId="0" borderId="1" pivotButton="0" quotePrefix="0" xfId="0"/>
    <xf numFmtId="164" fontId="0" fillId="0" borderId="3" pivotButton="0" quotePrefix="0" xfId="1"/>
    <xf numFmtId="9" fontId="4" fillId="0" borderId="0" pivotButton="0" quotePrefix="0" xfId="0"/>
    <xf numFmtId="0" fontId="2" fillId="0" borderId="12" pivotButton="0" quotePrefix="0" xfId="0"/>
    <xf numFmtId="164" fontId="2" fillId="0" borderId="12" pivotButton="0" quotePrefix="0" xfId="0"/>
    <xf numFmtId="164" fontId="0" fillId="0" borderId="8" pivotButton="0" quotePrefix="0" xfId="1"/>
    <xf numFmtId="0" fontId="4" fillId="0" borderId="0" pivotButton="0" quotePrefix="0" xfId="0"/>
    <xf numFmtId="165" fontId="4" fillId="0" borderId="0" pivotButton="0" quotePrefix="0" xfId="0"/>
    <xf numFmtId="165" fontId="0" fillId="0" borderId="5" pivotButton="0" quotePrefix="0" xfId="0"/>
    <xf numFmtId="165" fontId="4" fillId="0" borderId="5" pivotButton="0" quotePrefix="0" xfId="0"/>
    <xf numFmtId="10" fontId="4" fillId="0" borderId="5" pivotButton="0" quotePrefix="0" xfId="0"/>
    <xf numFmtId="0" fontId="5" fillId="2" borderId="0" pivotButton="0" quotePrefix="0" xfId="0"/>
    <xf numFmtId="0" fontId="5" fillId="2" borderId="0" applyAlignment="1" pivotButton="0" quotePrefix="0" xfId="0">
      <alignment horizontal="centerContinuous"/>
    </xf>
    <xf numFmtId="164" fontId="0" fillId="0" borderId="0" pivotButton="0" quotePrefix="0" xfId="1"/>
    <xf numFmtId="0" fontId="2" fillId="0" borderId="0" applyAlignment="1" pivotButton="0" quotePrefix="0" xfId="0">
      <alignment horizontal="centerContinuous"/>
    </xf>
    <xf numFmtId="165" fontId="2" fillId="0" borderId="2" applyAlignment="1" pivotButton="0" quotePrefix="0" xfId="2">
      <alignment horizontal="right"/>
    </xf>
    <xf numFmtId="0" fontId="2" fillId="3" borderId="0" pivotButton="0" quotePrefix="0" xfId="0"/>
    <xf numFmtId="164" fontId="0" fillId="3" borderId="0" pivotButton="0" quotePrefix="0" xfId="1"/>
    <xf numFmtId="166" fontId="0" fillId="0" borderId="0" pivotButton="0" quotePrefix="0" xfId="3"/>
    <xf numFmtId="166" fontId="2" fillId="0" borderId="2" pivotButton="0" quotePrefix="0" xfId="3"/>
    <xf numFmtId="0" fontId="0" fillId="3" borderId="0" pivotButton="0" quotePrefix="0" xfId="0"/>
    <xf numFmtId="166" fontId="2" fillId="0" borderId="2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wrapText="1"/>
    </xf>
    <xf numFmtId="166" fontId="2" fillId="0" borderId="0" pivotButton="0" quotePrefix="0" xfId="0"/>
    <xf numFmtId="164" fontId="2" fillId="0" borderId="0" pivotButton="0" quotePrefix="0" xfId="0"/>
    <xf numFmtId="166" fontId="2" fillId="0" borderId="0" pivotButton="0" quotePrefix="0" xfId="3"/>
    <xf numFmtId="0" fontId="0" fillId="0" borderId="2" pivotButton="0" quotePrefix="0" xfId="0"/>
    <xf numFmtId="0" fontId="2" fillId="0" borderId="13" pivotButton="0" quotePrefix="0" xfId="0"/>
    <xf numFmtId="166" fontId="2" fillId="0" borderId="13" pivotButton="0" quotePrefix="0" xfId="0"/>
    <xf numFmtId="10" fontId="0" fillId="0" borderId="0" pivotButton="0" quotePrefix="0" xfId="2"/>
    <xf numFmtId="0" fontId="4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5" fillId="4" borderId="0" pivotButton="0" quotePrefix="0" xfId="0"/>
    <xf numFmtId="0" fontId="6" fillId="4" borderId="0" pivotButton="0" quotePrefix="0" xfId="0"/>
    <xf numFmtId="0" fontId="5" fillId="4" borderId="0" applyAlignment="1" pivotButton="0" quotePrefix="0" xfId="0">
      <alignment horizontal="center"/>
    </xf>
    <xf numFmtId="164" fontId="2" fillId="0" borderId="10" pivotButton="0" quotePrefix="0" xfId="0"/>
    <xf numFmtId="165" fontId="2" fillId="0" borderId="11" pivotButton="0" quotePrefix="0" xfId="2"/>
    <xf numFmtId="164" fontId="0" fillId="0" borderId="2" pivotButton="0" quotePrefix="0" xfId="0"/>
    <xf numFmtId="164" fontId="0" fillId="0" borderId="7" pivotButton="0" quotePrefix="0" xfId="0"/>
    <xf numFmtId="165" fontId="2" fillId="0" borderId="11" pivotButton="0" quotePrefix="0" xfId="0"/>
    <xf numFmtId="0" fontId="0" fillId="0" borderId="9" pivotButton="0" quotePrefix="0" xfId="0"/>
    <xf numFmtId="164" fontId="0" fillId="0" borderId="10" pivotButton="0" quotePrefix="0" xfId="0"/>
    <xf numFmtId="164" fontId="1" fillId="0" borderId="11" pivotButton="0" quotePrefix="0" xfId="1"/>
    <xf numFmtId="165" fontId="9" fillId="0" borderId="0" pivotButton="0" quotePrefix="0" xfId="2"/>
    <xf numFmtId="10" fontId="0" fillId="0" borderId="5" pivotButton="0" quotePrefix="0" xfId="2"/>
    <xf numFmtId="165" fontId="4" fillId="0" borderId="8" pivotButton="0" quotePrefix="0" xfId="0"/>
    <xf numFmtId="164" fontId="2" fillId="0" borderId="5" pivotButton="0" quotePrefix="0" xfId="0"/>
    <xf numFmtId="0" fontId="2" fillId="0" borderId="4" pivotButton="0" quotePrefix="0" xfId="0"/>
    <xf numFmtId="1" fontId="0" fillId="0" borderId="0" pivotButton="0" quotePrefix="0" xfId="0"/>
    <xf numFmtId="167" fontId="0" fillId="0" borderId="5" pivotButton="0" quotePrefix="0" xfId="0"/>
    <xf numFmtId="43" fontId="0" fillId="0" borderId="0" pivotButton="0" quotePrefix="0" xfId="0"/>
    <xf numFmtId="10" fontId="2" fillId="0" borderId="10" pivotButton="0" quotePrefix="0" xfId="2"/>
    <xf numFmtId="165" fontId="0" fillId="0" borderId="0" pivotButton="0" quotePrefix="0" xfId="0"/>
    <xf numFmtId="164" fontId="2" fillId="0" borderId="0" pivotButton="0" quotePrefix="0" xfId="1"/>
    <xf numFmtId="164" fontId="2" fillId="0" borderId="7" pivotButton="0" quotePrefix="0" xfId="1"/>
    <xf numFmtId="0" fontId="2" fillId="0" borderId="5" pivotButton="0" quotePrefix="0" xfId="0"/>
    <xf numFmtId="0" fontId="0" fillId="0" borderId="0" applyAlignment="1" pivotButton="0" quotePrefix="0" xfId="0">
      <alignment horizontal="right"/>
    </xf>
    <xf numFmtId="0" fontId="2" fillId="0" borderId="6" pivotButton="0" quotePrefix="0" xfId="0"/>
    <xf numFmtId="165" fontId="2" fillId="0" borderId="8" pivotButton="0" quotePrefix="0" xfId="2"/>
    <xf numFmtId="164" fontId="2" fillId="0" borderId="2" pivotButton="0" quotePrefix="0" xfId="1"/>
    <xf numFmtId="164" fontId="0" fillId="0" borderId="7" pivotButton="0" quotePrefix="0" xfId="1"/>
    <xf numFmtId="164" fontId="0" fillId="0" borderId="2" pivotButton="0" quotePrefix="0" xfId="1"/>
    <xf numFmtId="164" fontId="1" fillId="0" borderId="0" pivotButton="0" quotePrefix="0" xfId="1"/>
    <xf numFmtId="165" fontId="6" fillId="0" borderId="0" pivotButton="0" quotePrefix="0" xfId="0"/>
    <xf numFmtId="164" fontId="0" fillId="0" borderId="4" pivotButton="0" quotePrefix="0" xfId="1"/>
    <xf numFmtId="164" fontId="2" fillId="0" borderId="6" pivotButton="0" quotePrefix="0" xfId="1"/>
    <xf numFmtId="164" fontId="2" fillId="0" borderId="8" pivotButton="0" quotePrefix="0" xfId="1"/>
    <xf numFmtId="164" fontId="2" fillId="0" borderId="9" pivotButton="0" quotePrefix="0" xfId="1"/>
    <xf numFmtId="164" fontId="0" fillId="0" borderId="10" pivotButton="0" quotePrefix="0" xfId="1"/>
    <xf numFmtId="164" fontId="0" fillId="0" borderId="11" pivotButton="0" quotePrefix="0" xfId="1"/>
    <xf numFmtId="165" fontId="4" fillId="0" borderId="5" pivotButton="0" quotePrefix="0" xfId="2"/>
    <xf numFmtId="43" fontId="4" fillId="0" borderId="5" pivotButton="0" quotePrefix="0" xfId="1"/>
    <xf numFmtId="9" fontId="4" fillId="0" borderId="5" pivotButton="0" quotePrefix="0" xfId="2"/>
    <xf numFmtId="0" fontId="2" fillId="0" borderId="7" pivotButton="0" quotePrefix="0" xfId="0"/>
    <xf numFmtId="164" fontId="2" fillId="0" borderId="8" pivotButton="0" quotePrefix="0" xfId="0"/>
    <xf numFmtId="0" fontId="0" fillId="5" borderId="4" pivotButton="0" quotePrefix="0" xfId="0"/>
    <xf numFmtId="164" fontId="0" fillId="5" borderId="5" pivotButton="0" quotePrefix="0" xfId="0"/>
    <xf numFmtId="164" fontId="10" fillId="0" borderId="0" pivotButton="0" quotePrefix="0" xfId="1"/>
    <xf numFmtId="43" fontId="0" fillId="0" borderId="5" pivotButton="0" quotePrefix="0" xfId="0"/>
    <xf numFmtId="0" fontId="0" fillId="0" borderId="4" applyAlignment="1" pivotButton="0" quotePrefix="0" xfId="0">
      <alignment horizontal="left" indent="1"/>
    </xf>
    <xf numFmtId="166" fontId="10" fillId="0" borderId="0" pivotButton="0" quotePrefix="0" xfId="3"/>
    <xf numFmtId="0" fontId="0" fillId="6" borderId="0" applyAlignment="1" pivotButton="0" quotePrefix="0" xfId="0">
      <alignment horizontal="right" vertical="center"/>
    </xf>
    <xf numFmtId="0" fontId="12" fillId="0" borderId="0" pivotButton="0" quotePrefix="0" xfId="0"/>
    <xf numFmtId="168" fontId="0" fillId="6" borderId="0" applyAlignment="1" pivotButton="0" quotePrefix="0" xfId="0">
      <alignment horizontal="right" vertical="center"/>
    </xf>
    <xf numFmtId="169" fontId="0" fillId="0" borderId="0" pivotButton="0" quotePrefix="0" xfId="0"/>
    <xf numFmtId="0" fontId="0" fillId="0" borderId="0" applyAlignment="1" pivotButton="0" quotePrefix="0" xfId="0">
      <alignment horizontal="center" vertical="center" wrapText="1"/>
    </xf>
    <xf numFmtId="0" fontId="12" fillId="0" borderId="14" applyAlignment="1" pivotButton="0" quotePrefix="0" xfId="0">
      <alignment horizontal="center" vertical="center" wrapText="1"/>
    </xf>
    <xf numFmtId="0" fontId="0" fillId="0" borderId="14" applyAlignment="1" pivotButton="0" quotePrefix="0" xfId="0">
      <alignment horizontal="center" vertical="center" wrapText="1"/>
    </xf>
    <xf numFmtId="168" fontId="0" fillId="0" borderId="14" pivotButton="0" quotePrefix="0" xfId="0"/>
    <xf numFmtId="0" fontId="12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/>
    </xf>
    <xf numFmtId="0" fontId="12" fillId="7" borderId="14" applyAlignment="1" pivotButton="0" quotePrefix="0" xfId="0">
      <alignment horizontal="center" vertical="center" wrapText="1"/>
    </xf>
    <xf numFmtId="168" fontId="0" fillId="7" borderId="14" pivotButton="0" quotePrefix="0" xfId="0"/>
    <xf numFmtId="0" fontId="12" fillId="8" borderId="14" applyAlignment="1" pivotButton="0" quotePrefix="0" xfId="0">
      <alignment horizontal="center" vertical="center" wrapText="1"/>
    </xf>
    <xf numFmtId="168" fontId="0" fillId="8" borderId="14" pivotButton="0" quotePrefix="0" xfId="0"/>
    <xf numFmtId="0" fontId="12" fillId="9" borderId="14" applyAlignment="1" pivotButton="0" quotePrefix="0" xfId="0">
      <alignment horizontal="center" vertical="center" wrapText="1"/>
    </xf>
    <xf numFmtId="168" fontId="0" fillId="9" borderId="14" pivotButton="0" quotePrefix="0" xfId="0"/>
    <xf numFmtId="0" fontId="12" fillId="10" borderId="14" applyAlignment="1" pivotButton="0" quotePrefix="0" xfId="0">
      <alignment horizontal="center" vertical="center" wrapText="1"/>
    </xf>
    <xf numFmtId="168" fontId="0" fillId="10" borderId="14" pivotButton="0" quotePrefix="0" xfId="0"/>
    <xf numFmtId="0" fontId="12" fillId="11" borderId="14" applyAlignment="1" pivotButton="0" quotePrefix="0" xfId="0">
      <alignment horizontal="center" vertical="center" wrapText="1"/>
    </xf>
    <xf numFmtId="168" fontId="0" fillId="11" borderId="14" pivotButton="0" quotePrefix="0" xfId="0"/>
    <xf numFmtId="0" fontId="12" fillId="12" borderId="14" applyAlignment="1" pivotButton="0" quotePrefix="0" xfId="0">
      <alignment horizontal="center" vertical="center" wrapText="1"/>
    </xf>
    <xf numFmtId="168" fontId="0" fillId="12" borderId="14" pivotButton="0" quotePrefix="0" xfId="0"/>
    <xf numFmtId="0" fontId="13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left" vertical="center"/>
    </xf>
    <xf numFmtId="168" fontId="0" fillId="0" borderId="0" pivotButton="0" quotePrefix="0" xfId="0"/>
    <xf numFmtId="0" fontId="2" fillId="6" borderId="2" applyAlignment="1" pivotButton="0" quotePrefix="0" xfId="0">
      <alignment horizontal="right" vertical="center"/>
    </xf>
    <xf numFmtId="170" fontId="0" fillId="0" borderId="2" pivotButton="0" quotePrefix="0" xfId="0"/>
    <xf numFmtId="165" fontId="0" fillId="6" borderId="0" applyAlignment="1" pivotButton="0" quotePrefix="0" xfId="2">
      <alignment horizontal="right" vertical="center"/>
    </xf>
    <xf numFmtId="168" fontId="0" fillId="0" borderId="0" applyAlignment="1" pivotButton="0" quotePrefix="0" xfId="0">
      <alignment horizontal="right" vertical="center"/>
    </xf>
    <xf numFmtId="165" fontId="15" fillId="6" borderId="0" applyAlignment="1" pivotButton="0" quotePrefix="0" xfId="2">
      <alignment horizontal="right" vertical="center"/>
    </xf>
    <xf numFmtId="171" fontId="0" fillId="0" borderId="7" pivotButton="0" quotePrefix="0" xfId="0"/>
    <xf numFmtId="0" fontId="15" fillId="6" borderId="0" applyAlignment="1" pivotButton="0" quotePrefix="0" xfId="0">
      <alignment horizontal="right" vertical="center"/>
    </xf>
    <xf numFmtId="14" fontId="0" fillId="6" borderId="0" applyAlignment="1" pivotButton="0" quotePrefix="0" xfId="0">
      <alignment horizontal="right" vertical="center"/>
    </xf>
    <xf numFmtId="0" fontId="0" fillId="0" borderId="2" applyAlignment="1" pivotButton="0" quotePrefix="0" xfId="0">
      <alignment horizontal="left" vertical="center"/>
    </xf>
    <xf numFmtId="168" fontId="0" fillId="0" borderId="2" pivotButton="0" quotePrefix="0" xfId="0"/>
    <xf numFmtId="0" fontId="0" fillId="0" borderId="0" applyAlignment="1" pivotButton="0" quotePrefix="0" xfId="0">
      <alignment horizontal="left"/>
    </xf>
    <xf numFmtId="0" fontId="0" fillId="0" borderId="4" applyAlignment="1" pivotButton="0" quotePrefix="0" xfId="0">
      <alignment horizontal="left"/>
    </xf>
    <xf numFmtId="164" fontId="0" fillId="0" borderId="0" applyAlignment="1" pivotButton="0" quotePrefix="0" xfId="1">
      <alignment horizontal="right"/>
    </xf>
    <xf numFmtId="0" fontId="2" fillId="0" borderId="9" applyAlignment="1" pivotButton="0" quotePrefix="0" xfId="0">
      <alignment horizontal="left"/>
    </xf>
    <xf numFmtId="164" fontId="2" fillId="0" borderId="10" applyAlignment="1" pivotButton="0" quotePrefix="0" xfId="1">
      <alignment horizontal="right"/>
    </xf>
    <xf numFmtId="0" fontId="0" fillId="0" borderId="15" pivotButton="0" quotePrefix="0" xfId="0"/>
    <xf numFmtId="0" fontId="0" fillId="0" borderId="16" applyAlignment="1" pivotButton="0" quotePrefix="0" xfId="0">
      <alignment horizontal="right"/>
    </xf>
    <xf numFmtId="164" fontId="0" fillId="0" borderId="16" pivotButton="0" quotePrefix="0" xfId="1"/>
    <xf numFmtId="0" fontId="0" fillId="0" borderId="18" pivotButton="0" quotePrefix="0" xfId="0"/>
    <xf numFmtId="164" fontId="0" fillId="0" borderId="19" pivotButton="0" quotePrefix="0" xfId="1"/>
    <xf numFmtId="10" fontId="4" fillId="10" borderId="14" pivotButton="0" quotePrefix="0" xfId="0"/>
    <xf numFmtId="9" fontId="4" fillId="10" borderId="21" pivotButton="0" quotePrefix="0" xfId="0"/>
    <xf numFmtId="9" fontId="0" fillId="10" borderId="22" pivotButton="0" quotePrefix="0" xfId="0"/>
    <xf numFmtId="14" fontId="15" fillId="0" borderId="5" pivotButton="0" quotePrefix="0" xfId="1"/>
    <xf numFmtId="164" fontId="15" fillId="0" borderId="5" pivotButton="0" quotePrefix="0" xfId="1"/>
    <xf numFmtId="0" fontId="2" fillId="0" borderId="0" applyAlignment="1" pivotButton="0" quotePrefix="0" xfId="0">
      <alignment horizontal="center"/>
    </xf>
    <xf numFmtId="43" fontId="2" fillId="0" borderId="11" pivotButton="0" quotePrefix="0" xfId="0"/>
    <xf numFmtId="0" fontId="9" fillId="0" borderId="0" pivotButton="0" quotePrefix="0" xfId="0"/>
    <xf numFmtId="0" fontId="16" fillId="0" borderId="0" pivotButton="0" quotePrefix="0" xfId="0"/>
    <xf numFmtId="0" fontId="0" fillId="0" borderId="0" applyAlignment="1" pivotButton="0" quotePrefix="0" xfId="0">
      <alignment horizontal="centerContinuous"/>
    </xf>
    <xf numFmtId="0" fontId="0" fillId="13" borderId="0" applyAlignment="1" pivotButton="0" quotePrefix="0" xfId="0">
      <alignment horizontal="left"/>
    </xf>
    <xf numFmtId="0" fontId="11" fillId="13" borderId="0" applyAlignment="1" pivotButton="0" quotePrefix="0" xfId="0">
      <alignment horizontal="left" vertical="center"/>
    </xf>
    <xf numFmtId="165" fontId="15" fillId="6" borderId="0" pivotButton="0" quotePrefix="0" xfId="0"/>
    <xf numFmtId="0" fontId="11" fillId="13" borderId="0" applyAlignment="1" pivotButton="0" quotePrefix="0" xfId="0">
      <alignment horizontal="centerContinuous" vertical="center" wrapText="1"/>
    </xf>
    <xf numFmtId="0" fontId="5" fillId="13" borderId="0" pivotButton="0" quotePrefix="0" xfId="0"/>
    <xf numFmtId="0" fontId="6" fillId="13" borderId="0" pivotButton="0" quotePrefix="0" xfId="0"/>
    <xf numFmtId="0" fontId="2" fillId="0" borderId="7" applyAlignment="1" pivotButton="0" quotePrefix="0" xfId="0">
      <alignment horizontal="center"/>
    </xf>
    <xf numFmtId="9" fontId="9" fillId="0" borderId="5" pivotButton="0" quotePrefix="0" xfId="2"/>
    <xf numFmtId="9" fontId="9" fillId="0" borderId="11" pivotButton="0" quotePrefix="0" xfId="2"/>
    <xf numFmtId="0" fontId="2" fillId="3" borderId="0" applyAlignment="1" pivotButton="0" quotePrefix="0" xfId="0">
      <alignment horizontal="centerContinuous"/>
    </xf>
    <xf numFmtId="0" fontId="2" fillId="14" borderId="0" applyAlignment="1" pivotButton="0" quotePrefix="0" xfId="0">
      <alignment horizontal="centerContinuous"/>
    </xf>
    <xf numFmtId="0" fontId="2" fillId="0" borderId="0" applyAlignment="1" pivotButton="0" quotePrefix="0" xfId="0">
      <alignment wrapText="1"/>
    </xf>
    <xf numFmtId="0" fontId="4" fillId="0" borderId="0" applyAlignment="1" pivotButton="0" quotePrefix="0" xfId="0">
      <alignment horizontal="right"/>
    </xf>
    <xf numFmtId="172" fontId="17" fillId="0" borderId="0" pivotButton="0" quotePrefix="0" xfId="0"/>
    <xf numFmtId="0" fontId="17" fillId="0" borderId="0" pivotButton="0" quotePrefix="0" xfId="0"/>
    <xf numFmtId="10" fontId="2" fillId="0" borderId="2" pivotButton="0" quotePrefix="0" xfId="0"/>
    <xf numFmtId="9" fontId="4" fillId="0" borderId="0" applyAlignment="1" pivotButton="0" quotePrefix="0" xfId="0">
      <alignment horizontal="right"/>
    </xf>
    <xf numFmtId="10" fontId="18" fillId="0" borderId="2" pivotButton="0" quotePrefix="0" xfId="2"/>
    <xf numFmtId="9" fontId="0" fillId="0" borderId="0" pivotButton="0" quotePrefix="0" xfId="2"/>
    <xf numFmtId="164" fontId="10" fillId="0" borderId="0" pivotButton="0" quotePrefix="0" xfId="1"/>
    <xf numFmtId="164" fontId="10" fillId="0" borderId="16" pivotButton="0" quotePrefix="0" xfId="1"/>
    <xf numFmtId="164" fontId="10" fillId="0" borderId="19" pivotButton="0" quotePrefix="0" xfId="1"/>
    <xf numFmtId="0" fontId="2" fillId="0" borderId="14" applyAlignment="1" pivotButton="0" quotePrefix="0" xfId="0">
      <alignment horizontal="center" vertical="top"/>
    </xf>
    <xf numFmtId="0" fontId="19" fillId="0" borderId="0" pivotButton="0" quotePrefix="0" xfId="4"/>
    <xf numFmtId="43" fontId="0" fillId="0" borderId="5" pivotButton="0" quotePrefix="0" xfId="1"/>
    <xf numFmtId="43" fontId="0" fillId="0" borderId="20" pivotButton="0" quotePrefix="0" xfId="1"/>
    <xf numFmtId="43" fontId="0" fillId="0" borderId="17" pivotButton="0" quotePrefix="0" xfId="1"/>
    <xf numFmtId="43" fontId="2" fillId="0" borderId="11" pivotButton="0" quotePrefix="0" xfId="1"/>
    <xf numFmtId="0" fontId="0" fillId="0" borderId="0" pivotButton="0" quotePrefix="0" xfId="1"/>
    <xf numFmtId="0" fontId="2" fillId="0" borderId="9" pivotButton="0" quotePrefix="0" xfId="1"/>
    <xf numFmtId="0" fontId="0" fillId="0" borderId="10" pivotButton="0" quotePrefix="0" xfId="1"/>
    <xf numFmtId="9" fontId="4" fillId="0" borderId="0" pivotButton="0" quotePrefix="0" xfId="1"/>
    <xf numFmtId="9" fontId="1" fillId="0" borderId="0" pivotButton="0" quotePrefix="0" xfId="2"/>
    <xf numFmtId="9" fontId="4" fillId="0" borderId="0" pivotButton="0" quotePrefix="0" xfId="2"/>
    <xf numFmtId="9" fontId="2" fillId="0" borderId="10" pivotButton="0" quotePrefix="0" xfId="2"/>
    <xf numFmtId="173" fontId="0" fillId="0" borderId="4" applyAlignment="1" pivotButton="0" quotePrefix="0" xfId="0">
      <alignment horizontal="left"/>
    </xf>
    <xf numFmtId="0" fontId="2" fillId="0" borderId="10" applyAlignment="1" pivotButton="0" quotePrefix="0" xfId="1">
      <alignment horizontal="center"/>
    </xf>
    <xf numFmtId="164" fontId="2" fillId="0" borderId="11" applyAlignment="1" pivotButton="0" quotePrefix="0" xfId="1">
      <alignment horizontal="center"/>
    </xf>
    <xf numFmtId="164" fontId="1" fillId="0" borderId="19" pivotButton="0" quotePrefix="0" xfId="1"/>
    <xf numFmtId="173" fontId="4" fillId="0" borderId="4" applyAlignment="1" pivotButton="0" quotePrefix="0" xfId="0">
      <alignment horizontal="left"/>
    </xf>
    <xf numFmtId="9" fontId="10" fillId="0" borderId="0" pivotButton="0" quotePrefix="0" xfId="0"/>
    <xf numFmtId="9" fontId="10" fillId="0" borderId="19" pivotButton="0" quotePrefix="0" xfId="0"/>
    <xf numFmtId="174" fontId="20" fillId="0" borderId="10" pivotButton="0" quotePrefix="0" xfId="2"/>
    <xf numFmtId="164" fontId="10" fillId="0" borderId="5" pivotButton="0" quotePrefix="0" xfId="1"/>
    <xf numFmtId="10" fontId="10" fillId="0" borderId="5" pivotButton="0" quotePrefix="0" xfId="0"/>
    <xf numFmtId="175" fontId="0" fillId="0" borderId="4" pivotButton="0" quotePrefix="0" xfId="0"/>
    <xf numFmtId="164" fontId="2" fillId="0" borderId="10" applyAlignment="1" pivotButton="0" quotePrefix="0" xfId="1">
      <alignment horizontal="center"/>
    </xf>
    <xf numFmtId="49" fontId="4" fillId="10" borderId="14" applyAlignment="1" pivotButton="0" quotePrefix="0" xfId="0">
      <alignment horizontal="center"/>
    </xf>
    <xf numFmtId="0" fontId="4" fillId="0" borderId="11" applyAlignment="1" pivotButton="0" quotePrefix="0" xfId="0">
      <alignment horizontal="right"/>
    </xf>
    <xf numFmtId="164" fontId="0" fillId="0" borderId="6" pivotButton="0" quotePrefix="0" xfId="1"/>
    <xf numFmtId="164" fontId="4" fillId="0" borderId="0" pivotButton="0" quotePrefix="0" xfId="1"/>
    <xf numFmtId="176" fontId="21" fillId="0" borderId="0" applyAlignment="1" pivotButton="0" quotePrefix="0" xfId="1">
      <alignment horizontal="left"/>
    </xf>
    <xf numFmtId="165" fontId="4" fillId="0" borderId="11" pivotButton="0" quotePrefix="0" xfId="2"/>
    <xf numFmtId="164" fontId="10" fillId="0" borderId="8" pivotButton="0" quotePrefix="0" xfId="1"/>
    <xf numFmtId="164" fontId="4" fillId="0" borderId="0" pivotButton="0" quotePrefix="0" xfId="0"/>
    <xf numFmtId="170" fontId="0" fillId="0" borderId="0" pivotButton="0" quotePrefix="0" xfId="0"/>
    <xf numFmtId="164" fontId="10" fillId="0" borderId="0" pivotButton="0" quotePrefix="0" xfId="0"/>
    <xf numFmtId="177" fontId="4" fillId="0" borderId="5" pivotButton="0" quotePrefix="0" xfId="1"/>
    <xf numFmtId="165" fontId="1" fillId="0" borderId="2" pivotButton="0" quotePrefix="0" xfId="2"/>
    <xf numFmtId="165" fontId="0" fillId="0" borderId="2" pivotButton="0" quotePrefix="0" xfId="2"/>
    <xf numFmtId="2" fontId="0" fillId="0" borderId="0" pivotButton="0" quotePrefix="0" xfId="0"/>
    <xf numFmtId="164" fontId="2" fillId="0" borderId="0" pivotButton="0" quotePrefix="0" xfId="1"/>
    <xf numFmtId="164" fontId="1" fillId="0" borderId="0" pivotButton="0" quotePrefix="0" xfId="1"/>
    <xf numFmtId="10" fontId="4" fillId="10" borderId="21" pivotButton="0" quotePrefix="0" xfId="0"/>
    <xf numFmtId="10" fontId="4" fillId="10" borderId="22" pivotButton="0" quotePrefix="0" xfId="0"/>
    <xf numFmtId="0" fontId="2" fillId="0" borderId="14" applyAlignment="1" pivotButton="0" quotePrefix="0" xfId="0">
      <alignment horizontal="center"/>
    </xf>
    <xf numFmtId="164" fontId="4" fillId="0" borderId="23" pivotButton="0" quotePrefix="0" xfId="1"/>
    <xf numFmtId="164" fontId="2" fillId="0" borderId="14" pivotButton="0" quotePrefix="0" xfId="0"/>
    <xf numFmtId="164" fontId="9" fillId="0" borderId="11" applyAlignment="1" pivotButton="0" quotePrefix="0" xfId="0">
      <alignment horizontal="right"/>
    </xf>
    <xf numFmtId="0" fontId="9" fillId="0" borderId="11" applyAlignment="1" pivotButton="0" quotePrefix="0" xfId="0">
      <alignment horizontal="right"/>
    </xf>
    <xf numFmtId="165" fontId="2" fillId="0" borderId="0" pivotButton="0" quotePrefix="0" xfId="0"/>
    <xf numFmtId="165" fontId="2" fillId="0" borderId="0" pivotButton="0" quotePrefix="0" xfId="2"/>
    <xf numFmtId="164" fontId="4" fillId="0" borderId="5" pivotButton="0" quotePrefix="0" xfId="0"/>
    <xf numFmtId="0" fontId="2" fillId="0" borderId="4" applyAlignment="1" pivotButton="0" quotePrefix="0" xfId="0">
      <alignment horizontal="left" indent="1"/>
    </xf>
    <xf numFmtId="0" fontId="0" fillId="0" borderId="4" applyAlignment="1" pivotButton="0" quotePrefix="0" xfId="0">
      <alignment horizontal="left" indent="2"/>
    </xf>
    <xf numFmtId="178" fontId="4" fillId="0" borderId="0" pivotButton="0" quotePrefix="0" xfId="0"/>
    <xf numFmtId="0" fontId="2" fillId="0" borderId="1" applyAlignment="1" pivotButton="0" quotePrefix="0" xfId="0">
      <alignment horizontal="left" indent="2"/>
    </xf>
    <xf numFmtId="164" fontId="18" fillId="0" borderId="3" pivotButton="0" quotePrefix="0" xfId="0"/>
    <xf numFmtId="0" fontId="10" fillId="0" borderId="5" pivotButton="0" quotePrefix="0" xfId="0"/>
    <xf numFmtId="164" fontId="18" fillId="0" borderId="11" pivotButton="0" quotePrefix="0" xfId="0"/>
    <xf numFmtId="10" fontId="4" fillId="0" borderId="7" pivotButton="0" quotePrefix="0" xfId="0"/>
    <xf numFmtId="10" fontId="10" fillId="0" borderId="0" pivotButton="0" quotePrefix="0" xfId="0"/>
    <xf numFmtId="9" fontId="2" fillId="0" borderId="10" applyAlignment="1" pivotButton="0" quotePrefix="0" xfId="2">
      <alignment horizontal="right"/>
    </xf>
    <xf numFmtId="9" fontId="4" fillId="0" borderId="0" applyAlignment="1" pivotButton="0" quotePrefix="0" xfId="2">
      <alignment horizontal="right"/>
    </xf>
    <xf numFmtId="164" fontId="15" fillId="0" borderId="8" pivotButton="0" quotePrefix="0" xfId="1"/>
    <xf numFmtId="164" fontId="15" fillId="0" borderId="0" pivotButton="0" quotePrefix="0" xfId="1"/>
    <xf numFmtId="164" fontId="0" fillId="0" borderId="4" pivotButton="0" quotePrefix="0" xfId="1"/>
    <xf numFmtId="2" fontId="4" fillId="0" borderId="0" pivotButton="0" quotePrefix="0" xfId="0"/>
    <xf numFmtId="9" fontId="10" fillId="0" borderId="0" applyAlignment="1" pivotButton="0" quotePrefix="0" xfId="2">
      <alignment horizontal="right"/>
    </xf>
    <xf numFmtId="179" fontId="9" fillId="0" borderId="0" applyAlignment="1" pivotButton="0" quotePrefix="0" xfId="0">
      <alignment horizontal="center"/>
    </xf>
    <xf numFmtId="9" fontId="0" fillId="0" borderId="0" pivotButton="0" quotePrefix="0" xfId="0"/>
    <xf numFmtId="180" fontId="9" fillId="0" borderId="0" applyAlignment="1" pivotButton="0" quotePrefix="0" xfId="0">
      <alignment horizontal="left"/>
    </xf>
    <xf numFmtId="179" fontId="9" fillId="0" borderId="0" pivotButton="0" quotePrefix="0" xfId="1"/>
    <xf numFmtId="0" fontId="16" fillId="0" borderId="0" applyAlignment="1" pivotButton="0" quotePrefix="0" xfId="0">
      <alignment horizontal="right"/>
    </xf>
    <xf numFmtId="0" fontId="9" fillId="0" borderId="4" applyAlignment="1" pivotButton="0" quotePrefix="0" xfId="0">
      <alignment horizontal="left" indent="1"/>
    </xf>
    <xf numFmtId="9" fontId="16" fillId="0" borderId="0" pivotButton="0" quotePrefix="0" xfId="0"/>
    <xf numFmtId="164" fontId="9" fillId="0" borderId="5" pivotButton="0" quotePrefix="0" xfId="0"/>
    <xf numFmtId="9" fontId="9" fillId="0" borderId="0" pivotButton="0" quotePrefix="0" xfId="0"/>
    <xf numFmtId="0" fontId="0" fillId="0" borderId="23" pivotButton="0" quotePrefix="0" xfId="0"/>
    <xf numFmtId="181" fontId="9" fillId="0" borderId="0" pivotButton="0" quotePrefix="0" xfId="1"/>
    <xf numFmtId="182" fontId="9" fillId="0" borderId="0" applyAlignment="1" pivotButton="0" quotePrefix="0" xfId="0">
      <alignment horizontal="left"/>
    </xf>
    <xf numFmtId="177" fontId="10" fillId="0" borderId="0" pivotButton="0" quotePrefix="0" xfId="1"/>
    <xf numFmtId="0" fontId="2" fillId="0" borderId="0" applyAlignment="1" pivotButton="0" quotePrefix="0" xfId="0">
      <alignment horizontal="left"/>
    </xf>
    <xf numFmtId="183" fontId="1" fillId="0" borderId="0" pivotButton="0" quotePrefix="0" xfId="1"/>
    <xf numFmtId="164" fontId="4" fillId="0" borderId="19" pivotButton="0" quotePrefix="0" xfId="1"/>
    <xf numFmtId="164" fontId="4" fillId="0" borderId="16" pivotButton="0" quotePrefix="0" xfId="1"/>
    <xf numFmtId="14" fontId="0" fillId="0" borderId="0" pivotButton="0" quotePrefix="0" xfId="0"/>
    <xf numFmtId="184" fontId="9" fillId="0" borderId="0" pivotButton="0" quotePrefix="0" xfId="0"/>
    <xf numFmtId="179" fontId="9" fillId="0" borderId="5" applyAlignment="1" pivotButton="0" quotePrefix="0" xfId="0">
      <alignment horizontal="right"/>
    </xf>
    <xf numFmtId="164" fontId="2" fillId="0" borderId="1" pivotButton="0" quotePrefix="0" xfId="1"/>
    <xf numFmtId="10" fontId="4" fillId="0" borderId="5" pivotButton="0" quotePrefix="0" xfId="2"/>
    <xf numFmtId="164" fontId="0" fillId="0" borderId="9" pivotButton="0" quotePrefix="0" xfId="1"/>
    <xf numFmtId="164" fontId="2" fillId="0" borderId="3" pivotButton="0" quotePrefix="0" xfId="1"/>
    <xf numFmtId="10" fontId="0" fillId="0" borderId="8" pivotButton="0" quotePrefix="0" xfId="2"/>
    <xf numFmtId="10" fontId="4" fillId="0" borderId="0" pivotButton="0" quotePrefix="0" xfId="2"/>
    <xf numFmtId="10" fontId="0" fillId="0" borderId="0" pivotButton="0" quotePrefix="0" xfId="2"/>
    <xf numFmtId="10" fontId="0" fillId="0" borderId="7" pivotButton="0" quotePrefix="0" xfId="2"/>
    <xf numFmtId="0" fontId="5" fillId="4" borderId="5" applyAlignment="1" pivotButton="0" quotePrefix="0" xfId="0">
      <alignment horizontal="center"/>
    </xf>
    <xf numFmtId="171" fontId="0" fillId="0" borderId="8" pivotButton="0" quotePrefix="0" xfId="0"/>
    <xf numFmtId="164" fontId="1" fillId="0" borderId="5" pivotButton="0" quotePrefix="0" xfId="1"/>
    <xf numFmtId="164" fontId="0" fillId="0" borderId="3" pivotButton="0" quotePrefix="0" xfId="0"/>
    <xf numFmtId="164" fontId="2" fillId="0" borderId="24" pivotButton="0" quotePrefix="0" xfId="0"/>
    <xf numFmtId="165" fontId="1" fillId="0" borderId="3" pivotButton="0" quotePrefix="0" xfId="2"/>
    <xf numFmtId="165" fontId="0" fillId="0" borderId="3" pivotButton="0" quotePrefix="0" xfId="2"/>
    <xf numFmtId="164" fontId="9" fillId="0" borderId="0" applyAlignment="1" pivotButton="0" quotePrefix="0" xfId="1">
      <alignment horizontal="center"/>
    </xf>
    <xf numFmtId="10" fontId="4" fillId="0" borderId="0" applyAlignment="1" pivotButton="0" quotePrefix="0" xfId="2">
      <alignment horizontal="center"/>
    </xf>
    <xf numFmtId="43" fontId="4" fillId="0" borderId="0" applyAlignment="1" pivotButton="0" quotePrefix="0" xfId="1">
      <alignment horizontal="center"/>
    </xf>
    <xf numFmtId="164" fontId="4" fillId="0" borderId="5" applyAlignment="1" pivotButton="0" quotePrefix="0" xfId="1">
      <alignment horizontal="right"/>
    </xf>
    <xf numFmtId="165" fontId="0" fillId="0" borderId="11" pivotButton="0" quotePrefix="0" xfId="2"/>
    <xf numFmtId="164" fontId="2" fillId="0" borderId="25" pivotButton="0" quotePrefix="0" xfId="1"/>
    <xf numFmtId="172" fontId="0" fillId="0" borderId="11" pivotButton="0" quotePrefix="0" xfId="3"/>
    <xf numFmtId="164" fontId="26" fillId="0" borderId="11" applyAlignment="1" pivotButton="0" quotePrefix="0" xfId="1">
      <alignment horizontal="right"/>
    </xf>
    <xf numFmtId="10" fontId="4" fillId="0" borderId="4" pivotButton="0" quotePrefix="0" xfId="2"/>
    <xf numFmtId="10" fontId="0" fillId="0" borderId="4" pivotButton="0" quotePrefix="0" xfId="2"/>
    <xf numFmtId="164" fontId="0" fillId="0" borderId="11" applyAlignment="1" pivotButton="0" quotePrefix="0" xfId="1">
      <alignment horizontal="right"/>
    </xf>
    <xf numFmtId="164" fontId="4" fillId="0" borderId="11" applyAlignment="1" pivotButton="0" quotePrefix="0" xfId="1">
      <alignment horizontal="right"/>
    </xf>
    <xf numFmtId="10" fontId="0" fillId="0" borderId="6" pivotButton="0" quotePrefix="0" xfId="2"/>
    <xf numFmtId="164" fontId="0" fillId="0" borderId="1" pivotButton="0" quotePrefix="0" xfId="1"/>
    <xf numFmtId="164" fontId="4" fillId="0" borderId="4" pivotButton="0" quotePrefix="0" xfId="1"/>
    <xf numFmtId="43" fontId="4" fillId="0" borderId="4" pivotButton="0" quotePrefix="0" xfId="1"/>
    <xf numFmtId="43" fontId="4" fillId="0" borderId="0" pivotButton="0" quotePrefix="0" xfId="1"/>
    <xf numFmtId="164" fontId="4" fillId="0" borderId="4" applyAlignment="1" pivotButton="0" quotePrefix="0" xfId="1">
      <alignment horizontal="right"/>
    </xf>
    <xf numFmtId="164" fontId="4" fillId="0" borderId="0" applyAlignment="1" pivotButton="0" quotePrefix="0" xfId="1">
      <alignment horizontal="right"/>
    </xf>
    <xf numFmtId="164" fontId="0" fillId="0" borderId="9" applyAlignment="1" pivotButton="0" quotePrefix="0" xfId="1">
      <alignment horizontal="right"/>
    </xf>
    <xf numFmtId="164" fontId="0" fillId="0" borderId="10" applyAlignment="1" pivotButton="0" quotePrefix="0" xfId="1">
      <alignment horizontal="right"/>
    </xf>
    <xf numFmtId="0" fontId="12" fillId="15" borderId="14" applyAlignment="1" pivotButton="0" quotePrefix="0" xfId="0">
      <alignment horizontal="center" vertical="center" wrapText="1"/>
    </xf>
    <xf numFmtId="168" fontId="0" fillId="15" borderId="14" pivotButton="0" quotePrefix="0" xfId="0"/>
    <xf numFmtId="168" fontId="0" fillId="0" borderId="0" applyAlignment="1" pivotButton="0" quotePrefix="0" xfId="0">
      <alignment wrapText="1"/>
    </xf>
    <xf numFmtId="10" fontId="4" fillId="0" borderId="2" pivotButton="0" quotePrefix="0" xfId="2"/>
    <xf numFmtId="10" fontId="4" fillId="0" borderId="3" pivotButton="0" quotePrefix="0" xfId="2"/>
    <xf numFmtId="164" fontId="4" fillId="0" borderId="7" pivotButton="0" quotePrefix="0" xfId="1"/>
    <xf numFmtId="164" fontId="4" fillId="0" borderId="8" pivotButton="0" quotePrefix="0" xfId="1"/>
    <xf numFmtId="164" fontId="10" fillId="0" borderId="3" pivotButton="0" quotePrefix="0" xfId="1"/>
    <xf numFmtId="43" fontId="10" fillId="0" borderId="5" pivotButton="0" quotePrefix="0" xfId="1"/>
    <xf numFmtId="164" fontId="10" fillId="0" borderId="5" applyAlignment="1" pivotButton="0" quotePrefix="0" xfId="1">
      <alignment horizontal="right"/>
    </xf>
    <xf numFmtId="10" fontId="10" fillId="0" borderId="5" pivotButton="0" quotePrefix="0" xfId="2"/>
    <xf numFmtId="10" fontId="4" fillId="0" borderId="7" pivotButton="0" quotePrefix="0" xfId="2"/>
    <xf numFmtId="10" fontId="4" fillId="0" borderId="8" pivotButton="0" quotePrefix="0" xfId="2"/>
    <xf numFmtId="10" fontId="0" fillId="0" borderId="3" pivotButton="0" quotePrefix="0" xfId="2"/>
    <xf numFmtId="10" fontId="0" fillId="0" borderId="0" pivotButton="0" quotePrefix="0" xfId="0"/>
    <xf numFmtId="177" fontId="10" fillId="0" borderId="0" pivotButton="0" quotePrefix="0" xfId="1"/>
    <xf numFmtId="173" fontId="0" fillId="0" borderId="4" applyAlignment="1" pivotButton="0" quotePrefix="0" xfId="0">
      <alignment horizontal="left"/>
    </xf>
    <xf numFmtId="173" fontId="4" fillId="0" borderId="4" applyAlignment="1" pivotButton="0" quotePrefix="0" xfId="0">
      <alignment horizontal="left"/>
    </xf>
    <xf numFmtId="172" fontId="17" fillId="0" borderId="0" pivotButton="0" quotePrefix="0" xfId="0"/>
    <xf numFmtId="176" fontId="21" fillId="0" borderId="0" applyAlignment="1" pivotButton="0" quotePrefix="0" xfId="1">
      <alignment horizontal="left"/>
    </xf>
    <xf numFmtId="177" fontId="4" fillId="0" borderId="5" pivotButton="0" quotePrefix="0" xfId="1"/>
    <xf numFmtId="184" fontId="9" fillId="0" borderId="0" pivotButton="0" quotePrefix="0" xfId="0"/>
    <xf numFmtId="167" fontId="0" fillId="0" borderId="5" pivotButton="0" quotePrefix="0" xfId="0"/>
    <xf numFmtId="174" fontId="20" fillId="0" borderId="10" pivotButton="0" quotePrefix="0" xfId="2"/>
    <xf numFmtId="171" fontId="0" fillId="0" borderId="7" pivotButton="0" quotePrefix="0" xfId="0"/>
    <xf numFmtId="171" fontId="0" fillId="0" borderId="8" pivotButton="0" quotePrefix="0" xfId="0"/>
    <xf numFmtId="175" fontId="0" fillId="0" borderId="4" pivotButton="0" quotePrefix="0" xfId="0"/>
    <xf numFmtId="172" fontId="0" fillId="0" borderId="11" pivotButton="0" quotePrefix="0" xfId="3"/>
    <xf numFmtId="170" fontId="0" fillId="0" borderId="2" pivotButton="0" quotePrefix="0" xfId="0"/>
    <xf numFmtId="170" fontId="0" fillId="0" borderId="0" pivotButton="0" quotePrefix="0" xfId="0"/>
    <xf numFmtId="178" fontId="4" fillId="0" borderId="0" pivotButton="0" quotePrefix="0" xfId="0"/>
    <xf numFmtId="166" fontId="0" fillId="0" borderId="0" pivotButton="0" quotePrefix="0" xfId="3"/>
    <xf numFmtId="166" fontId="2" fillId="0" borderId="2" pivotButton="0" quotePrefix="0" xfId="3"/>
    <xf numFmtId="166" fontId="10" fillId="0" borderId="0" pivotButton="0" quotePrefix="0" xfId="3"/>
    <xf numFmtId="166" fontId="2" fillId="0" borderId="2" pivotButton="0" quotePrefix="0" xfId="0"/>
    <xf numFmtId="166" fontId="2" fillId="0" borderId="0" pivotButton="0" quotePrefix="0" xfId="0"/>
    <xf numFmtId="166" fontId="2" fillId="0" borderId="0" pivotButton="0" quotePrefix="0" xfId="3"/>
    <xf numFmtId="166" fontId="2" fillId="0" borderId="13" pivotButton="0" quotePrefix="0" xfId="0"/>
    <xf numFmtId="168" fontId="0" fillId="6" borderId="0" applyAlignment="1" pivotButton="0" quotePrefix="0" xfId="0">
      <alignment horizontal="right" vertical="center"/>
    </xf>
    <xf numFmtId="168" fontId="0" fillId="0" borderId="0" pivotButton="0" quotePrefix="0" xfId="0"/>
    <xf numFmtId="169" fontId="0" fillId="0" borderId="0" pivotButton="0" quotePrefix="0" xfId="0"/>
    <xf numFmtId="168" fontId="0" fillId="0" borderId="0" applyAlignment="1" pivotButton="0" quotePrefix="0" xfId="0">
      <alignment wrapText="1"/>
    </xf>
    <xf numFmtId="168" fontId="0" fillId="0" borderId="2" pivotButton="0" quotePrefix="0" xfId="0"/>
    <xf numFmtId="168" fontId="0" fillId="0" borderId="0" applyAlignment="1" pivotButton="0" quotePrefix="0" xfId="0">
      <alignment horizontal="right" vertical="center"/>
    </xf>
    <xf numFmtId="168" fontId="0" fillId="0" borderId="14" pivotButton="0" quotePrefix="0" xfId="0"/>
    <xf numFmtId="168" fontId="0" fillId="7" borderId="14" pivotButton="0" quotePrefix="0" xfId="0"/>
    <xf numFmtId="168" fontId="0" fillId="8" borderId="14" pivotButton="0" quotePrefix="0" xfId="0"/>
    <xf numFmtId="168" fontId="0" fillId="9" borderId="14" pivotButton="0" quotePrefix="0" xfId="0"/>
    <xf numFmtId="168" fontId="0" fillId="15" borderId="14" pivotButton="0" quotePrefix="0" xfId="0"/>
    <xf numFmtId="168" fontId="0" fillId="12" borderId="14" pivotButton="0" quotePrefix="0" xfId="0"/>
    <xf numFmtId="168" fontId="0" fillId="10" borderId="14" pivotButton="0" quotePrefix="0" xfId="0"/>
    <xf numFmtId="168" fontId="0" fillId="11" borderId="14" pivotButton="0" quotePrefix="0" xfId="0"/>
  </cellXfs>
  <cellStyles count="5">
    <cellStyle name="Normal" xfId="0" builtinId="0"/>
    <cellStyle name="Comma" xfId="1" builtinId="3"/>
    <cellStyle name="Percent" xfId="2" builtinId="5"/>
    <cellStyle name="Currency" xfId="3" builtinId="4"/>
    <cellStyle name="Hyperlink" xfId="4" builtinId="8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/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layout>
        <manualLayout>
          <xMode val="edge"/>
          <yMode val="edge"/>
          <wMode val="factor"/>
          <hMode val="factor"/>
          <x val="0.1068333333333333"/>
          <y val="0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Draws_Module!$D$27</f>
              <strCache>
                <ptCount val="1"/>
                <pt idx="0">
                  <v>% Used (normalized)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Draws_Module!$A$28:$A$87</f>
              <numCache>
                <formatCode>General</formatCode>
                <ptCount val="60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  <pt idx="12">
                  <v>13</v>
                </pt>
                <pt idx="13">
                  <v>14</v>
                </pt>
                <pt idx="14">
                  <v>15</v>
                </pt>
                <pt idx="15">
                  <v>16</v>
                </pt>
                <pt idx="16">
                  <v>17</v>
                </pt>
                <pt idx="17">
                  <v>18</v>
                </pt>
                <pt idx="18">
                  <v>19</v>
                </pt>
                <pt idx="19">
                  <v>20</v>
                </pt>
                <pt idx="20">
                  <v>21</v>
                </pt>
                <pt idx="21">
                  <v>22</v>
                </pt>
                <pt idx="22">
                  <v>23</v>
                </pt>
                <pt idx="23">
                  <v>24</v>
                </pt>
                <pt idx="24">
                  <v>25</v>
                </pt>
                <pt idx="25">
                  <v>26</v>
                </pt>
                <pt idx="26">
                  <v>27</v>
                </pt>
                <pt idx="27">
                  <v>28</v>
                </pt>
                <pt idx="28">
                  <v>29</v>
                </pt>
                <pt idx="29">
                  <v>30</v>
                </pt>
                <pt idx="30">
                  <v>31</v>
                </pt>
                <pt idx="31">
                  <v>32</v>
                </pt>
                <pt idx="32">
                  <v>33</v>
                </pt>
                <pt idx="33">
                  <v>34</v>
                </pt>
                <pt idx="34">
                  <v>35</v>
                </pt>
                <pt idx="35">
                  <v>36</v>
                </pt>
                <pt idx="36">
                  <v>37</v>
                </pt>
                <pt idx="37">
                  <v>38</v>
                </pt>
                <pt idx="38">
                  <v>39</v>
                </pt>
                <pt idx="39">
                  <v>40</v>
                </pt>
                <pt idx="40">
                  <v>41</v>
                </pt>
                <pt idx="41">
                  <v>42</v>
                </pt>
                <pt idx="42">
                  <v>43</v>
                </pt>
                <pt idx="43">
                  <v>44</v>
                </pt>
                <pt idx="44">
                  <v>45</v>
                </pt>
                <pt idx="45">
                  <v>46</v>
                </pt>
                <pt idx="46">
                  <v>47</v>
                </pt>
                <pt idx="47">
                  <v>48</v>
                </pt>
                <pt idx="48">
                  <v>49</v>
                </pt>
                <pt idx="49">
                  <v>50</v>
                </pt>
                <pt idx="50">
                  <v>51</v>
                </pt>
                <pt idx="51">
                  <v>52</v>
                </pt>
                <pt idx="52">
                  <v>53</v>
                </pt>
                <pt idx="53">
                  <v>54</v>
                </pt>
                <pt idx="54">
                  <v>55</v>
                </pt>
                <pt idx="55">
                  <v>56</v>
                </pt>
                <pt idx="56">
                  <v>57</v>
                </pt>
                <pt idx="57">
                  <v>58</v>
                </pt>
                <pt idx="58">
                  <v>59</v>
                </pt>
                <pt idx="59">
                  <v>60</v>
                </pt>
              </numCache>
            </numRef>
          </cat>
          <val>
            <numRef>
              <f>Draws_Module!$D$28:$D$87</f>
              <numCache>
                <formatCode>0.0%</formatCode>
                <ptCount val="60"/>
                <pt idx="0">
                  <v>0.01251021560453022</v>
                </pt>
                <pt idx="1">
                  <v>0.01563650803062531</v>
                </pt>
                <pt idx="2">
                  <v>0.01940539562058768</v>
                </pt>
                <pt idx="3">
                  <v>0.02387101766412197</v>
                </pt>
                <pt idx="4">
                  <v>0.0290474145958332</v>
                </pt>
                <pt idx="5">
                  <v>0.03488326231362743</v>
                </pt>
                <pt idx="6">
                  <v>0.04123426272559967</v>
                </pt>
                <pt idx="7">
                  <v>0.04784009184331496</v>
                </pt>
                <pt idx="8">
                  <v>0.05431672008297387</v>
                </pt>
                <pt idx="9">
                  <v>0.06017647877917096</v>
                </pt>
                <pt idx="10">
                  <v>0.0648841177443233</v>
                </pt>
                <pt idx="11">
                  <v>0.06794540518868543</v>
                </pt>
                <pt idx="12">
                  <v>0.06900843521774239</v>
                </pt>
                <pt idx="13">
                  <v>0.0679454051886853</v>
                </pt>
                <pt idx="14">
                  <v>0.0648841177443233</v>
                </pt>
                <pt idx="15">
                  <v>0.06017647877917102</v>
                </pt>
                <pt idx="16">
                  <v>0.05431672008297384</v>
                </pt>
                <pt idx="17">
                  <v>0.04784009184331506</v>
                </pt>
                <pt idx="18">
                  <v>0.0412342627255997</v>
                </pt>
                <pt idx="19">
                  <v>0.03488326231362722</v>
                </pt>
                <pt idx="20">
                  <v>0.02904741459583321</v>
                </pt>
                <pt idx="21">
                  <v>0.02387101766412207</v>
                </pt>
                <pt idx="22">
                  <v>0.01940539562058773</v>
                </pt>
                <pt idx="23">
                  <v>0.01563650803062518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51809663"/>
        <axId val="851810623"/>
      </lineChart>
      <catAx>
        <axId val="85180966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51810623"/>
        <crosses val="autoZero"/>
        <auto val="1"/>
        <lblAlgn val="ctr"/>
        <lblOffset val="100"/>
        <noMultiLvlLbl val="0"/>
      </catAx>
      <valAx>
        <axId val="851810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51809663"/>
        <crosses val="autoZero"/>
        <crossBetween val="between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Nicolas Cazalis</author>
    <author>admin</author>
  </authors>
  <commentList>
    <comment ref="C43" authorId="0" shapeId="0">
      <text>
        <t>Nicolas Cazalis:
Bond issuer fees</t>
      </text>
    </comment>
    <comment ref="C44" authorId="0" shapeId="0">
      <text>
        <t>Nicolas Cazalis:
Application and financial consultant, market study, CPA certs, CDLAC app fees, owner counsel</t>
      </text>
    </comment>
    <comment ref="C45" authorId="0" shapeId="0">
      <text>
        <t>Nicolas Cazalis:
Deposits after award</t>
      </text>
    </comment>
    <comment ref="C51" authorId="0" shapeId="0">
      <text>
        <t>Nicolas Cazalis:
Perm lender and bond counsel, origination, agency fees, title</t>
      </text>
    </comment>
    <comment ref="C53" authorId="1" shapeId="0">
      <text>
        <t>admin:
Construction loan interest expense after completion is not counted in elegible basis</t>
      </text>
    </comment>
    <comment ref="C54" authorId="0" shapeId="0">
      <text>
        <t>Nicolas Cazalis:
Construction lender legal, appraisal, enviro, title, inspections, origination fee</t>
      </text>
    </comment>
    <comment ref="D66" authorId="1" shapeId="0">
      <text>
        <t>admin:
If negative, SoLa gets reimbursed for its land/SC contribution or gets paid out for the sale of land</t>
      </text>
    </comment>
    <comment ref="H93" authorId="1" shapeId="0">
      <text>
        <t>admin:
Deposit, DD, soft costs needed to entitle</t>
      </text>
    </comment>
    <comment ref="B97" authorId="1" shapeId="0">
      <text>
        <t>admin:
Must not be more than $2.5m</t>
      </text>
    </comment>
  </commentList>
</comments>
</file>

<file path=xl/comments/comment2.xml><?xml version="1.0" encoding="utf-8"?>
<comments xmlns="http://schemas.openxmlformats.org/spreadsheetml/2006/main">
  <authors>
    <author>admin</author>
  </authors>
  <commentList>
    <comment ref="B50" authorId="0" shapeId="0">
      <text>
        <t xml:space="preserve">admin:
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1181100</colOff>
      <row>29</row>
      <rowOff>114300</rowOff>
    </from>
    <to>
      <col>10</col>
      <colOff>295275</colOff>
      <row>46</row>
      <rowOff>185737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https://hacla.org/sites/default/files/Section%208/Utility%20Allowances/Utility%20Allowance%20Effective%202024-12-01.pdf" TargetMode="External" Id="rId1" /><Relationship Type="http://schemas.openxmlformats.org/officeDocument/2006/relationships/hyperlink" Target="https://hacla.org/sites/default/files/Section%208/Utility%20Allowances/Utility%20Allowance%20Effective%202024-12-01.pdf" TargetMode="External" Id="rId2" /><Relationship Type="http://schemas.openxmlformats.org/officeDocument/2006/relationships/hyperlink" Target="https://hacla.org/sites/default/files/Section%208/Utility%20Allowances/Utility%20Allowance%20Effective%202024-12-01.pdf" TargetMode="External" Id="rId3" /><Relationship Type="http://schemas.openxmlformats.org/officeDocument/2006/relationships/hyperlink" Target="https://hacla.org/sites/default/files/Section%208/Utility%20Allowances/Utility%20Allowance%20Effective%202024-12-01.pdf" TargetMode="External" Id="rId4" /><Relationship Type="http://schemas.openxmlformats.org/officeDocument/2006/relationships/hyperlink" Target="https://hacla.org/sites/default/files/Section%208/Utility%20Allowances/Utility%20Allowance%20Effective%202024-12-01.pdf" TargetMode="External" Id="rId5" /><Relationship Type="http://schemas.openxmlformats.org/officeDocument/2006/relationships/hyperlink" Target="https://hacla.org/sites/default/files/Section%208/Utility%20Allowances/Utility%20Allowance%20Effective%202024-12-01.pdf" TargetMode="External" Id="rId6" /><Relationship Type="http://schemas.openxmlformats.org/officeDocument/2006/relationships/hyperlink" Target="https://hacla.org/sites/default/files/Section%208/Utility%20Allowances/Utility%20Allowance%20Effective%202024-12-01.pdf" TargetMode="External" Id="rId7" /><Relationship Type="http://schemas.openxmlformats.org/officeDocument/2006/relationships/hyperlink" Target="https://hacla.org/sites/default/files/Section%208/Utility%20Allowances/Utility%20Allowance%20Effective%202024-12-01.pdf" TargetMode="External" Id="rId8" /><Relationship Type="http://schemas.openxmlformats.org/officeDocument/2006/relationships/hyperlink" Target="https://hacla.org/sites/default/files/Section%208/Utility%20Allowances/Utility%20Allowance%20Effective%202024-12-01.pdf" TargetMode="External" Id="rId9" /><Relationship Type="http://schemas.openxmlformats.org/officeDocument/2006/relationships/hyperlink" Target="https://hacla.org/sites/default/files/Section%208/Utility%20Allowances/Utility%20Allowance%20Effective%202024-12-01.pdf" TargetMode="External" Id="rId10" /><Relationship Type="http://schemas.openxmlformats.org/officeDocument/2006/relationships/hyperlink" Target="https://hacla.org/sites/default/files/Section%208/Utility%20Allowances/Utility%20Allowance%20Effective%202024-12-01.pdf" TargetMode="External" Id="rId11" /><Relationship Type="http://schemas.openxmlformats.org/officeDocument/2006/relationships/hyperlink" Target="https://hacla.org/sites/default/files/Section%208/Utility%20Allowances/Utility%20Allowance%20Effective%202024-12-01.pdf" TargetMode="External" Id="rId12" /><Relationship Type="http://schemas.openxmlformats.org/officeDocument/2006/relationships/hyperlink" Target="https://hacla.org/sites/default/files/Section%208/Utility%20Allowances/Utility%20Allowance%20Effective%202024-12-01.pdf" TargetMode="External" Id="rId13" /><Relationship Type="http://schemas.openxmlformats.org/officeDocument/2006/relationships/hyperlink" Target="https://hacla.org/sites/default/files/Section%208/Utility%20Allowances/Utility%20Allowance%20Effective%202024-12-01.pdf" TargetMode="External" Id="rId14" /><Relationship Type="http://schemas.openxmlformats.org/officeDocument/2006/relationships/hyperlink" Target="https://hacla.org/sites/default/files/Section%208/Utility%20Allowances/Utility%20Allowance%20Effective%202024-12-01.pdf" TargetMode="External" Id="rId15" /><Relationship Type="http://schemas.openxmlformats.org/officeDocument/2006/relationships/hyperlink" Target="https://hacla.org/sites/default/files/Section%208/Utility%20Allowances/Utility%20Allowance%20Effective%202024-12-01.pdf" TargetMode="External" Id="rId16" /><Relationship Type="http://schemas.openxmlformats.org/officeDocument/2006/relationships/hyperlink" Target="https://hacla.org/sites/default/files/Section%208/Utility%20Allowances/Utility%20Allowance%20Effective%202024-12-01.pdf" TargetMode="External" Id="rId17" /><Relationship Type="http://schemas.openxmlformats.org/officeDocument/2006/relationships/hyperlink" Target="https://hacla.org/sites/default/files/Section%208/Utility%20Allowances/Utility%20Allowance%20Effective%202024-12-01.pdf" TargetMode="External" Id="rId18" /><Relationship Type="http://schemas.openxmlformats.org/officeDocument/2006/relationships/hyperlink" Target="https://hacla.org/sites/default/files/Section%208/Utility%20Allowances/Utility%20Allowance%20Effective%202024-12-01.pdf" TargetMode="External" Id="rId19" /><Relationship Type="http://schemas.openxmlformats.org/officeDocument/2006/relationships/hyperlink" Target="https://hacla.org/sites/default/files/Section%208/Utility%20Allowances/Utility%20Allowance%20Effective%202024-12-01.pdf" TargetMode="External" Id="rId20" /><Relationship Type="http://schemas.openxmlformats.org/officeDocument/2006/relationships/hyperlink" Target="https://hacla.org/sites/default/files/Section%208/Utility%20Allowances/Utility%20Allowance%20Effective%202024-12-01.pdf" TargetMode="External" Id="rId21" /><Relationship Type="http://schemas.openxmlformats.org/officeDocument/2006/relationships/hyperlink" Target="https://hacla.org/sites/default/files/Section%208/Utility%20Allowances/Utility%20Allowance%20Effective%202024-12-01.pdf" TargetMode="External" Id="rId22" /><Relationship Type="http://schemas.openxmlformats.org/officeDocument/2006/relationships/hyperlink" Target="https://hacla.org/sites/default/files/Section%208/Utility%20Allowances/Utility%20Allowance%20Effective%202024-12-01.pdf" TargetMode="External" Id="rId23" /><Relationship Type="http://schemas.openxmlformats.org/officeDocument/2006/relationships/hyperlink" Target="https://hacla.org/sites/default/files/Section%208/Utility%20Allowances/Utility%20Allowance%20Effective%202024-12-01.pdf" TargetMode="External" Id="rId24" /><Relationship Type="http://schemas.openxmlformats.org/officeDocument/2006/relationships/hyperlink" Target="https://hacla.org/sites/default/files/Section%208/Utility%20Allowances/Utility%20Allowance%20Effective%202024-12-01.pdf" TargetMode="External" Id="rId25" /><Relationship Type="http://schemas.openxmlformats.org/officeDocument/2006/relationships/hyperlink" Target="https://hacla.org/sites/default/files/Section%208/Utility%20Allowances/Utility%20Allowance%20Effective%202024-12-01.pdf" TargetMode="External" Id="rId26" /><Relationship Type="http://schemas.openxmlformats.org/officeDocument/2006/relationships/hyperlink" Target="https://www.sandiegocounty.gov/content/dam/sdc/sdhcd/new-docs/Rental_assistance/Utility_Allowance_Schedule_HUD_52667_03-2025.pdf" TargetMode="External" Id="rId27" /><Relationship Type="http://schemas.openxmlformats.org/officeDocument/2006/relationships/hyperlink" Target="https://www.sandiegocounty.gov/content/dam/sdc/sdhcd/new-docs/Rental_assistance/Utility_Allowance_Schedule_HUD_52667_03-2025.pdf" TargetMode="External" Id="rId28" /><Relationship Type="http://schemas.openxmlformats.org/officeDocument/2006/relationships/hyperlink" Target="https://www.sandiegocounty.gov/content/dam/sdc/sdhcd/new-docs/Rental_assistance/Utility_Allowance_Schedule_HUD_52667_03-2025.pdf" TargetMode="External" Id="rId29" /><Relationship Type="http://schemas.openxmlformats.org/officeDocument/2006/relationships/hyperlink" Target="https://www.sandiegocounty.gov/content/dam/sdc/sdhcd/new-docs/Rental_assistance/Utility_Allowance_Schedule_HUD_52667_03-2025.pdf" TargetMode="External" Id="rId30" /><Relationship Type="http://schemas.openxmlformats.org/officeDocument/2006/relationships/hyperlink" Target="https://www.sandiegocounty.gov/content/dam/sdc/sdhcd/new-docs/Rental_assistance/Utility_Allowance_Schedule_HUD_52667_03-2025.pdf" TargetMode="External" Id="rId31" /><Relationship Type="http://schemas.openxmlformats.org/officeDocument/2006/relationships/hyperlink" Target="https://www.sandiegocounty.gov/content/dam/sdc/sdhcd/new-docs/Rental_assistance/Utility_Allowance_Schedule_HUD_52667_03-2025.pdf" TargetMode="External" Id="rId32" /><Relationship Type="http://schemas.openxmlformats.org/officeDocument/2006/relationships/hyperlink" Target="https://www.sandiegocounty.gov/content/dam/sdc/sdhcd/new-docs/Rental_assistance/Utility_Allowance_Schedule_HUD_52667_03-2025.pdf" TargetMode="External" Id="rId33" /><Relationship Type="http://schemas.openxmlformats.org/officeDocument/2006/relationships/hyperlink" Target="https://www.sandiegocounty.gov/content/dam/sdc/sdhcd/new-docs/Rental_assistance/Utility_Allowance_Schedule_HUD_52667_03-2025.pdf" TargetMode="External" Id="rId34" /><Relationship Type="http://schemas.openxmlformats.org/officeDocument/2006/relationships/hyperlink" Target="https://www.sandiegocounty.gov/content/dam/sdc/sdhcd/new-docs/Rental_assistance/Utility_Allowance_Schedule_HUD_52667_03-2025.pdf" TargetMode="External" Id="rId35" /><Relationship Type="http://schemas.openxmlformats.org/officeDocument/2006/relationships/hyperlink" Target="https://www.sandiegocounty.gov/content/dam/sdc/sdhcd/new-docs/Rental_assistance/Utility_Allowance_Schedule_HUD_52667_03-2025.pdf" TargetMode="External" Id="rId36" /><Relationship Type="http://schemas.openxmlformats.org/officeDocument/2006/relationships/hyperlink" Target="https://www.sandiegocounty.gov/content/dam/sdc/sdhcd/new-docs/Rental_assistance/Utility_Allowance_Schedule_HUD_52667_03-2025.pdf" TargetMode="External" Id="rId37" /><Relationship Type="http://schemas.openxmlformats.org/officeDocument/2006/relationships/hyperlink" Target="https://www.sandiegocounty.gov/content/dam/sdc/sdhcd/new-docs/Rental_assistance/Utility_Allowance_Schedule_HUD_52667_03-2025.pdf" TargetMode="External" Id="rId38" /><Relationship Type="http://schemas.openxmlformats.org/officeDocument/2006/relationships/hyperlink" Target="https://www.sandiegocounty.gov/content/dam/sdc/sdhcd/new-docs/Rental_assistance/Utility_Allowance_Schedule_HUD_52667_03-2025.pdf" TargetMode="External" Id="rId39" /><Relationship Type="http://schemas.openxmlformats.org/officeDocument/2006/relationships/hyperlink" Target="https://www.sandiegocounty.gov/content/dam/sdc/sdhcd/new-docs/Rental_assistance/Utility_Allowance_Schedule_HUD_52667_03-2025.pdf" TargetMode="External" Id="rId40" /><Relationship Type="http://schemas.openxmlformats.org/officeDocument/2006/relationships/hyperlink" Target="https://www.sandiegocounty.gov/content/dam/sdc/sdhcd/new-docs/Rental_assistance/Utility_Allowance_Schedule_HUD_52667_03-2025.pdf" TargetMode="External" Id="rId41" /><Relationship Type="http://schemas.openxmlformats.org/officeDocument/2006/relationships/hyperlink" Target="https://www.sandiegocounty.gov/content/dam/sdc/sdhcd/new-docs/Rental_assistance/Utility_Allowance_Schedule_HUD_52667_03-2025.pdf" TargetMode="External" Id="rId42" /><Relationship Type="http://schemas.openxmlformats.org/officeDocument/2006/relationships/hyperlink" Target="https://www.sandiegocounty.gov/content/dam/sdc/sdhcd/new-docs/Rental_assistance/Utility_Allowance_Schedule_HUD_52667_03-2025.pdf" TargetMode="External" Id="rId43" /><Relationship Type="http://schemas.openxmlformats.org/officeDocument/2006/relationships/hyperlink" Target="https://www.sandiegocounty.gov/content/dam/sdc/sdhcd/new-docs/Rental_assistance/Utility_Allowance_Schedule_HUD_52667_03-2025.pdf" TargetMode="External" Id="rId44" /><Relationship Type="http://schemas.openxmlformats.org/officeDocument/2006/relationships/hyperlink" Target="https://www.sandiegocounty.gov/content/dam/sdc/sdhcd/new-docs/Rental_assistance/Utility_Allowance_Schedule_HUD_52667_03-2025.pdf" TargetMode="External" Id="rId45" /><Relationship Type="http://schemas.openxmlformats.org/officeDocument/2006/relationships/hyperlink" Target="https://www.sandiegocounty.gov/content/dam/sdc/sdhcd/new-docs/Rental_assistance/Utility_Allowance_Schedule_HUD_52667_03-2025.pdf" TargetMode="External" Id="rId46" /><Relationship Type="http://schemas.openxmlformats.org/officeDocument/2006/relationships/hyperlink" Target="https://www.sandiegocounty.gov/content/dam/sdc/sdhcd/new-docs/Rental_assistance/Utility_Allowance_Schedule_HUD_52667_03-2025.pdf" TargetMode="External" Id="rId47" /><Relationship Type="http://schemas.openxmlformats.org/officeDocument/2006/relationships/hyperlink" Target="https://www.sandiegocounty.gov/content/dam/sdc/sdhcd/new-docs/Rental_assistance/Utility_Allowance_Schedule_HUD_52667_03-2025.pdf" TargetMode="External" Id="rId48" /><Relationship Type="http://schemas.openxmlformats.org/officeDocument/2006/relationships/hyperlink" Target="https://www.sandiegocounty.gov/content/dam/sdc/sdhcd/new-docs/Rental_assistance/Utility_Allowance_Schedule_HUD_52667_03-2025.pdf" TargetMode="External" Id="rId49" /><Relationship Type="http://schemas.openxmlformats.org/officeDocument/2006/relationships/hyperlink" Target="https://www.sandiegocounty.gov/content/dam/sdc/sdhcd/new-docs/Rental_assistance/Utility_Allowance_Schedule_HUD_52667_03-2025.pdf" TargetMode="External" Id="rId50" /><Relationship Type="http://schemas.openxmlformats.org/officeDocument/2006/relationships/hyperlink" Target="https://www.sandiegocounty.gov/content/dam/sdc/sdhcd/new-docs/Rental_assistance/Utility_Allowance_Schedule_HUD_52667_03-2025.pdf" TargetMode="External" Id="rId51" /><Relationship Type="http://schemas.openxmlformats.org/officeDocument/2006/relationships/hyperlink" Target="https://www.oakha.org/propertyowners/paymentstandards/" TargetMode="External" Id="rId52" /><Relationship Type="http://schemas.openxmlformats.org/officeDocument/2006/relationships/hyperlink" Target="https://www.oakha.org/propertyowners/paymentstandards/" TargetMode="External" Id="rId53" /><Relationship Type="http://schemas.openxmlformats.org/officeDocument/2006/relationships/hyperlink" Target="https://www.oakha.org/propertyowners/paymentstandards/" TargetMode="External" Id="rId54" /><Relationship Type="http://schemas.openxmlformats.org/officeDocument/2006/relationships/hyperlink" Target="https://www.oakha.org/propertyowners/paymentstandards/" TargetMode="External" Id="rId55" /><Relationship Type="http://schemas.openxmlformats.org/officeDocument/2006/relationships/hyperlink" Target="https://www.oakha.org/propertyowners/paymentstandards/" TargetMode="External" Id="rId56" /><Relationship Type="http://schemas.openxmlformats.org/officeDocument/2006/relationships/hyperlink" Target="https://www.oakha.org/propertyowners/paymentstandards/" TargetMode="External" Id="rId57" /><Relationship Type="http://schemas.openxmlformats.org/officeDocument/2006/relationships/hyperlink" Target="https://www.oakha.org/propertyowners/paymentstandards/" TargetMode="External" Id="rId58" /><Relationship Type="http://schemas.openxmlformats.org/officeDocument/2006/relationships/hyperlink" Target="https://www.oakha.org/propertyowners/paymentstandards/" TargetMode="External" Id="rId59" /><Relationship Type="http://schemas.openxmlformats.org/officeDocument/2006/relationships/hyperlink" Target="https://www.oakha.org/propertyowners/paymentstandards/" TargetMode="External" Id="rId60" /><Relationship Type="http://schemas.openxmlformats.org/officeDocument/2006/relationships/hyperlink" Target="https://www.oakha.org/propertyowners/paymentstandards/" TargetMode="External" Id="rId61" /><Relationship Type="http://schemas.openxmlformats.org/officeDocument/2006/relationships/hyperlink" Target="https://www.oakha.org/propertyowners/paymentstandards/" TargetMode="External" Id="rId62" /><Relationship Type="http://schemas.openxmlformats.org/officeDocument/2006/relationships/hyperlink" Target="https://www.oakha.org/propertyowners/paymentstandards/" TargetMode="External" Id="rId63" /><Relationship Type="http://schemas.openxmlformats.org/officeDocument/2006/relationships/hyperlink" Target="https://www.oakha.org/propertyowners/paymentstandards/" TargetMode="External" Id="rId64" /><Relationship Type="http://schemas.openxmlformats.org/officeDocument/2006/relationships/hyperlink" Target="https://www.oakha.org/propertyowners/paymentstandards/" TargetMode="External" Id="rId65" /><Relationship Type="http://schemas.openxmlformats.org/officeDocument/2006/relationships/hyperlink" Target="https://www.oakha.org/propertyowners/paymentstandards/" TargetMode="External" Id="rId66" /><Relationship Type="http://schemas.openxmlformats.org/officeDocument/2006/relationships/hyperlink" Target="https://www.oakha.org/propertyowners/paymentstandards/" TargetMode="External" Id="rId67" /><Relationship Type="http://schemas.openxmlformats.org/officeDocument/2006/relationships/hyperlink" Target="https://www.oakha.org/propertyowners/paymentstandards/" TargetMode="External" Id="rId68" /><Relationship Type="http://schemas.openxmlformats.org/officeDocument/2006/relationships/hyperlink" Target="https://www.oakha.org/propertyowners/paymentstandards/" TargetMode="External" Id="rId69" /><Relationship Type="http://schemas.openxmlformats.org/officeDocument/2006/relationships/hyperlink" Target="https://www.oakha.org/propertyowners/paymentstandards/" TargetMode="External" Id="rId70" /><Relationship Type="http://schemas.openxmlformats.org/officeDocument/2006/relationships/hyperlink" Target="https://www.oakha.org/propertyowners/paymentstandards/" TargetMode="External" Id="rId71" /><Relationship Type="http://schemas.openxmlformats.org/officeDocument/2006/relationships/hyperlink" Target="https://www.oakha.org/propertyowners/paymentstandards/" TargetMode="External" Id="rId72" /><Relationship Type="http://schemas.openxmlformats.org/officeDocument/2006/relationships/hyperlink" Target="https://www.oakha.org/propertyowners/paymentstandards/" TargetMode="External" Id="rId73" /><Relationship Type="http://schemas.openxmlformats.org/officeDocument/2006/relationships/hyperlink" Target="https://www.oakha.org/propertyowners/paymentstandards/" TargetMode="External" Id="rId74" /><Relationship Type="http://schemas.openxmlformats.org/officeDocument/2006/relationships/hyperlink" Target="https://www.oakha.org/propertyowners/paymentstandards/" TargetMode="External" Id="rId75" /><Relationship Type="http://schemas.openxmlformats.org/officeDocument/2006/relationships/hyperlink" Target="https://www.oakha.org/propertyowners/paymentstandards/" TargetMode="External" Id="rId76" /><Relationship Type="http://schemas.openxmlformats.org/officeDocument/2006/relationships/hyperlink" Target="https://www.oakha.org/propertyowners/paymentstandards/" TargetMode="External" Id="rId77" /><Relationship Type="http://schemas.openxmlformats.org/officeDocument/2006/relationships/hyperlink" Target="https://www.oakha.org/propertyowners/paymentstandards/" TargetMode="External" Id="rId78" /><Relationship Type="http://schemas.openxmlformats.org/officeDocument/2006/relationships/hyperlink" Target="https://www.oakha.org/propertyowners/paymentstandards/" TargetMode="External" Id="rId79" /><Relationship Type="http://schemas.openxmlformats.org/officeDocument/2006/relationships/hyperlink" Target="https://www.ochousing.org/sites/ocha/files/2025-10/2026%20Utility%20Allowance%20Schedule%20-%20Public%20Use.pdf" TargetMode="External" Id="rId80" /><Relationship Type="http://schemas.openxmlformats.org/officeDocument/2006/relationships/hyperlink" Target="https://www.ochousing.org/sites/ocha/files/2025-10/2026%20Utility%20Allowance%20Schedule%20-%20Public%20Use.pdf" TargetMode="External" Id="rId81" /><Relationship Type="http://schemas.openxmlformats.org/officeDocument/2006/relationships/hyperlink" Target="https://www.ochousing.org/sites/ocha/files/2025-10/2026%20Utility%20Allowance%20Schedule%20-%20Public%20Use.pdf" TargetMode="External" Id="rId82" /><Relationship Type="http://schemas.openxmlformats.org/officeDocument/2006/relationships/hyperlink" Target="https://www.ochousing.org/sites/ocha/files/2025-10/2026%20Utility%20Allowance%20Schedule%20-%20Public%20Use.pdf" TargetMode="External" Id="rId83" /><Relationship Type="http://schemas.openxmlformats.org/officeDocument/2006/relationships/hyperlink" Target="https://www.ochousing.org/sites/ocha/files/2025-10/2026%20Utility%20Allowance%20Schedule%20-%20Public%20Use.pdf" TargetMode="External" Id="rId84" /><Relationship Type="http://schemas.openxmlformats.org/officeDocument/2006/relationships/hyperlink" Target="https://www.ochousing.org/sites/ocha/files/2025-10/2026%20Utility%20Allowance%20Schedule%20-%20Public%20Use.pdf" TargetMode="External" Id="rId85" /><Relationship Type="http://schemas.openxmlformats.org/officeDocument/2006/relationships/hyperlink" Target="https://www.ochousing.org/sites/ocha/files/2025-10/2026%20Utility%20Allowance%20Schedule%20-%20Public%20Use.pdf" TargetMode="External" Id="rId86" /><Relationship Type="http://schemas.openxmlformats.org/officeDocument/2006/relationships/hyperlink" Target="https://www.ochousing.org/sites/ocha/files/2025-10/2026%20Utility%20Allowance%20Schedule%20-%20Public%20Use.pdf" TargetMode="External" Id="rId87" /><Relationship Type="http://schemas.openxmlformats.org/officeDocument/2006/relationships/hyperlink" Target="https://www.ochousing.org/sites/ocha/files/2025-10/2026%20Utility%20Allowance%20Schedule%20-%20Public%20Use.pdf" TargetMode="External" Id="rId88" /><Relationship Type="http://schemas.openxmlformats.org/officeDocument/2006/relationships/hyperlink" Target="https://www.ochousing.org/sites/ocha/files/2025-10/2026%20Utility%20Allowance%20Schedule%20-%20Public%20Use.pdf" TargetMode="External" Id="rId89" /><Relationship Type="http://schemas.openxmlformats.org/officeDocument/2006/relationships/hyperlink" Target="https://www.ochousing.org/sites/ocha/files/2025-10/2026%20Utility%20Allowance%20Schedule%20-%20Public%20Use.pdf" TargetMode="External" Id="rId90" /><Relationship Type="http://schemas.openxmlformats.org/officeDocument/2006/relationships/hyperlink" Target="https://www.ochousing.org/sites/ocha/files/2025-10/2026%20Utility%20Allowance%20Schedule%20-%20Public%20Use.pdf" TargetMode="External" Id="rId91" /><Relationship Type="http://schemas.openxmlformats.org/officeDocument/2006/relationships/hyperlink" Target="https://www.ochousing.org/sites/ocha/files/2025-10/2026%20Utility%20Allowance%20Schedule%20-%20Public%20Use.pdf" TargetMode="External" Id="rId92" /><Relationship Type="http://schemas.openxmlformats.org/officeDocument/2006/relationships/hyperlink" Target="https://www.ochousing.org/sites/ocha/files/2025-10/2026%20Utility%20Allowance%20Schedule%20-%20Public%20Use.pdf" TargetMode="External" Id="rId93" /><Relationship Type="http://schemas.openxmlformats.org/officeDocument/2006/relationships/hyperlink" Target="https://www.ochousing.org/sites/ocha/files/2025-10/2026%20Utility%20Allowance%20Schedule%20-%20Public%20Use.pdf" TargetMode="External" Id="rId94" /><Relationship Type="http://schemas.openxmlformats.org/officeDocument/2006/relationships/hyperlink" Target="https://www.ochousing.org/sites/ocha/files/2025-10/2026%20Utility%20Allowance%20Schedule%20-%20Public%20Use.pdf" TargetMode="External" Id="rId95" /><Relationship Type="http://schemas.openxmlformats.org/officeDocument/2006/relationships/hyperlink" Target="https://www.ochousing.org/sites/ocha/files/2025-10/2026%20Utility%20Allowance%20Schedule%20-%20Public%20Use.pdf" TargetMode="External" Id="rId96" /><Relationship Type="http://schemas.openxmlformats.org/officeDocument/2006/relationships/hyperlink" Target="https://www.ochousing.org/sites/ocha/files/2025-10/2026%20Utility%20Allowance%20Schedule%20-%20Public%20Use.pdf" TargetMode="External" Id="rId97" /><Relationship Type="http://schemas.openxmlformats.org/officeDocument/2006/relationships/hyperlink" Target="https://www.ochousing.org/sites/ocha/files/2025-10/2026%20Utility%20Allowance%20Schedule%20-%20Public%20Use.pdf" TargetMode="External" Id="rId98" /><Relationship Type="http://schemas.openxmlformats.org/officeDocument/2006/relationships/hyperlink" Target="https://www.ochousing.org/sites/ocha/files/2025-10/2026%20Utility%20Allowance%20Schedule%20-%20Public%20Use.pdf" TargetMode="External" Id="rId99" /><Relationship Type="http://schemas.openxmlformats.org/officeDocument/2006/relationships/hyperlink" Target="https://www.ochousing.org/sites/ocha/files/2025-10/2026%20Utility%20Allowance%20Schedule%20-%20Public%20Use.pdf" TargetMode="External" Id="rId100" /><Relationship Type="http://schemas.openxmlformats.org/officeDocument/2006/relationships/hyperlink" Target="https://www.ochousing.org/sites/ocha/files/2025-10/2026%20Utility%20Allowance%20Schedule%20-%20Public%20Use.pdf" TargetMode="External" Id="rId101" /><Relationship Type="http://schemas.openxmlformats.org/officeDocument/2006/relationships/hyperlink" Target="https://www.ochousing.org/sites/ocha/files/2025-10/2026%20Utility%20Allowance%20Schedule%20-%20Public%20Use.pdf" TargetMode="External" Id="rId102" /><Relationship Type="http://schemas.openxmlformats.org/officeDocument/2006/relationships/hyperlink" Target="https://www.ochousing.org/sites/ocha/files/2025-10/2026%20Utility%20Allowance%20Schedule%20-%20Public%20Use.pdf" TargetMode="External" Id="rId103" /><Relationship Type="http://schemas.openxmlformats.org/officeDocument/2006/relationships/hyperlink" Target="https://www.ochousing.org/sites/ocha/files/2025-10/2026%20Utility%20Allowance%20Schedule%20-%20Public%20Use.pdf" TargetMode="External" Id="rId104" /><Relationship Type="http://schemas.openxmlformats.org/officeDocument/2006/relationships/hyperlink" Target="https://www.shra.org/housing-choice-voucher-program/" TargetMode="External" Id="rId105" /><Relationship Type="http://schemas.openxmlformats.org/officeDocument/2006/relationships/hyperlink" Target="https://www.shra.org/housing-choice-voucher-program/" TargetMode="External" Id="rId106" /><Relationship Type="http://schemas.openxmlformats.org/officeDocument/2006/relationships/hyperlink" Target="https://www.shra.org/housing-choice-voucher-program/" TargetMode="External" Id="rId107" /><Relationship Type="http://schemas.openxmlformats.org/officeDocument/2006/relationships/hyperlink" Target="https://www.shra.org/housing-choice-voucher-program/" TargetMode="External" Id="rId108" /><Relationship Type="http://schemas.openxmlformats.org/officeDocument/2006/relationships/hyperlink" Target="https://www.shra.org/housing-choice-voucher-program/" TargetMode="External" Id="rId109" /><Relationship Type="http://schemas.openxmlformats.org/officeDocument/2006/relationships/hyperlink" Target="https://www.shra.org/housing-choice-voucher-program/" TargetMode="External" Id="rId110" /><Relationship Type="http://schemas.openxmlformats.org/officeDocument/2006/relationships/hyperlink" Target="https://www.shra.org/housing-choice-voucher-program/" TargetMode="External" Id="rId111" /><Relationship Type="http://schemas.openxmlformats.org/officeDocument/2006/relationships/hyperlink" Target="https://www.shra.org/housing-choice-voucher-program/" TargetMode="External" Id="rId112" /><Relationship Type="http://schemas.openxmlformats.org/officeDocument/2006/relationships/hyperlink" Target="https://www.shra.org/housing-choice-voucher-program/" TargetMode="External" Id="rId113" /><Relationship Type="http://schemas.openxmlformats.org/officeDocument/2006/relationships/hyperlink" Target="https://www.shra.org/housing-choice-voucher-program/" TargetMode="External" Id="rId114" /><Relationship Type="http://schemas.openxmlformats.org/officeDocument/2006/relationships/hyperlink" Target="https://www.shra.org/housing-choice-voucher-program/" TargetMode="External" Id="rId115" /><Relationship Type="http://schemas.openxmlformats.org/officeDocument/2006/relationships/hyperlink" Target="https://www.shra.org/housing-choice-voucher-program/" TargetMode="External" Id="rId116" /><Relationship Type="http://schemas.openxmlformats.org/officeDocument/2006/relationships/hyperlink" Target="https://www.shra.org/housing-choice-voucher-program/" TargetMode="External" Id="rId117" /><Relationship Type="http://schemas.openxmlformats.org/officeDocument/2006/relationships/hyperlink" Target="https://www.shra.org/housing-choice-voucher-program/" TargetMode="External" Id="rId118" /><Relationship Type="http://schemas.openxmlformats.org/officeDocument/2006/relationships/hyperlink" Target="https://www.shra.org/housing-choice-voucher-program/" TargetMode="External" Id="rId119" /><Relationship Type="http://schemas.openxmlformats.org/officeDocument/2006/relationships/hyperlink" Target="https://www.shra.org/housing-choice-voucher-program/" TargetMode="External" Id="rId120" /><Relationship Type="http://schemas.openxmlformats.org/officeDocument/2006/relationships/hyperlink" Target="https://www.shra.org/housing-choice-voucher-program/" TargetMode="External" Id="rId121" /><Relationship Type="http://schemas.openxmlformats.org/officeDocument/2006/relationships/hyperlink" Target="https://www.shra.org/housing-choice-voucher-program/" TargetMode="External" Id="rId122" /><Relationship Type="http://schemas.openxmlformats.org/officeDocument/2006/relationships/hyperlink" Target="https://www.shra.org/housing-choice-voucher-program/" TargetMode="External" Id="rId123" /><Relationship Type="http://schemas.openxmlformats.org/officeDocument/2006/relationships/hyperlink" Target="https://www.shra.org/housing-choice-voucher-program/" TargetMode="External" Id="rId124" /><Relationship Type="http://schemas.openxmlformats.org/officeDocument/2006/relationships/hyperlink" Target="https://www.shra.org/housing-choice-voucher-program/" TargetMode="External" Id="rId125" /><Relationship Type="http://schemas.openxmlformats.org/officeDocument/2006/relationships/hyperlink" Target="https://www.shra.org/housing-choice-voucher-program/" TargetMode="External" Id="rId126" /><Relationship Type="http://schemas.openxmlformats.org/officeDocument/2006/relationships/hyperlink" Target="https://www.shra.org/housing-choice-voucher-program/" TargetMode="External" Id="rId127" /><Relationship Type="http://schemas.openxmlformats.org/officeDocument/2006/relationships/hyperlink" Target="https://www.shra.org/housing-choice-voucher-program/" TargetMode="External" Id="rId128" /><Relationship Type="http://schemas.openxmlformats.org/officeDocument/2006/relationships/hyperlink" Target="https://www.shra.org/housing-choice-voucher-program/" TargetMode="External" Id="rId129" /><Relationship Type="http://schemas.openxmlformats.org/officeDocument/2006/relationships/hyperlink" Target="https://www.shra.org/housing-choice-voucher-program/" TargetMode="External" Id="rId130" /><Relationship Type="http://schemas.openxmlformats.org/officeDocument/2006/relationships/hyperlink" Target="https://www.shra.org/housing-choice-voucher-program/" TargetMode="External" Id="rId131" /><Relationship Type="http://schemas.openxmlformats.org/officeDocument/2006/relationships/hyperlink" Target="https://www.shra.org/housing-choice-voucher-program/" TargetMode="External" Id="rId132" /><Relationship Type="http://schemas.openxmlformats.org/officeDocument/2006/relationships/hyperlink" Target="https://www.shra.org/housing-choice-voucher-program/" TargetMode="External" Id="rId133" /><Relationship Type="http://schemas.openxmlformats.org/officeDocument/2006/relationships/hyperlink" Target="https://www.shra.org/housing-choice-voucher-program/" TargetMode="External" Id="rId134" /><Relationship Type="http://schemas.openxmlformats.org/officeDocument/2006/relationships/hyperlink" Target="https://www.shra.org/housing-choice-voucher-program/" TargetMode="External" Id="rId135" /><Relationship Type="http://schemas.openxmlformats.org/officeDocument/2006/relationships/hyperlink" Target="https://www.shra.org/housing-choice-voucher-program/" TargetMode="External" Id="rId136" /><Relationship Type="http://schemas.openxmlformats.org/officeDocument/2006/relationships/hyperlink" Target="https://www.shra.org/housing-choice-voucher-program/" TargetMode="External" Id="rId137" /><Relationship Type="http://schemas.openxmlformats.org/officeDocument/2006/relationships/hyperlink" Target="https://www.shra.org/housing-choice-voucher-program/" TargetMode="External" Id="rId138" /><Relationship Type="http://schemas.openxmlformats.org/officeDocument/2006/relationships/hyperlink" Target="https://www.shra.org/housing-choice-voucher-program/" TargetMode="External" Id="rId139" /><Relationship Type="http://schemas.openxmlformats.org/officeDocument/2006/relationships/hyperlink" Target="https://www.shra.org/housing-choice-voucher-program/" TargetMode="External" Id="rId140" /><Relationship Type="http://schemas.openxmlformats.org/officeDocument/2006/relationships/hyperlink" Target="https://www.shra.org/housing-choice-voucher-program/" TargetMode="External" Id="rId141" /><Relationship Type="http://schemas.openxmlformats.org/officeDocument/2006/relationships/hyperlink" Target="https://www.shra.org/housing-choice-voucher-program/" TargetMode="External" Id="rId142" /><Relationship Type="http://schemas.openxmlformats.org/officeDocument/2006/relationships/hyperlink" Target="https://www.shra.org/housing-choice-voucher-program/" TargetMode="External" Id="rId143" /><Relationship Type="http://schemas.openxmlformats.org/officeDocument/2006/relationships/hyperlink" Target="https://www.shra.org/housing-choice-voucher-program/" TargetMode="External" Id="rId144" /><Relationship Type="http://schemas.openxmlformats.org/officeDocument/2006/relationships/hyperlink" Target="https://www.shra.org/housing-choice-voucher-program/" TargetMode="External" Id="rId145" /><Relationship Type="http://schemas.openxmlformats.org/officeDocument/2006/relationships/hyperlink" Target="https://www.shra.org/housing-choice-voucher-program/" TargetMode="External" Id="rId146" /><Relationship Type="http://schemas.openxmlformats.org/officeDocument/2006/relationships/hyperlink" Target="https://www.shra.org/housing-choice-voucher-program/" TargetMode="External" Id="rId147" /><Relationship Type="http://schemas.openxmlformats.org/officeDocument/2006/relationships/hyperlink" Target="https://www.shra.org/housing-choice-voucher-program/" TargetMode="External" Id="rId148" /><Relationship Type="http://schemas.openxmlformats.org/officeDocument/2006/relationships/hyperlink" Target="https://www.shra.org/housing-choice-voucher-program/" TargetMode="External" Id="rId149" /><Relationship Type="http://schemas.openxmlformats.org/officeDocument/2006/relationships/hyperlink" Target="https://www.shra.org/housing-choice-voucher-program/" TargetMode="External" Id="rId150" /><Relationship Type="http://schemas.openxmlformats.org/officeDocument/2006/relationships/hyperlink" Target="https://www.shra.org/housing-choice-voucher-program/" TargetMode="External" Id="rId151" /><Relationship Type="http://schemas.openxmlformats.org/officeDocument/2006/relationships/hyperlink" Target="https://www.shra.org/housing-choice-voucher-program/" TargetMode="External" Id="rId152" /><Relationship Type="http://schemas.openxmlformats.org/officeDocument/2006/relationships/hyperlink" Target="https://www.shra.org/housing-choice-voucher-program/" TargetMode="External" Id="rId153" /><Relationship Type="http://schemas.openxmlformats.org/officeDocument/2006/relationships/hyperlink" Target="https://www.shra.org/housing-choice-voucher-program/" TargetMode="External" Id="rId154" /><Relationship Type="http://schemas.openxmlformats.org/officeDocument/2006/relationships/hyperlink" Target="https://www.shra.org/housing-choice-voucher-program/" TargetMode="External" Id="rId155" /><Relationship Type="http://schemas.openxmlformats.org/officeDocument/2006/relationships/hyperlink" Target="https://www.shra.org/housing-choice-voucher-program/" TargetMode="External" Id="rId156" /><Relationship Type="http://schemas.openxmlformats.org/officeDocument/2006/relationships/hyperlink" Target="https://www.shra.org/housing-choice-voucher-program/" TargetMode="External" Id="rId157" /><Relationship Type="http://schemas.openxmlformats.org/officeDocument/2006/relationships/hyperlink" Target="https://www.shra.org/housing-choice-voucher-program/" TargetMode="External" Id="rId158" /><Relationship Type="http://schemas.openxmlformats.org/officeDocument/2006/relationships/hyperlink" Target="https://www.shra.org/housing-choice-voucher-program/" TargetMode="External" Id="rId159" /><Relationship Type="http://schemas.openxmlformats.org/officeDocument/2006/relationships/hyperlink" Target="https://www.shra.org/housing-choice-voucher-program/" TargetMode="External" Id="rId160" /><Relationship Type="http://schemas.openxmlformats.org/officeDocument/2006/relationships/hyperlink" Target="https://www.shra.org/housing-choice-voucher-program/" TargetMode="External" Id="rId161" /><Relationship Type="http://schemas.openxmlformats.org/officeDocument/2006/relationships/hyperlink" Target="https://www.shra.org/housing-choice-voucher-program/" TargetMode="External" Id="rId162" /><Relationship Type="http://schemas.openxmlformats.org/officeDocument/2006/relationships/hyperlink" Target="https://sdhc.org/wp-content/uploads/2022/Utility-Allowance-Chart.pdf" TargetMode="External" Id="rId163" /><Relationship Type="http://schemas.openxmlformats.org/officeDocument/2006/relationships/hyperlink" Target="https://sdhc.org/wp-content/uploads/2022/Utility-Allowance-Chart.pdf" TargetMode="External" Id="rId164" /><Relationship Type="http://schemas.openxmlformats.org/officeDocument/2006/relationships/hyperlink" Target="https://sdhc.org/wp-content/uploads/2022/Utility-Allowance-Chart.pdf" TargetMode="External" Id="rId165" /><Relationship Type="http://schemas.openxmlformats.org/officeDocument/2006/relationships/hyperlink" Target="https://sdhc.org/wp-content/uploads/2022/Utility-Allowance-Chart.pdf" TargetMode="External" Id="rId166" /><Relationship Type="http://schemas.openxmlformats.org/officeDocument/2006/relationships/hyperlink" Target="https://sdhc.org/wp-content/uploads/2022/Utility-Allowance-Chart.pdf" TargetMode="External" Id="rId167" /><Relationship Type="http://schemas.openxmlformats.org/officeDocument/2006/relationships/hyperlink" Target="https://sdhc.org/wp-content/uploads/2022/Utility-Allowance-Chart.pdf" TargetMode="External" Id="rId168" /><Relationship Type="http://schemas.openxmlformats.org/officeDocument/2006/relationships/hyperlink" Target="https://sdhc.org/wp-content/uploads/2022/Utility-Allowance-Chart.pdf" TargetMode="External" Id="rId169" /><Relationship Type="http://schemas.openxmlformats.org/officeDocument/2006/relationships/hyperlink" Target="https://sdhc.org/wp-content/uploads/2022/Utility-Allowance-Chart.pdf" TargetMode="External" Id="rId170" /><Relationship Type="http://schemas.openxmlformats.org/officeDocument/2006/relationships/hyperlink" Target="https://sdhc.org/wp-content/uploads/2022/Utility-Allowance-Chart.pdf" TargetMode="External" Id="rId171" /><Relationship Type="http://schemas.openxmlformats.org/officeDocument/2006/relationships/hyperlink" Target="https://sdhc.org/wp-content/uploads/2022/Utility-Allowance-Chart.pdf" TargetMode="External" Id="rId172" /><Relationship Type="http://schemas.openxmlformats.org/officeDocument/2006/relationships/hyperlink" Target="https://sdhc.org/wp-content/uploads/2022/Utility-Allowance-Chart.pdf" TargetMode="External" Id="rId173" /><Relationship Type="http://schemas.openxmlformats.org/officeDocument/2006/relationships/hyperlink" Target="https://sdhc.org/wp-content/uploads/2022/Utility-Allowance-Chart.pdf" TargetMode="External" Id="rId174" /><Relationship Type="http://schemas.openxmlformats.org/officeDocument/2006/relationships/hyperlink" Target="https://sdhc.org/wp-content/uploads/2022/Utility-Allowance-Chart.pdf" TargetMode="External" Id="rId175" /><Relationship Type="http://schemas.openxmlformats.org/officeDocument/2006/relationships/hyperlink" Target="https://sdhc.org/wp-content/uploads/2022/Utility-Allowance-Chart.pdf" TargetMode="External" Id="rId176" /><Relationship Type="http://schemas.openxmlformats.org/officeDocument/2006/relationships/hyperlink" Target="https://sdhc.org/wp-content/uploads/2022/Utility-Allowance-Chart.pdf" TargetMode="External" Id="rId177" /><Relationship Type="http://schemas.openxmlformats.org/officeDocument/2006/relationships/hyperlink" Target="https://sdhc.org/wp-content/uploads/2022/Utility-Allowance-Chart.pdf" TargetMode="External" Id="rId178" /><Relationship Type="http://schemas.openxmlformats.org/officeDocument/2006/relationships/hyperlink" Target="https://sdhc.org/wp-content/uploads/2022/Utility-Allowance-Chart.pdf" TargetMode="External" Id="rId179" /><Relationship Type="http://schemas.openxmlformats.org/officeDocument/2006/relationships/hyperlink" Target="https://sdhc.org/wp-content/uploads/2022/Utility-Allowance-Chart.pdf" TargetMode="External" Id="rId180" /><Relationship Type="http://schemas.openxmlformats.org/officeDocument/2006/relationships/hyperlink" Target="https://sdhc.org/wp-content/uploads/2022/Utility-Allowance-Chart.pdf" TargetMode="External" Id="rId181" /><Relationship Type="http://schemas.openxmlformats.org/officeDocument/2006/relationships/hyperlink" Target="https://sdhc.org/wp-content/uploads/2022/Utility-Allowance-Chart.pdf" TargetMode="External" Id="rId182" /><Relationship Type="http://schemas.openxmlformats.org/officeDocument/2006/relationships/hyperlink" Target="https://sdhc.org/wp-content/uploads/2022/Utility-Allowance-Chart.pdf" TargetMode="External" Id="rId183" /><Relationship Type="http://schemas.openxmlformats.org/officeDocument/2006/relationships/hyperlink" Target="https://sdhc.org/wp-content/uploads/2022/Utility-Allowance-Chart.pdf" TargetMode="External" Id="rId184" /><Relationship Type="http://schemas.openxmlformats.org/officeDocument/2006/relationships/hyperlink" Target="https://sdhc.org/wp-content/uploads/2022/Utility-Allowance-Chart.pdf" TargetMode="External" Id="rId185" /><Relationship Type="http://schemas.openxmlformats.org/officeDocument/2006/relationships/hyperlink" Target="https://sdhc.org/wp-content/uploads/2022/Utility-Allowance-Chart.pdf" TargetMode="External" Id="rId186" /><Relationship Type="http://schemas.openxmlformats.org/officeDocument/2006/relationships/hyperlink" Target="https://sdhc.org/wp-content/uploads/2022/Utility-Allowance-Chart.pdf" TargetMode="External" Id="rId187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3:C10"/>
  <sheetViews>
    <sheetView workbookViewId="0">
      <selection activeCell="C11" sqref="C11"/>
    </sheetView>
  </sheetViews>
  <sheetFormatPr baseColWidth="10" defaultColWidth="10.83203125" defaultRowHeight="15"/>
  <cols>
    <col width="15.83203125" customWidth="1" min="2" max="2"/>
    <col width="51.83203125" customWidth="1" min="3" max="3"/>
  </cols>
  <sheetData>
    <row r="3">
      <c r="B3" t="inlineStr">
        <is>
          <t>Date</t>
        </is>
      </c>
      <c r="C3" t="inlineStr">
        <is>
          <t>Change</t>
        </is>
      </c>
    </row>
    <row r="4">
      <c r="B4" s="273" t="n">
        <v>46175</v>
      </c>
      <c r="C4" t="inlineStr">
        <is>
          <t>Added actual rent function, NOI based on that</t>
        </is>
      </c>
    </row>
    <row r="5">
      <c r="C5" t="inlineStr">
        <is>
          <t>Updated rents to 2026 HUD</t>
        </is>
      </c>
    </row>
    <row r="6">
      <c r="B6" s="273" t="n">
        <v>46178</v>
      </c>
      <c r="C6" t="inlineStr">
        <is>
          <t>Updated lien priority of dev fee/ b bond/ soft debt</t>
        </is>
      </c>
    </row>
    <row r="7">
      <c r="C7" t="inlineStr">
        <is>
          <t>Updated soft debt interest calc to toggle simple/compounding</t>
        </is>
      </c>
    </row>
    <row r="8">
      <c r="B8" s="273" t="n">
        <v>46182</v>
      </c>
      <c r="C8" t="inlineStr">
        <is>
          <t>Added perm debt selector</t>
        </is>
      </c>
    </row>
    <row r="9">
      <c r="C9" t="inlineStr">
        <is>
          <t>Added bond reinvestment calcs</t>
        </is>
      </c>
    </row>
    <row r="10">
      <c r="C10" t="inlineStr">
        <is>
          <t>More accurate perm closing cost estimate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3:J76"/>
  <sheetViews>
    <sheetView topLeftCell="A6" workbookViewId="0">
      <selection activeCell="H62" sqref="H62:H63"/>
    </sheetView>
  </sheetViews>
  <sheetFormatPr baseColWidth="10" defaultColWidth="8.83203125" defaultRowHeight="15"/>
  <cols>
    <col width="24.33203125" customWidth="1" min="2" max="2"/>
    <col width="18.1640625" customWidth="1" min="3" max="3"/>
    <col width="22.6640625" customWidth="1" min="5" max="5"/>
    <col width="13.5" customWidth="1" min="6" max="10"/>
  </cols>
  <sheetData>
    <row r="3">
      <c r="B3" s="62" t="inlineStr">
        <is>
          <t>Site Assumptions</t>
        </is>
      </c>
      <c r="C3" s="62" t="n"/>
      <c r="E3" s="62" t="inlineStr">
        <is>
          <t>Project Assumptions</t>
        </is>
      </c>
      <c r="F3" s="64" t="inlineStr">
        <is>
          <t>Scenario 1</t>
        </is>
      </c>
      <c r="G3" s="64" t="inlineStr">
        <is>
          <t>Scenario 2</t>
        </is>
      </c>
      <c r="H3" s="64" t="inlineStr">
        <is>
          <t>Scenario 3</t>
        </is>
      </c>
      <c r="I3" s="64" t="inlineStr">
        <is>
          <t>Scenario 4</t>
        </is>
      </c>
      <c r="J3" s="64" t="inlineStr">
        <is>
          <t>Scenario 5</t>
        </is>
      </c>
    </row>
    <row r="4">
      <c r="B4" t="inlineStr">
        <is>
          <t>County</t>
        </is>
      </c>
      <c r="C4" s="179" t="inlineStr">
        <is>
          <t>San Diego</t>
        </is>
      </c>
    </row>
    <row r="5">
      <c r="B5" t="inlineStr">
        <is>
          <t>PHA</t>
        </is>
      </c>
      <c r="C5" s="179" t="inlineStr">
        <is>
          <t>San Diego County</t>
        </is>
      </c>
      <c r="E5" t="inlineStr">
        <is>
          <t>Construction Type</t>
        </is>
      </c>
      <c r="F5" s="179" t="inlineStr">
        <is>
          <t>Type III</t>
        </is>
      </c>
      <c r="G5" s="179" t="inlineStr">
        <is>
          <t>Type III</t>
        </is>
      </c>
      <c r="H5" s="179" t="inlineStr">
        <is>
          <t>Type III</t>
        </is>
      </c>
      <c r="I5" s="179" t="inlineStr">
        <is>
          <t>Type III</t>
        </is>
      </c>
      <c r="J5" s="179" t="inlineStr">
        <is>
          <t>Type III</t>
        </is>
      </c>
    </row>
    <row r="6">
      <c r="B6" t="inlineStr">
        <is>
          <t>QCT/DDA</t>
        </is>
      </c>
      <c r="C6" s="179" t="inlineStr">
        <is>
          <t>QCT</t>
        </is>
      </c>
      <c r="E6" t="inlineStr">
        <is>
          <t>Prevailing Wage</t>
        </is>
      </c>
      <c r="F6" s="179" t="inlineStr">
        <is>
          <t>No</t>
        </is>
      </c>
      <c r="G6" s="179" t="inlineStr">
        <is>
          <t>No</t>
        </is>
      </c>
      <c r="H6" s="179" t="inlineStr">
        <is>
          <t>No</t>
        </is>
      </c>
      <c r="I6" s="179" t="inlineStr">
        <is>
          <t>No</t>
        </is>
      </c>
      <c r="J6" s="179" t="inlineStr">
        <is>
          <t>No</t>
        </is>
      </c>
    </row>
    <row r="7">
      <c r="B7" t="inlineStr">
        <is>
          <t>Resource Area</t>
        </is>
      </c>
      <c r="C7" s="179" t="inlineStr">
        <is>
          <t>Low</t>
        </is>
      </c>
      <c r="E7" t="inlineStr">
        <is>
          <t>BIPOC?</t>
        </is>
      </c>
      <c r="F7" s="179" t="inlineStr">
        <is>
          <t>No</t>
        </is>
      </c>
      <c r="G7" s="179" t="inlineStr">
        <is>
          <t>No</t>
        </is>
      </c>
      <c r="H7" s="179" t="inlineStr">
        <is>
          <t>No</t>
        </is>
      </c>
      <c r="I7" s="179" t="inlineStr">
        <is>
          <t>No</t>
        </is>
      </c>
      <c r="J7" s="179" t="inlineStr">
        <is>
          <t>No</t>
        </is>
      </c>
    </row>
    <row r="8">
      <c r="B8" t="inlineStr">
        <is>
          <t>Neighborhood Change Area</t>
        </is>
      </c>
      <c r="C8" s="179" t="inlineStr">
        <is>
          <t>No</t>
        </is>
      </c>
      <c r="E8" t="inlineStr">
        <is>
          <t>DU/Ac</t>
        </is>
      </c>
      <c r="F8" s="186">
        <f>+F9/D13</f>
        <v/>
      </c>
      <c r="G8" s="186">
        <f>+G9/E13</f>
        <v/>
      </c>
      <c r="H8" s="186">
        <f>+H9/F13</f>
        <v/>
      </c>
      <c r="I8" s="186">
        <f>+I9/G13</f>
        <v/>
      </c>
      <c r="J8" s="186">
        <f>+J9/H13</f>
        <v/>
      </c>
    </row>
    <row r="9">
      <c r="B9" t="inlineStr">
        <is>
          <t>CRA</t>
        </is>
      </c>
      <c r="C9" s="179" t="inlineStr">
        <is>
          <t>No</t>
        </is>
      </c>
      <c r="E9" t="inlineStr">
        <is>
          <t>Units</t>
        </is>
      </c>
      <c r="F9" s="186">
        <f>+MAX(ROUNDDOWN(F12/L8,0),1)</f>
        <v/>
      </c>
      <c r="G9" s="186">
        <f>+MAX(ROUNDDOWN(G12/M8,0),1)</f>
        <v/>
      </c>
      <c r="H9" s="186">
        <f>+MAX(ROUNDDOWN(H12/N8,0),1)</f>
        <v/>
      </c>
      <c r="I9" s="186">
        <f>+MAX(ROUNDDOWN(I12/O8,0),1)</f>
        <v/>
      </c>
      <c r="J9" s="186">
        <f>+MAX(ROUNDDOWN(J12/P8,0),1)</f>
        <v/>
      </c>
    </row>
    <row r="10">
      <c r="B10" t="inlineStr">
        <is>
          <t>Lot SF/Acres</t>
        </is>
      </c>
      <c r="C10" s="217" t="n">
        <v>27007</v>
      </c>
      <c r="E10" t="inlineStr">
        <is>
          <t>Residential Stories</t>
        </is>
      </c>
      <c r="F10" s="217" t="n">
        <v>5</v>
      </c>
      <c r="G10" s="217" t="n">
        <v>5</v>
      </c>
      <c r="H10" s="217" t="n">
        <v>5</v>
      </c>
      <c r="I10" s="217" t="n">
        <v>5</v>
      </c>
      <c r="J10" s="217" t="n">
        <v>5</v>
      </c>
    </row>
    <row r="11">
      <c r="E11" t="inlineStr">
        <is>
          <t>FAR</t>
        </is>
      </c>
      <c r="F11" s="327">
        <f>3.5/5*F10</f>
        <v/>
      </c>
      <c r="G11" s="327">
        <f>3.5/5*G10</f>
        <v/>
      </c>
      <c r="H11" s="327">
        <f>3.5/5*H10</f>
        <v/>
      </c>
      <c r="I11" s="327">
        <f>3.5/5*I10</f>
        <v/>
      </c>
      <c r="J11" s="327">
        <f>3.5/5*J10</f>
        <v/>
      </c>
    </row>
    <row r="12">
      <c r="E12" t="inlineStr">
        <is>
          <t>NRSF</t>
        </is>
      </c>
      <c r="F12" s="42">
        <f>+D13*43560*F11*0.8</f>
        <v/>
      </c>
      <c r="G12" s="42">
        <f>+E13*43560*G11*0.8</f>
        <v/>
      </c>
      <c r="H12" s="42">
        <f>+F13*43560*H11*0.8</f>
        <v/>
      </c>
      <c r="I12" s="42">
        <f>+G13*43560*I11*0.8</f>
        <v/>
      </c>
      <c r="J12" s="42">
        <f>+H13*43560*J11*0.8</f>
        <v/>
      </c>
    </row>
    <row r="13">
      <c r="E13" t="inlineStr">
        <is>
          <t>Podium Levels</t>
        </is>
      </c>
      <c r="F13" s="35" t="n">
        <v>0</v>
      </c>
      <c r="G13" s="35" t="n">
        <v>0</v>
      </c>
      <c r="H13" s="35" t="n">
        <v>0</v>
      </c>
      <c r="I13" s="35" t="n">
        <v>0</v>
      </c>
      <c r="J13" s="35" t="n">
        <v>0</v>
      </c>
    </row>
    <row r="14">
      <c r="E14" t="inlineStr">
        <is>
          <t>Rent Growth</t>
        </is>
      </c>
      <c r="F14" s="36" t="n">
        <v>0.025</v>
      </c>
      <c r="G14" s="36" t="n">
        <v>0.025</v>
      </c>
      <c r="H14" s="36" t="n">
        <v>0.025</v>
      </c>
      <c r="I14" s="36" t="n">
        <v>0.025</v>
      </c>
      <c r="J14" s="36" t="n">
        <v>0.025</v>
      </c>
    </row>
    <row r="15">
      <c r="E15" t="inlineStr">
        <is>
          <t>Expense Growth</t>
        </is>
      </c>
      <c r="F15" s="36" t="n">
        <v>0.035</v>
      </c>
      <c r="G15" s="36" t="n">
        <v>0.035</v>
      </c>
      <c r="H15" s="36" t="n">
        <v>0.035</v>
      </c>
      <c r="I15" s="36" t="n">
        <v>0.035</v>
      </c>
      <c r="J15" s="36" t="n">
        <v>0.035</v>
      </c>
    </row>
    <row r="16">
      <c r="E16" t="inlineStr">
        <is>
          <t>Bond Test Limit</t>
        </is>
      </c>
      <c r="F16" s="36" t="n">
        <v>0.275</v>
      </c>
      <c r="G16" s="36" t="n">
        <v>0.275</v>
      </c>
      <c r="H16" s="36" t="n">
        <v>0.275</v>
      </c>
      <c r="I16" s="36" t="n">
        <v>0.275</v>
      </c>
      <c r="J16" s="36" t="n">
        <v>0.275</v>
      </c>
    </row>
    <row r="18">
      <c r="E18" s="1" t="inlineStr">
        <is>
          <t>Unit Mix</t>
        </is>
      </c>
    </row>
    <row r="19">
      <c r="E19" s="148" t="inlineStr">
        <is>
          <t>0B</t>
        </is>
      </c>
    </row>
    <row r="20">
      <c r="E20" s="148" t="inlineStr">
        <is>
          <t>1B</t>
        </is>
      </c>
    </row>
    <row r="21">
      <c r="E21" s="148" t="inlineStr">
        <is>
          <t>2B</t>
        </is>
      </c>
    </row>
    <row r="22">
      <c r="E22" s="148" t="inlineStr">
        <is>
          <t>3B</t>
        </is>
      </c>
    </row>
    <row r="24">
      <c r="E24" s="269" t="inlineStr">
        <is>
          <t>Income Mix</t>
        </is>
      </c>
    </row>
    <row r="25">
      <c r="E25" s="328" t="n">
        <v>0.3</v>
      </c>
    </row>
    <row r="26">
      <c r="E26" s="328" t="n">
        <v>0.5</v>
      </c>
    </row>
    <row r="27">
      <c r="E27" s="328" t="n">
        <v>0.6</v>
      </c>
    </row>
    <row r="28">
      <c r="E28" s="329" t="n">
        <v>0.7</v>
      </c>
    </row>
    <row r="30">
      <c r="E30" s="1" t="inlineStr">
        <is>
          <t>Costs</t>
        </is>
      </c>
    </row>
    <row r="31">
      <c r="E31" t="inlineStr">
        <is>
          <t>Acquisition Costs</t>
        </is>
      </c>
    </row>
    <row r="32">
      <c r="E32" t="inlineStr">
        <is>
          <t>Land Lease Reserve</t>
        </is>
      </c>
    </row>
    <row r="33">
      <c r="E33" t="inlineStr">
        <is>
          <t>Hard Costs</t>
        </is>
      </c>
    </row>
    <row r="34">
      <c r="E34" t="inlineStr">
        <is>
          <t>Due Diligence</t>
        </is>
      </c>
    </row>
    <row r="35">
      <c r="E35" t="inlineStr">
        <is>
          <t>Consultants</t>
        </is>
      </c>
    </row>
    <row r="36">
      <c r="E36" t="inlineStr">
        <is>
          <t>Muni Fees</t>
        </is>
      </c>
    </row>
    <row r="37">
      <c r="E37" t="inlineStr">
        <is>
          <t>Insurance</t>
        </is>
      </c>
    </row>
    <row r="38">
      <c r="E38" t="inlineStr">
        <is>
          <t>FF&amp;E</t>
        </is>
      </c>
    </row>
    <row r="39">
      <c r="E39" t="inlineStr">
        <is>
          <t>Marketing</t>
        </is>
      </c>
    </row>
    <row r="40">
      <c r="E40" t="inlineStr">
        <is>
          <t>Bond Issuance &amp; Legal</t>
        </is>
      </c>
    </row>
    <row r="41">
      <c r="E41" t="inlineStr">
        <is>
          <t>LIHTC Consulting &amp; App</t>
        </is>
      </c>
    </row>
    <row r="42">
      <c r="E42" t="inlineStr">
        <is>
          <t>CDLAC/TCAC Fees</t>
        </is>
      </c>
    </row>
    <row r="43">
      <c r="E43" t="inlineStr">
        <is>
          <t>Property Taxes</t>
        </is>
      </c>
    </row>
    <row r="44">
      <c r="E44" t="inlineStr">
        <is>
          <t>Developer Fee</t>
        </is>
      </c>
    </row>
    <row r="45">
      <c r="E45" t="inlineStr">
        <is>
          <t>Operating Reserves</t>
        </is>
      </c>
    </row>
    <row r="46">
      <c r="E46" t="inlineStr">
        <is>
          <t>Hard Cost Contingency</t>
        </is>
      </c>
    </row>
    <row r="47">
      <c r="E47" t="inlineStr">
        <is>
          <t>Soft Cost Contingency</t>
        </is>
      </c>
    </row>
    <row r="48">
      <c r="E48" t="inlineStr">
        <is>
          <t>Perm Loan/B-Bond Costs</t>
        </is>
      </c>
    </row>
    <row r="49">
      <c r="E49" t="inlineStr">
        <is>
          <t>Pre-TCO Interest</t>
        </is>
      </c>
    </row>
    <row r="50">
      <c r="E50" t="inlineStr">
        <is>
          <t>Post-TCO Interest</t>
        </is>
      </c>
    </row>
    <row r="51">
      <c r="E51" t="inlineStr">
        <is>
          <t>Constr Loan Closing Costs</t>
        </is>
      </c>
    </row>
    <row r="53">
      <c r="E53" s="1" t="inlineStr">
        <is>
          <t>Equity</t>
        </is>
      </c>
    </row>
    <row r="54">
      <c r="E54" t="inlineStr">
        <is>
          <t>Federal Pricing</t>
        </is>
      </c>
    </row>
    <row r="55">
      <c r="E55" t="inlineStr">
        <is>
          <t>State Pricing</t>
        </is>
      </c>
    </row>
    <row r="57">
      <c r="E57" s="1" t="inlineStr">
        <is>
          <t>Construction Loan</t>
        </is>
      </c>
    </row>
    <row r="58">
      <c r="E58" t="inlineStr">
        <is>
          <t>Interest Rate</t>
        </is>
      </c>
    </row>
    <row r="60">
      <c r="E60" s="1" t="inlineStr">
        <is>
          <t>Permanent Loan</t>
        </is>
      </c>
    </row>
    <row r="61">
      <c r="E61" t="inlineStr">
        <is>
          <t>Interest Rate</t>
        </is>
      </c>
    </row>
    <row r="62">
      <c r="E62" t="inlineStr">
        <is>
          <t>DSCR</t>
        </is>
      </c>
    </row>
    <row r="63">
      <c r="E63" t="inlineStr">
        <is>
          <t>Amortization</t>
        </is>
      </c>
    </row>
    <row r="65">
      <c r="E65" s="1" t="inlineStr">
        <is>
          <t>B-Bond</t>
        </is>
      </c>
    </row>
    <row r="66">
      <c r="E66" t="inlineStr">
        <is>
          <t>Interest Rate</t>
        </is>
      </c>
    </row>
    <row r="67">
      <c r="E67" t="inlineStr">
        <is>
          <t>DSCR</t>
        </is>
      </c>
    </row>
    <row r="68">
      <c r="E68" t="inlineStr">
        <is>
          <t>Amortization</t>
        </is>
      </c>
    </row>
    <row r="69">
      <c r="E69" t="inlineStr">
        <is>
          <t>Cash Flow Sweep</t>
        </is>
      </c>
    </row>
    <row r="71">
      <c r="E71" s="1" t="inlineStr">
        <is>
          <t>Timeline</t>
        </is>
      </c>
    </row>
    <row r="72">
      <c r="E72" t="inlineStr">
        <is>
          <t>Start to Award</t>
        </is>
      </c>
    </row>
    <row r="73">
      <c r="E73" t="inlineStr">
        <is>
          <t>Award to Close</t>
        </is>
      </c>
    </row>
    <row r="74">
      <c r="E74" t="inlineStr">
        <is>
          <t>Construction</t>
        </is>
      </c>
    </row>
    <row r="75">
      <c r="E75" t="inlineStr">
        <is>
          <t>Monthly Absorption</t>
        </is>
      </c>
    </row>
    <row r="76">
      <c r="E76" t="inlineStr">
        <is>
          <t>Perm Delay</t>
        </is>
      </c>
    </row>
  </sheetData>
  <dataValidations disablePrompts="1" count="6">
    <dataValidation sqref="F5:J5" showDropDown="0" showInputMessage="1" showErrorMessage="1" allowBlank="1" type="list">
      <formula1>"Type I,Type III,Other"</formula1>
    </dataValidation>
    <dataValidation sqref="C8:C9 F6:J7" showDropDown="0" showInputMessage="1" showErrorMessage="1" allowBlank="1" type="list">
      <formula1>"Yes,No"</formula1>
    </dataValidation>
    <dataValidation sqref="C7" showDropDown="0" showInputMessage="1" showErrorMessage="1" allowBlank="1" type="list">
      <formula1>"Low,Medium,High,Highest"</formula1>
    </dataValidation>
    <dataValidation sqref="C6" showDropDown="0" showInputMessage="1" showErrorMessage="1" allowBlank="1" type="list">
      <formula1>"QCT,DDA,None"</formula1>
    </dataValidation>
    <dataValidation sqref="C5" showDropDown="0" showInputMessage="1" showErrorMessage="1" allowBlank="1" type="list">
      <formula1>$AG$29:$AG$40</formula1>
    </dataValidation>
    <dataValidation sqref="E28" showDropDown="0" showInputMessage="1" showErrorMessage="1" allowBlank="1" type="list">
      <formula1>"70%,80%"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">
    <outlinePr summaryBelow="1" summaryRight="1"/>
    <pageSetUpPr fitToPage="1"/>
  </sheetPr>
  <dimension ref="A2:AU137"/>
  <sheetViews>
    <sheetView showGridLines="0" tabSelected="1" zoomScale="81" zoomScaleNormal="85" workbookViewId="0">
      <selection activeCell="G28" sqref="G28"/>
    </sheetView>
  </sheetViews>
  <sheetFormatPr baseColWidth="10" defaultColWidth="8.83203125" defaultRowHeight="15"/>
  <cols>
    <col width="7.6640625" customWidth="1" min="1" max="1"/>
    <col width="26" customWidth="1" min="2" max="2"/>
    <col width="16.33203125" customWidth="1" min="3" max="3"/>
    <col width="14.6640625" customWidth="1" min="4" max="4"/>
    <col width="12.83203125" customWidth="1" min="5" max="5"/>
    <col width="4.5" customWidth="1" min="6" max="6"/>
    <col width="24.6640625" customWidth="1" min="7" max="7"/>
    <col width="13.5" customWidth="1" min="8" max="8"/>
    <col width="14.1640625" customWidth="1" min="9" max="9"/>
    <col width="11.33203125" customWidth="1" min="10" max="10"/>
    <col width="11.5" customWidth="1" min="11" max="11"/>
    <col width="12.5" customWidth="1" min="12" max="12"/>
    <col width="12.33203125" bestFit="1" customWidth="1" min="13" max="13"/>
    <col width="12.1640625" bestFit="1" customWidth="1" min="14" max="14"/>
    <col width="11.83203125" bestFit="1" customWidth="1" min="15" max="15"/>
    <col width="13" customWidth="1" min="16" max="16"/>
    <col width="12" customWidth="1" min="17" max="17"/>
    <col width="11.6640625" customWidth="1" style="42" min="18" max="18"/>
    <col width="12.5" bestFit="1" customWidth="1" style="42" min="19" max="19"/>
    <col width="12.1640625" customWidth="1" style="42" min="20" max="20"/>
    <col width="14" customWidth="1" style="42" min="21" max="21"/>
    <col width="12" customWidth="1" style="42" min="22" max="22"/>
    <col width="11.6640625" customWidth="1" style="42" min="23" max="29"/>
    <col width="14" bestFit="1" customWidth="1" style="42" min="30" max="30"/>
    <col width="11.6640625" customWidth="1" style="42" min="31" max="31"/>
    <col width="11.6640625" customWidth="1" min="32" max="36"/>
    <col width="9" bestFit="1" customWidth="1" min="37" max="37"/>
  </cols>
  <sheetData>
    <row r="2">
      <c r="B2" s="62" t="n"/>
      <c r="C2" s="63" t="n"/>
      <c r="G2" s="11" t="inlineStr">
        <is>
          <t>Unit Summary</t>
        </is>
      </c>
      <c r="H2" s="12" t="inlineStr">
        <is>
          <t>Units</t>
        </is>
      </c>
      <c r="I2" s="12" t="inlineStr">
        <is>
          <t>Mix</t>
        </is>
      </c>
      <c r="J2" s="12" t="inlineStr">
        <is>
          <t>100% AMI</t>
        </is>
      </c>
      <c r="K2" s="12" t="inlineStr">
        <is>
          <t>Avg Rent</t>
        </is>
      </c>
      <c r="L2" s="12" t="inlineStr">
        <is>
          <t>Avg SF</t>
        </is>
      </c>
      <c r="M2" s="13" t="inlineStr">
        <is>
          <t>Avg RPSF</t>
        </is>
      </c>
      <c r="N2" s="162" t="n"/>
      <c r="Q2" s="11" t="inlineStr">
        <is>
          <t>Timeline</t>
        </is>
      </c>
      <c r="R2" s="22" t="n"/>
      <c r="S2" s="99" t="n"/>
      <c r="U2" s="97" t="inlineStr">
        <is>
          <t>Construction Financing</t>
        </is>
      </c>
      <c r="V2" s="98" t="n"/>
      <c r="W2" s="99" t="n"/>
      <c r="Y2" s="97" t="inlineStr">
        <is>
          <t>Soft Debt</t>
        </is>
      </c>
      <c r="Z2" s="98" t="n"/>
      <c r="AA2" s="99" t="n"/>
    </row>
    <row r="3">
      <c r="B3" t="inlineStr">
        <is>
          <t>County</t>
        </is>
      </c>
      <c r="C3" s="179" t="n"/>
      <c r="G3" s="148" t="inlineStr">
        <is>
          <t>0B</t>
        </is>
      </c>
      <c r="H3" s="149">
        <f>+ROUNDDOWN($C$14*I3,0)</f>
        <v/>
      </c>
      <c r="I3" s="250" t="n">
        <v>0</v>
      </c>
      <c r="J3" s="330">
        <f>+INDEX('Market Inputs'!$D$4:$H$61,MATCH(Pro_Forma!$C$3,'Market Inputs'!$B$4:$B$61,0),MATCH(Pro_Forma!G3,'Market Inputs'!$D$3:$H$3,0))</f>
        <v/>
      </c>
      <c r="K3" s="42">
        <f>IFERROR(SUMPRODUCT(N10:N13,I10:I13)/SUM(I10:I13),"")</f>
        <v/>
      </c>
      <c r="L3" s="217" t="n">
        <v>402</v>
      </c>
      <c r="M3" s="108">
        <f>IFERROR(K3/L3,"")</f>
        <v/>
      </c>
      <c r="N3" s="42" t="n"/>
      <c r="Q3" s="6" t="inlineStr">
        <is>
          <t>Start Date</t>
        </is>
      </c>
      <c r="S3" s="160" t="n">
        <v>46387</v>
      </c>
      <c r="U3" s="253" t="inlineStr">
        <is>
          <t>Index Rate</t>
        </is>
      </c>
      <c r="V3" s="292" t="inlineStr">
        <is>
          <t>SOFR</t>
        </is>
      </c>
      <c r="W3" s="277" t="n">
        <v>0.039</v>
      </c>
      <c r="Y3" s="253" t="inlineStr">
        <is>
          <t>Amount</t>
        </is>
      </c>
      <c r="Z3" s="42" t="n"/>
      <c r="AA3" s="8">
        <f>+D79</f>
        <v/>
      </c>
      <c r="AD3" s="228" t="inlineStr">
        <is>
          <t>Land Cost/SF x DU/Ac</t>
        </is>
      </c>
      <c r="AF3" s="42" t="n"/>
      <c r="AG3" s="42" t="n"/>
      <c r="AH3" s="42" t="n"/>
      <c r="AI3" s="42" t="n"/>
      <c r="AJ3" s="42" t="n"/>
      <c r="AK3" s="42" t="n"/>
      <c r="AL3" s="42" t="n"/>
      <c r="AM3" s="42" t="n"/>
      <c r="AN3" s="42" t="n"/>
      <c r="AO3" s="42" t="n"/>
      <c r="AP3" s="42" t="n"/>
      <c r="AQ3" s="42" t="n"/>
    </row>
    <row r="4">
      <c r="B4" t="inlineStr">
        <is>
          <t>PHA</t>
        </is>
      </c>
      <c r="C4" s="179" t="inlineStr">
        <is>
          <t>Los Angeles</t>
        </is>
      </c>
      <c r="G4" s="148" t="inlineStr">
        <is>
          <t>1B</t>
        </is>
      </c>
      <c r="H4" s="149">
        <f>+MAX(C14-H3-H5-H6,2,I26)</f>
        <v/>
      </c>
      <c r="I4" s="255">
        <f>1-I3-I5-I6</f>
        <v/>
      </c>
      <c r="J4" s="330">
        <f>+INDEX('Market Inputs'!$D$4:$H$61,MATCH(Pro_Forma!$C$3,'Market Inputs'!$B$4:$B$61,0),MATCH(Pro_Forma!G4,'Market Inputs'!$D$3:$H$3,0))</f>
        <v/>
      </c>
      <c r="K4" s="42">
        <f>IFERROR(SUMPRODUCT(N14:N17,$I$14:$I$17)/SUM($I$14:$I$17),"")</f>
        <v/>
      </c>
      <c r="L4" s="217" t="n">
        <v>497</v>
      </c>
      <c r="M4" s="108">
        <f>IFERROR(K4/L4,"")</f>
        <v/>
      </c>
      <c r="N4" s="42" t="n"/>
      <c r="Q4" s="6" t="inlineStr">
        <is>
          <t>Start to Award</t>
        </is>
      </c>
      <c r="R4" s="42" t="n"/>
      <c r="S4" s="10" t="n">
        <v>6</v>
      </c>
      <c r="U4" s="253" t="inlineStr">
        <is>
          <t>Tax-Exempt Spread</t>
        </is>
      </c>
      <c r="V4" s="281" t="n"/>
      <c r="W4" s="277" t="n">
        <v>0.02</v>
      </c>
      <c r="Y4" s="253" t="inlineStr">
        <is>
          <t>Residual Receipts</t>
        </is>
      </c>
      <c r="Z4" s="42" t="n"/>
      <c r="AA4" s="102" t="n">
        <v>0.5</v>
      </c>
      <c r="AE4" s="42">
        <f>+AE5/$H$28</f>
        <v/>
      </c>
      <c r="AF4" s="42">
        <f>+AF5/$H$28</f>
        <v/>
      </c>
      <c r="AG4" s="42">
        <f>+AG5/$H$28</f>
        <v/>
      </c>
      <c r="AH4" s="42">
        <f>+AH5/$H$28</f>
        <v/>
      </c>
      <c r="AI4" s="42">
        <f>+AI5/$H$28</f>
        <v/>
      </c>
      <c r="AJ4" s="42">
        <f>+AJ5/$H$28</f>
        <v/>
      </c>
      <c r="AK4" s="42">
        <f>+AK5/$H$28</f>
        <v/>
      </c>
      <c r="AL4" s="42">
        <f>+AL5/$H$28</f>
        <v/>
      </c>
      <c r="AM4" s="42">
        <f>+AM5/$H$28</f>
        <v/>
      </c>
      <c r="AN4" s="42">
        <f>+AN5/$H$28</f>
        <v/>
      </c>
      <c r="AO4" s="42">
        <f>+AO5/$H$28</f>
        <v/>
      </c>
      <c r="AP4" s="42">
        <f>+AP5/$H$28</f>
        <v/>
      </c>
      <c r="AQ4" s="42">
        <f>+AQ5/$H$28</f>
        <v/>
      </c>
    </row>
    <row r="5">
      <c r="B5" t="inlineStr">
        <is>
          <t>QCT/DDA</t>
        </is>
      </c>
      <c r="C5" s="179" t="inlineStr">
        <is>
          <t>QCT</t>
        </is>
      </c>
      <c r="F5" s="51" t="n"/>
      <c r="G5" s="148" t="inlineStr">
        <is>
          <t>2B</t>
        </is>
      </c>
      <c r="H5" s="149">
        <f>+ROUNDDOWN($C$14*I5,0)</f>
        <v/>
      </c>
      <c r="I5" s="250" t="n">
        <v>0.25</v>
      </c>
      <c r="J5" s="330">
        <f>+INDEX('Market Inputs'!$D$4:$H$61,MATCH(Pro_Forma!$C$3,'Market Inputs'!$B$4:$B$61,0),MATCH(Pro_Forma!G5,'Market Inputs'!$D$3:$H$3,0))</f>
        <v/>
      </c>
      <c r="K5" s="42">
        <f>IFERROR(SUMPRODUCT(N18:N21,$I$18:$I$21)/SUM($I$18:$I$21),"")</f>
        <v/>
      </c>
      <c r="L5" s="217" t="n">
        <v>700</v>
      </c>
      <c r="M5" s="108">
        <f>IFERROR(K5/L5,"")</f>
        <v/>
      </c>
      <c r="N5" s="42" t="n"/>
      <c r="Q5" s="6" t="inlineStr">
        <is>
          <t>Award to Close</t>
        </is>
      </c>
      <c r="S5" s="161" t="n">
        <v>6</v>
      </c>
      <c r="U5" s="253" t="inlineStr">
        <is>
          <t>Tax-Exempt Rate</t>
        </is>
      </c>
      <c r="V5" s="282" t="n"/>
      <c r="W5" s="74">
        <f>+W4+W3</f>
        <v/>
      </c>
      <c r="Y5" s="253" t="inlineStr">
        <is>
          <t>Interest Type</t>
        </is>
      </c>
      <c r="Z5" s="42" t="n"/>
      <c r="AA5" s="294" t="inlineStr">
        <is>
          <t>Simple</t>
        </is>
      </c>
      <c r="AD5" s="93">
        <f>D66</f>
        <v/>
      </c>
      <c r="AE5" s="84" t="n">
        <v>80</v>
      </c>
      <c r="AF5" s="84">
        <f>+AE5+20</f>
        <v/>
      </c>
      <c r="AG5" s="84">
        <f>+AF5+20</f>
        <v/>
      </c>
      <c r="AH5" s="84">
        <f>+AG5+20</f>
        <v/>
      </c>
      <c r="AI5" s="84">
        <f>+AH5+20</f>
        <v/>
      </c>
      <c r="AJ5" s="84">
        <f>+AI5+20</f>
        <v/>
      </c>
      <c r="AK5" s="84">
        <f>+AJ5+20</f>
        <v/>
      </c>
      <c r="AL5" s="84">
        <f>+AK5+20</f>
        <v/>
      </c>
      <c r="AM5" s="84">
        <f>+AL5+20</f>
        <v/>
      </c>
      <c r="AN5" s="84">
        <f>+AM5+20</f>
        <v/>
      </c>
      <c r="AO5" s="84">
        <f>+AN5+20</f>
        <v/>
      </c>
      <c r="AP5" s="84">
        <f>+AO5+20</f>
        <v/>
      </c>
      <c r="AQ5" s="84">
        <f>+AP5+20</f>
        <v/>
      </c>
    </row>
    <row r="6">
      <c r="B6" t="inlineStr">
        <is>
          <t>Resource Area</t>
        </is>
      </c>
      <c r="C6" s="179" t="inlineStr">
        <is>
          <t>Highest</t>
        </is>
      </c>
      <c r="G6" s="148" t="inlineStr">
        <is>
          <t>3B</t>
        </is>
      </c>
      <c r="H6" s="149">
        <f>+ROUNDDOWN($C$14*I6,0)</f>
        <v/>
      </c>
      <c r="I6" s="250" t="n">
        <v>0.25</v>
      </c>
      <c r="J6" s="330">
        <f>+INDEX('Market Inputs'!$D$4:$H$61,MATCH(Pro_Forma!$C$3,'Market Inputs'!$B$4:$B$61,0),MATCH(Pro_Forma!G6,'Market Inputs'!$D$3:$H$3,0))</f>
        <v/>
      </c>
      <c r="K6" s="42">
        <f>IFERROR(SUMPRODUCT(N22:N25,$I$22:$I$25)/SUM($I$22:$I$25),"")</f>
        <v/>
      </c>
      <c r="L6" s="217" t="n">
        <v>900</v>
      </c>
      <c r="M6" s="108">
        <f>IFERROR(K6/L6,"")</f>
        <v/>
      </c>
      <c r="Q6" s="6" t="inlineStr">
        <is>
          <t>Construction</t>
        </is>
      </c>
      <c r="S6" s="161" t="n">
        <v>24</v>
      </c>
      <c r="U6" s="278" t="inlineStr">
        <is>
          <t>Tax-Exempt Loan</t>
        </is>
      </c>
      <c r="V6" s="98" t="n"/>
      <c r="W6" s="99">
        <f>+D62</f>
        <v/>
      </c>
      <c r="Y6" s="253" t="inlineStr">
        <is>
          <t>Interest Rate</t>
        </is>
      </c>
      <c r="Z6" s="42" t="n"/>
      <c r="AA6" s="277" t="n">
        <v>0.03</v>
      </c>
      <c r="AD6" s="85" t="n">
        <v>40</v>
      </c>
      <c r="AF6" s="42" t="n"/>
      <c r="AG6" s="42" t="n"/>
      <c r="AH6" s="42" t="n"/>
      <c r="AI6" s="42" t="n"/>
      <c r="AJ6" s="42" t="n"/>
      <c r="AK6" s="42" t="n"/>
      <c r="AL6" s="42" t="n"/>
      <c r="AM6" s="42" t="n"/>
      <c r="AN6" s="42" t="n"/>
      <c r="AO6" s="42" t="n"/>
      <c r="AP6" s="42" t="n"/>
      <c r="AQ6" s="42" t="n"/>
    </row>
    <row r="7">
      <c r="B7" t="inlineStr">
        <is>
          <t>Neighborhood Change Area</t>
        </is>
      </c>
      <c r="C7" s="179" t="inlineStr">
        <is>
          <t>No</t>
        </is>
      </c>
      <c r="G7" s="150" t="inlineStr">
        <is>
          <t>Total</t>
        </is>
      </c>
      <c r="H7" s="151">
        <f>+SUM(H3:H6)</f>
        <v/>
      </c>
      <c r="I7" s="249">
        <f>+H7/$C$14</f>
        <v/>
      </c>
      <c r="J7" s="22" t="n"/>
      <c r="K7" s="65">
        <f>+N28</f>
        <v/>
      </c>
      <c r="L7" s="65">
        <f>+SUMPRODUCT(L3:L6,I3:I6)</f>
        <v/>
      </c>
      <c r="M7" s="163">
        <f>+K7/L7</f>
        <v/>
      </c>
      <c r="N7" s="54" t="n"/>
      <c r="Q7" s="109" t="inlineStr">
        <is>
          <t>Monthly Absorption</t>
        </is>
      </c>
      <c r="R7" s="42" t="n"/>
      <c r="S7" s="10" t="n">
        <v>30</v>
      </c>
      <c r="U7" s="253" t="inlineStr">
        <is>
          <t>Taxable Spread</t>
        </is>
      </c>
      <c r="V7" s="281" t="n"/>
      <c r="W7" s="277" t="n">
        <v>0.02</v>
      </c>
      <c r="Y7" s="253" t="inlineStr">
        <is>
          <t>Construction Phase?</t>
        </is>
      </c>
      <c r="Z7" s="42" t="n"/>
      <c r="AA7" s="294" t="inlineStr">
        <is>
          <t>No</t>
        </is>
      </c>
      <c r="AD7" s="85">
        <f>+AD6+20</f>
        <v/>
      </c>
      <c r="AF7" s="42" t="n"/>
      <c r="AG7" s="42" t="n"/>
      <c r="AH7" s="42" t="n"/>
      <c r="AI7" s="42" t="n"/>
      <c r="AJ7" s="42" t="n"/>
      <c r="AK7" s="42" t="n"/>
      <c r="AL7" s="42" t="n"/>
      <c r="AM7" s="42" t="n"/>
      <c r="AN7" s="42" t="n"/>
      <c r="AO7" s="42" t="n"/>
      <c r="AP7" s="42" t="n"/>
      <c r="AQ7" s="42" t="n"/>
    </row>
    <row r="8">
      <c r="B8" t="inlineStr">
        <is>
          <t>CRA</t>
        </is>
      </c>
      <c r="C8" s="179" t="inlineStr">
        <is>
          <t>No</t>
        </is>
      </c>
      <c r="E8" s="80" t="n"/>
      <c r="I8" s="21" t="n"/>
      <c r="Q8" s="109" t="inlineStr">
        <is>
          <t>Perm Delay</t>
        </is>
      </c>
      <c r="R8" s="42" t="n"/>
      <c r="S8" s="10" t="n">
        <v>3</v>
      </c>
      <c r="U8" s="253" t="inlineStr">
        <is>
          <t>Taxable Rate</t>
        </is>
      </c>
      <c r="V8" s="282" t="n"/>
      <c r="W8" s="74">
        <f>+W7+W3</f>
        <v/>
      </c>
      <c r="Y8" s="253" t="inlineStr">
        <is>
          <t>Basis Eligible Interest</t>
        </is>
      </c>
      <c r="Z8" s="42" t="n"/>
      <c r="AA8" s="8">
        <f>+D68*C79/12*S6</f>
        <v/>
      </c>
      <c r="AD8" s="85">
        <f>+AD7+20</f>
        <v/>
      </c>
      <c r="AF8" s="42" t="n"/>
      <c r="AG8" s="42" t="n"/>
      <c r="AH8" s="42" t="n"/>
      <c r="AI8" s="42" t="n"/>
      <c r="AJ8" s="42" t="n"/>
      <c r="AK8" s="42" t="n"/>
      <c r="AL8" s="42" t="n"/>
      <c r="AM8" s="42" t="n"/>
      <c r="AN8" s="42" t="n"/>
      <c r="AO8" s="42" t="n"/>
      <c r="AP8" s="42" t="n"/>
      <c r="AQ8" s="42" t="n"/>
    </row>
    <row r="9">
      <c r="B9" t="inlineStr">
        <is>
          <t>Construction Type</t>
        </is>
      </c>
      <c r="C9" s="179" t="inlineStr">
        <is>
          <t>Type III</t>
        </is>
      </c>
      <c r="G9" s="11" t="inlineStr">
        <is>
          <t>Rent Roll</t>
        </is>
      </c>
      <c r="H9" s="12" t="inlineStr">
        <is>
          <t>SF</t>
        </is>
      </c>
      <c r="I9" s="12" t="inlineStr">
        <is>
          <t>Units</t>
        </is>
      </c>
      <c r="J9" s="12" t="inlineStr">
        <is>
          <t>AMI</t>
        </is>
      </c>
      <c r="K9" s="12" t="inlineStr">
        <is>
          <t>Gross Rent Lim</t>
        </is>
      </c>
      <c r="L9" s="12" t="inlineStr">
        <is>
          <t>Util Allow</t>
        </is>
      </c>
      <c r="M9" s="12" t="inlineStr">
        <is>
          <t>Net Rent Limit</t>
        </is>
      </c>
      <c r="N9" s="12" t="inlineStr">
        <is>
          <t>Actual Rent</t>
        </is>
      </c>
      <c r="O9" s="13" t="inlineStr">
        <is>
          <t>Net RPSF</t>
        </is>
      </c>
      <c r="Q9" s="20" t="inlineStr">
        <is>
          <t>Conversion</t>
        </is>
      </c>
      <c r="R9" s="21" t="n"/>
      <c r="S9" s="220">
        <f>MAX(ROUNDUP(C14/S7,0)+S8,8)</f>
        <v/>
      </c>
      <c r="U9" s="278" t="inlineStr">
        <is>
          <t>Taxable Loan</t>
        </is>
      </c>
      <c r="V9" s="98" t="n"/>
      <c r="W9" s="99">
        <f>+D63</f>
        <v/>
      </c>
      <c r="Y9" s="216" t="inlineStr">
        <is>
          <t>Non-Eligible Interest</t>
        </is>
      </c>
      <c r="Z9" s="90" t="n"/>
      <c r="AA9" s="34">
        <f>+D68*C79/12*S9</f>
        <v/>
      </c>
      <c r="AD9" s="85">
        <f>+AD8+20</f>
        <v/>
      </c>
      <c r="AF9" s="42" t="n"/>
      <c r="AG9" s="42" t="n"/>
      <c r="AH9" s="42" t="n"/>
      <c r="AI9" s="42" t="n"/>
      <c r="AJ9" s="42" t="n"/>
      <c r="AK9" s="42" t="n"/>
      <c r="AL9" s="42" t="n"/>
      <c r="AM9" s="42" t="n"/>
      <c r="AN9" s="42" t="n"/>
      <c r="AO9" s="42" t="n"/>
      <c r="AP9" s="42" t="n"/>
      <c r="AQ9" s="42" t="n"/>
    </row>
    <row r="10">
      <c r="B10" t="inlineStr">
        <is>
          <t>Prevailing Wage</t>
        </is>
      </c>
      <c r="C10" s="179" t="inlineStr">
        <is>
          <t>No</t>
        </is>
      </c>
      <c r="G10" s="6" t="inlineStr">
        <is>
          <t>0B</t>
        </is>
      </c>
      <c r="H10" s="186">
        <f>+L3</f>
        <v/>
      </c>
      <c r="I10" s="229">
        <f>+ROUNDUP($H$3*R35,0)</f>
        <v/>
      </c>
      <c r="J10" s="207" t="n">
        <v>0.3</v>
      </c>
      <c r="K10" s="42">
        <f>+J10*$J$3</f>
        <v/>
      </c>
      <c r="L10" s="186">
        <f>+AI55</f>
        <v/>
      </c>
      <c r="M10" s="42">
        <f>+K10-L10</f>
        <v/>
      </c>
      <c r="N10" s="217">
        <f>+M10</f>
        <v/>
      </c>
      <c r="O10" s="191">
        <f>+N10/H10</f>
        <v/>
      </c>
      <c r="Q10" s="164" t="n"/>
      <c r="R10" s="164" t="n"/>
      <c r="S10" s="165" t="n"/>
      <c r="U10" s="276" t="inlineStr">
        <is>
          <t>Total Construction Loan</t>
        </is>
      </c>
      <c r="V10" s="89" t="n"/>
      <c r="W10" s="279">
        <f>+W9+W6</f>
        <v/>
      </c>
      <c r="AD10" s="85">
        <f>+AD9+20</f>
        <v/>
      </c>
      <c r="AF10" s="42" t="n"/>
      <c r="AG10" s="42" t="n"/>
      <c r="AH10" s="42" t="n"/>
      <c r="AI10" s="42" t="n"/>
      <c r="AJ10" s="42" t="n"/>
      <c r="AK10" s="42" t="n"/>
      <c r="AL10" s="42" t="n"/>
      <c r="AM10" s="42" t="n"/>
      <c r="AN10" s="42" t="n"/>
      <c r="AO10" s="42" t="n"/>
      <c r="AP10" s="42" t="n"/>
      <c r="AQ10" s="42" t="n"/>
    </row>
    <row r="11">
      <c r="B11" t="inlineStr">
        <is>
          <t>BIPOC?</t>
        </is>
      </c>
      <c r="C11" s="179" t="inlineStr">
        <is>
          <t>No</t>
        </is>
      </c>
      <c r="G11" s="6" t="inlineStr">
        <is>
          <t>0B</t>
        </is>
      </c>
      <c r="H11" s="186">
        <f>+H10</f>
        <v/>
      </c>
      <c r="I11" s="229">
        <f>+IF(SUM(R35:R36)&lt;=0.2,ROUNDUP($H$3*R36,0),ROUNDDOWN(H3*R36,0))</f>
        <v/>
      </c>
      <c r="J11" s="207" t="n">
        <v>0.5</v>
      </c>
      <c r="K11" s="42">
        <f>+J11*$J$3</f>
        <v/>
      </c>
      <c r="L11" s="186">
        <f>+L10</f>
        <v/>
      </c>
      <c r="M11" s="42">
        <f>+K11-L11</f>
        <v/>
      </c>
      <c r="N11" s="217">
        <f>+M11</f>
        <v/>
      </c>
      <c r="O11" s="191">
        <f>+N11/H11</f>
        <v/>
      </c>
      <c r="Q11" s="11" t="inlineStr">
        <is>
          <t>Ground Lease Underwriting</t>
        </is>
      </c>
      <c r="R11" s="22" t="n"/>
      <c r="S11" s="215">
        <f>IF($D$59="Ground Lessor","On","Off")</f>
        <v/>
      </c>
      <c r="U11" s="216" t="inlineStr">
        <is>
          <t>Blended Rate</t>
        </is>
      </c>
      <c r="V11" s="283" t="n"/>
      <c r="W11" s="280">
        <f>+(W5*W6+W8*W9)/W10</f>
        <v/>
      </c>
      <c r="X11" s="253" t="n"/>
      <c r="AD11" s="85">
        <f>+AD10+20</f>
        <v/>
      </c>
      <c r="AF11" s="42" t="n"/>
      <c r="AG11" s="42" t="n"/>
      <c r="AH11" s="42" t="n"/>
      <c r="AI11" s="42" t="n"/>
      <c r="AJ11" s="42" t="n"/>
      <c r="AK11" s="42" t="n"/>
      <c r="AL11" s="42" t="n"/>
      <c r="AM11" s="42" t="n"/>
      <c r="AN11" s="42" t="n"/>
      <c r="AO11" s="42" t="n"/>
      <c r="AP11" s="42" t="n"/>
      <c r="AQ11" s="42" t="n"/>
    </row>
    <row r="12">
      <c r="B12" t="inlineStr">
        <is>
          <t>Lot SF/Acres</t>
        </is>
      </c>
      <c r="C12" s="217" t="n"/>
      <c r="D12" s="331">
        <f>C12/43560</f>
        <v/>
      </c>
      <c r="E12" s="331" t="n"/>
      <c r="G12" s="6" t="inlineStr">
        <is>
          <t>0B</t>
        </is>
      </c>
      <c r="H12" s="186">
        <f>+H11</f>
        <v/>
      </c>
      <c r="I12" s="229">
        <f>+H3-I10-I11-I13</f>
        <v/>
      </c>
      <c r="J12" s="207" t="n">
        <v>0.6</v>
      </c>
      <c r="K12" s="42">
        <f>+J12*$J$3</f>
        <v/>
      </c>
      <c r="L12" s="186">
        <f>+L11</f>
        <v/>
      </c>
      <c r="M12" s="42">
        <f>+K12-L12</f>
        <v/>
      </c>
      <c r="N12" s="217">
        <f>+M12</f>
        <v/>
      </c>
      <c r="O12" s="191">
        <f>+N12/H12</f>
        <v/>
      </c>
      <c r="Q12" s="6" t="inlineStr">
        <is>
          <t>NOI Coverage</t>
        </is>
      </c>
      <c r="R12" s="42" t="n"/>
      <c r="S12" s="332" t="n">
        <v>2.5</v>
      </c>
      <c r="T12" s="253" t="n"/>
      <c r="U12" s="91" t="n"/>
      <c r="V12" s="91" t="n"/>
      <c r="W12" s="98" t="n"/>
      <c r="AD12" s="85">
        <f>+AD11+20</f>
        <v/>
      </c>
      <c r="AF12" s="42" t="n"/>
      <c r="AG12" s="42" t="n"/>
      <c r="AH12" s="42" t="n"/>
      <c r="AI12" s="42" t="n"/>
      <c r="AJ12" s="42" t="n"/>
      <c r="AK12" s="42" t="n"/>
      <c r="AL12" s="42" t="n"/>
      <c r="AM12" s="42" t="n"/>
      <c r="AN12" s="42" t="n"/>
      <c r="AO12" s="42" t="n"/>
      <c r="AP12" s="42" t="n"/>
      <c r="AQ12" s="42" t="n"/>
    </row>
    <row r="13">
      <c r="B13" t="inlineStr">
        <is>
          <t>DU/Ac</t>
        </is>
      </c>
      <c r="C13" s="186">
        <f>+C14/D12</f>
        <v/>
      </c>
      <c r="G13" s="6" t="inlineStr">
        <is>
          <t>0B</t>
        </is>
      </c>
      <c r="H13" s="186">
        <f>+H12</f>
        <v/>
      </c>
      <c r="I13" s="229">
        <f>+MAX(0,MIN(S38-I25-I21-I17,H3-I10-I11))</f>
        <v/>
      </c>
      <c r="J13" s="207">
        <f>+P38</f>
        <v/>
      </c>
      <c r="K13" s="42">
        <f>+J13*$J$3*(1-$S$40)</f>
        <v/>
      </c>
      <c r="L13" s="186">
        <f>+L12</f>
        <v/>
      </c>
      <c r="M13" s="42">
        <f>+K13-L13</f>
        <v/>
      </c>
      <c r="N13" s="217">
        <f>+M13</f>
        <v/>
      </c>
      <c r="O13" s="191">
        <f>+N13/H13</f>
        <v/>
      </c>
      <c r="Q13" s="6" t="inlineStr">
        <is>
          <t>Derived Ground rent</t>
        </is>
      </c>
      <c r="S13" s="8">
        <f>+H36/S12</f>
        <v/>
      </c>
      <c r="U13" s="97" t="inlineStr">
        <is>
          <t>Permanent Financing</t>
        </is>
      </c>
      <c r="V13" s="98" t="n"/>
      <c r="W13" s="302" t="inlineStr">
        <is>
          <t>Fannie</t>
        </is>
      </c>
      <c r="X13" s="310" t="inlineStr">
        <is>
          <t>Fannie</t>
        </is>
      </c>
      <c r="Y13" s="311" t="inlineStr">
        <is>
          <t>Freddie</t>
        </is>
      </c>
      <c r="Z13" s="301" t="inlineStr">
        <is>
          <t>Private</t>
        </is>
      </c>
      <c r="AD13" s="85">
        <f>+AD12+20</f>
        <v/>
      </c>
      <c r="AF13" s="42" t="n"/>
      <c r="AG13" s="42" t="n"/>
      <c r="AH13" s="42" t="n"/>
      <c r="AI13" s="42" t="n"/>
      <c r="AJ13" s="42" t="n"/>
      <c r="AK13" s="42" t="n"/>
      <c r="AL13" s="42" t="n"/>
      <c r="AM13" s="42" t="n"/>
      <c r="AN13" s="42" t="n"/>
      <c r="AO13" s="42" t="n"/>
      <c r="AP13" s="42" t="n"/>
      <c r="AQ13" s="42" t="n"/>
    </row>
    <row r="14">
      <c r="B14" t="inlineStr">
        <is>
          <t>Units</t>
        </is>
      </c>
      <c r="C14" s="186">
        <f>+MAX(ROUNDDOWN(C17/L7,0),1)</f>
        <v/>
      </c>
      <c r="G14" s="155" t="inlineStr">
        <is>
          <t>1B</t>
        </is>
      </c>
      <c r="H14" s="188">
        <f>+L4</f>
        <v/>
      </c>
      <c r="I14" s="205">
        <f>+ROUNDUP($H$4*R35,0)</f>
        <v/>
      </c>
      <c r="J14" s="208" t="n">
        <v>0.3</v>
      </c>
      <c r="K14" s="156">
        <f>+J14*$J$4</f>
        <v/>
      </c>
      <c r="L14" s="188">
        <f>+AJ55</f>
        <v/>
      </c>
      <c r="M14" s="156">
        <f>+K14-L14</f>
        <v/>
      </c>
      <c r="N14" s="271">
        <f>+M14</f>
        <v/>
      </c>
      <c r="O14" s="192">
        <f>+N14/H14</f>
        <v/>
      </c>
      <c r="Q14" s="6" t="inlineStr">
        <is>
          <t>Cap Rate</t>
        </is>
      </c>
      <c r="S14" s="211">
        <f>+S20</f>
        <v/>
      </c>
      <c r="U14" s="253" t="inlineStr">
        <is>
          <t>NOI</t>
        </is>
      </c>
      <c r="V14" s="42" t="n"/>
      <c r="W14" s="8">
        <f>+H38</f>
        <v/>
      </c>
      <c r="X14" s="253" t="n"/>
      <c r="Y14" s="42" t="n"/>
      <c r="Z14" s="8" t="n"/>
      <c r="AD14" s="85">
        <f>+AD13+20</f>
        <v/>
      </c>
      <c r="AF14" s="42" t="n"/>
      <c r="AG14" s="42" t="n"/>
      <c r="AH14" s="42" t="n"/>
      <c r="AI14" s="42" t="n"/>
      <c r="AJ14" s="42" t="n"/>
      <c r="AK14" s="42" t="n"/>
      <c r="AL14" s="42" t="n"/>
      <c r="AM14" s="42" t="n"/>
      <c r="AN14" s="42" t="n"/>
      <c r="AO14" s="42" t="n"/>
      <c r="AP14" s="42" t="n"/>
      <c r="AQ14" s="42" t="n"/>
    </row>
    <row r="15">
      <c r="B15" t="inlineStr">
        <is>
          <t>Residential Stories</t>
        </is>
      </c>
      <c r="C15" s="217" t="n"/>
      <c r="G15" s="6" t="inlineStr">
        <is>
          <t>1B</t>
        </is>
      </c>
      <c r="H15" s="186">
        <f>+H14</f>
        <v/>
      </c>
      <c r="I15" s="229">
        <f>+IF(SUM(R35:R36)&lt;=0.2,ROUNDUP($H$4*R36,0),ROUNDDOWN(H4*R36,0))</f>
        <v/>
      </c>
      <c r="J15" s="207" t="n">
        <v>0.5</v>
      </c>
      <c r="K15" s="42">
        <f>+J15*$J$4</f>
        <v/>
      </c>
      <c r="L15" s="186">
        <f>+L14</f>
        <v/>
      </c>
      <c r="M15" s="42">
        <f>+K15-L15</f>
        <v/>
      </c>
      <c r="N15" s="217">
        <f>+M15</f>
        <v/>
      </c>
      <c r="O15" s="191">
        <f>+N15/H15</f>
        <v/>
      </c>
      <c r="Q15" s="6" t="inlineStr">
        <is>
          <t>Value</t>
        </is>
      </c>
      <c r="S15" s="210">
        <f>+S13/S14</f>
        <v/>
      </c>
      <c r="U15" s="253" t="inlineStr">
        <is>
          <t>Amortization</t>
        </is>
      </c>
      <c r="V15" s="217" t="n"/>
      <c r="W15" s="210">
        <f>+_xlfn.XLOOKUP($W$13,$X$13:$Z$13,$X15:$Z15)</f>
        <v/>
      </c>
      <c r="X15" s="305" t="n">
        <v>40</v>
      </c>
      <c r="Y15" s="217" t="n">
        <v>40</v>
      </c>
      <c r="Z15" s="10" t="n">
        <v>40</v>
      </c>
      <c r="AD15" s="85">
        <f>+AD14+20</f>
        <v/>
      </c>
      <c r="AF15" s="42" t="n"/>
      <c r="AG15" s="42" t="n"/>
      <c r="AH15" s="42" t="n"/>
      <c r="AI15" s="42" t="n"/>
      <c r="AJ15" s="42" t="n"/>
      <c r="AK15" s="42" t="n"/>
      <c r="AL15" s="42" t="n"/>
      <c r="AM15" s="42" t="n"/>
      <c r="AN15" s="42" t="n"/>
      <c r="AO15" s="42" t="n"/>
      <c r="AP15" s="42" t="n"/>
      <c r="AQ15" s="42" t="n"/>
    </row>
    <row r="16">
      <c r="B16" t="inlineStr">
        <is>
          <t>FAR</t>
        </is>
      </c>
      <c r="C16" s="327">
        <f>3.7/5*C15</f>
        <v/>
      </c>
      <c r="G16" s="6" t="inlineStr">
        <is>
          <t>1B</t>
        </is>
      </c>
      <c r="H16" s="186">
        <f>+H15</f>
        <v/>
      </c>
      <c r="I16" s="229">
        <f>+H4-I14-I15-I17-I26</f>
        <v/>
      </c>
      <c r="J16" s="207" t="n">
        <v>0.6</v>
      </c>
      <c r="K16" s="42">
        <f>+J16*$J$4</f>
        <v/>
      </c>
      <c r="L16" s="186">
        <f>+L15</f>
        <v/>
      </c>
      <c r="M16" s="42">
        <f>+K16-L16</f>
        <v/>
      </c>
      <c r="N16" s="217">
        <f>+M16</f>
        <v/>
      </c>
      <c r="O16" s="191">
        <f>+N16/H16</f>
        <v/>
      </c>
      <c r="Q16" s="6" t="inlineStr">
        <is>
          <t>Land Costs</t>
        </is>
      </c>
      <c r="R16" s="333">
        <f>+S16/D12/43560</f>
        <v/>
      </c>
      <c r="S16" s="239" t="n"/>
      <c r="U16" s="253" t="inlineStr">
        <is>
          <t>DSCR</t>
        </is>
      </c>
      <c r="V16" s="42" t="n"/>
      <c r="W16" s="320">
        <f>+_xlfn.XLOOKUP($W$13,$X$13:$Z$13,$X16:$Z16)</f>
        <v/>
      </c>
      <c r="X16" s="306" t="n">
        <v>1.15</v>
      </c>
      <c r="Y16" s="307" t="n">
        <v>1.15</v>
      </c>
      <c r="Z16" s="101" t="n">
        <v>1.15</v>
      </c>
      <c r="AD16" s="85">
        <f>+AD15+20</f>
        <v/>
      </c>
      <c r="AF16" s="42" t="n"/>
      <c r="AG16" s="42" t="n"/>
      <c r="AH16" s="42" t="n"/>
      <c r="AI16" s="42" t="n"/>
      <c r="AJ16" s="42" t="n"/>
      <c r="AK16" s="42" t="n"/>
      <c r="AL16" s="42" t="n"/>
      <c r="AM16" s="42" t="n"/>
      <c r="AN16" s="42" t="n"/>
      <c r="AO16" s="42" t="n"/>
      <c r="AP16" s="42" t="n"/>
      <c r="AQ16" s="42" t="n"/>
    </row>
    <row r="17">
      <c r="B17" t="inlineStr">
        <is>
          <t>NRSF</t>
        </is>
      </c>
      <c r="C17" s="42">
        <f>+D12*43560*C16*0.8</f>
        <v/>
      </c>
      <c r="G17" s="6" t="inlineStr">
        <is>
          <t>1B</t>
        </is>
      </c>
      <c r="H17" s="186">
        <f>+H16</f>
        <v/>
      </c>
      <c r="I17" s="229">
        <f>+MAX(0,MIN(H4-I14-I15-I26,S38-I25-I21))</f>
        <v/>
      </c>
      <c r="J17" s="207">
        <f>+P38</f>
        <v/>
      </c>
      <c r="K17" s="42">
        <f>+J17*$J$4*(1-$S$40)</f>
        <v/>
      </c>
      <c r="L17" s="186">
        <f>+L16</f>
        <v/>
      </c>
      <c r="M17" s="42">
        <f>+K17-L17</f>
        <v/>
      </c>
      <c r="N17" s="217">
        <f>+M17</f>
        <v/>
      </c>
      <c r="O17" s="191">
        <f>+N17/H17</f>
        <v/>
      </c>
      <c r="Q17" s="6" t="n"/>
      <c r="R17" s="42" t="n"/>
      <c r="S17" s="275">
        <f>+S16/I28</f>
        <v/>
      </c>
      <c r="U17" s="253" t="inlineStr">
        <is>
          <t xml:space="preserve">Tax-Exempt Index </t>
        </is>
      </c>
      <c r="V17" s="42" t="n"/>
      <c r="W17" s="321">
        <f>+_xlfn.XLOOKUP($W$13,$X$13:$Z$13,$X17:$Z17)</f>
        <v/>
      </c>
      <c r="X17" s="308" t="inlineStr">
        <is>
          <t>MMD</t>
        </is>
      </c>
      <c r="Y17" s="309" t="inlineStr">
        <is>
          <t>US10Y</t>
        </is>
      </c>
      <c r="Z17" s="294" t="inlineStr">
        <is>
          <t>US10Y</t>
        </is>
      </c>
      <c r="AD17" s="85">
        <f>+AD16+20</f>
        <v/>
      </c>
      <c r="AF17" s="42" t="n"/>
      <c r="AG17" s="42" t="n"/>
      <c r="AH17" s="42" t="n"/>
      <c r="AI17" s="42" t="n"/>
      <c r="AJ17" s="42" t="n"/>
      <c r="AK17" s="42" t="n"/>
      <c r="AL17" s="42" t="n"/>
      <c r="AM17" s="42" t="n"/>
      <c r="AN17" s="42" t="n"/>
      <c r="AO17" s="42" t="n"/>
      <c r="AP17" s="42" t="n"/>
      <c r="AQ17" s="42" t="n"/>
    </row>
    <row r="18">
      <c r="B18" t="inlineStr">
        <is>
          <t>Podium Levels</t>
        </is>
      </c>
      <c r="C18" s="35" t="n">
        <v>2</v>
      </c>
      <c r="D18" s="258">
        <f>ROUNDDOWN(MIN(C17/0.75*1.1/C15*C18,C12*0.9*C18)/400,0)</f>
        <v/>
      </c>
      <c r="E18" s="267">
        <f>+D18/I28</f>
        <v/>
      </c>
      <c r="G18" s="155" t="inlineStr">
        <is>
          <t>2B</t>
        </is>
      </c>
      <c r="H18" s="188">
        <f>+L5</f>
        <v/>
      </c>
      <c r="I18" s="205">
        <f>+ROUNDUP($H$5*R35,0)</f>
        <v/>
      </c>
      <c r="J18" s="208" t="n">
        <v>0.3</v>
      </c>
      <c r="K18" s="156">
        <f>+J18*$J$5</f>
        <v/>
      </c>
      <c r="L18" s="188">
        <f>+AK55</f>
        <v/>
      </c>
      <c r="M18" s="156">
        <f>+K18-L18</f>
        <v/>
      </c>
      <c r="N18" s="271">
        <f>+M18</f>
        <v/>
      </c>
      <c r="O18" s="192">
        <f>+N18/H18</f>
        <v/>
      </c>
      <c r="Q18" s="77" t="inlineStr">
        <is>
          <t>Surplus Proceeds</t>
        </is>
      </c>
      <c r="S18" s="76">
        <f>+IF(S11="On",S15-S16,0)</f>
        <v/>
      </c>
      <c r="U18" s="253" t="inlineStr">
        <is>
          <t>Index Rate</t>
        </is>
      </c>
      <c r="V18" s="293" t="n"/>
      <c r="W18" s="322">
        <f>+_xlfn.XLOOKUP($W$13,$X$13:$Z$13,$X18:$Z18)</f>
        <v/>
      </c>
      <c r="X18" s="299" t="n">
        <v>0.0385</v>
      </c>
      <c r="Y18" s="281" t="n">
        <v>0.045</v>
      </c>
      <c r="Z18" s="277" t="n">
        <v>0.045</v>
      </c>
      <c r="AD18" s="85">
        <f>+AD17+20</f>
        <v/>
      </c>
      <c r="AF18" s="42" t="n"/>
      <c r="AG18" s="42" t="n"/>
      <c r="AH18" s="42" t="n"/>
      <c r="AI18" s="42" t="n"/>
      <c r="AJ18" s="42" t="n"/>
      <c r="AK18" s="42" t="n"/>
      <c r="AL18" s="42" t="n"/>
      <c r="AM18" s="42" t="n"/>
      <c r="AN18" s="42" t="n"/>
      <c r="AO18" s="42" t="n"/>
      <c r="AP18" s="42" t="n"/>
      <c r="AQ18" s="42" t="n"/>
    </row>
    <row r="19">
      <c r="B19" t="inlineStr">
        <is>
          <t>Rent Growth</t>
        </is>
      </c>
      <c r="C19" s="36" t="n">
        <v>0.025</v>
      </c>
      <c r="G19" s="6" t="inlineStr">
        <is>
          <t>2B</t>
        </is>
      </c>
      <c r="H19" s="186">
        <f>+H18</f>
        <v/>
      </c>
      <c r="I19" s="229">
        <f>+IF(SUM(R35:R36)&lt;=0.2,ROUNDUP($H$5*R36,0),ROUNDDOWN(H5*R36,0))</f>
        <v/>
      </c>
      <c r="J19" s="207" t="n">
        <v>0.5</v>
      </c>
      <c r="K19" s="42">
        <f>+J19*$J$5</f>
        <v/>
      </c>
      <c r="L19" s="186">
        <f>+L18</f>
        <v/>
      </c>
      <c r="M19" s="42">
        <f>+K19-L19</f>
        <v/>
      </c>
      <c r="N19" s="217">
        <f>+M19</f>
        <v/>
      </c>
      <c r="O19" s="191">
        <f>+N19/H19</f>
        <v/>
      </c>
      <c r="Q19" s="6" t="inlineStr">
        <is>
          <t>30Y Treasury</t>
        </is>
      </c>
      <c r="S19" s="39" t="n">
        <v>0.05</v>
      </c>
      <c r="U19" s="253" t="inlineStr">
        <is>
          <t>Tax-Exempt Spread</t>
        </is>
      </c>
      <c r="V19" s="281" t="n"/>
      <c r="W19" s="322">
        <f>+_xlfn.XLOOKUP($W$13,$X$13:$Z$13,$X19:$Z19)</f>
        <v/>
      </c>
      <c r="X19" s="299" t="n">
        <v>0.0166</v>
      </c>
      <c r="Y19" s="281" t="n">
        <v>0.0167</v>
      </c>
      <c r="Z19" s="277" t="n">
        <v>0.019</v>
      </c>
      <c r="AD19" s="85">
        <f>+AD18+20</f>
        <v/>
      </c>
      <c r="AF19" s="42" t="n"/>
      <c r="AG19" s="42" t="n"/>
      <c r="AH19" s="42" t="n"/>
      <c r="AI19" s="42" t="n"/>
      <c r="AJ19" s="42" t="n"/>
      <c r="AK19" s="42" t="n"/>
      <c r="AL19" s="42" t="n"/>
      <c r="AM19" s="42" t="n"/>
      <c r="AN19" s="42" t="n"/>
      <c r="AO19" s="42" t="n"/>
      <c r="AP19" s="42" t="n"/>
      <c r="AQ19" s="42" t="n"/>
    </row>
    <row r="20">
      <c r="B20" t="inlineStr">
        <is>
          <t>Expense Growth</t>
        </is>
      </c>
      <c r="C20" s="36" t="n">
        <v>0.035</v>
      </c>
      <c r="G20" s="6" t="inlineStr">
        <is>
          <t>2B</t>
        </is>
      </c>
      <c r="H20" s="186">
        <f>+H19</f>
        <v/>
      </c>
      <c r="I20" s="229">
        <f>+H5-I18-I19-I21</f>
        <v/>
      </c>
      <c r="J20" s="207" t="n">
        <v>0.6</v>
      </c>
      <c r="K20" s="42">
        <f>+J20*$J$5</f>
        <v/>
      </c>
      <c r="L20" s="186">
        <f>+L19</f>
        <v/>
      </c>
      <c r="M20" s="42">
        <f>+K20-L20</f>
        <v/>
      </c>
      <c r="N20" s="217">
        <f>+M20</f>
        <v/>
      </c>
      <c r="O20" s="191">
        <f>+N20/H20</f>
        <v/>
      </c>
      <c r="Q20" s="6" t="inlineStr">
        <is>
          <t>Lease Rate</t>
        </is>
      </c>
      <c r="S20" s="74">
        <f>+S19+0.5%</f>
        <v/>
      </c>
      <c r="U20" s="253" t="inlineStr">
        <is>
          <t>Tax-Exempt Rate</t>
        </is>
      </c>
      <c r="V20" s="282" t="n"/>
      <c r="W20" s="322">
        <f>+W19+W18</f>
        <v/>
      </c>
      <c r="X20" s="300">
        <f>+X19+X18</f>
        <v/>
      </c>
      <c r="Y20" s="282">
        <f>+Y19+Y18</f>
        <v/>
      </c>
      <c r="Z20" s="74">
        <f>+Z19+Z18</f>
        <v/>
      </c>
      <c r="AD20" s="85">
        <f>+AD19+20</f>
        <v/>
      </c>
      <c r="AF20" s="42" t="n"/>
      <c r="AG20" s="42" t="n"/>
      <c r="AH20" s="42" t="n"/>
      <c r="AI20" s="42" t="n"/>
      <c r="AJ20" s="42" t="n"/>
      <c r="AK20" s="42" t="n"/>
      <c r="AL20" s="42" t="n"/>
      <c r="AM20" s="42" t="n"/>
      <c r="AN20" s="42" t="n"/>
      <c r="AO20" s="42" t="n"/>
      <c r="AP20" s="42" t="n"/>
      <c r="AQ20" s="42" t="n"/>
    </row>
    <row r="21">
      <c r="B21" t="inlineStr">
        <is>
          <t>Bond Test Limit</t>
        </is>
      </c>
      <c r="C21" s="36" t="n">
        <v>0.275</v>
      </c>
      <c r="G21" s="6" t="inlineStr">
        <is>
          <t>2B</t>
        </is>
      </c>
      <c r="H21" s="186">
        <f>+H20</f>
        <v/>
      </c>
      <c r="I21" s="229">
        <f>+MAX(0,MIN(H5-I18-I19,S38-I25))</f>
        <v/>
      </c>
      <c r="J21" s="207">
        <f>+P38</f>
        <v/>
      </c>
      <c r="K21" s="42">
        <f>+J21*$J$5*(1-$S$40)</f>
        <v/>
      </c>
      <c r="L21" s="186">
        <f>+L20</f>
        <v/>
      </c>
      <c r="M21" s="42">
        <f>+K21-L21</f>
        <v/>
      </c>
      <c r="N21" s="217">
        <f>+M21</f>
        <v/>
      </c>
      <c r="O21" s="191">
        <f>+N21/H21</f>
        <v/>
      </c>
      <c r="Q21" s="77" t="inlineStr">
        <is>
          <t>Starting Lease</t>
        </is>
      </c>
      <c r="S21" s="76">
        <f>+IF(S11="On",S20*S15,0)</f>
        <v/>
      </c>
      <c r="U21" s="278" t="inlineStr">
        <is>
          <t>Tax-Exempt Loan</t>
        </is>
      </c>
      <c r="V21" s="98" t="n"/>
      <c r="W21" s="99">
        <f>IF(S26="Yes",D60-D76,D60)</f>
        <v/>
      </c>
      <c r="X21" s="253" t="n"/>
      <c r="Y21" s="42" t="n"/>
      <c r="Z21" s="8" t="n"/>
      <c r="AD21" s="85">
        <f>+AD20+20</f>
        <v/>
      </c>
      <c r="AF21" s="42" t="n"/>
      <c r="AG21" s="42" t="n"/>
      <c r="AH21" s="42" t="n"/>
      <c r="AI21" s="42" t="n"/>
      <c r="AJ21" s="42" t="n"/>
      <c r="AK21" s="42" t="n"/>
      <c r="AL21" s="42" t="n"/>
      <c r="AM21" s="42" t="n"/>
      <c r="AN21" s="42" t="n"/>
      <c r="AO21" s="42" t="n"/>
      <c r="AP21" s="42" t="n"/>
      <c r="AQ21" s="42" t="n"/>
    </row>
    <row r="22">
      <c r="G22" s="155" t="inlineStr">
        <is>
          <t>3B</t>
        </is>
      </c>
      <c r="H22" s="188">
        <f>+L6</f>
        <v/>
      </c>
      <c r="I22" s="205">
        <f>+ROUNDUP(R35*$H$6,0)</f>
        <v/>
      </c>
      <c r="J22" s="208" t="n">
        <v>0.3</v>
      </c>
      <c r="K22" s="156">
        <f>+J22*$J$6</f>
        <v/>
      </c>
      <c r="L22" s="188">
        <f>+AL55</f>
        <v/>
      </c>
      <c r="M22" s="156">
        <f>+K22-L22</f>
        <v/>
      </c>
      <c r="N22" s="271">
        <f>+M22</f>
        <v/>
      </c>
      <c r="O22" s="192">
        <f>+N22/H22</f>
        <v/>
      </c>
      <c r="Q22" s="20" t="inlineStr">
        <is>
          <t>Escalation</t>
        </is>
      </c>
      <c r="R22" s="21" t="n"/>
      <c r="S22" s="75" t="n">
        <v>0.02</v>
      </c>
      <c r="U22" s="253" t="inlineStr">
        <is>
          <t>Taxable Spread</t>
        </is>
      </c>
      <c r="V22" s="281" t="n"/>
      <c r="W22" s="322">
        <f>+_xlfn.XLOOKUP($W$13,$X$13:$Z$13,$X22:$Z22)</f>
        <v/>
      </c>
      <c r="X22" s="299" t="n">
        <v>0.0256</v>
      </c>
      <c r="Y22" s="281" t="n">
        <v>0.0197</v>
      </c>
      <c r="Z22" s="277" t="n">
        <v>0.0265</v>
      </c>
      <c r="AF22" s="42" t="n"/>
      <c r="AG22" s="42" t="n"/>
      <c r="AH22" s="42" t="n"/>
      <c r="AI22" s="42" t="n"/>
      <c r="AJ22" s="42" t="n"/>
      <c r="AK22" s="42" t="n"/>
      <c r="AL22" s="42" t="n"/>
    </row>
    <row r="23">
      <c r="B23" s="11" t="inlineStr">
        <is>
          <t>Return Summary</t>
        </is>
      </c>
      <c r="C23" s="28" t="n"/>
      <c r="G23" s="6" t="inlineStr">
        <is>
          <t>3B</t>
        </is>
      </c>
      <c r="H23" s="186">
        <f>+H22</f>
        <v/>
      </c>
      <c r="I23" s="229">
        <f>+IF(SUM(R35:R36)&lt;=0.2,ROUNDUP($H$6*R36,0),ROUNDDOWN(H6*R36,0))</f>
        <v/>
      </c>
      <c r="J23" s="207" t="n">
        <v>0.5</v>
      </c>
      <c r="K23" s="42">
        <f>+J23*$J$6</f>
        <v/>
      </c>
      <c r="L23" s="186">
        <f>+L22</f>
        <v/>
      </c>
      <c r="M23" s="42">
        <f>+K23-L23</f>
        <v/>
      </c>
      <c r="N23" s="217">
        <f>+M23</f>
        <v/>
      </c>
      <c r="O23" s="191">
        <f>+N23/H23</f>
        <v/>
      </c>
      <c r="U23" s="253" t="inlineStr">
        <is>
          <t>Taxable Rate</t>
        </is>
      </c>
      <c r="V23" s="282" t="n"/>
      <c r="W23" s="74">
        <f>+W22+W18</f>
        <v/>
      </c>
      <c r="X23" s="303">
        <f>+X22+X18</f>
        <v/>
      </c>
      <c r="Y23" s="283">
        <f>+Y22+Y18</f>
        <v/>
      </c>
      <c r="Z23" s="280">
        <f>+Z22+Z18</f>
        <v/>
      </c>
    </row>
    <row r="24">
      <c r="B24" s="105" t="inlineStr">
        <is>
          <t>Sponsor Funds Needed</t>
        </is>
      </c>
      <c r="C24" s="106">
        <f>+D66</f>
        <v/>
      </c>
      <c r="G24" s="6" t="inlineStr">
        <is>
          <t>3B</t>
        </is>
      </c>
      <c r="H24" s="186">
        <f>+H23</f>
        <v/>
      </c>
      <c r="I24" s="229">
        <f>+H6-I22-I23-I25</f>
        <v/>
      </c>
      <c r="J24" s="207" t="n">
        <v>0.6</v>
      </c>
      <c r="K24" s="42">
        <f>+J24*$J$6</f>
        <v/>
      </c>
      <c r="L24" s="186">
        <f>+L23</f>
        <v/>
      </c>
      <c r="M24" s="42">
        <f>+K24-L24</f>
        <v/>
      </c>
      <c r="N24" s="217">
        <f>+M24</f>
        <v/>
      </c>
      <c r="O24" s="191">
        <f>+N24/H24</f>
        <v/>
      </c>
      <c r="Q24" s="97" t="inlineStr">
        <is>
          <t>B-Bond Assumptions</t>
        </is>
      </c>
      <c r="R24" s="98" t="n"/>
      <c r="S24" s="99" t="n"/>
      <c r="U24" s="278" t="inlineStr">
        <is>
          <t>Taxable Loan</t>
        </is>
      </c>
      <c r="V24" s="98" t="n"/>
      <c r="W24" s="99">
        <f>-PV(W23/12*365.25/360,W15*12,(W14/W16/12+PMT(W20*365.25/360/12,W15*12,W21)))</f>
        <v/>
      </c>
    </row>
    <row r="25">
      <c r="B25" s="6" t="inlineStr">
        <is>
          <t>GP IRR (15-yr)</t>
        </is>
      </c>
      <c r="C25" s="37">
        <f>+H101</f>
        <v/>
      </c>
      <c r="G25" s="6" t="inlineStr">
        <is>
          <t>3B</t>
        </is>
      </c>
      <c r="H25" s="186">
        <f>+H24</f>
        <v/>
      </c>
      <c r="I25" s="229">
        <f>+MAX(MIN(H6-I22-I23,S38),0)</f>
        <v/>
      </c>
      <c r="J25" s="207">
        <f>+P38</f>
        <v/>
      </c>
      <c r="K25" s="42">
        <f>+J25*$J$6*(1-$S$40)</f>
        <v/>
      </c>
      <c r="L25" s="186">
        <f>+L24</f>
        <v/>
      </c>
      <c r="M25" s="42">
        <f>+K25-L25</f>
        <v/>
      </c>
      <c r="N25" s="217">
        <f>+M25</f>
        <v/>
      </c>
      <c r="O25" s="191">
        <f>+N25/H25</f>
        <v/>
      </c>
      <c r="Q25" s="253" t="inlineStr">
        <is>
          <t>On/Off</t>
        </is>
      </c>
      <c r="R25" s="42" t="n"/>
      <c r="S25" s="10">
        <f>IF($D$59="B-Bond",1,0)</f>
        <v/>
      </c>
      <c r="U25" s="276" t="inlineStr">
        <is>
          <t>Total Permanent Loan</t>
        </is>
      </c>
      <c r="V25" s="89" t="n"/>
      <c r="W25" s="279">
        <f>+W24+W21</f>
        <v/>
      </c>
    </row>
    <row r="26">
      <c r="B26" s="6" t="inlineStr">
        <is>
          <t>GP MOIC</t>
        </is>
      </c>
      <c r="C26" s="334">
        <f>+SUMIF(H93:AA93,"&gt;0")/-SUMIF(H93:AA93,"&lt;0")</f>
        <v/>
      </c>
      <c r="G26" s="152" t="inlineStr">
        <is>
          <t xml:space="preserve">1B </t>
        </is>
      </c>
      <c r="H26" s="187">
        <f>+H14</f>
        <v/>
      </c>
      <c r="I26" s="154">
        <f>MIN(4, MAX(0, ROUNDUP(MAX(0, C14-160)/80, 0) + SIGN(C14-15)))</f>
        <v/>
      </c>
      <c r="J26" s="153" t="inlineStr">
        <is>
          <t>MGR</t>
        </is>
      </c>
      <c r="K26" s="154">
        <f>+K17</f>
        <v/>
      </c>
      <c r="L26" s="187" t="n">
        <v>0</v>
      </c>
      <c r="M26" s="154">
        <f>+K26-L26</f>
        <v/>
      </c>
      <c r="N26" s="272">
        <f>+M26</f>
        <v/>
      </c>
      <c r="O26" s="193">
        <f>+N26/H26</f>
        <v/>
      </c>
      <c r="Q26" s="253" t="inlineStr">
        <is>
          <t>Tax-Exempt?</t>
        </is>
      </c>
      <c r="R26" s="42" t="n"/>
      <c r="S26" s="294" t="inlineStr">
        <is>
          <t>Yes</t>
        </is>
      </c>
      <c r="U26" s="253" t="inlineStr">
        <is>
          <t>Blended Rate</t>
        </is>
      </c>
      <c r="V26" s="282" t="n"/>
      <c r="W26" s="74">
        <f>+(W20*W21+W23*W24)/W25</f>
        <v/>
      </c>
      <c r="X26" s="185" t="n"/>
    </row>
    <row r="27">
      <c r="B27" s="6" t="inlineStr">
        <is>
          <t>GP Net Profit</t>
        </is>
      </c>
      <c r="C27" s="16">
        <f>+SUM(H93:AA93)</f>
        <v/>
      </c>
      <c r="G27" s="11" t="inlineStr">
        <is>
          <t>Summary - Low-Income Units</t>
        </is>
      </c>
      <c r="H27" s="25">
        <f>+SUMPRODUCT(I9:I25,H9:H25)/I27</f>
        <v/>
      </c>
      <c r="I27" s="25">
        <f>+SUM(I10:I25)</f>
        <v/>
      </c>
      <c r="J27" s="81">
        <f>+SUMPRODUCT(I10:I25,J10:J25)/SUM(I10:I25)</f>
        <v/>
      </c>
      <c r="K27" s="25">
        <f>+SUMPRODUCT(K10:K25,$I$10:$I$25)/SUM($I$10:$I$25)</f>
        <v/>
      </c>
      <c r="L27" s="25">
        <f>+SUMPRODUCT(L10:L25,I10:I25)/SUM(I10:I25)</f>
        <v/>
      </c>
      <c r="M27" s="25">
        <f>+SUMPRODUCT(M10:M25,$I$10:$I$25)/SUM($I$10:$I$25)</f>
        <v/>
      </c>
      <c r="N27" s="25">
        <f>+SUMPRODUCT(N10:N25,$I$10:$I$25)/SUM($I$10:$I$25)</f>
        <v/>
      </c>
      <c r="O27" s="194">
        <f>+N27/H27</f>
        <v/>
      </c>
      <c r="Q27" s="253" t="inlineStr">
        <is>
          <t>Interest Rate</t>
        </is>
      </c>
      <c r="R27" s="42" t="n"/>
      <c r="S27" s="100" t="n">
        <v>0.08</v>
      </c>
      <c r="U27" s="304" t="inlineStr">
        <is>
          <t>Origination fee</t>
        </is>
      </c>
      <c r="V27" s="91" t="n"/>
      <c r="W27" s="319">
        <f>+_xlfn.XLOOKUP($W$13,$X$13:$Z$13,$X27:$Z27)*W$25</f>
        <v/>
      </c>
      <c r="X27" s="315" t="n">
        <v>0.0075</v>
      </c>
      <c r="Y27" s="315" t="n">
        <v>0.0075</v>
      </c>
      <c r="Z27" s="316" t="n">
        <v>0.0075</v>
      </c>
    </row>
    <row r="28">
      <c r="B28" s="6" t="inlineStr">
        <is>
          <t>Total IRR</t>
        </is>
      </c>
      <c r="C28" s="37">
        <f>+H102</f>
        <v/>
      </c>
      <c r="E28" s="80" t="n"/>
      <c r="G28" s="11" t="inlineStr">
        <is>
          <t>Summary - All Units</t>
        </is>
      </c>
      <c r="H28" s="25">
        <f>+SUMPRODUCT(I10:I26,H10:H26)/I28</f>
        <v/>
      </c>
      <c r="I28" s="25">
        <f>+SUM(I10:I26)</f>
        <v/>
      </c>
      <c r="J28" s="81">
        <f>+SUMPRODUCT(I10:I25,J10:J25)/SUM(I10:I25)</f>
        <v/>
      </c>
      <c r="K28" s="25">
        <f>+SUMPRODUCT(K10:K26,$I$10:$I$26)/SUM($I$10:$I$26)</f>
        <v/>
      </c>
      <c r="L28" s="25">
        <f>+SUMPRODUCT(L10:L25,I10:I25)/SUM(I10:I25)</f>
        <v/>
      </c>
      <c r="M28" s="25">
        <f>+SUMPRODUCT(M10:M26,$I$10:$I$26)/SUM($I$10:$I$26)</f>
        <v/>
      </c>
      <c r="N28" s="25">
        <f>+SUMPRODUCT(N10:N26,$I$10:$I$26)/SUM($I$10:$I$26)</f>
        <v/>
      </c>
      <c r="O28" s="194">
        <f>+N28/H28</f>
        <v/>
      </c>
      <c r="Q28" s="253" t="inlineStr">
        <is>
          <t>DSCR</t>
        </is>
      </c>
      <c r="R28" s="42" t="n"/>
      <c r="S28" s="101" t="n">
        <v>1</v>
      </c>
      <c r="U28" s="253" t="inlineStr">
        <is>
          <t>Bank underwriting fee</t>
        </is>
      </c>
      <c r="V28" s="42" t="n"/>
      <c r="W28" s="210">
        <f>+_xlfn.XLOOKUP($W$13,$X$13:$Z$13,$X28:$Z28)</f>
        <v/>
      </c>
      <c r="X28" s="217" t="n">
        <v>10000</v>
      </c>
      <c r="Y28" s="217" t="n">
        <v>10000</v>
      </c>
      <c r="Z28" s="10" t="n">
        <v>10000</v>
      </c>
      <c r="AL28" s="42" t="n"/>
      <c r="AM28" s="42" t="n"/>
      <c r="AN28" s="42" t="n"/>
      <c r="AO28" s="42" t="n"/>
      <c r="AP28" s="42" t="n"/>
      <c r="AQ28" s="42" t="n"/>
      <c r="AR28" s="42" t="n"/>
      <c r="AS28" s="42" t="n"/>
      <c r="AT28" s="42" t="n"/>
      <c r="AU28" s="42" t="n"/>
    </row>
    <row r="29">
      <c r="B29" s="6" t="inlineStr">
        <is>
          <t>Total Profit + Fees</t>
        </is>
      </c>
      <c r="C29" s="16">
        <f>+SUM(H94:AA94)</f>
        <v/>
      </c>
      <c r="Q29" s="253" t="inlineStr">
        <is>
          <t>Amortization</t>
        </is>
      </c>
      <c r="S29" s="8" t="n">
        <v>40</v>
      </c>
      <c r="U29" s="253" t="inlineStr">
        <is>
          <t>Agency Review Fee</t>
        </is>
      </c>
      <c r="V29" s="42" t="n"/>
      <c r="W29" s="210">
        <f>+_xlfn.XLOOKUP($W$13,$X$13:$Z$13,$X29:$Z29)*W$25</f>
        <v/>
      </c>
      <c r="X29" s="281" t="n">
        <v>0.001</v>
      </c>
      <c r="Y29" s="281" t="n">
        <v>0.001</v>
      </c>
      <c r="Z29" s="10" t="n">
        <v>0</v>
      </c>
      <c r="AE29" s="228" t="n"/>
      <c r="AH29" s="42">
        <f t="array" ref="AH29:AH40">+_xlfn.UNIQUE(UA!B2:B500)</f>
        <v/>
      </c>
      <c r="AL29" s="42" t="n"/>
      <c r="AM29" s="42" t="n"/>
      <c r="AN29" s="42" t="n"/>
      <c r="AO29" s="42" t="n"/>
      <c r="AP29" s="42" t="n"/>
      <c r="AQ29" s="42" t="n"/>
      <c r="AR29" s="42" t="n"/>
      <c r="AS29" s="42" t="n"/>
      <c r="AT29" s="42" t="n"/>
      <c r="AU29" s="42" t="n"/>
    </row>
    <row r="30">
      <c r="B30" s="11" t="inlineStr">
        <is>
          <t>Tiebreak Score</t>
        </is>
      </c>
      <c r="C30" s="66">
        <f>+Tiebreak!C8</f>
        <v/>
      </c>
      <c r="E30" s="73" t="n"/>
      <c r="G30" s="11" t="inlineStr">
        <is>
          <t>Stabilized Operations</t>
        </is>
      </c>
      <c r="H30" s="23" t="n"/>
      <c r="K30" s="11" t="inlineStr">
        <is>
          <t>Sale Analysis</t>
        </is>
      </c>
      <c r="L30" s="22" t="n"/>
      <c r="M30" s="28" t="n"/>
      <c r="Q30" s="253" t="inlineStr">
        <is>
          <t>Cash Flow Sweep</t>
        </is>
      </c>
      <c r="R30" s="42" t="n"/>
      <c r="S30" s="102" t="n">
        <v>0.75</v>
      </c>
      <c r="U30" s="253" t="inlineStr">
        <is>
          <t>Conversion Fee</t>
        </is>
      </c>
      <c r="V30" s="42" t="n"/>
      <c r="W30" s="210">
        <f>+_xlfn.XLOOKUP($W$13,$X$13:$Z$13,$X30:$Z30)</f>
        <v/>
      </c>
      <c r="X30" s="217" t="n">
        <v>25000</v>
      </c>
      <c r="Y30" s="217" t="n">
        <v>25000</v>
      </c>
      <c r="Z30" s="10" t="n">
        <v>30000</v>
      </c>
      <c r="AH30" s="42" t="inlineStr">
        <is>
          <t>San Diego County</t>
        </is>
      </c>
    </row>
    <row r="31">
      <c r="C31" s="3" t="n"/>
      <c r="G31" s="6" t="inlineStr">
        <is>
          <t>Rent</t>
        </is>
      </c>
      <c r="H31" s="8">
        <f>+N28*I28*12</f>
        <v/>
      </c>
      <c r="K31" s="6" t="inlineStr">
        <is>
          <t>Reversion NOI</t>
        </is>
      </c>
      <c r="M31" s="8">
        <f>+Z53*(1+$C$19)</f>
        <v/>
      </c>
      <c r="Q31" s="253" t="inlineStr">
        <is>
          <t>Residual NOI</t>
        </is>
      </c>
      <c r="R31" s="42" t="n"/>
      <c r="S31" s="8">
        <f>+L66*S30</f>
        <v/>
      </c>
      <c r="U31" s="253" t="inlineStr">
        <is>
          <t>Standby Fee</t>
        </is>
      </c>
      <c r="V31" s="42" t="n"/>
      <c r="W31" s="210">
        <f>+_xlfn.XLOOKUP($W$13,$X$13:$Z$13,$X31:$Z31)*W$25*2</f>
        <v/>
      </c>
      <c r="X31" s="281" t="n">
        <v>0.0015</v>
      </c>
      <c r="Y31" s="281" t="n">
        <v>0.0015</v>
      </c>
      <c r="Z31" s="10" t="n">
        <v>0</v>
      </c>
      <c r="AH31" s="42" t="inlineStr">
        <is>
          <t>Oakland</t>
        </is>
      </c>
    </row>
    <row r="32">
      <c r="B32" s="11" t="inlineStr">
        <is>
          <t>Uses</t>
        </is>
      </c>
      <c r="C32" s="12" t="inlineStr">
        <is>
          <t>Budget</t>
        </is>
      </c>
      <c r="D32" s="13" t="inlineStr">
        <is>
          <t>Per Unit</t>
        </is>
      </c>
      <c r="E32" s="232" t="inlineStr">
        <is>
          <t>Spent to Date</t>
        </is>
      </c>
      <c r="G32" s="6" t="inlineStr">
        <is>
          <t>Other Income</t>
        </is>
      </c>
      <c r="H32" s="8">
        <f>+C14*10*12</f>
        <v/>
      </c>
      <c r="K32" s="6" t="inlineStr">
        <is>
          <t>Ground Lease Pmt</t>
        </is>
      </c>
      <c r="M32" s="16">
        <f>+Z64*(1+S22)</f>
        <v/>
      </c>
      <c r="Q32" s="95" t="inlineStr">
        <is>
          <t>Proceeds</t>
        </is>
      </c>
      <c r="R32" s="84" t="n"/>
      <c r="S32" s="96">
        <f>-+PV(S27/12,S29*12,S31/12/S28)</f>
        <v/>
      </c>
      <c r="U32" s="253" t="inlineStr">
        <is>
          <t>Bond Underwriter Fee</t>
        </is>
      </c>
      <c r="V32" s="42" t="n"/>
      <c r="W32" s="210">
        <f>+_xlfn.XLOOKUP($W$13,$X$13:$Z$13,$X32:$Z32)*W$25</f>
        <v/>
      </c>
      <c r="X32" s="281" t="n">
        <v>0</v>
      </c>
      <c r="Y32" s="281" t="n">
        <v>0.006</v>
      </c>
      <c r="Z32" s="277" t="n">
        <v>0.006</v>
      </c>
      <c r="AH32" s="42" t="inlineStr">
        <is>
          <t>Orange County</t>
        </is>
      </c>
    </row>
    <row r="33">
      <c r="B33" s="6" t="inlineStr">
        <is>
          <t>Acquisition Costs</t>
        </is>
      </c>
      <c r="C33" s="186">
        <f>+IF(S11="Off",S16,0)</f>
        <v/>
      </c>
      <c r="D33" s="8">
        <f>+C33/$C$14</f>
        <v/>
      </c>
      <c r="E33" s="233" t="n"/>
      <c r="G33" s="6" t="inlineStr">
        <is>
          <t>Vacancy</t>
        </is>
      </c>
      <c r="H33" s="8">
        <f>+I33*SUM(H31:H32)*-1</f>
        <v/>
      </c>
      <c r="I33" s="157" t="n">
        <v>0.05</v>
      </c>
      <c r="K33" s="6" t="inlineStr">
        <is>
          <t>Adjusted NOI</t>
        </is>
      </c>
      <c r="M33" s="16">
        <f>+SUM(M31:M32)</f>
        <v/>
      </c>
      <c r="U33" s="253" t="inlineStr">
        <is>
          <t>Bond/UW Counsel</t>
        </is>
      </c>
      <c r="V33" s="42" t="n"/>
      <c r="W33" s="210">
        <f>+_xlfn.XLOOKUP($W$13,$X$13:$Z$13,$X33:$Z33)</f>
        <v/>
      </c>
      <c r="X33" s="217" t="n">
        <v>165000</v>
      </c>
      <c r="Y33" s="217" t="n">
        <v>165000</v>
      </c>
      <c r="Z33" s="10" t="n">
        <v>165000</v>
      </c>
      <c r="AH33" s="42" t="inlineStr">
        <is>
          <t>Sacramento (City/County)</t>
        </is>
      </c>
    </row>
    <row r="34">
      <c r="A34" s="19" t="n"/>
      <c r="B34" t="inlineStr">
        <is>
          <t>Demo/Offsites</t>
        </is>
      </c>
      <c r="C34" s="217" t="n">
        <v>0</v>
      </c>
      <c r="D34" s="8">
        <f>+C34/$C$14</f>
        <v/>
      </c>
      <c r="E34" s="265" t="n"/>
      <c r="G34" s="5" t="inlineStr">
        <is>
          <t>EGI</t>
        </is>
      </c>
      <c r="H34" s="15">
        <f>+SUM(H31:H33)</f>
        <v/>
      </c>
      <c r="K34" s="6" t="inlineStr">
        <is>
          <t>Cap Rate</t>
        </is>
      </c>
      <c r="M34" s="39" t="n">
        <v>0.06</v>
      </c>
      <c r="P34" s="196" t="inlineStr">
        <is>
          <t>Target Income Mix</t>
        </is>
      </c>
      <c r="Q34" s="197" t="n"/>
      <c r="R34" s="203" t="inlineStr">
        <is>
          <t>%</t>
        </is>
      </c>
      <c r="S34" s="204" t="inlineStr">
        <is>
          <t>Aff. Units</t>
        </is>
      </c>
      <c r="U34" s="253" t="inlineStr">
        <is>
          <t>Rating Agency &amp; Trustee</t>
        </is>
      </c>
      <c r="V34" s="42" t="n"/>
      <c r="W34" s="210">
        <f>+_xlfn.XLOOKUP($W$13,$X$13:$Z$13,$X34:$Z34)</f>
        <v/>
      </c>
      <c r="X34" s="217" t="n">
        <v>25000</v>
      </c>
      <c r="Y34" s="217" t="n">
        <v>15000</v>
      </c>
      <c r="Z34" s="10" t="n">
        <v>15000</v>
      </c>
      <c r="AH34" s="42" t="inlineStr">
        <is>
          <t>San Diego</t>
        </is>
      </c>
    </row>
    <row r="35">
      <c r="B35" s="6" t="inlineStr">
        <is>
          <t>Land Lease Reserve</t>
        </is>
      </c>
      <c r="C35" s="3">
        <f>+SUM(Draws_Module!H92:H151)</f>
        <v/>
      </c>
      <c r="D35" s="8">
        <f>+C35/$C$14</f>
        <v/>
      </c>
      <c r="E35" s="233" t="n"/>
      <c r="G35" s="29" t="inlineStr">
        <is>
          <t>Operating Expense</t>
        </is>
      </c>
      <c r="H35" s="30">
        <f>-_xlfn.XLOOKUP(C3,'Market Inputs'!B4:B61,'Market Inputs'!O4:O61)*I28</f>
        <v/>
      </c>
      <c r="I35" s="256">
        <f>-H35/$I$28</f>
        <v/>
      </c>
      <c r="K35" s="11" t="inlineStr">
        <is>
          <t>Value</t>
        </is>
      </c>
      <c r="L35" s="22" t="n"/>
      <c r="M35" s="26">
        <f>+M33/M34</f>
        <v/>
      </c>
      <c r="P35" s="328" t="n">
        <v>0.3</v>
      </c>
      <c r="Q35" s="195" t="n"/>
      <c r="R35" s="198" t="n">
        <v>0.1</v>
      </c>
      <c r="S35" s="8">
        <f>+I10+I14+I18+I22</f>
        <v/>
      </c>
      <c r="U35" s="216" t="inlineStr">
        <is>
          <t>Title/3rd Party/DD</t>
        </is>
      </c>
      <c r="V35" s="90" t="n"/>
      <c r="W35" s="220">
        <f>+_xlfn.XLOOKUP($W$13,$X$13:$Z$13,$X35:$Z35)</f>
        <v/>
      </c>
      <c r="X35" s="317" t="n">
        <v>40000</v>
      </c>
      <c r="Y35" s="317" t="n">
        <v>40000</v>
      </c>
      <c r="Z35" s="318" t="n">
        <v>40000</v>
      </c>
      <c r="AH35" s="42" t="inlineStr">
        <is>
          <t>Los Angeles County</t>
        </is>
      </c>
    </row>
    <row r="36">
      <c r="A36" s="214" t="inlineStr">
        <is>
          <t>Stick</t>
        </is>
      </c>
      <c r="B36" s="6" t="inlineStr">
        <is>
          <t>Hard Costs</t>
        </is>
      </c>
      <c r="C36" s="186">
        <f>+D36*$I$28</f>
        <v/>
      </c>
      <c r="D36" s="210">
        <f>_xlfn.LET(_xlpm.indx,_xlfn.XLOOKUP(C3,'Market Inputs'!B4:B61,'Market Inputs'!Q4:Q61),IF(A36="Stick",(109121.62984
 + 133.465688*H28
 - 837121.841943/H28
 + 98.690983*LN(C17)
 + 81813683.215014/C17)*_xlpm.indx*IF(C10="Yes",1.3,1),IF(C15&lt;=5,SUMPRODUCT(AD44:AD47,H3:H6),SUMPRODUCT(AE44:AE47,H3:H6))/H7+AD48*H28*_xlpm.indx*IF(C10="Yes",1.3,1))+C18*MIN(C17/0.75/5*1.1,C12*0.9)*AD50/C14*_xlpm.indx*IF(C10="Yes",1.3,1))</f>
        <v/>
      </c>
      <c r="E36" s="233" t="n"/>
      <c r="G36" s="11" t="inlineStr">
        <is>
          <t>NOI</t>
        </is>
      </c>
      <c r="H36" s="18">
        <f>+SUM(H34:H35)</f>
        <v/>
      </c>
      <c r="K36" s="6" t="inlineStr">
        <is>
          <t>Closing Costs</t>
        </is>
      </c>
      <c r="M36" s="38" t="n">
        <v>0.03</v>
      </c>
      <c r="P36" s="328" t="n">
        <v>0.5</v>
      </c>
      <c r="Q36" s="195" t="n"/>
      <c r="R36" s="198" t="n">
        <v>0.1</v>
      </c>
      <c r="S36" s="8">
        <f>+I11+I15+I19+I23</f>
        <v/>
      </c>
      <c r="U36" s="97" t="inlineStr">
        <is>
          <t>Total Permanent Loan Costs</t>
        </is>
      </c>
      <c r="V36" s="25" t="n"/>
      <c r="W36" s="26">
        <f>+SUM(W27:W35)</f>
        <v/>
      </c>
      <c r="AB36" s="228" t="inlineStr">
        <is>
          <t>Bond Analysis</t>
        </is>
      </c>
      <c r="AH36" s="42" t="inlineStr">
        <is>
          <t>Santa Ana</t>
        </is>
      </c>
    </row>
    <row r="37">
      <c r="B37" s="6" t="inlineStr">
        <is>
          <t>Due Diligence</t>
        </is>
      </c>
      <c r="C37" s="217" t="n">
        <v>35000</v>
      </c>
      <c r="D37" s="8">
        <f>+C37/$C$14</f>
        <v/>
      </c>
      <c r="E37" s="233" t="n"/>
      <c r="G37" s="6" t="inlineStr">
        <is>
          <t>Ground Lease Payment</t>
        </is>
      </c>
      <c r="H37" s="16">
        <f>+L64</f>
        <v/>
      </c>
      <c r="K37" s="11" t="inlineStr">
        <is>
          <t>Net Value</t>
        </is>
      </c>
      <c r="L37" s="22" t="n"/>
      <c r="M37" s="26">
        <f>+M35*(1-M36)</f>
        <v/>
      </c>
      <c r="P37" s="328" t="n">
        <v>0.6</v>
      </c>
      <c r="Q37" s="195" t="n"/>
      <c r="R37" s="199">
        <f>+MAX(1-R35-R36-R38,0)</f>
        <v/>
      </c>
      <c r="S37" s="8">
        <f>+S39-S38-S35-S36</f>
        <v/>
      </c>
      <c r="T37" s="253" t="n"/>
      <c r="U37" s="25" t="inlineStr">
        <is>
          <t>Construction Period Bond Reinvestment</t>
        </is>
      </c>
      <c r="V37" s="98" t="n"/>
      <c r="W37" s="98" t="n"/>
      <c r="AB37" s="304" t="inlineStr">
        <is>
          <t>Additional Interest Expense</t>
        </is>
      </c>
      <c r="AC37" s="91" t="n"/>
      <c r="AD37" s="30">
        <f>+(S6+S9)*(W41*W38+W42*W39)/12</f>
        <v/>
      </c>
      <c r="AH37" s="42" t="inlineStr">
        <is>
          <t>Riverside County</t>
        </is>
      </c>
    </row>
    <row r="38">
      <c r="B38" s="6" t="inlineStr">
        <is>
          <t>Consultants</t>
        </is>
      </c>
      <c r="C38" s="186">
        <f>+D38*$I$28</f>
        <v/>
      </c>
      <c r="D38" s="10" t="n">
        <v>8000</v>
      </c>
      <c r="E38" s="233" t="n"/>
      <c r="G38" s="11" t="inlineStr">
        <is>
          <t>Adjusted NOI</t>
        </is>
      </c>
      <c r="H38" s="18">
        <f>+H36+H37</f>
        <v/>
      </c>
      <c r="K38" s="6" t="n"/>
      <c r="M38" s="19" t="n"/>
      <c r="P38" s="329" t="n">
        <v>0.7</v>
      </c>
      <c r="Q38" s="195" t="n"/>
      <c r="R38" s="200" t="n">
        <v>0</v>
      </c>
      <c r="S38" s="8">
        <f>+MIN(ROUND(R38*($H$7-$I$26),0),S39-S35)</f>
        <v/>
      </c>
      <c r="U38" s="304" t="inlineStr">
        <is>
          <t>Tax-Exempt Rate</t>
        </is>
      </c>
      <c r="V38" s="91" t="n"/>
      <c r="W38" s="325">
        <f>+_xlfn.XLOOKUP($W$13,$X$13:$Z$13,$X38:$Z38)</f>
        <v/>
      </c>
      <c r="X38" s="315">
        <f>+X18+0.8%</f>
        <v/>
      </c>
      <c r="Y38" s="315" t="n">
        <v>0.03</v>
      </c>
      <c r="Z38" s="316" t="n">
        <v>0.03</v>
      </c>
      <c r="AB38" s="253" t="inlineStr">
        <is>
          <t>Reinvestment Earnings</t>
        </is>
      </c>
      <c r="AC38" s="42" t="n"/>
      <c r="AD38" s="8">
        <f>-(S6+S9)*W40/12*SUM(W41:W42)</f>
        <v/>
      </c>
      <c r="AH38" t="inlineStr">
        <is>
          <t>San Francisco</t>
        </is>
      </c>
    </row>
    <row r="39">
      <c r="B39" s="6" t="inlineStr">
        <is>
          <t>Muni Fees</t>
        </is>
      </c>
      <c r="C39" s="186">
        <f>+D39*$I$28</f>
        <v/>
      </c>
      <c r="D39" s="10" t="n">
        <v>9000</v>
      </c>
      <c r="E39" s="233" t="n"/>
      <c r="G39" s="6" t="inlineStr">
        <is>
          <t>Cap Rate</t>
        </is>
      </c>
      <c r="H39" s="39" t="n">
        <v>0.06</v>
      </c>
      <c r="K39" s="6" t="inlineStr">
        <is>
          <t>Remaining Balance</t>
        </is>
      </c>
      <c r="M39" s="8">
        <f>+D75+CUMPRINC(C75/12*365.25/360,W15*12,D75,1,16*12,0)+AA88</f>
        <v/>
      </c>
      <c r="P39" s="11" t="inlineStr">
        <is>
          <t>Total</t>
        </is>
      </c>
      <c r="Q39" s="335">
        <f>+SUMPRODUCT(P35:P38,S35:S38)/SUM(S35:S38)</f>
        <v/>
      </c>
      <c r="R39" s="201">
        <f>+SUM(R35:R38)</f>
        <v/>
      </c>
      <c r="S39" s="26">
        <f>+H7-I26</f>
        <v/>
      </c>
      <c r="U39" s="253" t="inlineStr">
        <is>
          <t>Taxable Rate</t>
        </is>
      </c>
      <c r="V39" s="42" t="n"/>
      <c r="W39" s="74">
        <f>+_xlfn.XLOOKUP($W$13,$X$13:$Z$13,$X39:$Z39)</f>
        <v/>
      </c>
      <c r="X39" s="281">
        <f>5.036%+0.7%</f>
        <v/>
      </c>
      <c r="Y39" s="200" t="n">
        <v>0</v>
      </c>
      <c r="Z39" s="102" t="n">
        <v>0</v>
      </c>
      <c r="AB39" s="253" t="inlineStr">
        <is>
          <t>Arbitrage</t>
        </is>
      </c>
      <c r="AC39" s="42" t="n"/>
      <c r="AD39" s="8">
        <f>+SUM(AD37:AD38)</f>
        <v/>
      </c>
      <c r="AH39" t="inlineStr">
        <is>
          <t>Santa Clara County</t>
        </is>
      </c>
    </row>
    <row r="40">
      <c r="B40" s="6" t="inlineStr">
        <is>
          <t>Insurance</t>
        </is>
      </c>
      <c r="C40" s="186">
        <f>0.0175*C36</f>
        <v/>
      </c>
      <c r="D40" s="210">
        <f>+C40/$C$14</f>
        <v/>
      </c>
      <c r="E40" s="233" t="n"/>
      <c r="G40" s="11" t="inlineStr">
        <is>
          <t>Stabilized Value</t>
        </is>
      </c>
      <c r="H40" s="26">
        <f>+H38/H39</f>
        <v/>
      </c>
      <c r="K40" s="11" t="inlineStr">
        <is>
          <t>Net Proceeds</t>
        </is>
      </c>
      <c r="L40" s="22" t="n"/>
      <c r="M40" s="18">
        <f>+M37-M39</f>
        <v/>
      </c>
      <c r="N40" s="3" t="n"/>
      <c r="P40" s="70">
        <f>+TEXT(P38,"0%")&amp;" AMI Rent Discount"</f>
        <v/>
      </c>
      <c r="Q40" s="98" t="n"/>
      <c r="R40" s="98" t="n"/>
      <c r="S40" s="219" t="n">
        <v>0</v>
      </c>
      <c r="U40" s="253" t="inlineStr">
        <is>
          <t>Reinvestment Rate</t>
        </is>
      </c>
      <c r="V40" s="42" t="n"/>
      <c r="W40" s="74">
        <f>+_xlfn.XLOOKUP($W$13,$X$13:$Z$13,$X40:$Z40)</f>
        <v/>
      </c>
      <c r="X40" s="323" t="n">
        <v>0.0419</v>
      </c>
      <c r="Y40" s="323" t="n">
        <v>0.0419</v>
      </c>
      <c r="Z40" s="324" t="n">
        <v>0.0419</v>
      </c>
      <c r="AB40" s="216" t="inlineStr">
        <is>
          <t>Eligible Bond Interest</t>
        </is>
      </c>
      <c r="AC40" s="90" t="n"/>
      <c r="AD40" s="34">
        <f>+(S6)*(W41*W38+W42*W39)/12</f>
        <v/>
      </c>
      <c r="AH40" t="n">
        <v>0</v>
      </c>
    </row>
    <row r="41">
      <c r="B41" s="6" t="inlineStr">
        <is>
          <t>FF&amp;E</t>
        </is>
      </c>
      <c r="C41" s="3">
        <f>+MIN(750*C14,200000)</f>
        <v/>
      </c>
      <c r="D41" s="210">
        <f>+C41/$C$14</f>
        <v/>
      </c>
      <c r="E41" s="265" t="n"/>
      <c r="K41" s="6" t="inlineStr">
        <is>
          <t>LP Split</t>
        </is>
      </c>
      <c r="M41" s="8">
        <f>+$M$40*N41</f>
        <v/>
      </c>
      <c r="N41" s="158" t="n">
        <v>0.1</v>
      </c>
      <c r="Q41" s="42" t="n"/>
      <c r="U41" s="304" t="inlineStr">
        <is>
          <t>Tax-Exempt Bonds Invested</t>
        </is>
      </c>
      <c r="V41" s="91" t="n"/>
      <c r="W41" s="30">
        <f>+W21</f>
        <v/>
      </c>
    </row>
    <row r="42">
      <c r="B42" s="6" t="inlineStr">
        <is>
          <t>Marketing</t>
        </is>
      </c>
      <c r="C42" s="186">
        <f>+D42*$I$28</f>
        <v/>
      </c>
      <c r="D42" s="10" t="n">
        <v>1500</v>
      </c>
      <c r="E42" s="265" t="n"/>
      <c r="K42" s="20" t="inlineStr">
        <is>
          <t>GP Split</t>
        </is>
      </c>
      <c r="L42" s="21" t="n"/>
      <c r="M42" s="34">
        <f>+$M$40*N42</f>
        <v/>
      </c>
      <c r="N42" s="159">
        <f>1-N41</f>
        <v/>
      </c>
      <c r="Q42" s="42" t="n"/>
      <c r="U42" s="216" t="inlineStr">
        <is>
          <t>Taxable Bonds Invested</t>
        </is>
      </c>
      <c r="V42" s="90" t="n"/>
      <c r="W42" s="34">
        <f>+IF(W13=$X$13,W24,0)</f>
        <v/>
      </c>
    </row>
    <row r="43">
      <c r="B43" s="6" t="inlineStr">
        <is>
          <t>Bond Issuer</t>
        </is>
      </c>
      <c r="C43" s="186">
        <f>IF(D62&gt;20000000,37500+0.0005*(D62-20000000),0.001875*D62)+70000+2500+6000</f>
        <v/>
      </c>
      <c r="D43" s="210">
        <f>+C43/$C$14</f>
        <v/>
      </c>
      <c r="E43" s="233" t="n"/>
      <c r="H43" s="133" t="n"/>
      <c r="I43" s="133" t="n"/>
      <c r="J43" s="133" t="n"/>
      <c r="K43" s="133" t="n"/>
      <c r="AA43" s="291" t="inlineStr">
        <is>
          <t>Exit Year</t>
        </is>
      </c>
      <c r="AC43" s="97" t="inlineStr">
        <is>
          <t>Modular Costs</t>
        </is>
      </c>
      <c r="AD43" s="204" t="inlineStr">
        <is>
          <t>Type IIb</t>
        </is>
      </c>
      <c r="AE43" s="204" t="inlineStr">
        <is>
          <t>Type Ib</t>
        </is>
      </c>
      <c r="AG43" s="42" t="inlineStr">
        <is>
          <t>y=178.5x+103967</t>
        </is>
      </c>
    </row>
    <row r="44">
      <c r="B44" s="6" t="inlineStr">
        <is>
          <t>Owner LIHTC Consulting/Legal</t>
        </is>
      </c>
      <c r="C44" s="223">
        <f>50000+D109+35000</f>
        <v/>
      </c>
      <c r="D44" s="210">
        <f>+C44/$C$14</f>
        <v/>
      </c>
      <c r="E44" s="233" t="n"/>
      <c r="G44" s="62" t="inlineStr">
        <is>
          <t>Pro Forma</t>
        </is>
      </c>
      <c r="H44" s="64" t="inlineStr">
        <is>
          <t>Deal Kickoff</t>
        </is>
      </c>
      <c r="I44" s="64" t="inlineStr">
        <is>
          <t>Award</t>
        </is>
      </c>
      <c r="J44" s="64" t="inlineStr">
        <is>
          <t>Equity Close</t>
        </is>
      </c>
      <c r="K44" s="64" t="inlineStr">
        <is>
          <t>Conversion</t>
        </is>
      </c>
      <c r="L44" s="64" t="inlineStr">
        <is>
          <t>Year 1</t>
        </is>
      </c>
      <c r="M44" s="64" t="inlineStr">
        <is>
          <t>Year 2</t>
        </is>
      </c>
      <c r="N44" s="64" t="inlineStr">
        <is>
          <t>Year 3</t>
        </is>
      </c>
      <c r="O44" s="64" t="inlineStr">
        <is>
          <t>Year 4</t>
        </is>
      </c>
      <c r="P44" s="64" t="inlineStr">
        <is>
          <t>Year 5</t>
        </is>
      </c>
      <c r="Q44" s="64" t="inlineStr">
        <is>
          <t>Year 6</t>
        </is>
      </c>
      <c r="R44" s="64" t="inlineStr">
        <is>
          <t>Year 7</t>
        </is>
      </c>
      <c r="S44" s="64" t="inlineStr">
        <is>
          <t>Year 8</t>
        </is>
      </c>
      <c r="T44" s="64" t="inlineStr">
        <is>
          <t>Year 9</t>
        </is>
      </c>
      <c r="U44" s="64" t="inlineStr">
        <is>
          <t>Year 10</t>
        </is>
      </c>
      <c r="V44" s="64" t="inlineStr">
        <is>
          <t>Year 11</t>
        </is>
      </c>
      <c r="W44" s="64" t="inlineStr">
        <is>
          <t>Year 12</t>
        </is>
      </c>
      <c r="X44" s="64" t="inlineStr">
        <is>
          <t>Year 13</t>
        </is>
      </c>
      <c r="Y44" s="64" t="inlineStr">
        <is>
          <t>Year 14</t>
        </is>
      </c>
      <c r="Z44" s="284" t="inlineStr">
        <is>
          <t>Year 15</t>
        </is>
      </c>
      <c r="AA44" s="64" t="inlineStr">
        <is>
          <t>Year 16</t>
        </is>
      </c>
      <c r="AC44" s="253" t="inlineStr">
        <is>
          <t>0B</t>
        </is>
      </c>
      <c r="AD44" s="161" t="n">
        <v>80000</v>
      </c>
      <c r="AE44" s="161">
        <f>+AD44*1.15</f>
        <v/>
      </c>
      <c r="AG44" s="42" t="inlineStr">
        <is>
          <t>y=157.72x+112970</t>
        </is>
      </c>
    </row>
    <row r="45">
      <c r="B45" s="6" t="inlineStr">
        <is>
          <t>CDLAC/TCAC Fees</t>
        </is>
      </c>
      <c r="C45" s="223">
        <f>+D116</f>
        <v/>
      </c>
      <c r="D45" s="210">
        <f>+C45/$C$14</f>
        <v/>
      </c>
      <c r="E45" s="233" t="n"/>
      <c r="G45" t="inlineStr">
        <is>
          <t>Month</t>
        </is>
      </c>
      <c r="H45" t="n">
        <v>0</v>
      </c>
      <c r="I45" s="3">
        <f>+S4+H45</f>
        <v/>
      </c>
      <c r="J45" s="3">
        <f>+S5+I45</f>
        <v/>
      </c>
      <c r="K45" s="3">
        <f>+S6+S9+J45</f>
        <v/>
      </c>
      <c r="L45" s="3">
        <f>+K45+12</f>
        <v/>
      </c>
      <c r="M45" s="3">
        <f>+L45+12</f>
        <v/>
      </c>
      <c r="N45" s="3">
        <f>+M45+12</f>
        <v/>
      </c>
      <c r="O45" s="3">
        <f>+N45+12</f>
        <v/>
      </c>
      <c r="P45" s="3">
        <f>+O45+12</f>
        <v/>
      </c>
      <c r="Q45" s="3">
        <f>+P45+12</f>
        <v/>
      </c>
      <c r="R45" s="3">
        <f>+Q45+12</f>
        <v/>
      </c>
      <c r="S45" s="3">
        <f>+R45+12</f>
        <v/>
      </c>
      <c r="T45" s="3">
        <f>+S45+12</f>
        <v/>
      </c>
      <c r="U45" s="3">
        <f>+T45+12</f>
        <v/>
      </c>
      <c r="V45" s="3">
        <f>+U45+12</f>
        <v/>
      </c>
      <c r="W45" s="3">
        <f>+V45+12</f>
        <v/>
      </c>
      <c r="X45" s="3">
        <f>+W45+12</f>
        <v/>
      </c>
      <c r="Y45" s="3">
        <f>+X45+12</f>
        <v/>
      </c>
      <c r="Z45" s="16">
        <f>+Y45+12</f>
        <v/>
      </c>
      <c r="AA45" s="3">
        <f>+Z45+12</f>
        <v/>
      </c>
      <c r="AC45" s="253" t="inlineStr">
        <is>
          <t>1B</t>
        </is>
      </c>
      <c r="AD45" s="161" t="n">
        <v>90000</v>
      </c>
      <c r="AE45" s="161">
        <f>+AD45*1.15</f>
        <v/>
      </c>
    </row>
    <row r="46">
      <c r="A46" s="157" t="n">
        <v>0.011</v>
      </c>
      <c r="B46" s="6" t="inlineStr">
        <is>
          <t>Property Taxes</t>
        </is>
      </c>
      <c r="C46" s="186">
        <f>A46/12*(S16*(S5+S6)+C36*(S6)/2)</f>
        <v/>
      </c>
      <c r="D46" s="210">
        <f>+C46/$C$14</f>
        <v/>
      </c>
      <c r="E46" s="233" t="n"/>
      <c r="G46" s="21" t="inlineStr">
        <is>
          <t>Date</t>
        </is>
      </c>
      <c r="H46" s="336">
        <f>+S3</f>
        <v/>
      </c>
      <c r="I46" s="336">
        <f>+EOMONTH($H$46,I45)</f>
        <v/>
      </c>
      <c r="J46" s="336">
        <f>+EOMONTH($H$46,J45)</f>
        <v/>
      </c>
      <c r="K46" s="336">
        <f>+EOMONTH($H$46,K45)</f>
        <v/>
      </c>
      <c r="L46" s="336">
        <f>+EOMONTH($H$46,L45)</f>
        <v/>
      </c>
      <c r="M46" s="336">
        <f>+EOMONTH($H$46,M45)</f>
        <v/>
      </c>
      <c r="N46" s="336">
        <f>+EOMONTH($H$46,N45)</f>
        <v/>
      </c>
      <c r="O46" s="336">
        <f>+EOMONTH($H$46,O45)</f>
        <v/>
      </c>
      <c r="P46" s="336">
        <f>+EOMONTH($H$46,P45)</f>
        <v/>
      </c>
      <c r="Q46" s="336">
        <f>+EOMONTH($H$46,Q45)</f>
        <v/>
      </c>
      <c r="R46" s="336">
        <f>+EOMONTH($H$46,R45)</f>
        <v/>
      </c>
      <c r="S46" s="336">
        <f>+EOMONTH($H$46,S45)</f>
        <v/>
      </c>
      <c r="T46" s="336">
        <f>+EOMONTH($H$46,T45)</f>
        <v/>
      </c>
      <c r="U46" s="336">
        <f>+EOMONTH($H$46,U45)</f>
        <v/>
      </c>
      <c r="V46" s="336">
        <f>+EOMONTH($H$46,V45)</f>
        <v/>
      </c>
      <c r="W46" s="336">
        <f>+EOMONTH($H$46,W45)</f>
        <v/>
      </c>
      <c r="X46" s="336">
        <f>+EOMONTH($H$46,X45)</f>
        <v/>
      </c>
      <c r="Y46" s="336">
        <f>+EOMONTH($H$46,Y45)</f>
        <v/>
      </c>
      <c r="Z46" s="337">
        <f>+EOMONTH($H$46,Z45)</f>
        <v/>
      </c>
      <c r="AA46" s="336">
        <f>+EOMONTH($H$46,AA45)</f>
        <v/>
      </c>
      <c r="AC46" s="253" t="inlineStr">
        <is>
          <t>2B</t>
        </is>
      </c>
      <c r="AD46" s="161" t="n">
        <v>140000</v>
      </c>
      <c r="AE46" s="161">
        <f>+AD46*1.15</f>
        <v/>
      </c>
      <c r="AG46" s="11" t="inlineStr">
        <is>
          <t>Utility Allowance</t>
        </is>
      </c>
      <c r="AH46" s="25" t="n"/>
      <c r="AI46" s="213" t="inlineStr">
        <is>
          <t>0B</t>
        </is>
      </c>
      <c r="AJ46" s="213" t="inlineStr">
        <is>
          <t>1B</t>
        </is>
      </c>
      <c r="AK46" s="213" t="inlineStr">
        <is>
          <t>2B</t>
        </is>
      </c>
      <c r="AL46" s="204" t="inlineStr">
        <is>
          <t>3B</t>
        </is>
      </c>
    </row>
    <row r="47">
      <c r="B47" s="6" t="inlineStr">
        <is>
          <t>Developer Fee</t>
        </is>
      </c>
      <c r="C47" s="186">
        <f>+C56*15%/(1+15%)</f>
        <v/>
      </c>
      <c r="D47" s="210">
        <f>+C47/$C$14</f>
        <v/>
      </c>
      <c r="E47" s="233" t="n"/>
      <c r="G47" t="inlineStr">
        <is>
          <t>Base Rent</t>
        </is>
      </c>
      <c r="J47" s="3" t="n">
        <v>0</v>
      </c>
      <c r="K47" s="3" t="n">
        <v>0</v>
      </c>
      <c r="L47" s="3">
        <f>+H31</f>
        <v/>
      </c>
      <c r="M47" s="3">
        <f>+L47*(1+$C$19)</f>
        <v/>
      </c>
      <c r="N47" s="3">
        <f>+M47*(1+$C$19)</f>
        <v/>
      </c>
      <c r="O47" s="3">
        <f>+N47*(1+$C$19)</f>
        <v/>
      </c>
      <c r="P47" s="3">
        <f>+O47*(1+$C$19)</f>
        <v/>
      </c>
      <c r="Q47" s="42">
        <f>+P47*(1+$C$19)</f>
        <v/>
      </c>
      <c r="R47" s="42">
        <f>+Q47*(1+$C$19)</f>
        <v/>
      </c>
      <c r="S47" s="42">
        <f>+R47*(1+$C$19)</f>
        <v/>
      </c>
      <c r="T47" s="42">
        <f>+S47*(1+$C$19)</f>
        <v/>
      </c>
      <c r="U47" s="42">
        <f>+T47*(1+$C$19)</f>
        <v/>
      </c>
      <c r="V47" s="42">
        <f>+U47*(1+$C$19)</f>
        <v/>
      </c>
      <c r="W47" s="42">
        <f>+V47*(1+$C$19)</f>
        <v/>
      </c>
      <c r="X47" s="42">
        <f>+W47*(1+$C$19)</f>
        <v/>
      </c>
      <c r="Y47" s="42">
        <f>+X47*(1+$C$19)</f>
        <v/>
      </c>
      <c r="Z47" s="8">
        <f>+Y47*(1+$C$19)</f>
        <v/>
      </c>
      <c r="AA47" s="42">
        <f>+Z47*(1+$C$19)</f>
        <v/>
      </c>
      <c r="AC47" s="216" t="inlineStr">
        <is>
          <t>3B</t>
        </is>
      </c>
      <c r="AD47" s="251" t="n">
        <v>180000</v>
      </c>
      <c r="AE47" s="251">
        <f>+AD47*1.15</f>
        <v/>
      </c>
      <c r="AG47" s="338" t="inlineStr">
        <is>
          <t>Air Conditioning - Electric</t>
        </is>
      </c>
      <c r="AH47" s="42" t="n"/>
      <c r="AI47" s="42">
        <f t="array" ref="AI47">IFERROR(
  INDEX(UA!$I$2:$P$448,
        MATCH(1,
              (UA!$B$2:$B$448=$C$4)*
              (UA!$D$2:$D$448="Multi-Family")*
              (UA!$H$2:$H$448=$AG47),0),
        MATCH(SUBSTITUTE(AI$46,"B","BR"),UA!$I$1:$P$1,0)
  ),
"")</f>
        <v/>
      </c>
      <c r="AJ47" s="42">
        <f t="array" ref="AJ47">IFERROR(
  INDEX(UA!$I$2:$P$448,
        MATCH(1,
              (UA!$B$2:$B$448=$C$4)*
              (UA!$D$2:$D$448="Multi-Family")*
              (UA!$H$2:$H$448=$AG47),0),
        MATCH(SUBSTITUTE(AJ$46,"B","BR"),UA!$I$1:$P$1,0)
  ),
"")</f>
        <v/>
      </c>
      <c r="AK47" s="42">
        <f t="array" ref="AK47">IFERROR(
  INDEX(UA!$I$2:$P$448,
        MATCH(1,
              (UA!$B$2:$B$448=$C$4)*
              (UA!$D$2:$D$448="Multi-Family")*
              (UA!$H$2:$H$448=$AG47),0),
        MATCH(SUBSTITUTE(AK$46,"B","BR"),UA!$I$1:$P$1,0)
  ),
"")</f>
        <v/>
      </c>
      <c r="AL47" s="8">
        <f t="array" ref="AL47">IFERROR(
  INDEX(UA!$I$2:$P$448,
        MATCH(1,
              (UA!$B$2:$B$448=$C$4)*
              (UA!$D$2:$D$448="Multi-Family")*
              (UA!$H$2:$H$448=$AG47),0),
        MATCH(SUBSTITUTE(AL$46,"B","BR"),UA!$I$1:$P$1,0)
  ),
"")</f>
        <v/>
      </c>
    </row>
    <row r="48">
      <c r="B48" s="6" t="inlineStr">
        <is>
          <t>Operating Reserves</t>
        </is>
      </c>
      <c r="C48" s="186">
        <f>-(L52+L56)/4</f>
        <v/>
      </c>
      <c r="D48" s="210">
        <f>+C48/$C$14</f>
        <v/>
      </c>
      <c r="E48" s="233" t="n"/>
      <c r="G48" t="inlineStr">
        <is>
          <t>Other Income</t>
        </is>
      </c>
      <c r="J48" s="3" t="n"/>
      <c r="K48" s="3" t="n"/>
      <c r="L48" s="3">
        <f>+H32</f>
        <v/>
      </c>
      <c r="M48" s="3">
        <f>+L48*(1+$C$19)</f>
        <v/>
      </c>
      <c r="N48" s="3">
        <f>+M48*(1+$C$19)</f>
        <v/>
      </c>
      <c r="O48" s="3">
        <f>+N48*(1+$C$19)</f>
        <v/>
      </c>
      <c r="P48" s="3">
        <f>+O48*(1+$C$19)</f>
        <v/>
      </c>
      <c r="Q48" s="42">
        <f>+P48*(1+$C$19)</f>
        <v/>
      </c>
      <c r="R48" s="42">
        <f>+Q48*(1+$C$19)</f>
        <v/>
      </c>
      <c r="S48" s="42">
        <f>+R48*(1+$C$19)</f>
        <v/>
      </c>
      <c r="T48" s="42">
        <f>+S48*(1+$C$19)</f>
        <v/>
      </c>
      <c r="U48" s="42">
        <f>+T48*(1+$C$19)</f>
        <v/>
      </c>
      <c r="V48" s="42">
        <f>+U48*(1+$C$19)</f>
        <v/>
      </c>
      <c r="W48" s="42">
        <f>+V48*(1+$C$19)</f>
        <v/>
      </c>
      <c r="X48" s="42">
        <f>+W48*(1+$C$19)</f>
        <v/>
      </c>
      <c r="Y48" s="42">
        <f>+X48*(1+$C$19)</f>
        <v/>
      </c>
      <c r="Z48" s="8">
        <f>+Y48*(1+$C$19)</f>
        <v/>
      </c>
      <c r="AA48" s="42">
        <f>+Z48*(1+$C$19)</f>
        <v/>
      </c>
      <c r="AC48" t="inlineStr">
        <is>
          <t>On-site PNRSF</t>
        </is>
      </c>
      <c r="AD48" s="252" t="n">
        <v>200</v>
      </c>
      <c r="AG48" s="6" t="inlineStr">
        <is>
          <t>Cooking - Electric</t>
        </is>
      </c>
      <c r="AH48" s="42" t="n"/>
      <c r="AI48" s="42">
        <f t="array" ref="AI48">IFERROR(
  INDEX(UA!$I$2:$P$448,
        MATCH(1,
              (UA!$B$2:$B$448=$C$4)*
              (UA!$D$2:$D$448="Multi-Family")*
              (UA!$H$2:$H$448=$AG48),0),
        MATCH(SUBSTITUTE(AI$46,"B","BR"),UA!$I$1:$P$1,0)
  ),
"")</f>
        <v/>
      </c>
      <c r="AJ48" s="42">
        <f t="array" ref="AJ48">IFERROR(
  INDEX(UA!$I$2:$P$448,
        MATCH(1,
              (UA!$B$2:$B$448=$C$4)*
              (UA!$D$2:$D$448="Multi-Family")*
              (UA!$H$2:$H$448=$AG48),0),
        MATCH(SUBSTITUTE(AJ$46,"B","BR"),UA!$I$1:$P$1,0)
  ),
"")</f>
        <v/>
      </c>
      <c r="AK48" s="42">
        <f t="array" ref="AK48">IFERROR(
  INDEX(UA!$I$2:$P$448,
        MATCH(1,
              (UA!$B$2:$B$448=$C$4)*
              (UA!$D$2:$D$448="Multi-Family")*
              (UA!$H$2:$H$448=$AG48),0),
        MATCH(SUBSTITUTE(AK$46,"B","BR"),UA!$I$1:$P$1,0)
  ),
"")</f>
        <v/>
      </c>
      <c r="AL48" s="8">
        <f t="array" ref="AL48">IFERROR(
  INDEX(UA!$I$2:$P$448,
        MATCH(1,
              (UA!$B$2:$B$448=$C$4)*
              (UA!$D$2:$D$448="Multi-Family")*
              (UA!$H$2:$H$448=$AG48),0),
        MATCH(SUBSTITUTE(AL$46,"B","BR"),UA!$I$1:$P$1,0)
  ),
"")</f>
        <v/>
      </c>
    </row>
    <row r="49">
      <c r="A49" s="230" t="n">
        <v>0.05</v>
      </c>
      <c r="B49" s="6" t="inlineStr">
        <is>
          <t>Hard Cost Contingency</t>
        </is>
      </c>
      <c r="C49" s="42">
        <f>+A49*C36</f>
        <v/>
      </c>
      <c r="D49" s="8">
        <f>+C49/$C$14</f>
        <v/>
      </c>
      <c r="E49" s="233" t="n"/>
      <c r="G49" t="inlineStr">
        <is>
          <t>Vacancy</t>
        </is>
      </c>
      <c r="J49" s="3" t="n"/>
      <c r="K49" s="3" t="n"/>
      <c r="L49" s="3">
        <f>+H33</f>
        <v/>
      </c>
      <c r="M49" s="3">
        <f>-$I$33*SUM(M47:M48)</f>
        <v/>
      </c>
      <c r="N49" s="3">
        <f>-$I$33*SUM(N47:N48)</f>
        <v/>
      </c>
      <c r="O49" s="3">
        <f>-$I$33*SUM(O47:O48)</f>
        <v/>
      </c>
      <c r="P49" s="3">
        <f>-$I$33*SUM(P47:P48)</f>
        <v/>
      </c>
      <c r="Q49" s="42">
        <f>-$I$33*SUM(Q47:Q48)</f>
        <v/>
      </c>
      <c r="R49" s="42">
        <f>-$I$33*SUM(R47:R48)</f>
        <v/>
      </c>
      <c r="S49" s="42">
        <f>-$I$33*SUM(S47:S48)</f>
        <v/>
      </c>
      <c r="T49" s="42">
        <f>-$I$33*SUM(T47:T48)</f>
        <v/>
      </c>
      <c r="U49" s="42">
        <f>-$I$33*SUM(U47:U48)</f>
        <v/>
      </c>
      <c r="V49" s="42">
        <f>-$I$33*SUM(V47:V48)</f>
        <v/>
      </c>
      <c r="W49" s="42">
        <f>-$I$33*SUM(W47:W48)</f>
        <v/>
      </c>
      <c r="X49" s="42">
        <f>-$I$33*SUM(X47:X48)</f>
        <v/>
      </c>
      <c r="Y49" s="42">
        <f>-$I$33*SUM(Y47:Y48)</f>
        <v/>
      </c>
      <c r="Z49" s="8">
        <f>-$I$33*SUM(Z47:Z48)</f>
        <v/>
      </c>
      <c r="AA49" s="42">
        <f>-$I$33*SUM(AA47:AA48)</f>
        <v/>
      </c>
      <c r="AD49" s="259">
        <f>+AD48*H28</f>
        <v/>
      </c>
      <c r="AG49" s="6" t="inlineStr">
        <is>
          <t>Other Electric - Electric (Lights/Plugs)</t>
        </is>
      </c>
      <c r="AH49" s="42" t="n"/>
      <c r="AI49" s="42">
        <f t="array" ref="AI49">IFERROR(
  INDEX(UA!$I$2:$P$448,
        MATCH(1,
              (UA!$B$2:$B$448=$C$4)*
              (UA!$D$2:$D$448="Multi-Family")*
              (UA!$H$2:$H$448=$AG49),0),
        MATCH(SUBSTITUTE(AI$46,"B","BR"),UA!$I$1:$P$1,0)
  ),
"")</f>
        <v/>
      </c>
      <c r="AJ49" s="42">
        <f t="array" ref="AJ49">IFERROR(
  INDEX(UA!$I$2:$P$448,
        MATCH(1,
              (UA!$B$2:$B$448=$C$4)*
              (UA!$D$2:$D$448="Multi-Family")*
              (UA!$H$2:$H$448=$AG49),0),
        MATCH(SUBSTITUTE(AJ$46,"B","BR"),UA!$I$1:$P$1,0)
  ),
"")</f>
        <v/>
      </c>
      <c r="AK49" s="42">
        <f t="array" ref="AK49">IFERROR(
  INDEX(UA!$I$2:$P$448,
        MATCH(1,
              (UA!$B$2:$B$448=$C$4)*
              (UA!$D$2:$D$448="Multi-Family")*
              (UA!$H$2:$H$448=$AG49),0),
        MATCH(SUBSTITUTE(AK$46,"B","BR"),UA!$I$1:$P$1,0)
  ),
"")</f>
        <v/>
      </c>
      <c r="AL49" s="8">
        <f t="array" ref="AL49">IFERROR(
  INDEX(UA!$I$2:$P$448,
        MATCH(1,
              (UA!$B$2:$B$448=$C$4)*
              (UA!$D$2:$D$448="Multi-Family")*
              (UA!$H$2:$H$448=$AG49),0),
        MATCH(SUBSTITUTE(AL$46,"B","BR"),UA!$I$1:$P$1,0)
  ),
"")</f>
        <v/>
      </c>
    </row>
    <row r="50">
      <c r="A50" s="231" t="n">
        <v>0.1</v>
      </c>
      <c r="B50" s="6" t="inlineStr">
        <is>
          <t>Soft Cost Contingency</t>
        </is>
      </c>
      <c r="C50" s="42">
        <f>+A50*SUM(C37:C46)</f>
        <v/>
      </c>
      <c r="D50" s="8">
        <f>+C50/$C$14</f>
        <v/>
      </c>
      <c r="E50" s="233" t="n"/>
      <c r="G50" s="27" t="inlineStr">
        <is>
          <t>Effective Gross Income</t>
        </is>
      </c>
      <c r="H50" s="27" t="n"/>
      <c r="I50" s="27" t="n"/>
      <c r="J50" s="14" t="n"/>
      <c r="K50" s="14" t="n"/>
      <c r="L50" s="14">
        <f>+SUM(L47:L49)</f>
        <v/>
      </c>
      <c r="M50" s="14">
        <f>+SUM(M47:M49)</f>
        <v/>
      </c>
      <c r="N50" s="14">
        <f>+SUM(N47:N49)</f>
        <v/>
      </c>
      <c r="O50" s="14">
        <f>+SUM(O47:O49)</f>
        <v/>
      </c>
      <c r="P50" s="14">
        <f>+SUM(P47:P49)</f>
        <v/>
      </c>
      <c r="Q50" s="89">
        <f>+SUM(Q47:Q49)</f>
        <v/>
      </c>
      <c r="R50" s="89">
        <f>+SUM(R47:R49)</f>
        <v/>
      </c>
      <c r="S50" s="89">
        <f>+SUM(S47:S49)</f>
        <v/>
      </c>
      <c r="T50" s="89">
        <f>+SUM(T47:T49)</f>
        <v/>
      </c>
      <c r="U50" s="89">
        <f>+SUM(U47:U49)</f>
        <v/>
      </c>
      <c r="V50" s="89">
        <f>+SUM(V47:V49)</f>
        <v/>
      </c>
      <c r="W50" s="89">
        <f>+SUM(W47:W49)</f>
        <v/>
      </c>
      <c r="X50" s="89">
        <f>+SUM(X47:X49)</f>
        <v/>
      </c>
      <c r="Y50" s="89">
        <f>+SUM(Y47:Y49)</f>
        <v/>
      </c>
      <c r="Z50" s="279">
        <f>+SUM(Z47:Z49)</f>
        <v/>
      </c>
      <c r="AA50" s="89">
        <f>+SUM(AA47:AA49)</f>
        <v/>
      </c>
      <c r="AC50" s="42" t="inlineStr">
        <is>
          <t>Podium Cost PSF</t>
        </is>
      </c>
      <c r="AD50" s="252" t="n">
        <v>110</v>
      </c>
      <c r="AG50" s="6" t="inlineStr">
        <is>
          <t>Other - Specify - Code Enforcement Program</t>
        </is>
      </c>
      <c r="AH50" s="42" t="n"/>
      <c r="AI50" s="42">
        <f t="array" ref="AI50">IFERROR(
  INDEX(UA!$I$2:$P$448,
        MATCH(1,
              (UA!$B$2:$B$448=$C$4)*
              (UA!$D$2:$D$448="Multi-Family")*
              (UA!$H$2:$H$448=$AG50),0),
        MATCH(SUBSTITUTE(AI$46,"B","BR"),UA!$I$1:$P$1,0)
  ),
"")</f>
        <v/>
      </c>
      <c r="AJ50" s="42">
        <f t="array" ref="AJ50">IFERROR(
  INDEX(UA!$I$2:$P$448,
        MATCH(1,
              (UA!$B$2:$B$448=$C$4)*
              (UA!$D$2:$D$448="Multi-Family")*
              (UA!$H$2:$H$448=$AG50),0),
        MATCH(SUBSTITUTE(AJ$46,"B","BR"),UA!$I$1:$P$1,0)
  ),
"")</f>
        <v/>
      </c>
      <c r="AK50" s="42">
        <f t="array" ref="AK50">IFERROR(
  INDEX(UA!$I$2:$P$448,
        MATCH(1,
              (UA!$B$2:$B$448=$C$4)*
              (UA!$D$2:$D$448="Multi-Family")*
              (UA!$H$2:$H$448=$AG50),0),
        MATCH(SUBSTITUTE(AK$46,"B","BR"),UA!$I$1:$P$1,0)
  ),
"")</f>
        <v/>
      </c>
      <c r="AL50" s="8">
        <f t="array" ref="AL50">IFERROR(
  INDEX(UA!$I$2:$P$448,
        MATCH(1,
              (UA!$B$2:$B$448=$C$4)*
              (UA!$D$2:$D$448="Multi-Family")*
              (UA!$H$2:$H$448=$AG50),0),
        MATCH(SUBSTITUTE(AL$46,"B","BR"),UA!$I$1:$P$1,0)
  ),
"")</f>
        <v/>
      </c>
    </row>
    <row r="51">
      <c r="B51" s="6" t="inlineStr">
        <is>
          <t>Perm Loan Costs</t>
        </is>
      </c>
      <c r="C51" s="42">
        <f>+W36</f>
        <v/>
      </c>
      <c r="D51" s="8">
        <f>+C51/$C$14</f>
        <v/>
      </c>
      <c r="E51" s="233" t="n"/>
      <c r="Q51" s="42" t="n"/>
      <c r="Z51" s="8" t="n"/>
      <c r="AD51" s="259">
        <f>+MIN(C17/0.75*1.1/5*C18,C12*0.9*C18)*AD50/I28</f>
        <v/>
      </c>
      <c r="AG51" s="6" t="inlineStr">
        <is>
          <t>Space Heating - Electric</t>
        </is>
      </c>
      <c r="AH51" s="42" t="n"/>
      <c r="AI51" s="42">
        <f t="array" ref="AI51">IFERROR(
  INDEX(UA!$I$2:$P$448,
        MATCH(1,
              (UA!$B$2:$B$448=$C$4)*
              (UA!$D$2:$D$448="Multi-Family")*
              (UA!$H$2:$H$448=$AG51),0),
        MATCH(SUBSTITUTE(AI$46,"B","BR"),UA!$I$1:$P$1,0)
  ),
"")</f>
        <v/>
      </c>
      <c r="AJ51" s="42">
        <f t="array" ref="AJ51">IFERROR(
  INDEX(UA!$I$2:$P$448,
        MATCH(1,
              (UA!$B$2:$B$448=$C$4)*
              (UA!$D$2:$D$448="Multi-Family")*
              (UA!$H$2:$H$448=$AG51),0),
        MATCH(SUBSTITUTE(AJ$46,"B","BR"),UA!$I$1:$P$1,0)
  ),
"")</f>
        <v/>
      </c>
      <c r="AK51" s="42">
        <f t="array" ref="AK51">IFERROR(
  INDEX(UA!$I$2:$P$448,
        MATCH(1,
              (UA!$B$2:$B$448=$C$4)*
              (UA!$D$2:$D$448="Multi-Family")*
              (UA!$H$2:$H$448=$AG51),0),
        MATCH(SUBSTITUTE(AK$46,"B","BR"),UA!$I$1:$P$1,0)
  ),
"")</f>
        <v/>
      </c>
      <c r="AL51" s="8">
        <f t="array" ref="AL51">IFERROR(
  INDEX(UA!$I$2:$P$448,
        MATCH(1,
              (UA!$B$2:$B$448=$C$4)*
              (UA!$D$2:$D$448="Multi-Family")*
              (UA!$H$2:$H$448=$AG51),0),
        MATCH(SUBSTITUTE(AL$46,"B","BR"),UA!$I$1:$P$1,0)
  ),
"")</f>
        <v/>
      </c>
    </row>
    <row r="52">
      <c r="B52" s="6" t="inlineStr">
        <is>
          <t>Basis-Eligible Interest</t>
        </is>
      </c>
      <c r="C52" s="42">
        <f>Draws_Module!I22+AA8+AD40</f>
        <v/>
      </c>
      <c r="D52" s="8">
        <f>+C52/$C$14</f>
        <v/>
      </c>
      <c r="E52" s="233" t="n"/>
      <c r="G52" t="inlineStr">
        <is>
          <t>Operating Expense</t>
        </is>
      </c>
      <c r="J52" s="3" t="n"/>
      <c r="K52" s="3" t="n"/>
      <c r="L52" s="3">
        <f>+H35</f>
        <v/>
      </c>
      <c r="M52" s="3">
        <f>+L52*(1+$C$20)</f>
        <v/>
      </c>
      <c r="N52" s="3">
        <f>+M52*(1+$C$20)</f>
        <v/>
      </c>
      <c r="O52" s="3">
        <f>+N52*(1+$C$20)</f>
        <v/>
      </c>
      <c r="P52" s="3">
        <f>+O52*(1+$C$20)</f>
        <v/>
      </c>
      <c r="Q52" s="3">
        <f>+P52*(1+$C$20)</f>
        <v/>
      </c>
      <c r="R52" s="3">
        <f>+Q52*(1+$C$20)</f>
        <v/>
      </c>
      <c r="S52" s="3">
        <f>+R52*(1+$C$20)</f>
        <v/>
      </c>
      <c r="T52" s="3">
        <f>+S52*(1+$C$20)</f>
        <v/>
      </c>
      <c r="U52" s="3">
        <f>+T52*(1+$C$20)</f>
        <v/>
      </c>
      <c r="V52" s="3">
        <f>+U52*(1+$C$20)</f>
        <v/>
      </c>
      <c r="W52" s="3">
        <f>+V52*(1+$C$20)</f>
        <v/>
      </c>
      <c r="X52" s="3">
        <f>+W52*(1+$C$20)</f>
        <v/>
      </c>
      <c r="Y52" s="3">
        <f>+X52*(1+$C$20)</f>
        <v/>
      </c>
      <c r="Z52" s="16">
        <f>+Y52*(1+$C$20)</f>
        <v/>
      </c>
      <c r="AA52" s="3">
        <f>+Z52*(1+$C$20)</f>
        <v/>
      </c>
      <c r="AD52" s="266">
        <f>+MIN(C17/0.75*1.1/5*C18,C12*0.9*C18)*AD50/D18</f>
        <v/>
      </c>
      <c r="AG52" s="6" t="inlineStr">
        <is>
          <t>Range/Microwave - Allowance</t>
        </is>
      </c>
      <c r="AH52" s="42" t="n"/>
      <c r="AI52" s="42">
        <f t="array" ref="AI52">IFERROR(
  INDEX(UA!$I$2:$P$448,
        MATCH(1,
              (UA!$B$2:$B$448=$C$4)*
              (UA!$D$2:$D$448="Multi-Family")*
              (UA!$H$2:$H$448=$AG52),0),
        MATCH(SUBSTITUTE(AI$46,"B","BR"),UA!$I$1:$P$1,0)
  ),
"")</f>
        <v/>
      </c>
      <c r="AJ52" s="42">
        <f t="array" ref="AJ52">IFERROR(
  INDEX(UA!$I$2:$P$448,
        MATCH(1,
              (UA!$B$2:$B$448=$C$4)*
              (UA!$D$2:$D$448="Multi-Family")*
              (UA!$H$2:$H$448=$AG52),0),
        MATCH(SUBSTITUTE(AJ$46,"B","BR"),UA!$I$1:$P$1,0)
  ),
"")</f>
        <v/>
      </c>
      <c r="AK52" s="42">
        <f t="array" ref="AK52">IFERROR(
  INDEX(UA!$I$2:$P$448,
        MATCH(1,
              (UA!$B$2:$B$448=$C$4)*
              (UA!$D$2:$D$448="Multi-Family")*
              (UA!$H$2:$H$448=$AG52),0),
        MATCH(SUBSTITUTE(AK$46,"B","BR"),UA!$I$1:$P$1,0)
  ),
"")</f>
        <v/>
      </c>
      <c r="AL52" s="8">
        <f t="array" ref="AL52">IFERROR(
  INDEX(UA!$I$2:$P$448,
        MATCH(1,
              (UA!$B$2:$B$448=$C$4)*
              (UA!$D$2:$D$448="Multi-Family")*
              (UA!$H$2:$H$448=$AG52),0),
        MATCH(SUBSTITUTE(AL$46,"B","BR"),UA!$I$1:$P$1,0)
  ),
"")</f>
        <v/>
      </c>
    </row>
    <row r="53">
      <c r="B53" s="6" t="inlineStr">
        <is>
          <t>Non-Eligible Interest</t>
        </is>
      </c>
      <c r="C53" s="42">
        <f>+Draws_Module!I23+AA9+AD37-AD40+AD38</f>
        <v/>
      </c>
      <c r="D53" s="8">
        <f>+C53/$C$14</f>
        <v/>
      </c>
      <c r="E53" s="233" t="n"/>
      <c r="G53" s="27" t="inlineStr">
        <is>
          <t>NOI</t>
        </is>
      </c>
      <c r="H53" s="27" t="n"/>
      <c r="I53" s="27" t="n"/>
      <c r="J53" s="14">
        <f>+J50+J52</f>
        <v/>
      </c>
      <c r="K53" s="14">
        <f>+K50+K52</f>
        <v/>
      </c>
      <c r="L53" s="14">
        <f>+L50+L52</f>
        <v/>
      </c>
      <c r="M53" s="14">
        <f>+M50+M52</f>
        <v/>
      </c>
      <c r="N53" s="14">
        <f>+N50+N52</f>
        <v/>
      </c>
      <c r="O53" s="14">
        <f>+O50+O52</f>
        <v/>
      </c>
      <c r="P53" s="14">
        <f>+P50+P52</f>
        <v/>
      </c>
      <c r="Q53" s="89">
        <f>+Q50+Q52</f>
        <v/>
      </c>
      <c r="R53" s="89">
        <f>+R50+R52</f>
        <v/>
      </c>
      <c r="S53" s="89">
        <f>+S50+S52</f>
        <v/>
      </c>
      <c r="T53" s="89">
        <f>+T50+T52</f>
        <v/>
      </c>
      <c r="U53" s="89">
        <f>+U50+U52</f>
        <v/>
      </c>
      <c r="V53" s="89">
        <f>+V50+V52</f>
        <v/>
      </c>
      <c r="W53" s="89">
        <f>+W50+W52</f>
        <v/>
      </c>
      <c r="X53" s="89">
        <f>+X50+X52</f>
        <v/>
      </c>
      <c r="Y53" s="89">
        <f>+Y50+Y52</f>
        <v/>
      </c>
      <c r="Z53" s="279">
        <f>+Z50+Z52</f>
        <v/>
      </c>
      <c r="AA53" s="89">
        <f>+AA50+AA52</f>
        <v/>
      </c>
      <c r="AG53" s="6" t="inlineStr">
        <is>
          <t>Refrigerator - Allowance</t>
        </is>
      </c>
      <c r="AH53" s="42" t="n"/>
      <c r="AI53" s="42">
        <f t="array" ref="AI53">IFERROR(
  INDEX(UA!$I$2:$P$448,
        MATCH(1,
              (UA!$B$2:$B$448=$C$4)*
              (UA!$D$2:$D$448="Multi-Family")*
              (UA!$H$2:$H$448=$AG53),0),
        MATCH(SUBSTITUTE(AI$46,"B","BR"),UA!$I$1:$P$1,0)
  ),
"")</f>
        <v/>
      </c>
      <c r="AJ53" s="42">
        <f t="array" ref="AJ53">IFERROR(
  INDEX(UA!$I$2:$P$448,
        MATCH(1,
              (UA!$B$2:$B$448=$C$4)*
              (UA!$D$2:$D$448="Multi-Family")*
              (UA!$H$2:$H$448=$AG53),0),
        MATCH(SUBSTITUTE(AJ$46,"B","BR"),UA!$I$1:$P$1,0)
  ),
"")</f>
        <v/>
      </c>
      <c r="AK53" s="42">
        <f t="array" ref="AK53">IFERROR(
  INDEX(UA!$I$2:$P$448,
        MATCH(1,
              (UA!$B$2:$B$448=$C$4)*
              (UA!$D$2:$D$448="Multi-Family")*
              (UA!$H$2:$H$448=$AG53),0),
        MATCH(SUBSTITUTE(AK$46,"B","BR"),UA!$I$1:$P$1,0)
  ),
"")</f>
        <v/>
      </c>
      <c r="AL53" s="8">
        <f t="array" ref="AL53">IFERROR(
  INDEX(UA!$I$2:$P$448,
        MATCH(1,
              (UA!$B$2:$B$448=$C$4)*
              (UA!$D$2:$D$448="Multi-Family")*
              (UA!$H$2:$H$448=$AG53),0),
        MATCH(SUBSTITUTE(AL$46,"B","BR"),UA!$I$1:$P$1,0)
  ),
"")</f>
        <v/>
      </c>
    </row>
    <row r="54">
      <c r="B54" s="6" t="inlineStr">
        <is>
          <t>Construction Loan Costs</t>
        </is>
      </c>
      <c r="C54" s="42">
        <f>1%*SUM(D62:D64)+150000</f>
        <v/>
      </c>
      <c r="D54" s="8">
        <f>+C54/$C$14</f>
        <v/>
      </c>
      <c r="E54" s="233" t="n"/>
      <c r="Q54" s="42" t="n"/>
      <c r="Z54" s="8" t="n"/>
      <c r="AG54" s="253" t="inlineStr">
        <is>
          <t>Other - Specify - Utility Customer Charge / Fee</t>
        </is>
      </c>
      <c r="AH54" s="42" t="n"/>
      <c r="AI54" s="42">
        <f t="array" ref="AI54">IFERROR(
  INDEX(UA!$I$2:$P$448,
        MATCH(1,
              (UA!$B$2:$B$448=$C$4)*
              (UA!$D$2:$D$448="Multi-Family")*
              (UA!$H$2:$H$448=$AG54),0),
        MATCH(SUBSTITUTE(AI$46,"B","BR"),UA!$I$1:$P$1,0)
  ),
"")</f>
        <v/>
      </c>
      <c r="AJ54" s="42">
        <f t="array" ref="AJ54">IFERROR(
  INDEX(UA!$I$2:$P$448,
        MATCH(1,
              (UA!$B$2:$B$448=$C$4)*
              (UA!$D$2:$D$448="Multi-Family")*
              (UA!$H$2:$H$448=$AG54),0),
        MATCH(SUBSTITUTE(AJ$46,"B","BR"),UA!$I$1:$P$1,0)
  ),
"")</f>
        <v/>
      </c>
      <c r="AK54" s="42">
        <f t="array" ref="AK54">IFERROR(
  INDEX(UA!$I$2:$P$448,
        MATCH(1,
              (UA!$B$2:$B$448=$C$4)*
              (UA!$D$2:$D$448="Multi-Family")*
              (UA!$H$2:$H$448=$AG54),0),
        MATCH(SUBSTITUTE(AK$46,"B","BR"),UA!$I$1:$P$1,0)
  ),
"")</f>
        <v/>
      </c>
      <c r="AL54" s="8">
        <f t="array" ref="AL54">IFERROR(
  INDEX(UA!$I$2:$P$448,
        MATCH(1,
              (UA!$B$2:$B$448=$C$4)*
              (UA!$D$2:$D$448="Multi-Family")*
              (UA!$H$2:$H$448=$AG54),0),
        MATCH(SUBSTITUTE(AL$46,"B","BR"),UA!$I$1:$P$1,0)
  ),
"")</f>
        <v/>
      </c>
    </row>
    <row r="55">
      <c r="B55" s="5" t="inlineStr">
        <is>
          <t>Total</t>
        </is>
      </c>
      <c r="C55" s="14">
        <f>+SUM(C33:C54)</f>
        <v/>
      </c>
      <c r="D55" s="15">
        <f>+SUM(D33:D54)</f>
        <v/>
      </c>
      <c r="E55" s="234">
        <f>+SUM(E33:E54)</f>
        <v/>
      </c>
      <c r="G55" s="21" t="n"/>
      <c r="H55" s="21" t="n"/>
      <c r="I55" s="21" t="n"/>
      <c r="J55" s="68" t="n"/>
      <c r="K55" s="68" t="n"/>
      <c r="L55" s="68" t="n"/>
      <c r="M55" s="68" t="n"/>
      <c r="N55" s="68" t="n"/>
      <c r="O55" s="68" t="n"/>
      <c r="P55" s="68" t="n"/>
      <c r="Q55" s="90" t="n"/>
      <c r="R55" s="90" t="n"/>
      <c r="S55" s="90" t="n"/>
      <c r="T55" s="90" t="n"/>
      <c r="U55" s="90" t="n"/>
      <c r="V55" s="90" t="n"/>
      <c r="W55" s="90" t="n"/>
      <c r="X55" s="90" t="n"/>
      <c r="Y55" s="90" t="n"/>
      <c r="Z55" s="34" t="n"/>
      <c r="AA55" s="90" t="n"/>
      <c r="AG55" s="97" t="inlineStr">
        <is>
          <t>Total</t>
        </is>
      </c>
      <c r="AH55" s="25" t="n"/>
      <c r="AI55" s="25">
        <f>+SUM(AI47:AI54)</f>
        <v/>
      </c>
      <c r="AJ55" s="25">
        <f>+SUM(AJ47:AJ54)</f>
        <v/>
      </c>
      <c r="AK55" s="25">
        <f>+SUM(AK47:AK54)</f>
        <v/>
      </c>
      <c r="AL55" s="26">
        <f>+SUM(AL47:AL54)</f>
        <v/>
      </c>
    </row>
    <row r="56">
      <c r="B56" s="11" t="inlineStr">
        <is>
          <t>Eligible Basis</t>
        </is>
      </c>
      <c r="C56" s="65">
        <f>+C55-C33-C53-C48-Draws_Module!I11-C51-C45-C42-C34</f>
        <v/>
      </c>
      <c r="D56" s="26">
        <f>+C56/$C$14</f>
        <v/>
      </c>
      <c r="E56" s="228" t="n"/>
      <c r="G56" t="inlineStr">
        <is>
          <t>Debt Service</t>
        </is>
      </c>
      <c r="L56" s="42">
        <f>-$W$14/$W$16</f>
        <v/>
      </c>
      <c r="M56" s="42">
        <f>+L56</f>
        <v/>
      </c>
      <c r="N56" s="42">
        <f>+M56</f>
        <v/>
      </c>
      <c r="O56" s="42">
        <f>+N56</f>
        <v/>
      </c>
      <c r="P56" s="42">
        <f>+O56</f>
        <v/>
      </c>
      <c r="Q56" s="42">
        <f>+P56</f>
        <v/>
      </c>
      <c r="R56" s="42">
        <f>+Q56</f>
        <v/>
      </c>
      <c r="S56" s="42">
        <f>+R56</f>
        <v/>
      </c>
      <c r="T56" s="42">
        <f>+S56</f>
        <v/>
      </c>
      <c r="U56" s="42">
        <f>+T56</f>
        <v/>
      </c>
      <c r="V56" s="42">
        <f>+U56</f>
        <v/>
      </c>
      <c r="W56" s="42">
        <f>+V56</f>
        <v/>
      </c>
      <c r="X56" s="42">
        <f>+W56</f>
        <v/>
      </c>
      <c r="Y56" s="42">
        <f>+X56</f>
        <v/>
      </c>
      <c r="Z56" s="99">
        <f>+Y56</f>
        <v/>
      </c>
      <c r="AA56" s="42">
        <f>+Z56</f>
        <v/>
      </c>
    </row>
    <row r="57">
      <c r="B57" s="70" t="inlineStr">
        <is>
          <t>Depreciable Basis + Acq</t>
        </is>
      </c>
      <c r="C57" s="71">
        <f>+C55-C53-C48-C35-C51-C34</f>
        <v/>
      </c>
      <c r="D57" s="72">
        <f>+C57/$C$14</f>
        <v/>
      </c>
      <c r="E57" s="229" t="n"/>
      <c r="G57" s="27" t="inlineStr">
        <is>
          <t>Net Income</t>
        </is>
      </c>
      <c r="H57" s="27" t="n"/>
      <c r="I57" s="27" t="n"/>
      <c r="J57" s="14">
        <f>+J56+J53</f>
        <v/>
      </c>
      <c r="K57" s="14">
        <f>+K56+K53</f>
        <v/>
      </c>
      <c r="L57" s="14">
        <f>+L56+L53</f>
        <v/>
      </c>
      <c r="M57" s="14">
        <f>+M56+M53</f>
        <v/>
      </c>
      <c r="N57" s="14">
        <f>+N56+N53</f>
        <v/>
      </c>
      <c r="O57" s="14">
        <f>+O56+O53</f>
        <v/>
      </c>
      <c r="P57" s="14">
        <f>+P56+P53</f>
        <v/>
      </c>
      <c r="Q57" s="89">
        <f>+Q56+Q53</f>
        <v/>
      </c>
      <c r="R57" s="89">
        <f>+R56+R53</f>
        <v/>
      </c>
      <c r="S57" s="89">
        <f>+S56+S53</f>
        <v/>
      </c>
      <c r="T57" s="89">
        <f>+T56+T53</f>
        <v/>
      </c>
      <c r="U57" s="89">
        <f>+U56+U53</f>
        <v/>
      </c>
      <c r="V57" s="89">
        <f>+V56+V53</f>
        <v/>
      </c>
      <c r="W57" s="89">
        <f>+W56+W53</f>
        <v/>
      </c>
      <c r="X57" s="89">
        <f>+X56+X53</f>
        <v/>
      </c>
      <c r="Y57" s="89">
        <f>+Y56+Y53</f>
        <v/>
      </c>
      <c r="Z57" s="279">
        <f>+Z56+Z53</f>
        <v/>
      </c>
      <c r="AA57" s="89">
        <f>+AA56+AA53</f>
        <v/>
      </c>
    </row>
    <row r="58">
      <c r="Q58" s="42" t="n"/>
      <c r="Z58" s="8" t="n"/>
      <c r="AD58" s="42" t="inlineStr">
        <is>
          <t>LIHTC mods</t>
        </is>
      </c>
      <c r="AE58" s="42" t="inlineStr">
        <is>
          <t>5.5% discount</t>
        </is>
      </c>
    </row>
    <row r="59">
      <c r="B59" s="97" t="inlineStr">
        <is>
          <t>Gap Financing Selector</t>
        </is>
      </c>
      <c r="C59" s="98" t="n"/>
      <c r="D59" s="298" t="inlineStr">
        <is>
          <t>State Credits</t>
        </is>
      </c>
      <c r="G59" t="inlineStr">
        <is>
          <t>LP AM Fee</t>
        </is>
      </c>
      <c r="L59" s="42" t="n">
        <v>-7500</v>
      </c>
      <c r="M59" s="3">
        <f>+L59*(1+$C$19)</f>
        <v/>
      </c>
      <c r="N59" s="3">
        <f>+M59*(1+$C$19)</f>
        <v/>
      </c>
      <c r="O59" s="3">
        <f>+N59*(1+$C$19)</f>
        <v/>
      </c>
      <c r="P59" s="3">
        <f>+O59*(1+$C$19)</f>
        <v/>
      </c>
      <c r="Q59" s="42">
        <f>+P59*(1+$C$19)</f>
        <v/>
      </c>
      <c r="R59" s="42">
        <f>+Q59*(1+$C$19)</f>
        <v/>
      </c>
      <c r="S59" s="42">
        <f>+R59*(1+$C$19)</f>
        <v/>
      </c>
      <c r="T59" s="42">
        <f>+S59*(1+$C$19)</f>
        <v/>
      </c>
      <c r="U59" s="42">
        <f>+T59*(1+$C$19)</f>
        <v/>
      </c>
      <c r="V59" s="42">
        <f>+U59*(1+$C$19)</f>
        <v/>
      </c>
      <c r="W59" s="42">
        <f>+V59*(1+$C$19)</f>
        <v/>
      </c>
      <c r="X59" s="42">
        <f>+W59*(1+$C$19)</f>
        <v/>
      </c>
      <c r="Y59" s="42">
        <f>+X59*(1+$C$19)</f>
        <v/>
      </c>
      <c r="Z59" s="8">
        <f>+Y59*(1+$C$19)</f>
        <v/>
      </c>
      <c r="AA59" s="42">
        <f>+Z59*(1+$C$19)</f>
        <v/>
      </c>
      <c r="AD59" s="42" t="n">
        <v>110000</v>
      </c>
      <c r="AE59" s="42">
        <f>0.945*AD59</f>
        <v/>
      </c>
    </row>
    <row r="60">
      <c r="B60" s="70" t="inlineStr">
        <is>
          <t>Tax-Exempt Bond Request</t>
        </is>
      </c>
      <c r="C60" s="22" t="n"/>
      <c r="D60" s="339">
        <f>+C21*C57</f>
        <v/>
      </c>
      <c r="G60" t="inlineStr">
        <is>
          <t>Admin GP Fee</t>
        </is>
      </c>
      <c r="L60" s="42" t="n">
        <v>-7500</v>
      </c>
      <c r="M60" s="3">
        <f>+L60*(1+$C$19)</f>
        <v/>
      </c>
      <c r="N60" s="3">
        <f>+M60*(1+$C$19)</f>
        <v/>
      </c>
      <c r="O60" s="3">
        <f>+N60*(1+$C$19)</f>
        <v/>
      </c>
      <c r="P60" s="3">
        <f>+O60*(1+$C$19)</f>
        <v/>
      </c>
      <c r="Q60" s="42">
        <f>+P60*(1+$C$19)</f>
        <v/>
      </c>
      <c r="R60" s="42">
        <f>+Q60*(1+$C$19)</f>
        <v/>
      </c>
      <c r="S60" s="42">
        <f>+R60*(1+$C$19)</f>
        <v/>
      </c>
      <c r="T60" s="42">
        <f>+S60*(1+$C$19)</f>
        <v/>
      </c>
      <c r="U60" s="42">
        <f>+T60*(1+$C$19)</f>
        <v/>
      </c>
      <c r="V60" s="42">
        <f>+U60*(1+$C$19)</f>
        <v/>
      </c>
      <c r="W60" s="42">
        <f>+V60*(1+$C$19)</f>
        <v/>
      </c>
      <c r="X60" s="42">
        <f>+W60*(1+$C$19)</f>
        <v/>
      </c>
      <c r="Y60" s="42">
        <f>+X60*(1+$C$19)</f>
        <v/>
      </c>
      <c r="Z60" s="8">
        <f>+Y60*(1+$C$19)</f>
        <v/>
      </c>
      <c r="AA60" s="42">
        <f>+Z60*(1+$C$19)</f>
        <v/>
      </c>
      <c r="AD60" s="42" t="n">
        <v>155000</v>
      </c>
      <c r="AE60" s="42">
        <f>0.945*AD60</f>
        <v/>
      </c>
    </row>
    <row r="61">
      <c r="B61" s="11" t="inlineStr">
        <is>
          <t>Sources - Construction</t>
        </is>
      </c>
      <c r="C61" s="12" t="inlineStr">
        <is>
          <t>Rate</t>
        </is>
      </c>
      <c r="D61" s="12" t="inlineStr">
        <is>
          <t>Amount</t>
        </is>
      </c>
      <c r="E61" s="235" t="inlineStr">
        <is>
          <t>%</t>
        </is>
      </c>
      <c r="G61" t="inlineStr">
        <is>
          <t>MGP Fee (Nonprofit)</t>
        </is>
      </c>
      <c r="L61" s="42" t="n">
        <v>-5000</v>
      </c>
      <c r="M61" s="3">
        <f>+L61*(1+$C$19)</f>
        <v/>
      </c>
      <c r="N61" s="3">
        <f>+M61*(1+$C$19)</f>
        <v/>
      </c>
      <c r="O61" s="3">
        <f>+N61*(1+$C$19)</f>
        <v/>
      </c>
      <c r="P61" s="3">
        <f>+O61*(1+$C$19)</f>
        <v/>
      </c>
      <c r="Q61" s="42">
        <f>+P61*(1+$C$19)</f>
        <v/>
      </c>
      <c r="R61" s="42">
        <f>+Q61*(1+$C$19)</f>
        <v/>
      </c>
      <c r="S61" s="42">
        <f>+R61*(1+$C$19)</f>
        <v/>
      </c>
      <c r="T61" s="42">
        <f>+S61*(1+$C$19)</f>
        <v/>
      </c>
      <c r="U61" s="42">
        <f>+T61*(1+$C$19)</f>
        <v/>
      </c>
      <c r="V61" s="42">
        <f>+U61*(1+$C$19)</f>
        <v/>
      </c>
      <c r="W61" s="42">
        <f>+V61*(1+$C$19)</f>
        <v/>
      </c>
      <c r="X61" s="42">
        <f>+W61*(1+$C$19)</f>
        <v/>
      </c>
      <c r="Y61" s="42">
        <f>+X61*(1+$C$19)</f>
        <v/>
      </c>
      <c r="Z61" s="8">
        <f>+Y61*(1+$C$19)</f>
        <v/>
      </c>
      <c r="AA61" s="42">
        <f>+Z61*(1+$C$19)</f>
        <v/>
      </c>
      <c r="AD61" s="42" t="n">
        <v>200000</v>
      </c>
      <c r="AE61" s="42">
        <f>0.945*AD61</f>
        <v/>
      </c>
    </row>
    <row r="62">
      <c r="B62" s="6" t="inlineStr">
        <is>
          <t>Construction Loan - Tax-Exempt</t>
        </is>
      </c>
      <c r="C62" s="248">
        <f>+W5</f>
        <v/>
      </c>
      <c r="D62" s="340">
        <f>+D60+(S26="Yes")*-D64</f>
        <v/>
      </c>
      <c r="E62" s="174">
        <f>+D62/$D$72</f>
        <v/>
      </c>
      <c r="G62" s="27" t="inlineStr">
        <is>
          <t>Operating Cash Flow</t>
        </is>
      </c>
      <c r="H62" s="27" t="n"/>
      <c r="I62" s="27" t="n"/>
      <c r="J62" s="14">
        <f>+J57-SUM(J59:J61)</f>
        <v/>
      </c>
      <c r="K62" s="14">
        <f>+K57-SUM(K59:K61)</f>
        <v/>
      </c>
      <c r="L62" s="14">
        <f>+L57+SUM(L59:L61)</f>
        <v/>
      </c>
      <c r="M62" s="14">
        <f>+M57+SUM(M59:M61)</f>
        <v/>
      </c>
      <c r="N62" s="14">
        <f>+N57+SUM(N59:N61)</f>
        <v/>
      </c>
      <c r="O62" s="14">
        <f>+O57+SUM(O59:O61)</f>
        <v/>
      </c>
      <c r="P62" s="14">
        <f>+P57+SUM(P59:P61)</f>
        <v/>
      </c>
      <c r="Q62" s="14">
        <f>+Q57+SUM(Q59:Q61)</f>
        <v/>
      </c>
      <c r="R62" s="14">
        <f>+R57+SUM(R59:R61)</f>
        <v/>
      </c>
      <c r="S62" s="14">
        <f>+S57+SUM(S59:S61)</f>
        <v/>
      </c>
      <c r="T62" s="14">
        <f>+T57+SUM(T59:T61)</f>
        <v/>
      </c>
      <c r="U62" s="14">
        <f>+U57+SUM(U59:U61)</f>
        <v/>
      </c>
      <c r="V62" s="14">
        <f>+V57+SUM(V59:V61)</f>
        <v/>
      </c>
      <c r="W62" s="14">
        <f>+W57+SUM(W59:W61)</f>
        <v/>
      </c>
      <c r="X62" s="14">
        <f>+X57+SUM(X59:X61)</f>
        <v/>
      </c>
      <c r="Y62" s="14">
        <f>+Y57+SUM(Y59:Y61)</f>
        <v/>
      </c>
      <c r="Z62" s="15">
        <f>+Z57+SUM(Z59:Z61)</f>
        <v/>
      </c>
      <c r="AA62" s="14">
        <f>+AA57+SUM(AA59:AA61)</f>
        <v/>
      </c>
    </row>
    <row r="63">
      <c r="B63" s="6" t="inlineStr">
        <is>
          <t>Construction Loan - Taxable</t>
        </is>
      </c>
      <c r="C63" s="248">
        <f>+W8</f>
        <v/>
      </c>
      <c r="D63" s="42">
        <f>D75+D80+D79-D62-D69-D70-D68</f>
        <v/>
      </c>
      <c r="E63" s="174">
        <f>+D63/$D$72</f>
        <v/>
      </c>
      <c r="Q63" s="42" t="n"/>
      <c r="Z63" s="8" t="n"/>
    </row>
    <row r="64">
      <c r="B64" s="6" t="inlineStr">
        <is>
          <t>B-Bond</t>
        </is>
      </c>
      <c r="C64" s="248">
        <f>+S27</f>
        <v/>
      </c>
      <c r="D64" s="3">
        <f>D76</f>
        <v/>
      </c>
      <c r="E64" s="174">
        <f>+D64/$D$82</f>
        <v/>
      </c>
      <c r="G64" t="inlineStr">
        <is>
          <t>Ground Lease Payment</t>
        </is>
      </c>
      <c r="J64" s="3" t="n">
        <v>0</v>
      </c>
      <c r="K64" s="3" t="n">
        <v>0</v>
      </c>
      <c r="L64" s="3">
        <f>-SUMIFS(Draws_Module!$B$218:$B$721,Draws_Module!$A$218:$A$721,"&lt;="&amp;(Pro_Forma!L45-Pro_Forma!$S$5-$S$4),Draws_Module!$A$218:$A$721,"&gt;"&amp;(Pro_Forma!K45-Pro_Forma!$S$5-$S$4))</f>
        <v/>
      </c>
      <c r="M64" s="3">
        <f>-SUMIFS(Draws_Module!$B$218:$B$721,Draws_Module!$A$218:$A$721,"&lt;="&amp;(Pro_Forma!M45-Pro_Forma!$S$5-$S$4),Draws_Module!$A$218:$A$721,"&gt;"&amp;(Pro_Forma!L45-Pro_Forma!$S$5-$S$4))</f>
        <v/>
      </c>
      <c r="N64" s="3">
        <f>-SUMIFS(Draws_Module!$B$218:$B$721,Draws_Module!$A$218:$A$721,"&lt;="&amp;(Pro_Forma!N45-Pro_Forma!$S$5-$S$4),Draws_Module!$A$218:$A$721,"&gt;"&amp;(Pro_Forma!M45-Pro_Forma!$S$5-$S$4))</f>
        <v/>
      </c>
      <c r="O64" s="3">
        <f>-SUMIFS(Draws_Module!$B$218:$B$721,Draws_Module!$A$218:$A$721,"&lt;="&amp;(Pro_Forma!O45-Pro_Forma!$S$5-$S$4),Draws_Module!$A$218:$A$721,"&gt;"&amp;(Pro_Forma!N45-Pro_Forma!$S$5-$S$4))</f>
        <v/>
      </c>
      <c r="P64" s="3">
        <f>-SUMIFS(Draws_Module!$B$218:$B$721,Draws_Module!$A$218:$A$721,"&lt;="&amp;(Pro_Forma!P45-Pro_Forma!$S$5-$S$4),Draws_Module!$A$218:$A$721,"&gt;"&amp;(Pro_Forma!O45-Pro_Forma!$S$5-$S$4))</f>
        <v/>
      </c>
      <c r="Q64" s="3">
        <f>-SUMIFS(Draws_Module!$B$218:$B$721,Draws_Module!$A$218:$A$721,"&lt;="&amp;(Pro_Forma!Q45-Pro_Forma!$S$5-$S$4),Draws_Module!$A$218:$A$721,"&gt;"&amp;(Pro_Forma!P45-Pro_Forma!$S$5-$S$4))</f>
        <v/>
      </c>
      <c r="R64" s="3">
        <f>-SUMIFS(Draws_Module!$B$218:$B$721,Draws_Module!$A$218:$A$721,"&lt;="&amp;(Pro_Forma!R45-Pro_Forma!$S$5-$S$4),Draws_Module!$A$218:$A$721,"&gt;"&amp;(Pro_Forma!Q45-Pro_Forma!$S$5-$S$4))</f>
        <v/>
      </c>
      <c r="S64" s="3">
        <f>-SUMIFS(Draws_Module!$B$218:$B$721,Draws_Module!$A$218:$A$721,"&lt;="&amp;(Pro_Forma!S45-Pro_Forma!$S$5-$S$4),Draws_Module!$A$218:$A$721,"&gt;"&amp;(Pro_Forma!R45-Pro_Forma!$S$5-$S$4))</f>
        <v/>
      </c>
      <c r="T64" s="3">
        <f>-SUMIFS(Draws_Module!$B$218:$B$721,Draws_Module!$A$218:$A$721,"&lt;="&amp;(Pro_Forma!T45-Pro_Forma!$S$5-$S$4),Draws_Module!$A$218:$A$721,"&gt;"&amp;(Pro_Forma!S45-Pro_Forma!$S$5-$S$4))</f>
        <v/>
      </c>
      <c r="U64" s="3">
        <f>-SUMIFS(Draws_Module!$B$218:$B$721,Draws_Module!$A$218:$A$721,"&lt;="&amp;(Pro_Forma!U45-Pro_Forma!$S$5-$S$4),Draws_Module!$A$218:$A$721,"&gt;"&amp;(Pro_Forma!T45-Pro_Forma!$S$5-$S$4))</f>
        <v/>
      </c>
      <c r="V64" s="3">
        <f>-SUMIFS(Draws_Module!$B$218:$B$721,Draws_Module!$A$218:$A$721,"&lt;="&amp;(Pro_Forma!V45-Pro_Forma!$S$5-$S$4),Draws_Module!$A$218:$A$721,"&gt;"&amp;(Pro_Forma!U45-Pro_Forma!$S$5-$S$4))</f>
        <v/>
      </c>
      <c r="W64" s="3">
        <f>-SUMIFS(Draws_Module!$B$218:$B$721,Draws_Module!$A$218:$A$721,"&lt;="&amp;(Pro_Forma!W45-Pro_Forma!$S$5-$S$4),Draws_Module!$A$218:$A$721,"&gt;"&amp;(Pro_Forma!V45-Pro_Forma!$S$5-$S$4))</f>
        <v/>
      </c>
      <c r="X64" s="3">
        <f>-SUMIFS(Draws_Module!$B$218:$B$721,Draws_Module!$A$218:$A$721,"&lt;="&amp;(Pro_Forma!X45-Pro_Forma!$S$5-$S$4),Draws_Module!$A$218:$A$721,"&gt;"&amp;(Pro_Forma!W45-Pro_Forma!$S$5-$S$4))</f>
        <v/>
      </c>
      <c r="Y64" s="3">
        <f>-SUMIFS(Draws_Module!$B$218:$B$721,Draws_Module!$A$218:$A$721,"&lt;="&amp;(Pro_Forma!Y45-Pro_Forma!$S$5-$S$4),Draws_Module!$A$218:$A$721,"&gt;"&amp;(Pro_Forma!X45-Pro_Forma!$S$5-$S$4))</f>
        <v/>
      </c>
      <c r="Z64" s="16">
        <f>-SUMIFS(Draws_Module!$B$218:$B$721,Draws_Module!$A$218:$A$721,"&lt;="&amp;(Pro_Forma!Z45-Pro_Forma!$S$5-$S$4),Draws_Module!$A$218:$A$721,"&gt;"&amp;(Pro_Forma!Y45-Pro_Forma!$S$5-$S$4))</f>
        <v/>
      </c>
      <c r="AA64" s="3">
        <f>-SUMIFS(Draws_Module!$B$218:$B$721,Draws_Module!$A$218:$A$721,"&lt;="&amp;(Pro_Forma!AA45-Pro_Forma!$S$5-$S$4),Draws_Module!$A$218:$A$721,"&gt;"&amp;(Pro_Forma!Z45-Pro_Forma!$S$5-$S$4))</f>
        <v/>
      </c>
      <c r="AB64" s="42" t="n"/>
    </row>
    <row r="65">
      <c r="B65" s="6" t="inlineStr">
        <is>
          <t>Land/Soft Costs Contributed - Dev</t>
        </is>
      </c>
      <c r="D65" s="217" t="n">
        <v>0</v>
      </c>
      <c r="E65" s="174">
        <f>+D65/$D$72</f>
        <v/>
      </c>
      <c r="G65" t="inlineStr">
        <is>
          <t>Net Sale Proceeds</t>
        </is>
      </c>
      <c r="L65" s="3" t="n">
        <v>0</v>
      </c>
      <c r="M65" s="3" t="n">
        <v>0</v>
      </c>
      <c r="N65" s="3" t="n">
        <v>0</v>
      </c>
      <c r="O65" s="3" t="n">
        <v>0</v>
      </c>
      <c r="P65" s="3" t="n">
        <v>0</v>
      </c>
      <c r="Q65" s="229" t="n">
        <v>0</v>
      </c>
      <c r="R65" s="229" t="n">
        <v>0</v>
      </c>
      <c r="S65" s="229" t="n">
        <v>0</v>
      </c>
      <c r="T65" s="229" t="n">
        <v>0</v>
      </c>
      <c r="U65" s="229" t="n">
        <v>0</v>
      </c>
      <c r="V65" s="229" t="n">
        <v>0</v>
      </c>
      <c r="W65" s="229" t="n">
        <v>0</v>
      </c>
      <c r="X65" s="229" t="n">
        <v>0</v>
      </c>
      <c r="Y65" s="229" t="n">
        <v>0</v>
      </c>
      <c r="Z65" s="286" t="n"/>
      <c r="AA65" s="229">
        <f>+M40</f>
        <v/>
      </c>
      <c r="AB65" s="42" t="n"/>
    </row>
    <row r="66">
      <c r="B66" s="6" t="inlineStr">
        <is>
          <t>Sponsor Funds</t>
        </is>
      </c>
      <c r="D66" s="3">
        <f> C55 - (D62 + D63 + D65 + D67 + D69 + D71 + D70+D64+D68)</f>
        <v/>
      </c>
      <c r="E66" s="174">
        <f>+D66/$D$72</f>
        <v/>
      </c>
      <c r="G66" s="56" t="inlineStr">
        <is>
          <t>Remaining CF</t>
        </is>
      </c>
      <c r="H66" s="56" t="inlineStr">
        <is>
          <t> </t>
        </is>
      </c>
      <c r="I66" s="56" t="n"/>
      <c r="J66" s="67">
        <f>+J64+J62+J65</f>
        <v/>
      </c>
      <c r="K66" s="67">
        <f>+K64+K62+K65</f>
        <v/>
      </c>
      <c r="L66" s="67">
        <f>+L64+L62+L65</f>
        <v/>
      </c>
      <c r="M66" s="67">
        <f>+M64+M62+M65</f>
        <v/>
      </c>
      <c r="N66" s="67">
        <f>+N64+N62+N65</f>
        <v/>
      </c>
      <c r="O66" s="67">
        <f>+O64+O62+O65</f>
        <v/>
      </c>
      <c r="P66" s="67">
        <f>+P64+P62+P65</f>
        <v/>
      </c>
      <c r="Q66" s="67">
        <f>+Q64+Q62+Q65</f>
        <v/>
      </c>
      <c r="R66" s="67">
        <f>+R64+R62+R65</f>
        <v/>
      </c>
      <c r="S66" s="67">
        <f>+S64+S62+S65</f>
        <v/>
      </c>
      <c r="T66" s="67">
        <f>+T64+T62+T65</f>
        <v/>
      </c>
      <c r="U66" s="67">
        <f>+U64+U62+U65</f>
        <v/>
      </c>
      <c r="V66" s="67">
        <f>+V64+V62+V65</f>
        <v/>
      </c>
      <c r="W66" s="67">
        <f>+W64+W62+W65</f>
        <v/>
      </c>
      <c r="X66" s="67">
        <f>+X64+X62+X65</f>
        <v/>
      </c>
      <c r="Y66" s="67">
        <f>+Y64+Y62+Y65</f>
        <v/>
      </c>
      <c r="Z66" s="287">
        <f>+Z64+Z62+Z65</f>
        <v/>
      </c>
      <c r="AA66" s="67">
        <f>+AA64+AA62+AA65</f>
        <v/>
      </c>
    </row>
    <row r="67">
      <c r="B67" s="6" t="inlineStr">
        <is>
          <t>Ground Lessor</t>
        </is>
      </c>
      <c r="C67" s="4" t="n"/>
      <c r="D67" s="186">
        <f>+S18</f>
        <v/>
      </c>
      <c r="E67" s="174">
        <f>+D67/$D$72</f>
        <v/>
      </c>
      <c r="Q67" s="42" t="n"/>
      <c r="Z67" s="8" t="n"/>
    </row>
    <row r="68">
      <c r="B68" s="6" t="inlineStr">
        <is>
          <t>Soft Debt</t>
        </is>
      </c>
      <c r="C68" s="326">
        <f>+AA6</f>
        <v/>
      </c>
      <c r="D68" s="3">
        <f>+D79*(AA7="Yes")</f>
        <v/>
      </c>
      <c r="E68" s="19" t="n"/>
      <c r="G68" s="1" t="inlineStr">
        <is>
          <t>B-Bond</t>
        </is>
      </c>
      <c r="Q68" s="42" t="n"/>
      <c r="Z68" s="8" t="n"/>
    </row>
    <row r="69">
      <c r="B69" s="6" t="inlineStr">
        <is>
          <t>Tax Credit Equity</t>
        </is>
      </c>
      <c r="D69" s="42">
        <f>+D94*0.1</f>
        <v/>
      </c>
      <c r="E69" s="174">
        <f>+D69/$D$72</f>
        <v/>
      </c>
      <c r="G69" s="56" t="inlineStr">
        <is>
          <t>Beginning Balance</t>
        </is>
      </c>
      <c r="H69" s="56" t="n"/>
      <c r="I69" s="56" t="n"/>
      <c r="J69" s="56" t="n"/>
      <c r="K69" s="56" t="n"/>
      <c r="L69" s="67">
        <f>+D76</f>
        <v/>
      </c>
      <c r="M69" s="67">
        <f>+L73</f>
        <v/>
      </c>
      <c r="N69" s="67">
        <f>+M73</f>
        <v/>
      </c>
      <c r="O69" s="67">
        <f>+N73</f>
        <v/>
      </c>
      <c r="P69" s="67">
        <f>+O73</f>
        <v/>
      </c>
      <c r="Q69" s="67">
        <f>+P73</f>
        <v/>
      </c>
      <c r="R69" s="67">
        <f>+Q73</f>
        <v/>
      </c>
      <c r="S69" s="67">
        <f>+R73</f>
        <v/>
      </c>
      <c r="T69" s="67">
        <f>+S73</f>
        <v/>
      </c>
      <c r="U69" s="67">
        <f>+T73</f>
        <v/>
      </c>
      <c r="V69" s="67">
        <f>+U73</f>
        <v/>
      </c>
      <c r="W69" s="67">
        <f>+V73</f>
        <v/>
      </c>
      <c r="X69" s="67">
        <f>+W73</f>
        <v/>
      </c>
      <c r="Y69" s="67">
        <f>+X73</f>
        <v/>
      </c>
      <c r="Z69" s="287">
        <f>+Y73</f>
        <v/>
      </c>
      <c r="AA69" s="67">
        <f>+Z73</f>
        <v/>
      </c>
    </row>
    <row r="70">
      <c r="B70" s="6" t="inlineStr">
        <is>
          <t>Costs Deferred to Conversion</t>
        </is>
      </c>
      <c r="D70" s="3">
        <f>+C51+Draws_Module!C24+C48</f>
        <v/>
      </c>
      <c r="E70" s="174">
        <f>+D70/$D$72</f>
        <v/>
      </c>
      <c r="G70" t="inlineStr">
        <is>
          <t>Accrued Return</t>
        </is>
      </c>
      <c r="L70" s="3">
        <f>+$S$27*L69</f>
        <v/>
      </c>
      <c r="M70" s="3">
        <f>+$S$27*M69</f>
        <v/>
      </c>
      <c r="N70" s="3">
        <f>+$S$27*N69</f>
        <v/>
      </c>
      <c r="O70" s="3">
        <f>+$S$27*O69</f>
        <v/>
      </c>
      <c r="P70" s="3">
        <f>+$S$27*P69</f>
        <v/>
      </c>
      <c r="Q70" s="3">
        <f>+$S$27*Q69</f>
        <v/>
      </c>
      <c r="R70" s="3">
        <f>+$S$27*R69</f>
        <v/>
      </c>
      <c r="S70" s="3">
        <f>+$S$27*S69</f>
        <v/>
      </c>
      <c r="T70" s="3">
        <f>+$S$27*T69</f>
        <v/>
      </c>
      <c r="U70" s="3">
        <f>+$S$27*U69</f>
        <v/>
      </c>
      <c r="V70" s="3">
        <f>+$S$27*V69</f>
        <v/>
      </c>
      <c r="W70" s="3">
        <f>+$S$27*W69</f>
        <v/>
      </c>
      <c r="X70" s="3">
        <f>+$S$27*X69</f>
        <v/>
      </c>
      <c r="Y70" s="3">
        <f>+$S$27*Y69</f>
        <v/>
      </c>
      <c r="Z70" s="16">
        <f>+$S$27*Z69</f>
        <v/>
      </c>
      <c r="AA70" s="3">
        <f>+$S$27*AA69</f>
        <v/>
      </c>
    </row>
    <row r="71">
      <c r="B71" s="6" t="inlineStr">
        <is>
          <t>Deferred Developer Fee</t>
        </is>
      </c>
      <c r="D71" s="3">
        <f>+D131</f>
        <v/>
      </c>
      <c r="E71" s="174">
        <f>+D71/$D$72</f>
        <v/>
      </c>
      <c r="G71" t="inlineStr">
        <is>
          <t>Distribution of Interest</t>
        </is>
      </c>
      <c r="L71" s="42">
        <f>-MAX(0,MIN(SUM(L69:L70)-$D$76,L66))</f>
        <v/>
      </c>
      <c r="M71" s="42">
        <f>-MAX(0,MIN(SUM(M69:M70)-$D$76,M66))</f>
        <v/>
      </c>
      <c r="N71" s="42">
        <f>-MAX(0,MIN(SUM(N69:N70)-$D$76,N66))</f>
        <v/>
      </c>
      <c r="O71" s="42">
        <f>-MAX(0,MIN(SUM(O69:O70)-$D$76,O66))</f>
        <v/>
      </c>
      <c r="P71" s="42">
        <f>-MAX(0,MIN(SUM(P69:P70)-$D$76,P66))</f>
        <v/>
      </c>
      <c r="Q71" s="42">
        <f>-MAX(0,MIN(SUM(Q69:Q70)-$D$76,Q66))</f>
        <v/>
      </c>
      <c r="R71" s="42">
        <f>-MAX(0,MIN(SUM(R69:R70)-$D$76,R66))</f>
        <v/>
      </c>
      <c r="S71" s="42">
        <f>-MAX(0,MIN(SUM(S69:S70)-$D$76,S66))</f>
        <v/>
      </c>
      <c r="T71" s="42">
        <f>-MAX(0,MIN(SUM(T69:T70)-$D$76,T66))</f>
        <v/>
      </c>
      <c r="U71" s="42">
        <f>-MAX(0,MIN(SUM(U69:U70)-$D$76,U66))</f>
        <v/>
      </c>
      <c r="V71" s="42">
        <f>-MAX(0,MIN(SUM(V69:V70)-$D$76,V66))</f>
        <v/>
      </c>
      <c r="W71" s="42">
        <f>-MAX(0,MIN(SUM(W69:W70)-$D$76,W66))</f>
        <v/>
      </c>
      <c r="X71" s="42">
        <f>-MAX(0,MIN(SUM(X69:X70)-$D$76,X66))</f>
        <v/>
      </c>
      <c r="Y71" s="42">
        <f>-MAX(0,MIN(SUM(Y69:Y70)-$D$76,Y66))</f>
        <v/>
      </c>
      <c r="Z71" s="8">
        <f>-MAX(0,MIN(SUM(Z69:Z70)-$D$76,Z66))</f>
        <v/>
      </c>
      <c r="AA71" s="42">
        <f>-MAX(0,MIN(SUM(AA69:AA70)-$D$76,AA66))</f>
        <v/>
      </c>
    </row>
    <row r="72">
      <c r="B72" s="11" t="inlineStr">
        <is>
          <t>Total</t>
        </is>
      </c>
      <c r="C72" s="17" t="n"/>
      <c r="D72" s="65">
        <f>+SUM(D62:D71)</f>
        <v/>
      </c>
      <c r="E72" s="175">
        <f>+D72/$D$72</f>
        <v/>
      </c>
      <c r="G72" t="inlineStr">
        <is>
          <t>Distribution of Principal</t>
        </is>
      </c>
      <c r="Z72" s="8" t="n"/>
      <c r="AA72" s="42">
        <f>-MAX(0,MIN(D76,AA66))</f>
        <v/>
      </c>
    </row>
    <row r="73">
      <c r="C73" s="80" t="n"/>
      <c r="D73" s="341" t="n"/>
      <c r="E73" s="164" t="n"/>
      <c r="G73" s="21" t="inlineStr">
        <is>
          <t>Ending Balance</t>
        </is>
      </c>
      <c r="H73" s="21" t="n"/>
      <c r="I73" s="21" t="n"/>
      <c r="J73" s="21" t="n"/>
      <c r="K73" s="21" t="n"/>
      <c r="L73" s="68">
        <f>+SUM(L69:L72)</f>
        <v/>
      </c>
      <c r="M73" s="68">
        <f>+SUM(M69:M72)</f>
        <v/>
      </c>
      <c r="N73" s="68">
        <f>+SUM(N69:N72)</f>
        <v/>
      </c>
      <c r="O73" s="68">
        <f>+SUM(O69:O72)</f>
        <v/>
      </c>
      <c r="P73" s="68">
        <f>+SUM(P69:P72)</f>
        <v/>
      </c>
      <c r="Q73" s="68">
        <f>+SUM(Q69:Q72)</f>
        <v/>
      </c>
      <c r="R73" s="68">
        <f>+SUM(R69:R72)</f>
        <v/>
      </c>
      <c r="S73" s="68">
        <f>+SUM(S69:S72)</f>
        <v/>
      </c>
      <c r="T73" s="68">
        <f>+SUM(T69:T72)</f>
        <v/>
      </c>
      <c r="U73" s="68">
        <f>+SUM(U69:U72)</f>
        <v/>
      </c>
      <c r="V73" s="68">
        <f>+SUM(V69:V72)</f>
        <v/>
      </c>
      <c r="W73" s="68">
        <f>+SUM(W69:W72)</f>
        <v/>
      </c>
      <c r="X73" s="68">
        <f>+SUM(X69:X72)</f>
        <v/>
      </c>
      <c r="Y73" s="68">
        <f>+SUM(Y69:Y72)</f>
        <v/>
      </c>
      <c r="Z73" s="24">
        <f>+SUM(Z69:Z72)</f>
        <v/>
      </c>
      <c r="AA73" s="68">
        <f>+SUM(AA69:AA72)</f>
        <v/>
      </c>
    </row>
    <row r="74">
      <c r="B74" s="11" t="inlineStr">
        <is>
          <t>Sources - Permanent</t>
        </is>
      </c>
      <c r="C74" s="12" t="inlineStr">
        <is>
          <t>Rate</t>
        </is>
      </c>
      <c r="D74" s="12" t="inlineStr">
        <is>
          <t>Amount</t>
        </is>
      </c>
      <c r="E74" s="236" t="inlineStr">
        <is>
          <t>%</t>
        </is>
      </c>
      <c r="G74" t="inlineStr">
        <is>
          <t>Remaining CF</t>
        </is>
      </c>
      <c r="L74" s="3">
        <f>+L71+L66+L72</f>
        <v/>
      </c>
      <c r="M74" s="3">
        <f>+M71+M66+M72</f>
        <v/>
      </c>
      <c r="N74" s="3">
        <f>+N71+N66+N72</f>
        <v/>
      </c>
      <c r="O74" s="3">
        <f>+O71+O66+O72</f>
        <v/>
      </c>
      <c r="P74" s="3">
        <f>+P71+P66+P72</f>
        <v/>
      </c>
      <c r="Q74" s="3">
        <f>+Q71+Q66+Q72</f>
        <v/>
      </c>
      <c r="R74" s="3">
        <f>+R71+R66+R72</f>
        <v/>
      </c>
      <c r="S74" s="3">
        <f>+S71+S66+S72</f>
        <v/>
      </c>
      <c r="T74" s="3">
        <f>+T71+T66+T72</f>
        <v/>
      </c>
      <c r="U74" s="3">
        <f>+U71+U66+U72</f>
        <v/>
      </c>
      <c r="V74" s="3">
        <f>+V71+V66+V72</f>
        <v/>
      </c>
      <c r="W74" s="3">
        <f>+W71+W66+W72</f>
        <v/>
      </c>
      <c r="X74" s="3">
        <f>+X71+X66+X72</f>
        <v/>
      </c>
      <c r="Y74" s="3">
        <f>+Y71+Y66+Y72</f>
        <v/>
      </c>
      <c r="Z74" s="16">
        <f>+Z71+Z66+Z72</f>
        <v/>
      </c>
      <c r="AA74" s="3">
        <f>+AA71+AA66+AA72</f>
        <v/>
      </c>
    </row>
    <row r="75">
      <c r="B75" s="6" t="inlineStr">
        <is>
          <t xml:space="preserve">Permanent Loan </t>
        </is>
      </c>
      <c r="C75" s="248">
        <f>RATE(W15*12,PMT(W20/12*365.25/360,W15*12,W21)+PMT(W23/12*365.25/360,W15*12,W24),W25)*12/(365.25/360)</f>
        <v/>
      </c>
      <c r="D75" s="67">
        <f>+W25</f>
        <v/>
      </c>
      <c r="E75" s="174">
        <f>+D75/$D$82</f>
        <v/>
      </c>
      <c r="Q75" s="42" t="n"/>
      <c r="Z75" s="8" t="n"/>
    </row>
    <row r="76">
      <c r="B76" s="6" t="inlineStr">
        <is>
          <t>B-Bond</t>
        </is>
      </c>
      <c r="C76" s="248">
        <f>+S27</f>
        <v/>
      </c>
      <c r="D76" s="3">
        <f> MIN( S32, MAX(0, D133) ) * S25</f>
        <v/>
      </c>
      <c r="E76" s="174">
        <f>+D76/$D$82</f>
        <v/>
      </c>
      <c r="G76" s="1" t="inlineStr">
        <is>
          <t>Deferred Dev Fee</t>
        </is>
      </c>
      <c r="Q76" s="42" t="n"/>
      <c r="Z76" s="8" t="n"/>
    </row>
    <row r="77">
      <c r="B77" s="6" t="inlineStr">
        <is>
          <t>Sponsor Funds</t>
        </is>
      </c>
      <c r="D77" s="3">
        <f>+D135</f>
        <v/>
      </c>
      <c r="E77" s="174">
        <f>+D77/$D$82</f>
        <v/>
      </c>
      <c r="G77" s="56" t="inlineStr">
        <is>
          <t>Beginning Balance</t>
        </is>
      </c>
      <c r="H77" s="56" t="n"/>
      <c r="I77" s="56" t="n"/>
      <c r="J77" s="56" t="n"/>
      <c r="K77" s="56" t="n"/>
      <c r="L77" s="67">
        <f>+D81</f>
        <v/>
      </c>
      <c r="M77" s="67">
        <f>+L80</f>
        <v/>
      </c>
      <c r="N77" s="67">
        <f>+M80</f>
        <v/>
      </c>
      <c r="O77" s="67">
        <f>+N80</f>
        <v/>
      </c>
      <c r="P77" s="67">
        <f>+O80</f>
        <v/>
      </c>
      <c r="Q77" s="91">
        <f>+P80</f>
        <v/>
      </c>
      <c r="R77" s="91">
        <f>+Q80</f>
        <v/>
      </c>
      <c r="S77" s="91">
        <f>+R80</f>
        <v/>
      </c>
      <c r="T77" s="91">
        <f>+S80</f>
        <v/>
      </c>
      <c r="U77" s="91">
        <f>+T80</f>
        <v/>
      </c>
      <c r="V77" s="91">
        <f>+U80</f>
        <v/>
      </c>
      <c r="W77" s="91">
        <f>+V80</f>
        <v/>
      </c>
      <c r="X77" s="91">
        <f>+W80</f>
        <v/>
      </c>
      <c r="Y77" s="91">
        <f>+X80</f>
        <v/>
      </c>
      <c r="Z77" s="30">
        <f>+Y80</f>
        <v/>
      </c>
      <c r="AA77" s="91">
        <f>+Z80</f>
        <v/>
      </c>
    </row>
    <row r="78">
      <c r="B78" s="6" t="inlineStr">
        <is>
          <t>Ground Lessor</t>
        </is>
      </c>
      <c r="C78" s="248">
        <f>+S20</f>
        <v/>
      </c>
      <c r="D78" s="3">
        <f>+D67</f>
        <v/>
      </c>
      <c r="E78" s="174">
        <f>+D78/$D$82</f>
        <v/>
      </c>
      <c r="G78" t="inlineStr">
        <is>
          <t>Interest</t>
        </is>
      </c>
      <c r="L78" s="3">
        <f>+L77*$C$81</f>
        <v/>
      </c>
      <c r="M78" s="3">
        <f>+M77*$C$81</f>
        <v/>
      </c>
      <c r="N78" s="3">
        <f>+N77*$C$81</f>
        <v/>
      </c>
      <c r="O78" s="3">
        <f>+O77*$C$81</f>
        <v/>
      </c>
      <c r="P78" s="3">
        <f>+P77*$C$81</f>
        <v/>
      </c>
      <c r="Q78" s="3">
        <f>+Q77*$C$81</f>
        <v/>
      </c>
      <c r="R78" s="3">
        <f>+R77*$C$81</f>
        <v/>
      </c>
      <c r="S78" s="3">
        <f>+S77*$C$81</f>
        <v/>
      </c>
      <c r="T78" s="3">
        <f>+T77*$C$81</f>
        <v/>
      </c>
      <c r="U78" s="3">
        <f>+U77*$C$81</f>
        <v/>
      </c>
      <c r="V78" s="3">
        <f>+V77*$C$81</f>
        <v/>
      </c>
      <c r="W78" s="3">
        <f>+W77*$C$81</f>
        <v/>
      </c>
      <c r="X78" s="3">
        <f>+X77*$C$81</f>
        <v/>
      </c>
      <c r="Y78" s="3">
        <f>+Y77*$C$81</f>
        <v/>
      </c>
      <c r="Z78" s="16">
        <f>+Z77*$C$81</f>
        <v/>
      </c>
      <c r="AA78" s="3">
        <f>+AA77*$C$81</f>
        <v/>
      </c>
    </row>
    <row r="79">
      <c r="B79" s="6" t="inlineStr">
        <is>
          <t>Soft Debt</t>
        </is>
      </c>
      <c r="C79" s="248">
        <f>+AA6</f>
        <v/>
      </c>
      <c r="D79" s="221">
        <f>IF($D$59="Soft Debt",MAX(0,$C$55-$D$75-$D$76-$D$78-($C$89*$D$88*10)-$D$131),0)</f>
        <v/>
      </c>
      <c r="E79" s="174">
        <f>+D79/$D$82</f>
        <v/>
      </c>
      <c r="G79" t="inlineStr">
        <is>
          <t>Payment</t>
        </is>
      </c>
      <c r="L79" s="3">
        <f>-MAX(0,MIN(L74,L77+L78))</f>
        <v/>
      </c>
      <c r="M79" s="3">
        <f>-MAX(0,MIN(M74,M77+M78))</f>
        <v/>
      </c>
      <c r="N79" s="3">
        <f>-MAX(0,MIN(N74,N77+N78))</f>
        <v/>
      </c>
      <c r="O79" s="3">
        <f>-MAX(0,MIN(O74,O77+O78))</f>
        <v/>
      </c>
      <c r="P79" s="3">
        <f>-MAX(0,MIN(P74,P77+P78))</f>
        <v/>
      </c>
      <c r="Q79" s="3">
        <f>-MAX(0,MIN(Q74,Q77+Q78))</f>
        <v/>
      </c>
      <c r="R79" s="3">
        <f>-MAX(0,MIN(R74,R77+R78))</f>
        <v/>
      </c>
      <c r="S79" s="3">
        <f>-MAX(0,MIN(S74,S77+S78))</f>
        <v/>
      </c>
      <c r="T79" s="3">
        <f>-MAX(0,MIN(T74,T77+T78))</f>
        <v/>
      </c>
      <c r="U79" s="3">
        <f>-MAX(0,MIN(U74,U77+U78))</f>
        <v/>
      </c>
      <c r="V79" s="3">
        <f>-MAX(0,MIN(V74,V77+V78))</f>
        <v/>
      </c>
      <c r="W79" s="3">
        <f>-MAX(0,MIN(W74,W77+W78))</f>
        <v/>
      </c>
      <c r="X79" s="3">
        <f>-MAX(0,MIN(X74,X77+X78))</f>
        <v/>
      </c>
      <c r="Y79" s="3">
        <f>-MAX(0,MIN(Y74,Y77+Y78))</f>
        <v/>
      </c>
      <c r="Z79" s="16">
        <f>-MAX(0,MIN(Z74,Z77+Z78))</f>
        <v/>
      </c>
      <c r="AA79" s="3">
        <f>-MAX(0,MIN(AA74,AA77+AA78))</f>
        <v/>
      </c>
    </row>
    <row r="80">
      <c r="B80" s="6" t="inlineStr">
        <is>
          <t>Tax Credit Equity</t>
        </is>
      </c>
      <c r="D80" s="3">
        <f>+D94</f>
        <v/>
      </c>
      <c r="E80" s="174">
        <f>+D80/$D$82</f>
        <v/>
      </c>
      <c r="G80" s="21" t="inlineStr">
        <is>
          <t>Ending Balance</t>
        </is>
      </c>
      <c r="H80" s="21" t="n"/>
      <c r="I80" s="21" t="n"/>
      <c r="J80" s="21" t="n"/>
      <c r="K80" s="21" t="n"/>
      <c r="L80" s="68">
        <f>+SUM(L77:L79)</f>
        <v/>
      </c>
      <c r="M80" s="68">
        <f>+SUM(M77:M79)</f>
        <v/>
      </c>
      <c r="N80" s="68">
        <f>+SUM(N77:N79)</f>
        <v/>
      </c>
      <c r="O80" s="68">
        <f>+SUM(O77:O79)</f>
        <v/>
      </c>
      <c r="P80" s="68">
        <f>+SUM(P77:P79)</f>
        <v/>
      </c>
      <c r="Q80" s="90">
        <f>+SUM(Q77:Q79)</f>
        <v/>
      </c>
      <c r="R80" s="90">
        <f>+SUM(R77:R79)</f>
        <v/>
      </c>
      <c r="S80" s="90">
        <f>+SUM(S77:S79)</f>
        <v/>
      </c>
      <c r="T80" s="90">
        <f>+SUM(T77:T79)</f>
        <v/>
      </c>
      <c r="U80" s="90">
        <f>+SUM(U77:U79)</f>
        <v/>
      </c>
      <c r="V80" s="90">
        <f>+SUM(V77:V79)</f>
        <v/>
      </c>
      <c r="W80" s="90">
        <f>+SUM(W77:W79)</f>
        <v/>
      </c>
      <c r="X80" s="90">
        <f>+SUM(X77:X79)</f>
        <v/>
      </c>
      <c r="Y80" s="90">
        <f>+SUM(Y77:Y79)</f>
        <v/>
      </c>
      <c r="Z80" s="34">
        <f>+SUM(Z77:Z79)</f>
        <v/>
      </c>
      <c r="AA80" s="90">
        <f>+SUM(AA77:AA79)</f>
        <v/>
      </c>
    </row>
    <row r="81">
      <c r="B81" s="20" t="inlineStr">
        <is>
          <t>Deferred Developer Fee</t>
        </is>
      </c>
      <c r="C81" s="247" t="n">
        <v>0.04</v>
      </c>
      <c r="D81" s="68">
        <f>+D136</f>
        <v/>
      </c>
      <c r="E81" s="174">
        <f>+D81/$D$82</f>
        <v/>
      </c>
      <c r="G81" t="inlineStr">
        <is>
          <t>Remaining CF</t>
        </is>
      </c>
      <c r="L81" s="3">
        <f>+L79+L74</f>
        <v/>
      </c>
      <c r="M81" s="3">
        <f>+M79+M74</f>
        <v/>
      </c>
      <c r="N81" s="3">
        <f>+N79+N74</f>
        <v/>
      </c>
      <c r="O81" s="3">
        <f>+O79+O74</f>
        <v/>
      </c>
      <c r="P81" s="3">
        <f>+P79+P74</f>
        <v/>
      </c>
      <c r="Q81" s="3">
        <f>+Q79+Q74</f>
        <v/>
      </c>
      <c r="R81" s="3">
        <f>+R79+R74</f>
        <v/>
      </c>
      <c r="S81" s="3">
        <f>+S79+S74</f>
        <v/>
      </c>
      <c r="T81" s="3">
        <f>+T79+T74</f>
        <v/>
      </c>
      <c r="U81" s="3">
        <f>+U79+U74</f>
        <v/>
      </c>
      <c r="V81" s="3">
        <f>+V79+V74</f>
        <v/>
      </c>
      <c r="W81" s="3">
        <f>+W79+W74</f>
        <v/>
      </c>
      <c r="X81" s="3">
        <f>+X79+X74</f>
        <v/>
      </c>
      <c r="Y81" s="3">
        <f>+Y79+Y74</f>
        <v/>
      </c>
      <c r="Z81" s="16">
        <f>+Z79+Z74</f>
        <v/>
      </c>
      <c r="AA81" s="3">
        <f>+AA79+AA74</f>
        <v/>
      </c>
    </row>
    <row r="82">
      <c r="B82" s="11" t="inlineStr">
        <is>
          <t>Total</t>
        </is>
      </c>
      <c r="C82" s="17" t="n"/>
      <c r="D82" s="65">
        <f>+SUM(D75:D81)</f>
        <v/>
      </c>
      <c r="E82" s="175">
        <f>+D82/$D$82</f>
        <v/>
      </c>
      <c r="Q82" s="42" t="n"/>
      <c r="Z82" s="8" t="n"/>
    </row>
    <row r="83">
      <c r="G83" s="103" t="inlineStr">
        <is>
          <t>Soft Debt</t>
        </is>
      </c>
      <c r="H83" s="21" t="n"/>
      <c r="I83" s="21" t="n"/>
      <c r="J83" s="21" t="n"/>
      <c r="K83" s="21" t="n"/>
      <c r="L83" s="21" t="n"/>
      <c r="M83" s="21" t="n"/>
      <c r="N83" s="21" t="n"/>
      <c r="O83" s="21" t="n"/>
      <c r="P83" s="21" t="n"/>
      <c r="Q83" s="21" t="n"/>
      <c r="R83" s="90" t="n"/>
      <c r="S83" s="90" t="n"/>
      <c r="T83" s="90" t="n"/>
      <c r="U83" s="90" t="n"/>
      <c r="V83" s="90" t="n"/>
      <c r="W83" s="90" t="n"/>
      <c r="X83" s="90" t="n"/>
      <c r="Y83" s="90" t="n"/>
      <c r="Z83" s="34" t="n"/>
      <c r="AA83" s="90" t="n"/>
    </row>
    <row r="84">
      <c r="B84" s="11" t="inlineStr">
        <is>
          <t>Tax Credits</t>
        </is>
      </c>
      <c r="C84" s="22" t="n"/>
      <c r="D84" s="23" t="n"/>
      <c r="G84" s="56" t="inlineStr">
        <is>
          <t>Beginning Balance</t>
        </is>
      </c>
      <c r="H84" s="56" t="n"/>
      <c r="I84" s="56" t="n"/>
      <c r="J84" s="56" t="n"/>
      <c r="K84" s="56" t="n"/>
      <c r="L84" s="67">
        <f>+D79</f>
        <v/>
      </c>
      <c r="M84" s="67">
        <f>+L88</f>
        <v/>
      </c>
      <c r="N84" s="67">
        <f>+M88</f>
        <v/>
      </c>
      <c r="O84" s="67">
        <f>+N88</f>
        <v/>
      </c>
      <c r="P84" s="67">
        <f>+O88</f>
        <v/>
      </c>
      <c r="Q84" s="67">
        <f>+P88</f>
        <v/>
      </c>
      <c r="R84" s="67">
        <f>+Q88</f>
        <v/>
      </c>
      <c r="S84" s="67">
        <f>+R88</f>
        <v/>
      </c>
      <c r="T84" s="67">
        <f>+S88</f>
        <v/>
      </c>
      <c r="U84" s="67">
        <f>+T88</f>
        <v/>
      </c>
      <c r="V84" s="67">
        <f>+U88</f>
        <v/>
      </c>
      <c r="W84" s="67">
        <f>+V88</f>
        <v/>
      </c>
      <c r="X84" s="67">
        <f>+W88</f>
        <v/>
      </c>
      <c r="Y84" s="67">
        <f>+X88</f>
        <v/>
      </c>
      <c r="Z84" s="287">
        <f>+Y88</f>
        <v/>
      </c>
      <c r="AA84" s="67">
        <f>+Z88</f>
        <v/>
      </c>
    </row>
    <row r="85">
      <c r="B85" s="77" t="inlineStr">
        <is>
          <t>Federal</t>
        </is>
      </c>
      <c r="D85" s="19" t="n"/>
      <c r="E85" s="3" t="n"/>
      <c r="G85" t="inlineStr">
        <is>
          <t>Accrual</t>
        </is>
      </c>
      <c r="L85" s="3">
        <f>+IF($AA$5="Simple", $C$79*MIN($D$79,L84),$C$79*L84)</f>
        <v/>
      </c>
      <c r="M85" s="3">
        <f>+IF($AA$5="Simple", $C$79*MIN($D$79,M84),$C$79*M84)</f>
        <v/>
      </c>
      <c r="N85" s="3">
        <f>+IF($AA$5="Simple", $C$79*MIN($D$79,N84),$C$79*N84)</f>
        <v/>
      </c>
      <c r="O85" s="3">
        <f>+IF($AA$5="Simple", $C$79*MIN($D$79,O84),$C$79*O84)</f>
        <v/>
      </c>
      <c r="P85" s="3">
        <f>+IF($AA$5="Simple", $C$79*MIN($D$79,P84),$C$79*P84)</f>
        <v/>
      </c>
      <c r="Q85" s="3">
        <f>+IF($AA$5="Simple", $C$79*MIN($D$79,Q84),$C$79*Q84)</f>
        <v/>
      </c>
      <c r="R85" s="3">
        <f>+IF($AA$5="Simple", $C$79*MIN($D$79,R84),$C$79*R84)</f>
        <v/>
      </c>
      <c r="S85" s="3">
        <f>+IF($AA$5="Simple", $C$79*MIN($D$79,S84),$C$79*S84)</f>
        <v/>
      </c>
      <c r="T85" s="3">
        <f>+IF($AA$5="Simple", $C$79*MIN($D$79,T84),$C$79*T84)</f>
        <v/>
      </c>
      <c r="U85" s="3">
        <f>+IF($AA$5="Simple", $C$79*MIN($D$79,U84),$C$79*U84)</f>
        <v/>
      </c>
      <c r="V85" s="3">
        <f>+IF($AA$5="Simple", $C$79*MIN($D$79,V84),$C$79*V84)</f>
        <v/>
      </c>
      <c r="W85" s="3">
        <f>+IF($AA$5="Simple", $C$79*MIN($D$79,W84),$C$79*W84)</f>
        <v/>
      </c>
      <c r="X85" s="3">
        <f>+IF($AA$5="Simple", $C$79*MIN($D$79,X84),$C$79*X84)</f>
        <v/>
      </c>
      <c r="Y85" s="3">
        <f>+IF($AA$5="Simple", $C$79*MIN($D$79,Y84),$C$79*Y84)</f>
        <v/>
      </c>
      <c r="Z85" s="16">
        <f>+IF($AA$5="Simple", $C$79*MIN($D$79,Z84),$C$79*Z84)</f>
        <v/>
      </c>
      <c r="AA85" s="3">
        <f>+IF($AA$5="Simple", $C$79*MIN($D$79,AA84),$C$79*AA84)</f>
        <v/>
      </c>
    </row>
    <row r="86">
      <c r="B86" s="6" t="inlineStr">
        <is>
          <t>Eligible Basis</t>
        </is>
      </c>
      <c r="D86" s="16">
        <f>+C56</f>
        <v/>
      </c>
      <c r="E86" s="3" t="n"/>
      <c r="G86" t="inlineStr">
        <is>
          <t>Distribution of Interest</t>
        </is>
      </c>
      <c r="L86" s="3">
        <f>-MAX(0,MIN(SUM($L$85:L85)+SUM($K$86:K86),$AA$4*L81))</f>
        <v/>
      </c>
      <c r="M86" s="3">
        <f>-MAX(0,MIN(SUM($L$85:M85)+SUM($K$86:L86),$AA$4*M81))</f>
        <v/>
      </c>
      <c r="N86" s="3">
        <f>-MAX(0,MIN(SUM($L$85:N85)+SUM($K$86:M86),$AA$4*N81))</f>
        <v/>
      </c>
      <c r="O86" s="3">
        <f>-MAX(0,MIN(SUM($L$85:O85)+SUM($K$86:N86),$AA$4*O81))</f>
        <v/>
      </c>
      <c r="P86" s="3">
        <f>-MAX(0,MIN(SUM($L$85:P85)+SUM($K$86:O86),$AA$4*P81))</f>
        <v/>
      </c>
      <c r="Q86" s="3">
        <f>-MAX(0,MIN(SUM($L$85:Q85)+SUM($K$86:P86),$AA$4*Q81))</f>
        <v/>
      </c>
      <c r="R86" s="3">
        <f>-MAX(0,MIN(SUM($L$85:R85)+SUM($K$86:Q86),$AA$4*R81))</f>
        <v/>
      </c>
      <c r="S86" s="3">
        <f>-MAX(0,MIN(SUM($L$85:S85)+SUM($K$86:R86),$AA$4*S81))</f>
        <v/>
      </c>
      <c r="T86" s="3">
        <f>-MAX(0,MIN(SUM($L$85:T85)+SUM($K$86:S86),$AA$4*T81))</f>
        <v/>
      </c>
      <c r="U86" s="3">
        <f>-MAX(0,MIN(SUM($L$85:U85)+SUM($K$86:T86),$AA$4*U81))</f>
        <v/>
      </c>
      <c r="V86" s="3">
        <f>-MAX(0,MIN(SUM($L$85:V85)+SUM($K$86:U86),$AA$4*V81))</f>
        <v/>
      </c>
      <c r="W86" s="3">
        <f>-MAX(0,MIN(SUM($L$85:W85)+SUM($K$86:V86),$AA$4*W81))</f>
        <v/>
      </c>
      <c r="X86" s="3">
        <f>-MAX(0,MIN(SUM($L$85:X85)+SUM($K$86:W86),$AA$4*X81))</f>
        <v/>
      </c>
      <c r="Y86" s="3">
        <f>-MAX(0,MIN(SUM($L$85:Y85)+SUM($K$86:X86),$AA$4*Y81))</f>
        <v/>
      </c>
      <c r="Z86" s="16">
        <f>-MAX(0,MIN(SUM($L$85:Z85)+SUM($K$86:Y86),$AA$4*Z81))</f>
        <v/>
      </c>
      <c r="AA86" s="3">
        <f>-MAX(0,MIN(SUM($L$85:AA85)+SUM($K$86:Z86),$AA$4*AA81))</f>
        <v/>
      </c>
    </row>
    <row r="87">
      <c r="B87" s="6" t="inlineStr">
        <is>
          <t>Adjusted Eligible Basis</t>
        </is>
      </c>
      <c r="C87" s="207">
        <f>+IF(C5="None",100%,130%)</f>
        <v/>
      </c>
      <c r="D87" s="16">
        <f>+C87*D86</f>
        <v/>
      </c>
      <c r="E87" s="3" t="n"/>
      <c r="G87" t="inlineStr">
        <is>
          <t>Distribution of Principal</t>
        </is>
      </c>
      <c r="L87" s="42">
        <f>+-MAX(0,MIN(L81*$AA$4+L86,SUM(L84:L86)))</f>
        <v/>
      </c>
      <c r="M87" s="42">
        <f>+-MAX(0,MIN(M81*$AA$4+M86,SUM(M84:M86)))</f>
        <v/>
      </c>
      <c r="N87" s="42">
        <f>+-MAX(0,MIN(N81*$AA$4+N86,SUM(N84:N86)))</f>
        <v/>
      </c>
      <c r="O87" s="42">
        <f>+-MAX(0,MIN(O81*$AA$4+O86,SUM(O84:O86)))</f>
        <v/>
      </c>
      <c r="P87" s="42">
        <f>+-MAX(0,MIN(P81*$AA$4+P86,SUM(P84:P86)))</f>
        <v/>
      </c>
      <c r="Q87" s="42">
        <f>+-MAX(0,MIN(Q81*$AA$4+Q86,SUM(Q84:Q86)))</f>
        <v/>
      </c>
      <c r="R87" s="42">
        <f>+-MAX(0,MIN(R81*$AA$4+R86,SUM(R84:R86)))</f>
        <v/>
      </c>
      <c r="S87" s="42">
        <f>+-MAX(0,MIN(S81*$AA$4+S86,SUM(S84:S86)))</f>
        <v/>
      </c>
      <c r="T87" s="42">
        <f>+-MAX(0,MIN(T81*$AA$4+T86,SUM(T84:T86)))</f>
        <v/>
      </c>
      <c r="U87" s="42">
        <f>+-MAX(0,MIN(U81*$AA$4+U86,SUM(U84:U86)))</f>
        <v/>
      </c>
      <c r="V87" s="42">
        <f>+-MAX(0,MIN(V81*$AA$4+V86,SUM(V84:V86)))</f>
        <v/>
      </c>
      <c r="W87" s="42">
        <f>+-MAX(0,MIN(W81*$AA$4+W86,SUM(W84:W86)))</f>
        <v/>
      </c>
      <c r="X87" s="42">
        <f>+-MAX(0,MIN(X81*$AA$4+X86,SUM(X84:X86)))</f>
        <v/>
      </c>
      <c r="Y87" s="42">
        <f>+-MAX(0,MIN(Y81*$AA$4+Y86,SUM(Y84:Y86)))</f>
        <v/>
      </c>
      <c r="Z87" s="8">
        <f>+-MAX(0,MIN(Z81*$AA$4+Z86,SUM(Z84:Z86)))</f>
        <v/>
      </c>
      <c r="AA87" s="42">
        <f>+-MAX(0,MIN(AA81*$AA$4+AA86,SUM(AA84:AA86)))</f>
        <v/>
      </c>
    </row>
    <row r="88">
      <c r="B88" s="6" t="inlineStr">
        <is>
          <t>Applicable Percentage</t>
        </is>
      </c>
      <c r="C88" s="4" t="n">
        <v>0.04</v>
      </c>
      <c r="D88" s="16">
        <f>+C88*D87</f>
        <v/>
      </c>
      <c r="G88" s="21" t="inlineStr">
        <is>
          <t>Ending Balance</t>
        </is>
      </c>
      <c r="H88" s="21" t="n"/>
      <c r="I88" s="21" t="n"/>
      <c r="J88" s="21" t="n"/>
      <c r="K88" s="21" t="n"/>
      <c r="L88" s="68">
        <f>+SUM(L84:L87)</f>
        <v/>
      </c>
      <c r="M88" s="68">
        <f>+SUM(M84:M87)</f>
        <v/>
      </c>
      <c r="N88" s="68">
        <f>+SUM(N84:N87)</f>
        <v/>
      </c>
      <c r="O88" s="68">
        <f>+SUM(O84:O87)</f>
        <v/>
      </c>
      <c r="P88" s="68">
        <f>+SUM(P84:P87)</f>
        <v/>
      </c>
      <c r="Q88" s="68">
        <f>+SUM(Q84:Q87)</f>
        <v/>
      </c>
      <c r="R88" s="68">
        <f>+SUM(R84:R87)</f>
        <v/>
      </c>
      <c r="S88" s="68">
        <f>+SUM(S84:S87)</f>
        <v/>
      </c>
      <c r="T88" s="68">
        <f>+SUM(T84:T87)</f>
        <v/>
      </c>
      <c r="U88" s="68">
        <f>+SUM(U84:U87)</f>
        <v/>
      </c>
      <c r="V88" s="68">
        <f>+SUM(V84:V87)</f>
        <v/>
      </c>
      <c r="W88" s="68">
        <f>+SUM(W84:W87)</f>
        <v/>
      </c>
      <c r="X88" s="68">
        <f>+SUM(X84:X87)</f>
        <v/>
      </c>
      <c r="Y88" s="68">
        <f>+SUM(Y84:Y87)</f>
        <v/>
      </c>
      <c r="Z88" s="24">
        <f>+SUM(Z84:Z87)</f>
        <v/>
      </c>
      <c r="AA88" s="68">
        <f>+SUM(AA84:AA87)</f>
        <v/>
      </c>
    </row>
    <row r="89">
      <c r="B89" s="6" t="inlineStr">
        <is>
          <t>Federal Tax Credit Equity</t>
        </is>
      </c>
      <c r="C89" s="254" t="n">
        <v>0.77</v>
      </c>
      <c r="D89" s="8">
        <f>+C89*D88*10</f>
        <v/>
      </c>
      <c r="Z89" s="8" t="n"/>
    </row>
    <row r="90">
      <c r="B90" s="77" t="inlineStr">
        <is>
          <t>State</t>
        </is>
      </c>
      <c r="D90" s="19" t="n"/>
      <c r="G90" s="27" t="inlineStr">
        <is>
          <t>Residual Cash Flow</t>
        </is>
      </c>
      <c r="H90" s="56" t="n"/>
      <c r="I90" s="56" t="n"/>
      <c r="J90" s="56" t="n"/>
      <c r="K90" s="56" t="n"/>
      <c r="L90" s="67">
        <f>+L81+L87+L86</f>
        <v/>
      </c>
      <c r="M90" s="67">
        <f>+M81+M87+M86</f>
        <v/>
      </c>
      <c r="N90" s="67">
        <f>+N81+N87+N86</f>
        <v/>
      </c>
      <c r="O90" s="67">
        <f>+O81+O87+O86</f>
        <v/>
      </c>
      <c r="P90" s="67">
        <f>+P81+P87+P86</f>
        <v/>
      </c>
      <c r="Q90" s="67">
        <f>+Q81+Q87+Q86</f>
        <v/>
      </c>
      <c r="R90" s="67">
        <f>+R81+R87+R86</f>
        <v/>
      </c>
      <c r="S90" s="67">
        <f>+S81+S87+S86</f>
        <v/>
      </c>
      <c r="T90" s="67">
        <f>+T81+T87+T86</f>
        <v/>
      </c>
      <c r="U90" s="67">
        <f>+U81+U87+U86</f>
        <v/>
      </c>
      <c r="V90" s="67">
        <f>+V81+V87+V86</f>
        <v/>
      </c>
      <c r="W90" s="67">
        <f>+W81+W87+W86</f>
        <v/>
      </c>
      <c r="X90" s="67">
        <f>+X81+X87+X86</f>
        <v/>
      </c>
      <c r="Y90" s="67">
        <f>+Y81+Y87+Y86</f>
        <v/>
      </c>
      <c r="Z90" s="287">
        <f>+Z81+Z87+Z86</f>
        <v/>
      </c>
      <c r="AA90" s="67">
        <f>+AA81+AA87+AA86</f>
        <v/>
      </c>
    </row>
    <row r="91">
      <c r="B91" s="6" t="inlineStr">
        <is>
          <t>Maximum Credits</t>
        </is>
      </c>
      <c r="D91" s="8">
        <f>0.3*D86</f>
        <v/>
      </c>
      <c r="Z91" s="34" t="n"/>
    </row>
    <row r="92">
      <c r="B92" s="6" t="inlineStr">
        <is>
          <t>State Credit Ask</t>
        </is>
      </c>
      <c r="D92" s="10">
        <f>IF($C$93=0,0,D93/$C$93)</f>
        <v/>
      </c>
      <c r="G92" s="17" t="inlineStr">
        <is>
          <t>Developer Cash Flow</t>
        </is>
      </c>
      <c r="H92" s="17" t="n"/>
      <c r="I92" s="17" t="n"/>
      <c r="J92" s="25">
        <f>+D98</f>
        <v/>
      </c>
      <c r="K92" s="65">
        <f>+D99</f>
        <v/>
      </c>
      <c r="L92" s="65">
        <f>-L79</f>
        <v/>
      </c>
      <c r="M92" s="65">
        <f>-M79</f>
        <v/>
      </c>
      <c r="N92" s="65">
        <f>-N79</f>
        <v/>
      </c>
      <c r="O92" s="65">
        <f>-O79</f>
        <v/>
      </c>
      <c r="P92" s="65">
        <f>-P79</f>
        <v/>
      </c>
      <c r="Q92" s="25">
        <f>-Q79</f>
        <v/>
      </c>
      <c r="R92" s="25">
        <f>-R79</f>
        <v/>
      </c>
      <c r="S92" s="25">
        <f>-S79</f>
        <v/>
      </c>
      <c r="T92" s="25">
        <f>-T79</f>
        <v/>
      </c>
      <c r="U92" s="25">
        <f>-U79</f>
        <v/>
      </c>
      <c r="V92" s="25">
        <f>-V79</f>
        <v/>
      </c>
      <c r="W92" s="25">
        <f>-W79</f>
        <v/>
      </c>
      <c r="X92" s="25">
        <f>-X79</f>
        <v/>
      </c>
      <c r="Y92" s="25">
        <f>-Y79</f>
        <v/>
      </c>
      <c r="Z92" s="26">
        <f>-Z79</f>
        <v/>
      </c>
      <c r="AA92" s="25">
        <f>-AA79</f>
        <v/>
      </c>
    </row>
    <row r="93" ht="16" customHeight="1" thickBot="1">
      <c r="B93" s="6" t="inlineStr">
        <is>
          <t>State Tax Credit Equity</t>
        </is>
      </c>
      <c r="C93" s="254" t="n">
        <v>0.88</v>
      </c>
      <c r="D93" s="8">
        <f>IF($D$59="State Credits",MIN(MAX(0,$C$55-$D$75-$D$78-($C$89*$D$88*10)-$D$76-$D$131),$C$93*$D$91),0)</f>
        <v/>
      </c>
      <c r="G93" s="32" t="inlineStr">
        <is>
          <t>Fund Cash Flow</t>
        </is>
      </c>
      <c r="H93" s="33">
        <f>-D110</f>
        <v/>
      </c>
      <c r="I93" s="33">
        <f>-D117</f>
        <v/>
      </c>
      <c r="J93" s="33">
        <f>MIN(-D66-D65)-H93-I93</f>
        <v/>
      </c>
      <c r="K93" s="33">
        <f>+(K90)*$N$42</f>
        <v/>
      </c>
      <c r="L93" s="33">
        <f>+(L90)*$N$42</f>
        <v/>
      </c>
      <c r="M93" s="33">
        <f>+(M90)*$N$42</f>
        <v/>
      </c>
      <c r="N93" s="33">
        <f>+(N90)*$N$42</f>
        <v/>
      </c>
      <c r="O93" s="33">
        <f>+(O90)*$N$42</f>
        <v/>
      </c>
      <c r="P93" s="33">
        <f>+(P90)*$N$42</f>
        <v/>
      </c>
      <c r="Q93" s="33">
        <f>+(Q90)*$N$42</f>
        <v/>
      </c>
      <c r="R93" s="33">
        <f>+(R90)*$N$42</f>
        <v/>
      </c>
      <c r="S93" s="33">
        <f>+(S90)*$N$42</f>
        <v/>
      </c>
      <c r="T93" s="33">
        <f>+(T90)*$N$42</f>
        <v/>
      </c>
      <c r="U93" s="33">
        <f>+(U90)*$N$42</f>
        <v/>
      </c>
      <c r="V93" s="33">
        <f>+(V90)*$N$42</f>
        <v/>
      </c>
      <c r="W93" s="33">
        <f>+(W90)*$N$42</f>
        <v/>
      </c>
      <c r="X93" s="33">
        <f>+(X90)*$N$42</f>
        <v/>
      </c>
      <c r="Y93" s="33">
        <f>+(Y90)*$N$42</f>
        <v/>
      </c>
      <c r="Z93" s="288">
        <f>+(Z90)*$N$42</f>
        <v/>
      </c>
      <c r="AA93" s="33">
        <f>+(AA90)*$N$42</f>
        <v/>
      </c>
    </row>
    <row r="94">
      <c r="B94" s="11" t="inlineStr">
        <is>
          <t>Total Tax Credit Equity</t>
        </is>
      </c>
      <c r="C94" s="17" t="n"/>
      <c r="D94" s="18">
        <f>+C89*D88*10+D93</f>
        <v/>
      </c>
      <c r="G94" s="1" t="inlineStr">
        <is>
          <t>Total Cash Flow</t>
        </is>
      </c>
      <c r="H94" s="228">
        <f>+SUM(H92:H93)</f>
        <v/>
      </c>
      <c r="I94" s="228">
        <f>+SUM(I92:I93)</f>
        <v/>
      </c>
      <c r="J94" s="228">
        <f>+SUM(J92:J93)</f>
        <v/>
      </c>
      <c r="K94" s="228">
        <f>+SUM(K92:K93)</f>
        <v/>
      </c>
      <c r="L94" s="228">
        <f>+SUM(L92:L93)</f>
        <v/>
      </c>
      <c r="M94" s="228">
        <f>+SUM(M92:M93)</f>
        <v/>
      </c>
      <c r="N94" s="228">
        <f>+SUM(N92:N93)</f>
        <v/>
      </c>
      <c r="O94" s="228">
        <f>+SUM(O92:O93)</f>
        <v/>
      </c>
      <c r="P94" s="228">
        <f>+SUM(P92:P93)</f>
        <v/>
      </c>
      <c r="Q94" s="228">
        <f>+SUM(Q92:Q93)</f>
        <v/>
      </c>
      <c r="R94" s="228">
        <f>+SUM(R92:R93)</f>
        <v/>
      </c>
      <c r="S94" s="228">
        <f>+SUM(S92:S93)</f>
        <v/>
      </c>
      <c r="T94" s="228">
        <f>+SUM(T92:T93)</f>
        <v/>
      </c>
      <c r="U94" s="228">
        <f>+SUM(U92:U93)</f>
        <v/>
      </c>
      <c r="V94" s="228">
        <f>+SUM(V92:V93)</f>
        <v/>
      </c>
      <c r="W94" s="228">
        <f>+SUM(W92:W93)</f>
        <v/>
      </c>
      <c r="X94" s="228">
        <f>+SUM(X92:X93)</f>
        <v/>
      </c>
      <c r="Y94" s="228">
        <f>+SUM(Y92:Y93)</f>
        <v/>
      </c>
      <c r="Z94" s="296">
        <f>+SUM(Z92:Z93)</f>
        <v/>
      </c>
      <c r="AA94" s="228">
        <f>+SUM(AA92:AA93)</f>
        <v/>
      </c>
    </row>
    <row r="95">
      <c r="E95" s="54" t="n"/>
      <c r="G95" s="27" t="inlineStr">
        <is>
          <t>Max Gap Investor Cash Flow</t>
        </is>
      </c>
      <c r="H95" s="27" t="n"/>
      <c r="I95" s="27" t="n"/>
      <c r="J95" s="14">
        <f>-MAX(D66,1)</f>
        <v/>
      </c>
      <c r="K95" s="14">
        <f>+K93</f>
        <v/>
      </c>
      <c r="L95" s="14">
        <f>+L93</f>
        <v/>
      </c>
      <c r="M95" s="14">
        <f>+M93</f>
        <v/>
      </c>
      <c r="N95" s="14">
        <f>+N93</f>
        <v/>
      </c>
      <c r="O95" s="14">
        <f>+O93</f>
        <v/>
      </c>
      <c r="P95" s="14">
        <f>+P93</f>
        <v/>
      </c>
      <c r="Q95" s="14">
        <f>+Q93</f>
        <v/>
      </c>
      <c r="R95" s="14">
        <f>+R93</f>
        <v/>
      </c>
      <c r="S95" s="14">
        <f>+S93</f>
        <v/>
      </c>
      <c r="T95" s="14">
        <f>+T93</f>
        <v/>
      </c>
      <c r="U95" s="14">
        <f>+U93</f>
        <v/>
      </c>
      <c r="V95" s="14">
        <f>+V93</f>
        <v/>
      </c>
      <c r="W95" s="14">
        <f>+W93</f>
        <v/>
      </c>
      <c r="X95" s="14">
        <f>+X93</f>
        <v/>
      </c>
      <c r="Y95" s="14">
        <f>+Y93</f>
        <v/>
      </c>
      <c r="Z95" s="15">
        <f>+Z93</f>
        <v/>
      </c>
      <c r="AA95" s="14">
        <f>+AA93</f>
        <v/>
      </c>
    </row>
    <row r="96">
      <c r="B96" s="11" t="inlineStr">
        <is>
          <t>Developer Fees</t>
        </is>
      </c>
      <c r="C96" s="22" t="n"/>
      <c r="D96" s="23" t="n"/>
      <c r="Z96" s="34" t="n"/>
    </row>
    <row r="97">
      <c r="B97" s="6" t="inlineStr">
        <is>
          <t>Capitalized Dev Fee</t>
        </is>
      </c>
      <c r="C97" s="260" t="inlineStr">
        <is>
          <t>Max Out</t>
        </is>
      </c>
      <c r="D97" s="16">
        <f>+C47-D71</f>
        <v/>
      </c>
      <c r="E97" s="3" t="n"/>
      <c r="G97" s="27" t="inlineStr">
        <is>
          <t>Fund Yield</t>
        </is>
      </c>
      <c r="H97" s="56" t="n"/>
      <c r="I97" s="56" t="n"/>
      <c r="J97" s="56" t="n"/>
      <c r="K97" s="56" t="n"/>
      <c r="L97" s="225">
        <f>IFERROR(MAX(L93/$D$77,0),"")</f>
        <v/>
      </c>
      <c r="M97" s="225">
        <f>IFERROR(MAX(M93/$D$77,0),"")</f>
        <v/>
      </c>
      <c r="N97" s="225">
        <f>IFERROR(MAX(N93/$D$77,0),"")</f>
        <v/>
      </c>
      <c r="O97" s="225">
        <f>IFERROR(MAX(O93/$D$77,0),"")</f>
        <v/>
      </c>
      <c r="P97" s="225">
        <f>IFERROR(MAX(P93/$D$77,0),"")</f>
        <v/>
      </c>
      <c r="Q97" s="225">
        <f>IFERROR(MAX(Q93/$D$77,0),"")</f>
        <v/>
      </c>
      <c r="R97" s="225">
        <f>IFERROR(MAX(R93/$D$77,0),"")</f>
        <v/>
      </c>
      <c r="S97" s="225">
        <f>IFERROR(MAX(S93/$D$77,0),"")</f>
        <v/>
      </c>
      <c r="T97" s="225">
        <f>IFERROR(MAX(T93/$D$77,0),"")</f>
        <v/>
      </c>
      <c r="U97" s="225">
        <f>IFERROR(MAX(U93/$D$77,0),"")</f>
        <v/>
      </c>
      <c r="V97" s="225">
        <f>IFERROR(MAX(V93/$D$77,0),"")</f>
        <v/>
      </c>
      <c r="W97" s="225">
        <f>IFERROR(MAX(W93/$D$77,0),"")</f>
        <v/>
      </c>
      <c r="X97" s="225">
        <f>IFERROR(MAX(X93/$D$77,0),"")</f>
        <v/>
      </c>
      <c r="Y97" s="225">
        <f>IFERROR(MAX(Y93/$D$77,0),"")</f>
        <v/>
      </c>
      <c r="Z97" s="289">
        <f>IFERROR(MAX(Z93/$D$77,0),"")</f>
        <v/>
      </c>
      <c r="AA97" s="225">
        <f>IFERROR(MAX(AA93/$D$77,0),"")</f>
        <v/>
      </c>
    </row>
    <row r="98">
      <c r="B98" s="261" t="inlineStr">
        <is>
          <t>At Close</t>
        </is>
      </c>
      <c r="C98" s="262" t="n">
        <v>0.3</v>
      </c>
      <c r="D98" s="263">
        <f>+C98*D97</f>
        <v/>
      </c>
      <c r="G98" s="27" t="inlineStr">
        <is>
          <t>Total Yield</t>
        </is>
      </c>
      <c r="H98" s="56" t="n"/>
      <c r="I98" s="56" t="n"/>
      <c r="J98" s="56" t="n"/>
      <c r="K98" s="56" t="n"/>
      <c r="L98" s="225">
        <f>IFERROR(MAX(L94/$D$77,0),"")</f>
        <v/>
      </c>
      <c r="M98" s="225">
        <f>IFERROR(MAX(M94/$D$77,0),"")</f>
        <v/>
      </c>
      <c r="N98" s="225">
        <f>IFERROR(MAX(N94/$D$77,0),"")</f>
        <v/>
      </c>
      <c r="O98" s="225">
        <f>IFERROR(MAX(O94/$D$77,0),"")</f>
        <v/>
      </c>
      <c r="P98" s="225">
        <f>IFERROR(MAX(P94/$D$77,0),"")</f>
        <v/>
      </c>
      <c r="Q98" s="225">
        <f>IFERROR(MAX(Q94/$D$77,0),"")</f>
        <v/>
      </c>
      <c r="R98" s="225">
        <f>IFERROR(MAX(R94/$D$77,0),"")</f>
        <v/>
      </c>
      <c r="S98" s="225">
        <f>IFERROR(MAX(S94/$D$77,0),"")</f>
        <v/>
      </c>
      <c r="T98" s="225">
        <f>IFERROR(MAX(T94/$D$77,0),"")</f>
        <v/>
      </c>
      <c r="U98" s="225">
        <f>IFERROR(MAX(U94/$D$77,0),"")</f>
        <v/>
      </c>
      <c r="V98" s="225">
        <f>IFERROR(MAX(V94/$D$77,0),"")</f>
        <v/>
      </c>
      <c r="W98" s="225">
        <f>IFERROR(MAX(W94/$D$77,0),"")</f>
        <v/>
      </c>
      <c r="X98" s="225">
        <f>IFERROR(MAX(X94/$D$77,0),"")</f>
        <v/>
      </c>
      <c r="Y98" s="225">
        <f>IFERROR(MAX(Y94/$D$77,0),"")</f>
        <v/>
      </c>
      <c r="Z98" s="289">
        <f>IFERROR(MAX(Z94/$D$77,0),"")</f>
        <v/>
      </c>
      <c r="AA98" s="225">
        <f>IFERROR(MAX(AA94/$D$77,0),"")</f>
        <v/>
      </c>
    </row>
    <row r="99">
      <c r="B99" s="261" t="inlineStr">
        <is>
          <t>At Stabilization</t>
        </is>
      </c>
      <c r="C99" s="264">
        <f>1-C98</f>
        <v/>
      </c>
      <c r="D99" s="263">
        <f>+D97-D98</f>
        <v/>
      </c>
      <c r="G99" s="27" t="inlineStr">
        <is>
          <t>Return on Cost</t>
        </is>
      </c>
      <c r="H99" s="56" t="n"/>
      <c r="I99" s="56" t="n"/>
      <c r="J99" s="56" t="n"/>
      <c r="K99" s="56" t="n"/>
      <c r="L99" s="226">
        <f>+L53/$C$55</f>
        <v/>
      </c>
      <c r="M99" s="226">
        <f>+M53/$C$55</f>
        <v/>
      </c>
      <c r="N99" s="226">
        <f>+N53/$C$55</f>
        <v/>
      </c>
      <c r="O99" s="226">
        <f>+O53/$C$55</f>
        <v/>
      </c>
      <c r="P99" s="226">
        <f>+P53/$C$55</f>
        <v/>
      </c>
      <c r="Q99" s="226">
        <f>+Q53/$C$55</f>
        <v/>
      </c>
      <c r="R99" s="226">
        <f>+R53/$C$55</f>
        <v/>
      </c>
      <c r="S99" s="226">
        <f>+S53/$C$55</f>
        <v/>
      </c>
      <c r="T99" s="226">
        <f>+T53/$C$55</f>
        <v/>
      </c>
      <c r="U99" s="226">
        <f>+U53/$C$55</f>
        <v/>
      </c>
      <c r="V99" s="226">
        <f>+V53/$C$55</f>
        <v/>
      </c>
      <c r="W99" s="226">
        <f>+W53/$C$55</f>
        <v/>
      </c>
      <c r="X99" s="226">
        <f>+X53/$C$55</f>
        <v/>
      </c>
      <c r="Y99" s="226">
        <f>+Y53/$C$55</f>
        <v/>
      </c>
      <c r="Z99" s="290">
        <f>+Z53/$C$55</f>
        <v/>
      </c>
      <c r="AA99" s="226">
        <f>+AA53/$C$55</f>
        <v/>
      </c>
    </row>
    <row r="100">
      <c r="B100" s="20" t="inlineStr">
        <is>
          <t>Deferred Dev Fee</t>
        </is>
      </c>
      <c r="C100" s="21" t="n"/>
      <c r="D100" s="24">
        <f>+D71</f>
        <v/>
      </c>
      <c r="E100" s="3" t="n"/>
      <c r="L100" s="80" t="n"/>
    </row>
    <row r="101">
      <c r="B101" s="87" t="inlineStr">
        <is>
          <t>Total</t>
        </is>
      </c>
      <c r="C101" s="103" t="n"/>
      <c r="D101" s="104">
        <f>+C47</f>
        <v/>
      </c>
      <c r="E101" s="54" t="n"/>
      <c r="G101" s="11" t="inlineStr">
        <is>
          <t>Fund IRR</t>
        </is>
      </c>
      <c r="H101" s="69">
        <f>+XIRR(H93:AA93,H46:AA46)</f>
        <v/>
      </c>
      <c r="I101" s="237" t="n"/>
    </row>
    <row r="102">
      <c r="G102" s="87" t="inlineStr">
        <is>
          <t>Total IRR</t>
        </is>
      </c>
      <c r="H102" s="88">
        <f>+XIRR(H94:AA94,H46:AA46)</f>
        <v/>
      </c>
      <c r="I102" s="238" t="n"/>
    </row>
    <row r="103">
      <c r="B103" s="11" t="inlineStr">
        <is>
          <t>Working Capital Uses</t>
        </is>
      </c>
      <c r="C103" s="17" t="n"/>
      <c r="D103" s="12" t="inlineStr">
        <is>
          <t>Amount</t>
        </is>
      </c>
      <c r="E103" s="13" t="inlineStr">
        <is>
          <t>Per Unit</t>
        </is>
      </c>
      <c r="G103" s="11" t="inlineStr">
        <is>
          <t>Max Gap Inv IRR</t>
        </is>
      </c>
      <c r="H103" s="295">
        <f>+XIRR(J95:AA95,J46:AA46)</f>
        <v/>
      </c>
    </row>
    <row r="104">
      <c r="B104" s="240" t="inlineStr">
        <is>
          <t>Costs to obtain Award</t>
        </is>
      </c>
      <c r="E104" s="19" t="n"/>
    </row>
    <row r="105">
      <c r="B105" s="241" t="inlineStr">
        <is>
          <t>Acq Deposit</t>
        </is>
      </c>
      <c r="C105" s="31" t="n">
        <v>0.05</v>
      </c>
      <c r="D105" s="42">
        <f>+C105*S16</f>
        <v/>
      </c>
      <c r="E105" s="210">
        <f>+D105/$C$14</f>
        <v/>
      </c>
    </row>
    <row r="106">
      <c r="B106" s="241" t="inlineStr">
        <is>
          <t>Architect &amp; Engineering</t>
        </is>
      </c>
      <c r="C106" s="342" t="n"/>
      <c r="D106" s="217" t="n">
        <v>30000</v>
      </c>
      <c r="E106" s="210">
        <f>+D106/$C$14</f>
        <v/>
      </c>
    </row>
    <row r="107">
      <c r="B107" s="241" t="inlineStr">
        <is>
          <t>Entitlement &amp; Permitting</t>
        </is>
      </c>
      <c r="D107" s="217" t="n">
        <v>20000</v>
      </c>
      <c r="E107" s="210">
        <f>+D107/$C$14</f>
        <v/>
      </c>
    </row>
    <row r="108">
      <c r="B108" s="241" t="inlineStr">
        <is>
          <t>Due Diligence Reports</t>
        </is>
      </c>
      <c r="D108" s="217" t="n">
        <v>35000</v>
      </c>
      <c r="E108" s="210">
        <f>+D108/$C$14</f>
        <v/>
      </c>
    </row>
    <row r="109">
      <c r="B109" s="241" t="inlineStr">
        <is>
          <t>Application Costs</t>
        </is>
      </c>
      <c r="D109" s="217" t="n">
        <v>55000</v>
      </c>
      <c r="E109" s="210">
        <f>+D109/$C$14</f>
        <v/>
      </c>
    </row>
    <row r="110">
      <c r="B110" s="243" t="inlineStr">
        <is>
          <t>Subtotal</t>
        </is>
      </c>
      <c r="C110" s="56" t="n"/>
      <c r="D110" s="14">
        <f>+SUM(D105:D109)</f>
        <v/>
      </c>
      <c r="E110" s="244">
        <f>+D110/$C$14</f>
        <v/>
      </c>
    </row>
    <row r="111">
      <c r="B111" s="240" t="inlineStr">
        <is>
          <t>Post-Award Costs</t>
        </is>
      </c>
      <c r="E111" s="245" t="n"/>
    </row>
    <row r="112">
      <c r="B112" s="241" t="inlineStr">
        <is>
          <t>Land Acquisition / Addtl deposit</t>
        </is>
      </c>
      <c r="C112" s="31" t="n">
        <v>0.05</v>
      </c>
      <c r="D112" s="42">
        <f>+C112*S16</f>
        <v/>
      </c>
      <c r="E112" s="210">
        <f>+D112/$C$14</f>
        <v/>
      </c>
    </row>
    <row r="113">
      <c r="B113" s="241" t="inlineStr">
        <is>
          <t>Financial Consulting</t>
        </is>
      </c>
      <c r="D113" s="217" t="n">
        <v>50000</v>
      </c>
      <c r="E113" s="210">
        <f>+D113/$C$14</f>
        <v/>
      </c>
    </row>
    <row r="114">
      <c r="B114" s="241" t="inlineStr">
        <is>
          <t>Architect &amp; Engineering</t>
        </is>
      </c>
      <c r="C114" s="342" t="n">
        <v>5000</v>
      </c>
      <c r="D114" s="42">
        <f>+C114*I28-D106</f>
        <v/>
      </c>
      <c r="E114" s="210">
        <f>+D114/$C$14</f>
        <v/>
      </c>
    </row>
    <row r="115">
      <c r="B115" s="241" t="inlineStr">
        <is>
          <t>Entitlement &amp; Permitting</t>
        </is>
      </c>
      <c r="D115" s="217" t="n">
        <v>60000</v>
      </c>
      <c r="E115" s="210">
        <f>+D115/$C$14</f>
        <v/>
      </c>
    </row>
    <row r="116">
      <c r="B116" s="241" t="inlineStr">
        <is>
          <t>CDLAC/CTCAC Deposits</t>
        </is>
      </c>
      <c r="D116" s="42">
        <f>+MIN(4%*D88,100000)+0.25%*D62</f>
        <v/>
      </c>
      <c r="E116" s="210">
        <f>+D116/$C$14</f>
        <v/>
      </c>
    </row>
    <row r="117">
      <c r="B117" s="243" t="inlineStr">
        <is>
          <t>Subtotal</t>
        </is>
      </c>
      <c r="C117" s="27" t="n"/>
      <c r="D117" s="14">
        <f>+SUM(D112:D116)</f>
        <v/>
      </c>
      <c r="E117" s="244">
        <f>+D117/$C$14</f>
        <v/>
      </c>
    </row>
    <row r="118">
      <c r="B118" s="11" t="inlineStr">
        <is>
          <t>Total Working Capital Uses</t>
        </is>
      </c>
      <c r="C118" s="17" t="n"/>
      <c r="D118" s="65">
        <f>+D117+D110</f>
        <v/>
      </c>
      <c r="E118" s="246">
        <f>+D118/$C$14</f>
        <v/>
      </c>
    </row>
    <row r="120">
      <c r="B120" s="11" t="inlineStr">
        <is>
          <t>Dev Fee Calc</t>
        </is>
      </c>
      <c r="C120" s="22" t="n"/>
      <c r="D120" s="23" t="n"/>
    </row>
    <row r="121">
      <c r="B121" s="6" t="inlineStr">
        <is>
          <t>15% of unadjusted eligible basis</t>
        </is>
      </c>
      <c r="D121" s="16">
        <f>MIN(0.15*C56,C47)</f>
        <v/>
      </c>
      <c r="E121" s="3" t="n"/>
    </row>
    <row r="122">
      <c r="B122" s="6" t="inlineStr">
        <is>
          <t>5% of unadjusted eligible acq basis</t>
        </is>
      </c>
      <c r="D122" s="108" t="n">
        <v>0</v>
      </c>
      <c r="E122" s="3" t="n"/>
    </row>
    <row r="123">
      <c r="B123" s="20" t="inlineStr">
        <is>
          <t>Max of 2,500,000</t>
        </is>
      </c>
      <c r="C123" s="21" t="n"/>
      <c r="D123" s="24">
        <f>+MIN(2500000,D121)</f>
        <v/>
      </c>
      <c r="E123" s="3" t="n"/>
    </row>
    <row r="124">
      <c r="B124" s="6" t="inlineStr">
        <is>
          <t>Unadjusted Eligible basis &gt;6,666,667</t>
        </is>
      </c>
      <c r="D124" s="16">
        <f>+C56-6666667</f>
        <v/>
      </c>
      <c r="E124" s="3" t="n"/>
    </row>
    <row r="125">
      <c r="B125" s="109" t="inlineStr">
        <is>
          <t>5% of above</t>
        </is>
      </c>
      <c r="D125" s="16">
        <f>0.05*D124</f>
        <v/>
      </c>
      <c r="E125" s="3" t="n"/>
    </row>
    <row r="126">
      <c r="B126" s="6" t="inlineStr">
        <is>
          <t>Plus $1m</t>
        </is>
      </c>
      <c r="D126" s="16">
        <f>+D125+1000000</f>
        <v/>
      </c>
      <c r="E126" s="3" t="n"/>
    </row>
    <row r="127">
      <c r="B127" s="11" t="inlineStr">
        <is>
          <t>Maximum Capitalized Dev Fee</t>
        </is>
      </c>
      <c r="C127" s="17" t="n"/>
      <c r="D127" s="18">
        <f>+MIN(MAX(D126,D123),6000000)</f>
        <v/>
      </c>
      <c r="E127" s="3" t="n"/>
    </row>
    <row r="129">
      <c r="B129" s="11" t="inlineStr">
        <is>
          <t>Helper Calcs</t>
        </is>
      </c>
      <c r="C129" s="22" t="n"/>
      <c r="D129" s="23" t="n"/>
    </row>
    <row r="130">
      <c r="B130" s="6" t="inlineStr">
        <is>
          <t>Gap before Dev Equity/Deferrals</t>
        </is>
      </c>
      <c r="D130" s="16">
        <f> C55 - D75 - D80 - D79 - D65 - D67</f>
        <v/>
      </c>
    </row>
    <row r="131">
      <c r="B131" s="6" t="inlineStr">
        <is>
          <t>Base Deferred Dev Fee</t>
        </is>
      </c>
      <c r="D131" s="16">
        <f> MIN( MAX(D130, C47-D127), C47-MAX(1000000,5%*D75,D127*(C97="Max Out")))</f>
        <v/>
      </c>
    </row>
    <row r="132">
      <c r="B132" s="6" t="inlineStr">
        <is>
          <t>Excess Funding Adjustment</t>
        </is>
      </c>
      <c r="D132" s="16">
        <f> MIN(0, D130 - D131)</f>
        <v/>
      </c>
    </row>
    <row r="133">
      <c r="B133" s="6" t="inlineStr">
        <is>
          <t>Residual need before Dev/Deferred (permanent)</t>
        </is>
      </c>
      <c r="D133" s="16">
        <f> C55 - (D75 + D78 + D80)</f>
        <v/>
      </c>
    </row>
    <row r="134">
      <c r="B134" s="6" t="inlineStr">
        <is>
          <t>Developer cash cap at permanent</t>
        </is>
      </c>
      <c r="D134" s="16">
        <f> D66 + D65</f>
        <v/>
      </c>
    </row>
    <row r="135">
      <c r="B135" s="6" t="inlineStr">
        <is>
          <t>Developer Equity/Loan (residual, capped)</t>
        </is>
      </c>
      <c r="D135" s="16">
        <f> MIN( MAX(0, D133 - D76), D134 )</f>
        <v/>
      </c>
    </row>
    <row r="136">
      <c r="B136" s="20" t="inlineStr">
        <is>
          <t>Permanent Deferred Dev. Fee (bounded by construction DDF &amp; residual)</t>
        </is>
      </c>
      <c r="C136" s="21" t="n"/>
      <c r="D136" s="24">
        <f> MIN( D71, MAX(0, D133 - D76 - D135) )</f>
        <v/>
      </c>
    </row>
    <row r="137">
      <c r="B137" t="inlineStr">
        <is>
          <t>Gap ex state credits</t>
        </is>
      </c>
      <c r="D137" s="3">
        <f>C55- D75-D78- (C89*D88*10)- D76</f>
        <v/>
      </c>
    </row>
  </sheetData>
  <conditionalFormatting sqref="AE6:AQ21">
    <cfRule type="cellIs" priority="2" operator="lessThanOrEqual" dxfId="1">
      <formula>0</formula>
    </cfRule>
  </conditionalFormatting>
  <conditionalFormatting sqref="Q39">
    <cfRule type="cellIs" priority="1" operator="greaterThan" dxfId="0">
      <formula>0.6</formula>
    </cfRule>
  </conditionalFormatting>
  <dataValidations count="12">
    <dataValidation sqref="P38" showDropDown="0" showInputMessage="1" showErrorMessage="1" allowBlank="1" type="list">
      <formula1>"70%,80%"</formula1>
    </dataValidation>
    <dataValidation sqref="C4" showDropDown="0" showInputMessage="1" showErrorMessage="1" allowBlank="1" type="list">
      <formula1>$AH$29:$AH$40</formula1>
    </dataValidation>
    <dataValidation sqref="S11" showDropDown="0" showInputMessage="1" showErrorMessage="1" allowBlank="1" type="list">
      <formula1>"On,Off"</formula1>
    </dataValidation>
    <dataValidation sqref="C97" showDropDown="0" showInputMessage="1" showErrorMessage="1" allowBlank="1" type="list">
      <formula1>"Max Out, Don't Max"</formula1>
    </dataValidation>
    <dataValidation sqref="A36" showDropDown="0" showInputMessage="1" showErrorMessage="1" allowBlank="1" type="list">
      <formula1>"Modular,Stick"</formula1>
    </dataValidation>
    <dataValidation sqref="C5" showDropDown="0" showInputMessage="1" showErrorMessage="1" allowBlank="1" type="list">
      <formula1>"QCT,DDA,None"</formula1>
    </dataValidation>
    <dataValidation sqref="C6" showDropDown="0" showInputMessage="1" showErrorMessage="1" allowBlank="1" type="list">
      <formula1>"Low,Medium,High,Highest"</formula1>
    </dataValidation>
    <dataValidation sqref="C7:C8 C10:C11 S26 AA7" showDropDown="0" showInputMessage="1" showErrorMessage="1" allowBlank="1" type="list">
      <formula1>"Yes,No"</formula1>
    </dataValidation>
    <dataValidation sqref="C9" showDropDown="0" showInputMessage="1" showErrorMessage="1" allowBlank="1" type="list">
      <formula1>"Type I,Type III,Other"</formula1>
    </dataValidation>
    <dataValidation sqref="AA5" showDropDown="0" showInputMessage="1" showErrorMessage="1" allowBlank="1" type="list">
      <formula1>"Simple, Compouding"</formula1>
    </dataValidation>
    <dataValidation sqref="D59" showDropDown="0" showInputMessage="1" showErrorMessage="1" allowBlank="1" type="list">
      <formula1>"Ground Lessor,Soft Debt,State Credits,B-Bond, None"</formula1>
    </dataValidation>
    <dataValidation sqref="W13" showDropDown="0" showInputMessage="1" showErrorMessage="1" allowBlank="1" type="list">
      <formula1>$X$13:$Z$13</formula1>
    </dataValidation>
  </dataValidations>
  <pageMargins left="0.25" right="0.25" top="0.5" bottom="0.5" header="0.3" footer="0.3"/>
  <pageSetup orientation="landscape" scale="4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B2:J80"/>
  <sheetViews>
    <sheetView zoomScaleNormal="100" workbookViewId="0">
      <pane ySplit="8" topLeftCell="A20" activePane="bottomLeft" state="frozen"/>
      <selection pane="bottomLeft" activeCell="B49" sqref="B49"/>
    </sheetView>
  </sheetViews>
  <sheetFormatPr baseColWidth="10" defaultColWidth="8.83203125" defaultRowHeight="15"/>
  <cols>
    <col width="49.6640625" customWidth="1" min="2" max="2"/>
    <col width="19.33203125" customWidth="1" min="3" max="3"/>
    <col width="8.5" customWidth="1" min="4" max="4"/>
    <col width="9.33203125" bestFit="1" customWidth="1" min="7" max="7"/>
  </cols>
  <sheetData>
    <row r="2">
      <c r="B2" t="inlineStr">
        <is>
          <t>Total Affordable Units</t>
        </is>
      </c>
      <c r="C2">
        <f>+Pro_Forma!C14-Pro_Forma!I26</f>
        <v/>
      </c>
    </row>
    <row r="5">
      <c r="B5" s="40" t="inlineStr">
        <is>
          <t>Tiebreaker</t>
        </is>
      </c>
      <c r="C5" s="41">
        <f>+Pro_Forma!B2</f>
        <v/>
      </c>
    </row>
    <row r="6">
      <c r="B6" t="inlineStr">
        <is>
          <t>Public Benefit Numerator</t>
        </is>
      </c>
      <c r="C6" s="42">
        <f>+C66</f>
        <v/>
      </c>
    </row>
    <row r="7">
      <c r="B7" t="inlineStr">
        <is>
          <t>Denominator (estimate)</t>
        </is>
      </c>
      <c r="C7" s="42">
        <f>(Pro_Forma!C57*Pro_Forma!C21+Pro_Forma!D92)*(1-C72-C75-C79)</f>
        <v/>
      </c>
    </row>
    <row r="8">
      <c r="B8" s="27" t="inlineStr">
        <is>
          <t>Tiebreaker</t>
        </is>
      </c>
      <c r="C8" s="44">
        <f>+C6/C7</f>
        <v/>
      </c>
    </row>
    <row r="9">
      <c r="B9" s="1" t="n"/>
      <c r="C9" s="43" t="n"/>
    </row>
    <row r="10">
      <c r="B10" s="45" t="inlineStr">
        <is>
          <t>A. Unit Production Benefit</t>
        </is>
      </c>
      <c r="C10" s="46" t="n"/>
    </row>
    <row r="11">
      <c r="B11" t="inlineStr">
        <is>
          <t>Adjusted Units</t>
        </is>
      </c>
      <c r="C11" s="42">
        <f>+J21</f>
        <v/>
      </c>
    </row>
    <row r="12">
      <c r="B12" t="inlineStr">
        <is>
          <t>Benefit Multiplier</t>
        </is>
      </c>
      <c r="C12" s="343" t="n">
        <v>50000</v>
      </c>
    </row>
    <row r="13">
      <c r="B13" s="27" t="inlineStr">
        <is>
          <t>Unit Production Benefit</t>
        </is>
      </c>
      <c r="C13" s="344">
        <f>+C12*C11</f>
        <v/>
      </c>
    </row>
    <row r="15">
      <c r="B15" s="45" t="inlineStr">
        <is>
          <t>B. Rent Savings Benefit</t>
        </is>
      </c>
      <c r="C15" s="49" t="n"/>
      <c r="F15" s="1" t="inlineStr">
        <is>
          <t>HUD FMR</t>
        </is>
      </c>
    </row>
    <row r="16">
      <c r="B16" t="inlineStr">
        <is>
          <t>FMR</t>
        </is>
      </c>
      <c r="C16" s="345">
        <f>+G21</f>
        <v/>
      </c>
      <c r="E16" s="86" t="inlineStr">
        <is>
          <t>0B</t>
        </is>
      </c>
      <c r="F16" s="181">
        <f>+INDEX('Market Inputs'!$I$4:$M$61,MATCH(Pro_Forma!$C$3,'Market Inputs'!$B$4:$B$61,0),MATCH(E16,'Market Inputs'!$D$3:$H$3,0))</f>
        <v/>
      </c>
      <c r="G16" s="78">
        <f>+Pro_Forma!H3</f>
        <v/>
      </c>
      <c r="I16" t="n">
        <v>0.9</v>
      </c>
      <c r="J16">
        <f>+I16*G16</f>
        <v/>
      </c>
    </row>
    <row r="17">
      <c r="B17" t="inlineStr">
        <is>
          <t>Average Rent</t>
        </is>
      </c>
      <c r="C17" s="343">
        <f>+SUMPRODUCT(I24:I39,H24:H39)/SUM(I24:I39)</f>
        <v/>
      </c>
      <c r="E17" s="86" t="inlineStr">
        <is>
          <t>1B</t>
        </is>
      </c>
      <c r="F17" s="181">
        <f>+INDEX('Market Inputs'!$I$4:$M$61,MATCH(Pro_Forma!$C$3,'Market Inputs'!$B$4:$B$61,0),MATCH(E17,'Market Inputs'!$D$3:$H$3,0))</f>
        <v/>
      </c>
      <c r="G17">
        <f>+Pro_Forma!H4-Pro_Forma!I26</f>
        <v/>
      </c>
      <c r="I17" t="n">
        <v>1</v>
      </c>
      <c r="J17">
        <f>+I17*G17</f>
        <v/>
      </c>
    </row>
    <row r="18">
      <c r="B18" t="inlineStr">
        <is>
          <t>Monthly Rent Savings</t>
        </is>
      </c>
      <c r="C18" s="343">
        <f>+(C16-C17)*C2</f>
        <v/>
      </c>
      <c r="E18" s="86" t="inlineStr">
        <is>
          <t>2B</t>
        </is>
      </c>
      <c r="F18" s="181">
        <f>+INDEX('Market Inputs'!$I$4:$M$61,MATCH(Pro_Forma!$C$3,'Market Inputs'!$B$4:$B$61,0),MATCH(E18,'Market Inputs'!$D$3:$H$3,0))</f>
        <v/>
      </c>
      <c r="G18">
        <f>+Pro_Forma!H5</f>
        <v/>
      </c>
      <c r="I18" t="n">
        <v>1.25</v>
      </c>
      <c r="J18">
        <f>+I18*G18</f>
        <v/>
      </c>
    </row>
    <row r="19">
      <c r="B19" t="inlineStr">
        <is>
          <t>Benefit Multiplier</t>
        </is>
      </c>
      <c r="C19" s="42" t="n">
        <v>180</v>
      </c>
      <c r="E19" s="86" t="inlineStr">
        <is>
          <t>3B</t>
        </is>
      </c>
      <c r="F19" s="181">
        <f>+INDEX('Market Inputs'!$I$4:$M$61,MATCH(Pro_Forma!$C$3,'Market Inputs'!$B$4:$B$61,0),MATCH(E19,'Market Inputs'!$D$3:$H$3,0))</f>
        <v/>
      </c>
      <c r="G19">
        <f>+Pro_Forma!H6</f>
        <v/>
      </c>
      <c r="I19" t="n">
        <v>1.5</v>
      </c>
      <c r="J19">
        <f>+I19*G19</f>
        <v/>
      </c>
    </row>
    <row r="20">
      <c r="B20" s="27" t="inlineStr">
        <is>
          <t>Rent Savings Benefit</t>
        </is>
      </c>
      <c r="C20" s="346">
        <f>+C19*C18</f>
        <v/>
      </c>
    </row>
    <row r="21">
      <c r="F21" s="27" t="n"/>
      <c r="G21" s="89">
        <f>+SUMPRODUCT(G16:G19,F16:F19)/SUM(G16:G19)</f>
        <v/>
      </c>
      <c r="I21" s="56" t="n"/>
      <c r="J21" s="27">
        <f>+SUM(J16:J19)</f>
        <v/>
      </c>
    </row>
    <row r="22">
      <c r="B22" s="45" t="inlineStr">
        <is>
          <t>C. Population Benefit</t>
        </is>
      </c>
      <c r="C22" s="49" t="n"/>
    </row>
    <row r="23">
      <c r="B23" t="inlineStr">
        <is>
          <t>ELI Households</t>
        </is>
      </c>
      <c r="C23">
        <f>+Pro_Forma!I14+Pro_Forma!I10+Pro_Forma!I18+Pro_Forma!I22</f>
        <v/>
      </c>
      <c r="F23" s="1" t="inlineStr">
        <is>
          <t>Average Rent Calc</t>
        </is>
      </c>
    </row>
    <row r="24">
      <c r="B24" t="inlineStr">
        <is>
          <t>Benefit Multiplier</t>
        </is>
      </c>
      <c r="C24" s="343" t="n">
        <v>20000</v>
      </c>
      <c r="F24" t="inlineStr">
        <is>
          <t>0B</t>
        </is>
      </c>
      <c r="G24" s="257">
        <f>+Pro_Forma!J10</f>
        <v/>
      </c>
      <c r="H24" s="78">
        <f>+G24*Pro_Forma!$J$3</f>
        <v/>
      </c>
      <c r="I24">
        <f>+Pro_Forma!I10</f>
        <v/>
      </c>
    </row>
    <row r="25">
      <c r="B25" s="27" t="inlineStr">
        <is>
          <t>ELI Benefit</t>
        </is>
      </c>
      <c r="C25" s="344">
        <f>+C24*C23</f>
        <v/>
      </c>
      <c r="F25" t="inlineStr">
        <is>
          <t>0B</t>
        </is>
      </c>
      <c r="G25" s="257">
        <f>+Pro_Forma!J11</f>
        <v/>
      </c>
      <c r="H25" s="78">
        <f>+G25*Pro_Forma!$J$3</f>
        <v/>
      </c>
      <c r="I25">
        <f>+Pro_Forma!I11</f>
        <v/>
      </c>
    </row>
    <row r="26">
      <c r="F26" t="inlineStr">
        <is>
          <t>0B</t>
        </is>
      </c>
      <c r="G26" s="257">
        <f>+Pro_Forma!J12</f>
        <v/>
      </c>
      <c r="H26" s="78">
        <f>+G26*Pro_Forma!$J$3</f>
        <v/>
      </c>
      <c r="I26">
        <f>+Pro_Forma!I12</f>
        <v/>
      </c>
    </row>
    <row r="27">
      <c r="B27" s="45" t="inlineStr">
        <is>
          <t>D. Location Benefit  - Community Revitalization Area</t>
        </is>
      </c>
      <c r="C27" s="49" t="n"/>
      <c r="F27" t="inlineStr">
        <is>
          <t>0B</t>
        </is>
      </c>
      <c r="G27" s="257">
        <f>+Pro_Forma!J13</f>
        <v/>
      </c>
      <c r="H27" s="78">
        <f>+G27*Pro_Forma!$J$3</f>
        <v/>
      </c>
      <c r="I27">
        <f>+Pro_Forma!I13</f>
        <v/>
      </c>
    </row>
    <row r="28">
      <c r="B28" t="inlineStr">
        <is>
          <t xml:space="preserve">Project is in Community Revitalization Area </t>
        </is>
      </c>
      <c r="C28" s="61">
        <f>+Pro_Forma!C8</f>
        <v/>
      </c>
      <c r="F28" t="inlineStr">
        <is>
          <t>1B</t>
        </is>
      </c>
      <c r="G28" s="257">
        <f>+Pro_Forma!J14</f>
        <v/>
      </c>
      <c r="H28" s="78">
        <f>+G28*Pro_Forma!$J$4</f>
        <v/>
      </c>
      <c r="I28">
        <f>+Pro_Forma!I14</f>
        <v/>
      </c>
    </row>
    <row r="29">
      <c r="B29" t="inlineStr">
        <is>
          <t>Benefit Multiplier</t>
        </is>
      </c>
      <c r="C29" s="343">
        <f>+IF(C28="Yes",20000,0)</f>
        <v/>
      </c>
      <c r="F29" t="inlineStr">
        <is>
          <t>1B</t>
        </is>
      </c>
      <c r="G29" s="257">
        <f>+Pro_Forma!J15</f>
        <v/>
      </c>
      <c r="H29" s="78">
        <f>+G29*Pro_Forma!$J$4</f>
        <v/>
      </c>
      <c r="I29">
        <f>+Pro_Forma!I15</f>
        <v/>
      </c>
    </row>
    <row r="30">
      <c r="B30" t="inlineStr">
        <is>
          <t>Bedroom-Adjusted Low Income Units</t>
        </is>
      </c>
      <c r="C30" s="42">
        <f>+C11</f>
        <v/>
      </c>
      <c r="F30" t="inlineStr">
        <is>
          <t>1B</t>
        </is>
      </c>
      <c r="G30" s="257">
        <f>+Pro_Forma!J16</f>
        <v/>
      </c>
      <c r="H30" s="78">
        <f>+G30*Pro_Forma!$J$4</f>
        <v/>
      </c>
      <c r="I30">
        <f>+Pro_Forma!I16</f>
        <v/>
      </c>
    </row>
    <row r="31">
      <c r="B31" s="27" t="inlineStr">
        <is>
          <t>Community Revitalization Area Benefit</t>
        </is>
      </c>
      <c r="C31" s="346">
        <f>+C30*C29</f>
        <v/>
      </c>
      <c r="F31" t="inlineStr">
        <is>
          <t>1B</t>
        </is>
      </c>
      <c r="G31" s="257">
        <f>+Pro_Forma!J17</f>
        <v/>
      </c>
      <c r="H31" s="78">
        <f>+G31*Pro_Forma!$J$4</f>
        <v/>
      </c>
      <c r="I31">
        <f>+Pro_Forma!I17</f>
        <v/>
      </c>
    </row>
    <row r="32">
      <c r="F32" t="inlineStr">
        <is>
          <t>2B</t>
        </is>
      </c>
      <c r="G32" s="257">
        <f>+Pro_Forma!J18</f>
        <v/>
      </c>
      <c r="H32" s="78">
        <f>+G32*Pro_Forma!$J$5</f>
        <v/>
      </c>
      <c r="I32">
        <f>+Pro_Forma!I18</f>
        <v/>
      </c>
    </row>
    <row r="33">
      <c r="B33" s="45" t="inlineStr">
        <is>
          <t>D. Location Benefit  - Resource Area</t>
        </is>
      </c>
      <c r="C33" s="49" t="n"/>
      <c r="F33" t="inlineStr">
        <is>
          <t>2B</t>
        </is>
      </c>
      <c r="G33" s="257">
        <f>+Pro_Forma!J19</f>
        <v/>
      </c>
      <c r="H33" s="78">
        <f>+G33*Pro_Forma!$J$5</f>
        <v/>
      </c>
      <c r="I33">
        <f>+Pro_Forma!I19</f>
        <v/>
      </c>
    </row>
    <row r="34">
      <c r="B34" t="inlineStr">
        <is>
          <t>Project meets the CDLAC new construction definition</t>
        </is>
      </c>
      <c r="C34" s="61" t="inlineStr">
        <is>
          <t>Yes</t>
        </is>
      </c>
      <c r="F34" t="inlineStr">
        <is>
          <t>2B</t>
        </is>
      </c>
      <c r="G34" s="257">
        <f>+Pro_Forma!J20</f>
        <v/>
      </c>
      <c r="H34" s="78">
        <f>+G34*Pro_Forma!$J$5</f>
        <v/>
      </c>
      <c r="I34">
        <f>+Pro_Forma!I20</f>
        <v/>
      </c>
    </row>
    <row r="35">
      <c r="B35" t="inlineStr">
        <is>
          <t>Project is Large Family housing type</t>
        </is>
      </c>
      <c r="C35" s="61" t="inlineStr">
        <is>
          <t>Yes</t>
        </is>
      </c>
      <c r="F35" t="inlineStr">
        <is>
          <t>2B</t>
        </is>
      </c>
      <c r="G35" s="257">
        <f>+Pro_Forma!J21</f>
        <v/>
      </c>
      <c r="H35" s="78">
        <f>+G35*Pro_Forma!$J$5</f>
        <v/>
      </c>
      <c r="I35">
        <f>+Pro_Forma!I21</f>
        <v/>
      </c>
    </row>
    <row r="36">
      <c r="B36" t="inlineStr">
        <is>
          <t>Project is Permanent Supportive Housing</t>
        </is>
      </c>
      <c r="C36" s="61" t="inlineStr">
        <is>
          <t>No</t>
        </is>
      </c>
      <c r="F36" t="inlineStr">
        <is>
          <t>3B</t>
        </is>
      </c>
      <c r="G36" s="257">
        <f>+Pro_Forma!J22</f>
        <v/>
      </c>
      <c r="H36" s="78">
        <f>+G36*Pro_Forma!$J$6</f>
        <v/>
      </c>
      <c r="I36">
        <f>+Pro_Forma!I22</f>
        <v/>
      </c>
    </row>
    <row r="37">
      <c r="B37" t="inlineStr">
        <is>
          <t>Opportunity Area Designation</t>
        </is>
      </c>
      <c r="C37" s="60">
        <f>+Pro_Forma!C6</f>
        <v/>
      </c>
      <c r="F37" t="inlineStr">
        <is>
          <t>3B</t>
        </is>
      </c>
      <c r="G37" s="257">
        <f>+Pro_Forma!J23</f>
        <v/>
      </c>
      <c r="H37" s="78">
        <f>+G37*Pro_Forma!$J$6</f>
        <v/>
      </c>
      <c r="I37">
        <f>+Pro_Forma!I23</f>
        <v/>
      </c>
    </row>
    <row r="38" ht="32" customHeight="1">
      <c r="B38" s="52" t="inlineStr">
        <is>
          <t>Project is located in a neighborhood experiencing neighborhood change*</t>
        </is>
      </c>
      <c r="C38" s="61">
        <f>+Pro_Forma!C7</f>
        <v/>
      </c>
      <c r="F38" t="inlineStr">
        <is>
          <t>3B</t>
        </is>
      </c>
      <c r="G38" s="257">
        <f>+Pro_Forma!J24</f>
        <v/>
      </c>
      <c r="H38" s="78">
        <f>+G38*Pro_Forma!$J$6</f>
        <v/>
      </c>
      <c r="I38">
        <f>+Pro_Forma!I24</f>
        <v/>
      </c>
    </row>
    <row r="39">
      <c r="F39" t="inlineStr">
        <is>
          <t>3B</t>
        </is>
      </c>
      <c r="G39" s="257">
        <f>+Pro_Forma!J25</f>
        <v/>
      </c>
      <c r="H39" s="78">
        <f>+G39*Pro_Forma!$J$6</f>
        <v/>
      </c>
      <c r="I39">
        <f>+Pro_Forma!I25</f>
        <v/>
      </c>
    </row>
    <row r="40">
      <c r="B40" t="inlineStr">
        <is>
          <t>Benefit Multiplier</t>
        </is>
      </c>
      <c r="C40" s="343">
        <f>+IF(C38="Yes",30000,IF(AND(C34="Yes",OR(C35="Yes",C36="Yes")), IF(C37="Highest",30000,IF(C37="High",20000,IF(C37="Medium",10000,0))),0))</f>
        <v/>
      </c>
    </row>
    <row r="41">
      <c r="B41" t="inlineStr">
        <is>
          <t>Bedroom-Adjusted Low Income Units</t>
        </is>
      </c>
      <c r="C41" s="42">
        <f>+C11</f>
        <v/>
      </c>
    </row>
    <row r="42">
      <c r="B42" s="27" t="inlineStr">
        <is>
          <t>Resource Area Benefit</t>
        </is>
      </c>
      <c r="C42" s="344">
        <f>+C41*C40</f>
        <v/>
      </c>
    </row>
    <row r="44">
      <c r="B44" s="45" t="inlineStr">
        <is>
          <t>D. Location Benefit  - Transit/Walkability</t>
        </is>
      </c>
      <c r="C44" s="49" t="n"/>
    </row>
    <row r="45">
      <c r="B45" t="inlineStr">
        <is>
          <t>Transit Site Amenity Points</t>
        </is>
      </c>
      <c r="C45" s="35" t="n">
        <v>7</v>
      </c>
    </row>
    <row r="46">
      <c r="B46" t="inlineStr">
        <is>
          <t>Benefit Multiplier</t>
        </is>
      </c>
      <c r="C46" s="343" t="n">
        <v>4000</v>
      </c>
    </row>
    <row r="47">
      <c r="B47" t="inlineStr">
        <is>
          <t>Bedroom-Adjusted Low-Income Units</t>
        </is>
      </c>
      <c r="C47" s="3">
        <f>+C41</f>
        <v/>
      </c>
    </row>
    <row r="48">
      <c r="B48" s="1" t="inlineStr">
        <is>
          <t>Transit Benefit</t>
        </is>
      </c>
      <c r="C48" s="347">
        <f>+C47*C46*C45</f>
        <v/>
      </c>
    </row>
    <row r="50">
      <c r="B50" t="inlineStr">
        <is>
          <t>Walkable Amenity Count</t>
        </is>
      </c>
      <c r="C50" s="35" t="n">
        <v>2</v>
      </c>
    </row>
    <row r="51">
      <c r="B51" t="inlineStr">
        <is>
          <t>Benefit Multiplier</t>
        </is>
      </c>
      <c r="C51" s="343" t="n">
        <v>4000</v>
      </c>
    </row>
    <row r="52">
      <c r="B52" s="1" t="inlineStr">
        <is>
          <t>Walkability Benefit</t>
        </is>
      </c>
      <c r="C52" s="54">
        <f>+C51*C50*C47</f>
        <v/>
      </c>
    </row>
    <row r="54">
      <c r="B54" t="inlineStr">
        <is>
          <t>Project has:</t>
        </is>
      </c>
    </row>
    <row r="55">
      <c r="B55" t="inlineStr">
        <is>
          <t>an award of HCD TOD funding</t>
        </is>
      </c>
      <c r="C55" s="183" t="inlineStr">
        <is>
          <t>No</t>
        </is>
      </c>
    </row>
    <row r="56">
      <c r="B56" t="inlineStr">
        <is>
          <t>an award of HCD AHSC funding</t>
        </is>
      </c>
      <c r="C56" s="183" t="inlineStr">
        <is>
          <t>No</t>
        </is>
      </c>
    </row>
    <row r="57">
      <c r="B57" t="inlineStr">
        <is>
          <t>a transit stop within ¼ mile with service every 30 min</t>
        </is>
      </c>
      <c r="C57" s="183" t="inlineStr">
        <is>
          <t>Yes</t>
        </is>
      </c>
      <c r="F57" s="185" t="n"/>
    </row>
    <row r="58">
      <c r="B58" t="inlineStr">
        <is>
          <t>a transit stop within ½ mile with service every 15 min</t>
        </is>
      </c>
      <c r="C58" s="183" t="inlineStr">
        <is>
          <t>No</t>
        </is>
      </c>
      <c r="F58" s="185" t="n"/>
    </row>
    <row r="60">
      <c r="B60" t="inlineStr">
        <is>
          <t>Bedroom-Adjusted Low-Income Units</t>
        </is>
      </c>
      <c r="C60" s="3">
        <f>+C47</f>
        <v/>
      </c>
    </row>
    <row r="61">
      <c r="B61" t="inlineStr">
        <is>
          <t>Benefit Multiplier</t>
        </is>
      </c>
      <c r="C61" s="343">
        <f>+IF(OR(C57="Yes",C58="Yes",C55="Yes",C56="Yes"),25000,0)</f>
        <v/>
      </c>
    </row>
    <row r="62">
      <c r="B62" s="1" t="inlineStr">
        <is>
          <t>Mass Transit Benefit</t>
        </is>
      </c>
      <c r="C62" s="348">
        <f>+C61*C60</f>
        <v/>
      </c>
    </row>
    <row r="64">
      <c r="B64" s="27" t="inlineStr">
        <is>
          <t>Transit/Walkability Benefit</t>
        </is>
      </c>
      <c r="C64" s="344">
        <f>+C62+C52+C48</f>
        <v/>
      </c>
    </row>
    <row r="66" ht="16" customHeight="1" thickBot="1">
      <c r="B66" s="57" t="inlineStr">
        <is>
          <t>Total Public Benefit Numerator</t>
        </is>
      </c>
      <c r="C66" s="349">
        <f>+C64+MAX(C42,C31)+C25+C20+C13</f>
        <v/>
      </c>
    </row>
    <row r="67" ht="16" customHeight="1" thickTop="1"/>
    <row r="68">
      <c r="B68" s="45" t="inlineStr">
        <is>
          <t>Denominator</t>
        </is>
      </c>
      <c r="C68" s="49" t="n"/>
    </row>
    <row r="69">
      <c r="B69" s="1" t="inlineStr">
        <is>
          <t>Statewide Basis Delta</t>
        </is>
      </c>
    </row>
    <row r="70">
      <c r="B70" t="inlineStr">
        <is>
          <t>2-Bedroom Threshold Basis Limit</t>
        </is>
      </c>
      <c r="C70" s="343">
        <f>+_xlfn.XLOOKUP(Pro_Forma!C3,'Market Inputs'!B4:B61,'Market Inputs'!R4:R61)</f>
        <v/>
      </c>
    </row>
    <row r="71">
      <c r="B71" t="inlineStr">
        <is>
          <t>Statewide Median Basis Limit</t>
        </is>
      </c>
      <c r="C71" s="343" t="n">
        <v>489600</v>
      </c>
    </row>
    <row r="72">
      <c r="B72" t="inlineStr">
        <is>
          <t>25% of Statewide Basis Delta</t>
        </is>
      </c>
      <c r="C72" s="282">
        <f>+(C70-C71)/C71*0.25</f>
        <v/>
      </c>
    </row>
    <row r="74">
      <c r="B74" s="1" t="inlineStr">
        <is>
          <t>Construction Type Adjustment</t>
        </is>
      </c>
      <c r="C74" s="179">
        <f>+Pro_Forma!C9</f>
        <v/>
      </c>
    </row>
    <row r="75">
      <c r="C75" s="184">
        <f>+IF(C74="Type I",10%,IF(C74="Type III",5%,0))</f>
        <v/>
      </c>
    </row>
    <row r="78">
      <c r="B78" s="1" t="inlineStr">
        <is>
          <t>Prevailing Wage Adjustment</t>
        </is>
      </c>
      <c r="C78" s="183">
        <f>+Pro_Forma!C10</f>
        <v/>
      </c>
    </row>
    <row r="79">
      <c r="C79" s="182">
        <f>+IF(C78="Yes",15%,0)</f>
        <v/>
      </c>
    </row>
    <row r="80">
      <c r="C80" s="282" t="n"/>
    </row>
  </sheetData>
  <dataValidations count="4">
    <dataValidation sqref="C28 C34:C36 C38" showDropDown="0" showInputMessage="1" showErrorMessage="1" allowBlank="1" type="list">
      <formula1>"Yes,No"</formula1>
    </dataValidation>
    <dataValidation sqref="C55:C58 C78" showDropDown="0" showInputMessage="1" showErrorMessage="1" allowBlank="1" type="list">
      <formula1>"Yes, No"</formula1>
    </dataValidation>
    <dataValidation sqref="C74" showDropDown="0" showInputMessage="1" showErrorMessage="1" allowBlank="1" type="list">
      <formula1>"Type I,Type III,Other"</formula1>
    </dataValidation>
    <dataValidation sqref="C37" showDropDown="0" showInputMessage="1" showErrorMessage="1" allowBlank="1" type="list">
      <formula1>"Low,Medium,High,Highest"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AG721"/>
  <sheetViews>
    <sheetView showGridLines="0" topLeftCell="A135" zoomScaleNormal="100" workbookViewId="0">
      <selection activeCell="U155" sqref="U155"/>
    </sheetView>
  </sheetViews>
  <sheetFormatPr baseColWidth="10" defaultColWidth="8.83203125" defaultRowHeight="15"/>
  <cols>
    <col width="17.5" customWidth="1" min="1" max="1"/>
    <col width="14" customWidth="1" min="2" max="2"/>
    <col width="16.5" customWidth="1" min="3" max="3"/>
    <col width="14" customWidth="1" min="4" max="4"/>
    <col width="25.6640625" customWidth="1" min="5" max="5"/>
    <col width="14" customWidth="1" min="6" max="7"/>
    <col width="18.33203125" customWidth="1" min="8" max="8"/>
    <col width="14" customWidth="1" min="9" max="39"/>
  </cols>
  <sheetData>
    <row r="1" ht="15" customHeight="1">
      <c r="A1" s="168" t="inlineStr">
        <is>
          <t>Construction Draw &amp; Interest Module</t>
        </is>
      </c>
      <c r="B1" s="170" t="n"/>
      <c r="C1" s="170" t="n"/>
      <c r="D1" s="170" t="n"/>
      <c r="E1" s="170" t="n"/>
      <c r="F1" s="170" t="n"/>
      <c r="G1" s="170" t="n"/>
      <c r="H1" s="170" t="n"/>
      <c r="I1" s="170" t="n"/>
      <c r="J1" s="166" t="n"/>
      <c r="K1" s="166" t="n"/>
      <c r="L1" s="166" t="n"/>
      <c r="M1" s="166" t="n"/>
    </row>
    <row r="2" ht="15" customFormat="1" customHeight="1" s="52"/>
    <row r="3" ht="15" customFormat="1" customHeight="1" s="52">
      <c r="A3" s="120" t="n"/>
    </row>
    <row r="4" ht="15" customFormat="1" customHeight="1" s="52">
      <c r="A4" s="119" t="inlineStr">
        <is>
          <t>Start Month (date)</t>
        </is>
      </c>
      <c r="C4" s="144">
        <f>+Pro_Forma!S3</f>
        <v/>
      </c>
      <c r="E4" s="112" t="inlineStr">
        <is>
          <t>Unlevered Sources</t>
        </is>
      </c>
      <c r="H4" s="1" t="inlineStr">
        <is>
          <t>Check</t>
        </is>
      </c>
    </row>
    <row r="5" ht="15" customFormat="1" customHeight="1" s="52">
      <c r="A5" s="134" t="inlineStr">
        <is>
          <t>Construction Time (m)</t>
        </is>
      </c>
      <c r="C5" s="111">
        <f>+Pro_Forma!S6</f>
        <v/>
      </c>
      <c r="E5" s="120" t="inlineStr">
        <is>
          <t>Developer Cash Cap</t>
        </is>
      </c>
      <c r="F5" s="350">
        <f>+Pro_Forma!D66</f>
        <v/>
      </c>
      <c r="H5" t="inlineStr">
        <is>
          <t>Sum of draws</t>
        </is>
      </c>
      <c r="I5" s="351">
        <f>+SUM(D155:D214,G155:G214,J155:J214,U155:U214,Y155:Y214,Q155:Q214,M155:M214)</f>
        <v/>
      </c>
    </row>
    <row r="6" ht="15" customFormat="1" customHeight="1" s="52">
      <c r="A6" s="134" t="inlineStr">
        <is>
          <t>Conversion Time (m)</t>
        </is>
      </c>
      <c r="C6" s="111">
        <f>+Pro_Forma!S9</f>
        <v/>
      </c>
      <c r="E6" s="120" t="inlineStr">
        <is>
          <t>Tax Credit Equity Cap</t>
        </is>
      </c>
      <c r="F6" s="350">
        <f>+Pro_Forma!D69</f>
        <v/>
      </c>
      <c r="H6" t="inlineStr">
        <is>
          <t>Sum of uses</t>
        </is>
      </c>
      <c r="I6" s="351">
        <f>+SUM(I92:I151)</f>
        <v/>
      </c>
    </row>
    <row r="7" ht="15" customFormat="1" customHeight="1" s="52">
      <c r="A7" s="135" t="inlineStr">
        <is>
          <t>Total Duration (m)</t>
        </is>
      </c>
      <c r="B7" s="56" t="n"/>
      <c r="C7" s="137">
        <f>+C6+C5</f>
        <v/>
      </c>
      <c r="E7" s="120" t="inlineStr">
        <is>
          <t>Ground Lessor Cap</t>
        </is>
      </c>
      <c r="F7" s="350">
        <f>+Pro_Forma!D67</f>
        <v/>
      </c>
      <c r="H7" s="56" t="inlineStr">
        <is>
          <t>Delta</t>
        </is>
      </c>
      <c r="I7" s="340">
        <f>+I5-I6</f>
        <v/>
      </c>
    </row>
    <row r="8" ht="15" customFormat="1" customHeight="1" s="52">
      <c r="E8" s="120" t="inlineStr">
        <is>
          <t>Tax-Exempt Loan less IR</t>
        </is>
      </c>
      <c r="F8" s="350">
        <f>+Pro_Forma!D62-I15</f>
        <v/>
      </c>
    </row>
    <row r="9" ht="15" customFormat="1" customHeight="1" s="52">
      <c r="A9" s="119" t="n"/>
      <c r="E9" s="120" t="inlineStr">
        <is>
          <t>Taxable Loan less IR</t>
        </is>
      </c>
      <c r="F9" s="350">
        <f>+Pro_Forma!D63-I16</f>
        <v/>
      </c>
      <c r="H9" s="1" t="inlineStr">
        <is>
          <t>Land Lease Reserve by Period</t>
        </is>
      </c>
    </row>
    <row r="10" ht="15" customFormat="1" customHeight="1" s="52">
      <c r="A10" s="119" t="inlineStr">
        <is>
          <t>Curve Mode (Manual/S-curve)</t>
        </is>
      </c>
      <c r="C10" s="143" t="inlineStr">
        <is>
          <t>S-curve</t>
        </is>
      </c>
      <c r="E10" s="120" t="inlineStr">
        <is>
          <t>B-Bond Loan less IR</t>
        </is>
      </c>
      <c r="F10" s="350">
        <f>+Pro_Forma!D64-Draws_Module!I18</f>
        <v/>
      </c>
      <c r="H10" s="52" t="inlineStr">
        <is>
          <t>Before TCO</t>
        </is>
      </c>
      <c r="I10" s="3">
        <f>+Pro_Forma!C35-Draws_Module!I11</f>
        <v/>
      </c>
    </row>
    <row r="11" ht="15" customFormat="1" customHeight="1" s="52">
      <c r="A11" s="119" t="inlineStr">
        <is>
          <t>S-curve steepness k</t>
        </is>
      </c>
      <c r="C11" s="143" t="n">
        <v>0.25</v>
      </c>
      <c r="E11" s="120" t="inlineStr">
        <is>
          <t>Deferred Dev Fee Cap (Construction)</t>
        </is>
      </c>
      <c r="F11" s="350" t="n">
        <v>0</v>
      </c>
      <c r="H11" t="inlineStr">
        <is>
          <t xml:space="preserve">After TCO </t>
        </is>
      </c>
      <c r="I11" s="42">
        <f>+SUMIFS(H92:H151,A92:A151,"&gt;"&amp;C5)</f>
        <v/>
      </c>
    </row>
    <row r="12" ht="15" customFormat="1" customHeight="1" s="52">
      <c r="A12" s="119" t="inlineStr">
        <is>
          <t>Dev Fee pattern early/mid/late %</t>
        </is>
      </c>
      <c r="C12" s="143" t="inlineStr">
        <is>
          <t>25% / 25% / 50%</t>
        </is>
      </c>
      <c r="E12" s="120" t="inlineStr">
        <is>
          <t>Soft Debt less IR</t>
        </is>
      </c>
      <c r="F12" s="350">
        <f>+Pro_Forma!D68-Draws_Module!I17</f>
        <v/>
      </c>
      <c r="H12" s="56" t="inlineStr">
        <is>
          <t>Total</t>
        </is>
      </c>
      <c r="I12" s="67">
        <f>+SUM(I10:I11)</f>
        <v/>
      </c>
    </row>
    <row r="13" ht="15" customFormat="1" customHeight="1" s="52">
      <c r="A13" s="119" t="inlineStr">
        <is>
          <t>% of Tax Credit Equity during construction</t>
        </is>
      </c>
      <c r="C13" s="143" t="n">
        <v>1</v>
      </c>
    </row>
    <row r="14" ht="15" customFormat="1" customHeight="1" s="52">
      <c r="E14" s="112" t="inlineStr">
        <is>
          <t>Unlevered Uses</t>
        </is>
      </c>
      <c r="H14" s="1" t="inlineStr">
        <is>
          <t>Interest Expense</t>
        </is>
      </c>
    </row>
    <row r="15" ht="15" customFormat="1" customHeight="1" s="52">
      <c r="E15" s="120" t="inlineStr">
        <is>
          <t>Spent at Close</t>
        </is>
      </c>
      <c r="F15" s="350">
        <f>+Pro_Forma!C37+Pro_Forma!C38+Pro_Forma!C39+Pro_Forma!C54+Pro_Forma!C43+Pro_Forma!C33+Pro_Forma!C44+Pro_Forma!C45+Draws_Module!C22</f>
        <v/>
      </c>
      <c r="H15" s="120" t="inlineStr">
        <is>
          <t>Tax Exempt Interest</t>
        </is>
      </c>
      <c r="I15" s="351">
        <f>+SUM(V155:V214)</f>
        <v/>
      </c>
    </row>
    <row r="16" ht="15" customFormat="1" customHeight="1" s="52">
      <c r="A16" s="119" t="inlineStr">
        <is>
          <t>Rates</t>
        </is>
      </c>
      <c r="E16" s="120" t="inlineStr">
        <is>
          <t>Property Taxes &amp; Misc/Carrying</t>
        </is>
      </c>
      <c r="F16" s="350">
        <f>+Pro_Forma!C40+Pro_Forma!C46+Pro_Forma!C41+Pro_Forma!C42</f>
        <v/>
      </c>
      <c r="H16" s="120" t="inlineStr">
        <is>
          <t>Taxable Interest</t>
        </is>
      </c>
      <c r="I16" s="351">
        <f>+SUM(Z155:Z214)</f>
        <v/>
      </c>
    </row>
    <row r="17" ht="15" customFormat="1" customHeight="1" s="52">
      <c r="A17" s="119" t="inlineStr">
        <is>
          <t>TE monthly rate</t>
        </is>
      </c>
      <c r="C17" s="139">
        <f>+Pro_Forma!C62</f>
        <v/>
      </c>
      <c r="D17" s="352">
        <f>C17/12</f>
        <v/>
      </c>
      <c r="E17" s="120" t="inlineStr">
        <is>
          <t>Hard Costs + Demo/Offsite</t>
        </is>
      </c>
      <c r="F17" s="350">
        <f>+Pro_Forma!C36+Pro_Forma!C34</f>
        <v/>
      </c>
      <c r="H17" s="52" t="inlineStr">
        <is>
          <t>Soft Debt Interest</t>
        </is>
      </c>
      <c r="I17" s="353">
        <f>+SUM(N155:N214)</f>
        <v/>
      </c>
    </row>
    <row r="18" ht="15" customFormat="1" customHeight="1" s="52">
      <c r="A18" s="119" t="inlineStr">
        <is>
          <t>Taxable monthly rate</t>
        </is>
      </c>
      <c r="C18" s="139">
        <f>+Pro_Forma!C63</f>
        <v/>
      </c>
      <c r="D18" s="352">
        <f>C18/12</f>
        <v/>
      </c>
      <c r="E18" s="120" t="inlineStr">
        <is>
          <t>Contingency</t>
        </is>
      </c>
      <c r="F18" s="350">
        <f>+Pro_Forma!C49+Pro_Forma!C50</f>
        <v/>
      </c>
      <c r="H18" s="120" t="inlineStr">
        <is>
          <t>B-Bond Interest</t>
        </is>
      </c>
      <c r="I18" s="351">
        <f>+SUM(R155:R214)</f>
        <v/>
      </c>
    </row>
    <row r="19" ht="15" customFormat="1" customHeight="1" s="52">
      <c r="A19" s="120" t="inlineStr">
        <is>
          <t>B-Bond monthly rate</t>
        </is>
      </c>
      <c r="C19" s="139">
        <f>+Pro_Forma!C64</f>
        <v/>
      </c>
      <c r="D19" s="352">
        <f>C19/12</f>
        <v/>
      </c>
      <c r="E19" s="120" t="inlineStr">
        <is>
          <t>Construction Phase Dev Fee</t>
        </is>
      </c>
      <c r="F19" s="350">
        <f>+C23</f>
        <v/>
      </c>
      <c r="H19" s="145" t="inlineStr">
        <is>
          <t>Total</t>
        </is>
      </c>
      <c r="I19" s="354">
        <f>+SUM(I15:I18)</f>
        <v/>
      </c>
    </row>
    <row r="20" ht="15" customFormat="1" customHeight="1" s="52">
      <c r="A20" s="134" t="inlineStr">
        <is>
          <t>Soft Debt Monthly rate</t>
        </is>
      </c>
      <c r="C20" s="257">
        <f>+Pro_Forma!C79</f>
        <v/>
      </c>
      <c r="D20" s="352">
        <f>C20/12</f>
        <v/>
      </c>
      <c r="E20" s="120" t="inlineStr">
        <is>
          <t>Land Lease Reserve</t>
        </is>
      </c>
      <c r="F20" s="350">
        <f>+Pro_Forma!C35</f>
        <v/>
      </c>
    </row>
    <row r="21" ht="15" customFormat="1" customHeight="1" s="52">
      <c r="A21" s="1" t="inlineStr">
        <is>
          <t>Developer Fee Phase-In</t>
        </is>
      </c>
      <c r="H21" s="1" t="inlineStr">
        <is>
          <t>Interest Expense by Period</t>
        </is>
      </c>
    </row>
    <row r="22" ht="15" customFormat="1" customHeight="1" s="52">
      <c r="A22" t="inlineStr">
        <is>
          <t>Close</t>
        </is>
      </c>
      <c r="B22" s="141">
        <f>+Pro_Forma!C98</f>
        <v/>
      </c>
      <c r="C22" s="355">
        <f>+Pro_Forma!$D$97*B22</f>
        <v/>
      </c>
      <c r="H22" s="52" t="inlineStr">
        <is>
          <t>Before TCO</t>
        </is>
      </c>
      <c r="I22" s="351">
        <f>+SUM(I15:I18)-I23</f>
        <v/>
      </c>
    </row>
    <row r="23">
      <c r="A23" t="inlineStr">
        <is>
          <t>Construction</t>
        </is>
      </c>
      <c r="B23" s="141" t="n">
        <v>0</v>
      </c>
      <c r="C23" s="355">
        <f>+Pro_Forma!$D$97*B23</f>
        <v/>
      </c>
      <c r="H23" t="inlineStr">
        <is>
          <t xml:space="preserve">After TCO </t>
        </is>
      </c>
      <c r="I23" s="351">
        <f>+SUMIFS(V155:V214,A155:A214,"&gt;"&amp;C5)+SUMIFS(Z155:Z214,A155:A214,"&gt;"&amp;C5)+SUMIFS(R155:R214,A155:A214,"&gt;"&amp;C5)</f>
        <v/>
      </c>
    </row>
    <row r="24">
      <c r="A24" t="inlineStr">
        <is>
          <t>Conversion</t>
        </is>
      </c>
      <c r="B24" s="141">
        <f>1-B22-B23</f>
        <v/>
      </c>
      <c r="C24" s="355">
        <f>+Pro_Forma!$D$97*B24</f>
        <v/>
      </c>
      <c r="H24" s="56" t="inlineStr">
        <is>
          <t>Total</t>
        </is>
      </c>
      <c r="I24" s="354">
        <f>+SUM(I22:I23)</f>
        <v/>
      </c>
    </row>
    <row r="25">
      <c r="E25" s="120" t="n"/>
      <c r="F25" s="351" t="n"/>
    </row>
    <row r="26" ht="15" customHeight="1">
      <c r="A26" s="168" t="inlineStr">
        <is>
          <t>Construction Spend Curve</t>
        </is>
      </c>
      <c r="B26" s="167" t="n"/>
      <c r="C26" s="167" t="n"/>
      <c r="D26" s="167" t="n"/>
      <c r="E26" s="167" t="n"/>
      <c r="F26" s="167" t="n"/>
      <c r="G26" s="167" t="n"/>
      <c r="H26" s="167" t="n"/>
      <c r="I26" s="167" t="n"/>
    </row>
    <row r="27">
      <c r="A27" s="112" t="inlineStr">
        <is>
          <t>Month #</t>
        </is>
      </c>
      <c r="B27" s="112" t="inlineStr">
        <is>
          <t>% Manual</t>
        </is>
      </c>
      <c r="C27" s="112" t="inlineStr">
        <is>
          <t>% S-curve (logistic diff)</t>
        </is>
      </c>
      <c r="D27" s="112" t="inlineStr">
        <is>
          <t>% Used (normalized)</t>
        </is>
      </c>
    </row>
    <row r="28">
      <c r="A28" s="115" t="n">
        <v>1</v>
      </c>
      <c r="B28" s="169" t="n">
        <v>0</v>
      </c>
      <c r="C28" s="352">
        <f>IF(A28&lt;=$C$5, 1/(1+EXP(-$C$11*((A28)-((($C$5+1)/2)))))-1/(1+EXP(-$C$11*((A28-1)-((($C$5+1)/2))))), 0)</f>
        <v/>
      </c>
      <c r="D28" s="82">
        <f>IF(A28&lt;=$C$5, IF(SUM($C$28:$C$87)=0, 0, C28/SUM($C$28:$C$87)), 0)</f>
        <v/>
      </c>
    </row>
    <row r="29">
      <c r="A29" s="115" t="n">
        <v>2</v>
      </c>
      <c r="B29" s="169" t="n">
        <v>0</v>
      </c>
      <c r="C29" s="352">
        <f>IF(A29&lt;=$C$5, 1/(1+EXP(-$C$11*((A29)-((($C$5+1)/2)))))-1/(1+EXP(-$C$11*((A29-1)-((($C$5+1)/2))))), 0)</f>
        <v/>
      </c>
      <c r="D29" s="82">
        <f>IF(A29&lt;=$C$5, IF(SUM($C$28:$C$87)=0, 0, C29/SUM($C$28:$C$87)), 0)</f>
        <v/>
      </c>
    </row>
    <row r="30">
      <c r="A30" s="115" t="n">
        <v>3</v>
      </c>
      <c r="B30" s="169" t="n">
        <v>0</v>
      </c>
      <c r="C30" s="352">
        <f>IF(A30&lt;=$C$5, 1/(1+EXP(-$C$11*((A30)-((($C$5+1)/2)))))-1/(1+EXP(-$C$11*((A30-1)-((($C$5+1)/2))))), 0)</f>
        <v/>
      </c>
      <c r="D30" s="82">
        <f>IF(A30&lt;=$C$5, IF(SUM($C$28:$C$87)=0, 0, C30/SUM($C$28:$C$87)), 0)</f>
        <v/>
      </c>
    </row>
    <row r="31">
      <c r="A31" s="115" t="n">
        <v>4</v>
      </c>
      <c r="B31" s="169" t="n">
        <v>0</v>
      </c>
      <c r="C31" s="352">
        <f>IF(A31&lt;=$C$5, 1/(1+EXP(-$C$11*((A31)-((($C$5+1)/2)))))-1/(1+EXP(-$C$11*((A31-1)-((($C$5+1)/2))))), 0)</f>
        <v/>
      </c>
      <c r="D31" s="82">
        <f>IF(A31&lt;=$C$5, IF(SUM($C$28:$C$87)=0, 0, C31/SUM($C$28:$C$87)), 0)</f>
        <v/>
      </c>
    </row>
    <row r="32">
      <c r="A32" s="115" t="n">
        <v>5</v>
      </c>
      <c r="B32" s="169" t="n">
        <v>0</v>
      </c>
      <c r="C32" s="352">
        <f>IF(A32&lt;=$C$5, 1/(1+EXP(-$C$11*((A32)-((($C$5+1)/2)))))-1/(1+EXP(-$C$11*((A32-1)-((($C$5+1)/2))))), 0)</f>
        <v/>
      </c>
      <c r="D32" s="82">
        <f>IF(A32&lt;=$C$5, IF(SUM($C$28:$C$87)=0, 0, C32/SUM($C$28:$C$87)), 0)</f>
        <v/>
      </c>
    </row>
    <row r="33">
      <c r="A33" s="115" t="n">
        <v>6</v>
      </c>
      <c r="B33" s="169" t="n">
        <v>0</v>
      </c>
      <c r="C33" s="352">
        <f>IF(A33&lt;=$C$5, 1/(1+EXP(-$C$11*((A33)-((($C$5+1)/2)))))-1/(1+EXP(-$C$11*((A33-1)-((($C$5+1)/2))))), 0)</f>
        <v/>
      </c>
      <c r="D33" s="82">
        <f>IF(A33&lt;=$C$5, IF(SUM($C$28:$C$87)=0, 0, C33/SUM($C$28:$C$87)), 0)</f>
        <v/>
      </c>
    </row>
    <row r="34">
      <c r="A34" s="115" t="n">
        <v>7</v>
      </c>
      <c r="B34" s="169" t="n">
        <v>0</v>
      </c>
      <c r="C34" s="352">
        <f>IF(A34&lt;=$C$5, 1/(1+EXP(-$C$11*((A34)-((($C$5+1)/2)))))-1/(1+EXP(-$C$11*((A34-1)-((($C$5+1)/2))))), 0)</f>
        <v/>
      </c>
      <c r="D34" s="82">
        <f>IF(A34&lt;=$C$5, IF(SUM($C$28:$C$87)=0, 0, C34/SUM($C$28:$C$87)), 0)</f>
        <v/>
      </c>
    </row>
    <row r="35">
      <c r="A35" s="115" t="n">
        <v>8</v>
      </c>
      <c r="B35" s="169" t="n">
        <v>0</v>
      </c>
      <c r="C35" s="352">
        <f>IF(A35&lt;=$C$5, 1/(1+EXP(-$C$11*((A35)-((($C$5+1)/2)))))-1/(1+EXP(-$C$11*((A35-1)-((($C$5+1)/2))))), 0)</f>
        <v/>
      </c>
      <c r="D35" s="82">
        <f>IF(A35&lt;=$C$5, IF(SUM($C$28:$C$87)=0, 0, C35/SUM($C$28:$C$87)), 0)</f>
        <v/>
      </c>
    </row>
    <row r="36">
      <c r="A36" s="115" t="n">
        <v>9</v>
      </c>
      <c r="B36" s="169" t="n">
        <v>0</v>
      </c>
      <c r="C36" s="352">
        <f>IF(A36&lt;=$C$5, 1/(1+EXP(-$C$11*((A36)-((($C$5+1)/2)))))-1/(1+EXP(-$C$11*((A36-1)-((($C$5+1)/2))))), 0)</f>
        <v/>
      </c>
      <c r="D36" s="82">
        <f>IF(A36&lt;=$C$5, IF(SUM($C$28:$C$87)=0, 0, C36/SUM($C$28:$C$87)), 0)</f>
        <v/>
      </c>
    </row>
    <row r="37">
      <c r="A37" s="115" t="n">
        <v>10</v>
      </c>
      <c r="B37" s="169" t="n">
        <v>0</v>
      </c>
      <c r="C37" s="352">
        <f>IF(A37&lt;=$C$5, 1/(1+EXP(-$C$11*((A37)-((($C$5+1)/2)))))-1/(1+EXP(-$C$11*((A37-1)-((($C$5+1)/2))))), 0)</f>
        <v/>
      </c>
      <c r="D37" s="82">
        <f>IF(A37&lt;=$C$5, IF(SUM($C$28:$C$87)=0, 0, C37/SUM($C$28:$C$87)), 0)</f>
        <v/>
      </c>
    </row>
    <row r="38">
      <c r="A38" s="115" t="n">
        <v>11</v>
      </c>
      <c r="B38" s="169" t="n">
        <v>0</v>
      </c>
      <c r="C38" s="352">
        <f>IF(A38&lt;=$C$5, 1/(1+EXP(-$C$11*((A38)-((($C$5+1)/2)))))-1/(1+EXP(-$C$11*((A38-1)-((($C$5+1)/2))))), 0)</f>
        <v/>
      </c>
      <c r="D38" s="82">
        <f>IF(A38&lt;=$C$5, IF(SUM($C$28:$C$87)=0, 0, C38/SUM($C$28:$C$87)), 0)</f>
        <v/>
      </c>
    </row>
    <row r="39">
      <c r="A39" s="115" t="n">
        <v>12</v>
      </c>
      <c r="B39" s="169" t="n">
        <v>0</v>
      </c>
      <c r="C39" s="352">
        <f>IF(A39&lt;=$C$5, 1/(1+EXP(-$C$11*((A39)-((($C$5+1)/2)))))-1/(1+EXP(-$C$11*((A39-1)-((($C$5+1)/2))))), 0)</f>
        <v/>
      </c>
      <c r="D39" s="82">
        <f>IF(A39&lt;=$C$5, IF(SUM($C$28:$C$87)=0, 0, C39/SUM($C$28:$C$87)), 0)</f>
        <v/>
      </c>
    </row>
    <row r="40">
      <c r="A40" s="115" t="n">
        <v>13</v>
      </c>
      <c r="B40" s="169" t="n">
        <v>0</v>
      </c>
      <c r="C40" s="352">
        <f>IF(A40&lt;=$C$5, 1/(1+EXP(-$C$11*((A40)-((($C$5+1)/2)))))-1/(1+EXP(-$C$11*((A40-1)-((($C$5+1)/2))))), 0)</f>
        <v/>
      </c>
      <c r="D40" s="82">
        <f>IF(A40&lt;=$C$5, IF(SUM($C$28:$C$87)=0, 0, C40/SUM($C$28:$C$87)), 0)</f>
        <v/>
      </c>
    </row>
    <row r="41">
      <c r="A41" s="115" t="n">
        <v>14</v>
      </c>
      <c r="B41" s="169" t="n">
        <v>0</v>
      </c>
      <c r="C41" s="352">
        <f>IF(A41&lt;=$C$5, 1/(1+EXP(-$C$11*((A41)-((($C$5+1)/2)))))-1/(1+EXP(-$C$11*((A41-1)-((($C$5+1)/2))))), 0)</f>
        <v/>
      </c>
      <c r="D41" s="82">
        <f>IF(A41&lt;=$C$5, IF(SUM($C$28:$C$87)=0, 0, C41/SUM($C$28:$C$87)), 0)</f>
        <v/>
      </c>
    </row>
    <row r="42">
      <c r="A42" s="115" t="n">
        <v>15</v>
      </c>
      <c r="B42" s="169" t="n">
        <v>0</v>
      </c>
      <c r="C42" s="352">
        <f>IF(A42&lt;=$C$5, 1/(1+EXP(-$C$11*((A42)-((($C$5+1)/2)))))-1/(1+EXP(-$C$11*((A42-1)-((($C$5+1)/2))))), 0)</f>
        <v/>
      </c>
      <c r="D42" s="82">
        <f>IF(A42&lt;=$C$5, IF(SUM($C$28:$C$87)=0, 0, C42/SUM($C$28:$C$87)), 0)</f>
        <v/>
      </c>
    </row>
    <row r="43">
      <c r="A43" s="115" t="n">
        <v>16</v>
      </c>
      <c r="B43" s="169" t="n">
        <v>0</v>
      </c>
      <c r="C43" s="352">
        <f>IF(A43&lt;=$C$5, 1/(1+EXP(-$C$11*((A43)-((($C$5+1)/2)))))-1/(1+EXP(-$C$11*((A43-1)-((($C$5+1)/2))))), 0)</f>
        <v/>
      </c>
      <c r="D43" s="82">
        <f>IF(A43&lt;=$C$5, IF(SUM($C$28:$C$87)=0, 0, C43/SUM($C$28:$C$87)), 0)</f>
        <v/>
      </c>
    </row>
    <row r="44">
      <c r="A44" s="115" t="n">
        <v>17</v>
      </c>
      <c r="B44" s="169" t="n">
        <v>0</v>
      </c>
      <c r="C44" s="352">
        <f>IF(A44&lt;=$C$5, 1/(1+EXP(-$C$11*((A44)-((($C$5+1)/2)))))-1/(1+EXP(-$C$11*((A44-1)-((($C$5+1)/2))))), 0)</f>
        <v/>
      </c>
      <c r="D44" s="82">
        <f>IF(A44&lt;=$C$5, IF(SUM($C$28:$C$87)=0, 0, C44/SUM($C$28:$C$87)), 0)</f>
        <v/>
      </c>
    </row>
    <row r="45">
      <c r="A45" s="115" t="n">
        <v>18</v>
      </c>
      <c r="B45" s="169" t="n">
        <v>0</v>
      </c>
      <c r="C45" s="352">
        <f>IF(A45&lt;=$C$5, 1/(1+EXP(-$C$11*((A45)-((($C$5+1)/2)))))-1/(1+EXP(-$C$11*((A45-1)-((($C$5+1)/2))))), 0)</f>
        <v/>
      </c>
      <c r="D45" s="82">
        <f>IF(A45&lt;=$C$5, IF(SUM($C$28:$C$87)=0, 0, C45/SUM($C$28:$C$87)), 0)</f>
        <v/>
      </c>
    </row>
    <row r="46">
      <c r="A46" s="115" t="n">
        <v>19</v>
      </c>
      <c r="B46" s="169" t="n">
        <v>0</v>
      </c>
      <c r="C46" s="352">
        <f>IF(A46&lt;=$C$5, 1/(1+EXP(-$C$11*((A46)-((($C$5+1)/2)))))-1/(1+EXP(-$C$11*((A46-1)-((($C$5+1)/2))))), 0)</f>
        <v/>
      </c>
      <c r="D46" s="82">
        <f>IF(A46&lt;=$C$5, IF(SUM($C$28:$C$87)=0, 0, C46/SUM($C$28:$C$87)), 0)</f>
        <v/>
      </c>
    </row>
    <row r="47">
      <c r="A47" s="115" t="n">
        <v>20</v>
      </c>
      <c r="B47" s="169" t="n">
        <v>0</v>
      </c>
      <c r="C47" s="352">
        <f>IF(A47&lt;=$C$5, 1/(1+EXP(-$C$11*((A47)-((($C$5+1)/2)))))-1/(1+EXP(-$C$11*((A47-1)-((($C$5+1)/2))))), 0)</f>
        <v/>
      </c>
      <c r="D47" s="82">
        <f>IF(A47&lt;=$C$5, IF(SUM($C$28:$C$87)=0, 0, C47/SUM($C$28:$C$87)), 0)</f>
        <v/>
      </c>
    </row>
    <row r="48">
      <c r="A48" s="115" t="n">
        <v>21</v>
      </c>
      <c r="B48" s="169" t="n">
        <v>0</v>
      </c>
      <c r="C48" s="352">
        <f>IF(A48&lt;=$C$5, 1/(1+EXP(-$C$11*((A48)-((($C$5+1)/2)))))-1/(1+EXP(-$C$11*((A48-1)-((($C$5+1)/2))))), 0)</f>
        <v/>
      </c>
      <c r="D48" s="82">
        <f>IF(A48&lt;=$C$5, IF(SUM($C$28:$C$87)=0, 0, C48/SUM($C$28:$C$87)), 0)</f>
        <v/>
      </c>
    </row>
    <row r="49">
      <c r="A49" s="115" t="n">
        <v>22</v>
      </c>
      <c r="B49" s="169" t="n">
        <v>0</v>
      </c>
      <c r="C49" s="352">
        <f>IF(A49&lt;=$C$5, 1/(1+EXP(-$C$11*((A49)-((($C$5+1)/2)))))-1/(1+EXP(-$C$11*((A49-1)-((($C$5+1)/2))))), 0)</f>
        <v/>
      </c>
      <c r="D49" s="82">
        <f>IF(A49&lt;=$C$5, IF(SUM($C$28:$C$87)=0, 0, C49/SUM($C$28:$C$87)), 0)</f>
        <v/>
      </c>
    </row>
    <row r="50">
      <c r="A50" s="115" t="n">
        <v>23</v>
      </c>
      <c r="B50" s="169" t="n">
        <v>0</v>
      </c>
      <c r="C50" s="352">
        <f>IF(A50&lt;=$C$5, 1/(1+EXP(-$C$11*((A50)-((($C$5+1)/2)))))-1/(1+EXP(-$C$11*((A50-1)-((($C$5+1)/2))))), 0)</f>
        <v/>
      </c>
      <c r="D50" s="82">
        <f>IF(A50&lt;=$C$5, IF(SUM($C$28:$C$87)=0, 0, C50/SUM($C$28:$C$87)), 0)</f>
        <v/>
      </c>
    </row>
    <row r="51">
      <c r="A51" s="115" t="n">
        <v>24</v>
      </c>
      <c r="B51" s="169" t="n">
        <v>0</v>
      </c>
      <c r="C51" s="352">
        <f>IF(A51&lt;=$C$5, 1/(1+EXP(-$C$11*((A51)-((($C$5+1)/2)))))-1/(1+EXP(-$C$11*((A51-1)-((($C$5+1)/2))))), 0)</f>
        <v/>
      </c>
      <c r="D51" s="82">
        <f>IF(A51&lt;=$C$5, IF(SUM($C$28:$C$87)=0, 0, C51/SUM($C$28:$C$87)), 0)</f>
        <v/>
      </c>
    </row>
    <row r="52">
      <c r="A52" s="115" t="n">
        <v>25</v>
      </c>
      <c r="B52" s="169" t="n">
        <v>0</v>
      </c>
      <c r="C52" s="352">
        <f>IF(A52&lt;=$C$5, 1/(1+EXP(-$C$11*((A52)-((($C$5+1)/2)))))-1/(1+EXP(-$C$11*((A52-1)-((($C$5+1)/2))))), 0)</f>
        <v/>
      </c>
      <c r="D52" s="82">
        <f>IF(A52&lt;=$C$5, IF(SUM($C$28:$C$87)=0, 0, C52/SUM($C$28:$C$87)), 0)</f>
        <v/>
      </c>
    </row>
    <row r="53">
      <c r="A53" s="115" t="n">
        <v>26</v>
      </c>
      <c r="B53" s="169" t="n">
        <v>0</v>
      </c>
      <c r="C53" s="352">
        <f>IF(A53&lt;=$C$5, 1/(1+EXP(-$C$11*((A53)-((($C$5+1)/2)))))-1/(1+EXP(-$C$11*((A53-1)-((($C$5+1)/2))))), 0)</f>
        <v/>
      </c>
      <c r="D53" s="82">
        <f>IF(A53&lt;=$C$5, IF(SUM($C$28:$C$87)=0, 0, C53/SUM($C$28:$C$87)), 0)</f>
        <v/>
      </c>
    </row>
    <row r="54">
      <c r="A54" s="115" t="n">
        <v>27</v>
      </c>
      <c r="B54" s="169" t="n">
        <v>0</v>
      </c>
      <c r="C54" s="352">
        <f>IF(A54&lt;=$C$5, 1/(1+EXP(-$C$11*((A54)-((($C$5+1)/2)))))-1/(1+EXP(-$C$11*((A54-1)-((($C$5+1)/2))))), 0)</f>
        <v/>
      </c>
      <c r="D54" s="82">
        <f>IF(A54&lt;=$C$5, IF(SUM($C$28:$C$87)=0, 0, C54/SUM($C$28:$C$87)), 0)</f>
        <v/>
      </c>
    </row>
    <row r="55">
      <c r="A55" s="115" t="n">
        <v>28</v>
      </c>
      <c r="B55" s="169" t="n">
        <v>0</v>
      </c>
      <c r="C55" s="352">
        <f>IF(A55&lt;=$C$5, 1/(1+EXP(-$C$11*((A55)-((($C$5+1)/2)))))-1/(1+EXP(-$C$11*((A55-1)-((($C$5+1)/2))))), 0)</f>
        <v/>
      </c>
      <c r="D55" s="82">
        <f>IF(A55&lt;=$C$5, IF(SUM($C$28:$C$87)=0, 0, C55/SUM($C$28:$C$87)), 0)</f>
        <v/>
      </c>
    </row>
    <row r="56">
      <c r="A56" s="115" t="n">
        <v>29</v>
      </c>
      <c r="B56" s="169" t="n">
        <v>0</v>
      </c>
      <c r="C56" s="352">
        <f>IF(A56&lt;=$C$5, 1/(1+EXP(-$C$11*((A56)-((($C$5+1)/2)))))-1/(1+EXP(-$C$11*((A56-1)-((($C$5+1)/2))))), 0)</f>
        <v/>
      </c>
      <c r="D56" s="82">
        <f>IF(A56&lt;=$C$5, IF(SUM($C$28:$C$87)=0, 0, C56/SUM($C$28:$C$87)), 0)</f>
        <v/>
      </c>
    </row>
    <row r="57">
      <c r="A57" s="115" t="n">
        <v>30</v>
      </c>
      <c r="B57" s="169" t="n">
        <v>0</v>
      </c>
      <c r="C57" s="352">
        <f>IF(A57&lt;=$C$5, 1/(1+EXP(-$C$11*((A57)-((($C$5+1)/2)))))-1/(1+EXP(-$C$11*((A57-1)-((($C$5+1)/2))))), 0)</f>
        <v/>
      </c>
      <c r="D57" s="82">
        <f>IF(A57&lt;=$C$5, IF(SUM($C$28:$C$87)=0, 0, C57/SUM($C$28:$C$87)), 0)</f>
        <v/>
      </c>
    </row>
    <row r="58">
      <c r="A58" s="115" t="n">
        <v>31</v>
      </c>
      <c r="B58" s="169" t="n">
        <v>0</v>
      </c>
      <c r="C58" s="352">
        <f>IF(A58&lt;=$C$5, 1/(1+EXP(-$C$11*((A58)-((($C$5+1)/2)))))-1/(1+EXP(-$C$11*((A58-1)-((($C$5+1)/2))))), 0)</f>
        <v/>
      </c>
      <c r="D58" s="82">
        <f>IF(A58&lt;=$C$5, IF(SUM($C$28:$C$87)=0, 0, C58/SUM($C$28:$C$87)), 0)</f>
        <v/>
      </c>
    </row>
    <row r="59">
      <c r="A59" s="115" t="n">
        <v>32</v>
      </c>
      <c r="B59" s="169" t="n">
        <v>0</v>
      </c>
      <c r="C59" s="352">
        <f>IF(A59&lt;=$C$5, 1/(1+EXP(-$C$11*((A59)-((($C$5+1)/2)))))-1/(1+EXP(-$C$11*((A59-1)-((($C$5+1)/2))))), 0)</f>
        <v/>
      </c>
      <c r="D59" s="82">
        <f>IF(A59&lt;=$C$5, IF(SUM($C$28:$C$87)=0, 0, C59/SUM($C$28:$C$87)), 0)</f>
        <v/>
      </c>
    </row>
    <row r="60">
      <c r="A60" s="115" t="n">
        <v>33</v>
      </c>
      <c r="B60" s="169" t="n">
        <v>0</v>
      </c>
      <c r="C60" s="352">
        <f>IF(A60&lt;=$C$5, 1/(1+EXP(-$C$11*((A60)-((($C$5+1)/2)))))-1/(1+EXP(-$C$11*((A60-1)-((($C$5+1)/2))))), 0)</f>
        <v/>
      </c>
      <c r="D60" s="82">
        <f>IF(A60&lt;=$C$5, IF(SUM($C$28:$C$87)=0, 0, C60/SUM($C$28:$C$87)), 0)</f>
        <v/>
      </c>
    </row>
    <row r="61">
      <c r="A61" s="115" t="n">
        <v>34</v>
      </c>
      <c r="B61" s="169" t="n">
        <v>0</v>
      </c>
      <c r="C61" s="352">
        <f>IF(A61&lt;=$C$5, 1/(1+EXP(-$C$11*((A61)-((($C$5+1)/2)))))-1/(1+EXP(-$C$11*((A61-1)-((($C$5+1)/2))))), 0)</f>
        <v/>
      </c>
      <c r="D61" s="82">
        <f>IF(A61&lt;=$C$5, IF(SUM($C$28:$C$87)=0, 0, C61/SUM($C$28:$C$87)), 0)</f>
        <v/>
      </c>
    </row>
    <row r="62">
      <c r="A62" s="115" t="n">
        <v>35</v>
      </c>
      <c r="B62" s="169" t="n">
        <v>0</v>
      </c>
      <c r="C62" s="352">
        <f>IF(A62&lt;=$C$5, 1/(1+EXP(-$C$11*((A62)-((($C$5+1)/2)))))-1/(1+EXP(-$C$11*((A62-1)-((($C$5+1)/2))))), 0)</f>
        <v/>
      </c>
      <c r="D62" s="82">
        <f>IF(A62&lt;=$C$5, IF(SUM($C$28:$C$87)=0, 0, C62/SUM($C$28:$C$87)), 0)</f>
        <v/>
      </c>
    </row>
    <row r="63">
      <c r="A63" s="115" t="n">
        <v>36</v>
      </c>
      <c r="B63" s="169" t="n">
        <v>0</v>
      </c>
      <c r="C63" s="352">
        <f>IF(A63&lt;=$C$5, 1/(1+EXP(-$C$11*((A63)-((($C$5+1)/2)))))-1/(1+EXP(-$C$11*((A63-1)-((($C$5+1)/2))))), 0)</f>
        <v/>
      </c>
      <c r="D63" s="82">
        <f>IF(A63&lt;=$C$5, IF(SUM($C$28:$C$87)=0, 0, C63/SUM($C$28:$C$87)), 0)</f>
        <v/>
      </c>
    </row>
    <row r="64">
      <c r="A64" s="115" t="n">
        <v>37</v>
      </c>
      <c r="B64" s="169" t="n">
        <v>0</v>
      </c>
      <c r="C64" s="352">
        <f>IF(A64&lt;=$C$5, 1/(1+EXP(-$C$11*((A64)-((($C$5+1)/2)))))-1/(1+EXP(-$C$11*((A64-1)-((($C$5+1)/2))))), 0)</f>
        <v/>
      </c>
      <c r="D64" s="82">
        <f>IF(A64&lt;=$C$5, IF(SUM($C$28:$C$87)=0, 0, C64/SUM($C$28:$C$87)), 0)</f>
        <v/>
      </c>
    </row>
    <row r="65">
      <c r="A65" s="115" t="n">
        <v>38</v>
      </c>
      <c r="B65" s="169" t="n">
        <v>0</v>
      </c>
      <c r="C65" s="352">
        <f>IF(A65&lt;=$C$5, 1/(1+EXP(-$C$11*((A65)-((($C$5+1)/2)))))-1/(1+EXP(-$C$11*((A65-1)-((($C$5+1)/2))))), 0)</f>
        <v/>
      </c>
      <c r="D65" s="82">
        <f>IF(A65&lt;=$C$5, IF(SUM($C$28:$C$87)=0, 0, C65/SUM($C$28:$C$87)), 0)</f>
        <v/>
      </c>
    </row>
    <row r="66">
      <c r="A66" s="115" t="n">
        <v>39</v>
      </c>
      <c r="B66" s="169" t="n">
        <v>0</v>
      </c>
      <c r="C66" s="352">
        <f>IF(A66&lt;=$C$5, 1/(1+EXP(-$C$11*((A66)-((($C$5+1)/2)))))-1/(1+EXP(-$C$11*((A66-1)-((($C$5+1)/2))))), 0)</f>
        <v/>
      </c>
      <c r="D66" s="82">
        <f>IF(A66&lt;=$C$5, IF(SUM($C$28:$C$87)=0, 0, C66/SUM($C$28:$C$87)), 0)</f>
        <v/>
      </c>
    </row>
    <row r="67">
      <c r="A67" s="115" t="n">
        <v>40</v>
      </c>
      <c r="B67" s="169" t="n">
        <v>0</v>
      </c>
      <c r="C67" s="352">
        <f>IF(A67&lt;=$C$5, 1/(1+EXP(-$C$11*((A67)-((($C$5+1)/2)))))-1/(1+EXP(-$C$11*((A67-1)-((($C$5+1)/2))))), 0)</f>
        <v/>
      </c>
      <c r="D67" s="82">
        <f>IF(A67&lt;=$C$5, IF(SUM($C$28:$C$87)=0, 0, C67/SUM($C$28:$C$87)), 0)</f>
        <v/>
      </c>
    </row>
    <row r="68">
      <c r="A68" s="115" t="n">
        <v>41</v>
      </c>
      <c r="B68" s="169" t="n">
        <v>0</v>
      </c>
      <c r="C68" s="352">
        <f>IF(A68&lt;=$C$5, 1/(1+EXP(-$C$11*((A68)-((($C$5+1)/2)))))-1/(1+EXP(-$C$11*((A68-1)-((($C$5+1)/2))))), 0)</f>
        <v/>
      </c>
      <c r="D68" s="82">
        <f>IF(A68&lt;=$C$5, IF(SUM($C$28:$C$87)=0, 0, C68/SUM($C$28:$C$87)), 0)</f>
        <v/>
      </c>
    </row>
    <row r="69">
      <c r="A69" s="115" t="n">
        <v>42</v>
      </c>
      <c r="B69" s="169" t="n">
        <v>0</v>
      </c>
      <c r="C69" s="352">
        <f>IF(A69&lt;=$C$5, 1/(1+EXP(-$C$11*((A69)-((($C$5+1)/2)))))-1/(1+EXP(-$C$11*((A69-1)-((($C$5+1)/2))))), 0)</f>
        <v/>
      </c>
      <c r="D69" s="82">
        <f>IF(A69&lt;=$C$5, IF(SUM($C$28:$C$87)=0, 0, C69/SUM($C$28:$C$87)), 0)</f>
        <v/>
      </c>
    </row>
    <row r="70">
      <c r="A70" s="115" t="n">
        <v>43</v>
      </c>
      <c r="B70" s="169" t="n">
        <v>0</v>
      </c>
      <c r="C70" s="352">
        <f>IF(A70&lt;=$C$5, 1/(1+EXP(-$C$11*((A70)-((($C$5+1)/2)))))-1/(1+EXP(-$C$11*((A70-1)-((($C$5+1)/2))))), 0)</f>
        <v/>
      </c>
      <c r="D70" s="82">
        <f>IF(A70&lt;=$C$5, IF(SUM($C$28:$C$87)=0, 0, C70/SUM($C$28:$C$87)), 0)</f>
        <v/>
      </c>
    </row>
    <row r="71">
      <c r="A71" s="115" t="n">
        <v>44</v>
      </c>
      <c r="B71" s="169" t="n">
        <v>0</v>
      </c>
      <c r="C71" s="352">
        <f>IF(A71&lt;=$C$5, 1/(1+EXP(-$C$11*((A71)-((($C$5+1)/2)))))-1/(1+EXP(-$C$11*((A71-1)-((($C$5+1)/2))))), 0)</f>
        <v/>
      </c>
      <c r="D71" s="82">
        <f>IF(A71&lt;=$C$5, IF(SUM($C$28:$C$87)=0, 0, C71/SUM($C$28:$C$87)), 0)</f>
        <v/>
      </c>
    </row>
    <row r="72">
      <c r="A72" s="115" t="n">
        <v>45</v>
      </c>
      <c r="B72" s="169" t="n">
        <v>0</v>
      </c>
      <c r="C72" s="352">
        <f>IF(A72&lt;=$C$5, 1/(1+EXP(-$C$11*((A72)-((($C$5+1)/2)))))-1/(1+EXP(-$C$11*((A72-1)-((($C$5+1)/2))))), 0)</f>
        <v/>
      </c>
      <c r="D72" s="82">
        <f>IF(A72&lt;=$C$5, IF(SUM($C$28:$C$87)=0, 0, C72/SUM($C$28:$C$87)), 0)</f>
        <v/>
      </c>
    </row>
    <row r="73">
      <c r="A73" s="115" t="n">
        <v>46</v>
      </c>
      <c r="B73" s="169" t="n">
        <v>0</v>
      </c>
      <c r="C73" s="352">
        <f>IF(A73&lt;=$C$5, 1/(1+EXP(-$C$11*((A73)-((($C$5+1)/2)))))-1/(1+EXP(-$C$11*((A73-1)-((($C$5+1)/2))))), 0)</f>
        <v/>
      </c>
      <c r="D73" s="82">
        <f>IF(A73&lt;=$C$5, IF(SUM($C$28:$C$87)=0, 0, C73/SUM($C$28:$C$87)), 0)</f>
        <v/>
      </c>
    </row>
    <row r="74">
      <c r="A74" s="115" t="n">
        <v>47</v>
      </c>
      <c r="B74" s="169" t="n">
        <v>0</v>
      </c>
      <c r="C74" s="352">
        <f>IF(A74&lt;=$C$5, 1/(1+EXP(-$C$11*((A74)-((($C$5+1)/2)))))-1/(1+EXP(-$C$11*((A74-1)-((($C$5+1)/2))))), 0)</f>
        <v/>
      </c>
      <c r="D74" s="82">
        <f>IF(A74&lt;=$C$5, IF(SUM($C$28:$C$87)=0, 0, C74/SUM($C$28:$C$87)), 0)</f>
        <v/>
      </c>
    </row>
    <row r="75">
      <c r="A75" s="115" t="n">
        <v>48</v>
      </c>
      <c r="B75" s="169" t="n">
        <v>0</v>
      </c>
      <c r="C75" s="352">
        <f>IF(A75&lt;=$C$5, 1/(1+EXP(-$C$11*((A75)-((($C$5+1)/2)))))-1/(1+EXP(-$C$11*((A75-1)-((($C$5+1)/2))))), 0)</f>
        <v/>
      </c>
      <c r="D75" s="82">
        <f>IF(A75&lt;=$C$5, IF(SUM($C$28:$C$87)=0, 0, C75/SUM($C$28:$C$87)), 0)</f>
        <v/>
      </c>
    </row>
    <row r="76">
      <c r="A76" s="115" t="n">
        <v>49</v>
      </c>
      <c r="B76" s="169" t="n">
        <v>0</v>
      </c>
      <c r="C76" s="352">
        <f>IF(A76&lt;=$C$5, 1/(1+EXP(-$C$11*((A76)-((($C$5+1)/2)))))-1/(1+EXP(-$C$11*((A76-1)-((($C$5+1)/2))))), 0)</f>
        <v/>
      </c>
      <c r="D76" s="82">
        <f>IF(A76&lt;=$C$5, IF(SUM($C$28:$C$87)=0, 0, C76/SUM($C$28:$C$87)), 0)</f>
        <v/>
      </c>
    </row>
    <row r="77">
      <c r="A77" s="115" t="n">
        <v>50</v>
      </c>
      <c r="B77" s="169" t="n">
        <v>0</v>
      </c>
      <c r="C77" s="352">
        <f>IF(A77&lt;=$C$5, 1/(1+EXP(-$C$11*((A77)-((($C$5+1)/2)))))-1/(1+EXP(-$C$11*((A77-1)-((($C$5+1)/2))))), 0)</f>
        <v/>
      </c>
      <c r="D77" s="82">
        <f>IF(A77&lt;=$C$5, IF(SUM($C$28:$C$87)=0, 0, C77/SUM($C$28:$C$87)), 0)</f>
        <v/>
      </c>
    </row>
    <row r="78">
      <c r="A78" s="115" t="n">
        <v>51</v>
      </c>
      <c r="B78" s="169" t="n">
        <v>0</v>
      </c>
      <c r="C78" s="352">
        <f>IF(A78&lt;=$C$5, 1/(1+EXP(-$C$11*((A78)-((($C$5+1)/2)))))-1/(1+EXP(-$C$11*((A78-1)-((($C$5+1)/2))))), 0)</f>
        <v/>
      </c>
      <c r="D78" s="82">
        <f>IF(A78&lt;=$C$5, IF(SUM($C$28:$C$87)=0, 0, C78/SUM($C$28:$C$87)), 0)</f>
        <v/>
      </c>
    </row>
    <row r="79">
      <c r="A79" s="115" t="n">
        <v>52</v>
      </c>
      <c r="B79" s="169" t="n">
        <v>0</v>
      </c>
      <c r="C79" s="352">
        <f>IF(A79&lt;=$C$5, 1/(1+EXP(-$C$11*((A79)-((($C$5+1)/2)))))-1/(1+EXP(-$C$11*((A79-1)-((($C$5+1)/2))))), 0)</f>
        <v/>
      </c>
      <c r="D79" s="82">
        <f>IF(A79&lt;=$C$5, IF(SUM($C$28:$C$87)=0, 0, C79/SUM($C$28:$C$87)), 0)</f>
        <v/>
      </c>
    </row>
    <row r="80">
      <c r="A80" s="115" t="n">
        <v>53</v>
      </c>
      <c r="B80" s="169" t="n">
        <v>0</v>
      </c>
      <c r="C80" s="352">
        <f>IF(A80&lt;=$C$5, 1/(1+EXP(-$C$11*((A80)-((($C$5+1)/2)))))-1/(1+EXP(-$C$11*((A80-1)-((($C$5+1)/2))))), 0)</f>
        <v/>
      </c>
      <c r="D80" s="82">
        <f>IF(A80&lt;=$C$5, IF(SUM($C$28:$C$87)=0, 0, C80/SUM($C$28:$C$87)), 0)</f>
        <v/>
      </c>
    </row>
    <row r="81">
      <c r="A81" s="115" t="n">
        <v>54</v>
      </c>
      <c r="B81" s="169" t="n">
        <v>0</v>
      </c>
      <c r="C81" s="352">
        <f>IF(A81&lt;=$C$5, 1/(1+EXP(-$C$11*((A81)-((($C$5+1)/2)))))-1/(1+EXP(-$C$11*((A81-1)-((($C$5+1)/2))))), 0)</f>
        <v/>
      </c>
      <c r="D81" s="82">
        <f>IF(A81&lt;=$C$5, IF(SUM($C$28:$C$87)=0, 0, C81/SUM($C$28:$C$87)), 0)</f>
        <v/>
      </c>
    </row>
    <row r="82">
      <c r="A82" s="115" t="n">
        <v>55</v>
      </c>
      <c r="B82" s="169" t="n">
        <v>0</v>
      </c>
      <c r="C82" s="352">
        <f>IF(A82&lt;=$C$5, 1/(1+EXP(-$C$11*((A82)-((($C$5+1)/2)))))-1/(1+EXP(-$C$11*((A82-1)-((($C$5+1)/2))))), 0)</f>
        <v/>
      </c>
      <c r="D82" s="82">
        <f>IF(A82&lt;=$C$5, IF(SUM($C$28:$C$87)=0, 0, C82/SUM($C$28:$C$87)), 0)</f>
        <v/>
      </c>
    </row>
    <row r="83">
      <c r="A83" s="115" t="n">
        <v>56</v>
      </c>
      <c r="B83" s="169" t="n">
        <v>0</v>
      </c>
      <c r="C83" s="352">
        <f>IF(A83&lt;=$C$5, 1/(1+EXP(-$C$11*((A83)-((($C$5+1)/2)))))-1/(1+EXP(-$C$11*((A83-1)-((($C$5+1)/2))))), 0)</f>
        <v/>
      </c>
      <c r="D83" s="82">
        <f>IF(A83&lt;=$C$5, IF(SUM($C$28:$C$87)=0, 0, C83/SUM($C$28:$C$87)), 0)</f>
        <v/>
      </c>
    </row>
    <row r="84">
      <c r="A84" s="115" t="n">
        <v>57</v>
      </c>
      <c r="B84" s="169" t="n">
        <v>0</v>
      </c>
      <c r="C84" s="352">
        <f>IF(A84&lt;=$C$5, 1/(1+EXP(-$C$11*((A84)-((($C$5+1)/2)))))-1/(1+EXP(-$C$11*((A84-1)-((($C$5+1)/2))))), 0)</f>
        <v/>
      </c>
      <c r="D84" s="82">
        <f>IF(A84&lt;=$C$5, IF(SUM($C$28:$C$87)=0, 0, C84/SUM($C$28:$C$87)), 0)</f>
        <v/>
      </c>
    </row>
    <row r="85">
      <c r="A85" s="115" t="n">
        <v>58</v>
      </c>
      <c r="B85" s="169" t="n">
        <v>0</v>
      </c>
      <c r="C85" s="352">
        <f>IF(A85&lt;=$C$5, 1/(1+EXP(-$C$11*((A85)-((($C$5+1)/2)))))-1/(1+EXP(-$C$11*((A85-1)-((($C$5+1)/2))))), 0)</f>
        <v/>
      </c>
      <c r="D85" s="82">
        <f>IF(A85&lt;=$C$5, IF(SUM($C$28:$C$87)=0, 0, C85/SUM($C$28:$C$87)), 0)</f>
        <v/>
      </c>
    </row>
    <row r="86">
      <c r="A86" s="115" t="n">
        <v>59</v>
      </c>
      <c r="B86" s="169" t="n">
        <v>0</v>
      </c>
      <c r="C86" s="352">
        <f>IF(A86&lt;=$C$5, 1/(1+EXP(-$C$11*((A86)-((($C$5+1)/2)))))-1/(1+EXP(-$C$11*((A86-1)-((($C$5+1)/2))))), 0)</f>
        <v/>
      </c>
      <c r="D86" s="82">
        <f>IF(A86&lt;=$C$5, IF(SUM($C$28:$C$87)=0, 0, C86/SUM($C$28:$C$87)), 0)</f>
        <v/>
      </c>
    </row>
    <row r="87">
      <c r="A87" s="115" t="n">
        <v>60</v>
      </c>
      <c r="B87" s="169" t="n">
        <v>0</v>
      </c>
      <c r="C87" s="352">
        <f>IF(A87&lt;=$C$5, 1/(1+EXP(-$C$11*((A87)-((($C$5+1)/2)))))-1/(1+EXP(-$C$11*((A87-1)-((($C$5+1)/2))))), 0)</f>
        <v/>
      </c>
      <c r="D87" s="82">
        <f>IF(A87&lt;=$C$5, IF(SUM($C$28:$C$87)=0, 0, C87/SUM($C$28:$C$87)), 0)</f>
        <v/>
      </c>
    </row>
    <row r="90" ht="15" customHeight="1">
      <c r="A90" s="168" t="inlineStr">
        <is>
          <t>Monthly Spending by Category (side-by-side)</t>
        </is>
      </c>
      <c r="B90" s="167" t="n"/>
      <c r="C90" s="167" t="n"/>
      <c r="D90" s="167" t="n"/>
      <c r="E90" s="167" t="n"/>
      <c r="F90" s="167" t="n"/>
      <c r="G90" s="167" t="n"/>
      <c r="H90" s="167" t="n"/>
      <c r="I90" s="167" t="n"/>
      <c r="J90" s="147" t="n"/>
      <c r="K90" s="147" t="n"/>
      <c r="L90" s="147" t="n"/>
      <c r="M90" s="147" t="n"/>
      <c r="N90" s="147" t="n"/>
      <c r="O90" s="147" t="n"/>
      <c r="P90" s="147" t="n"/>
      <c r="Q90" s="147" t="n"/>
      <c r="R90" s="147" t="n"/>
      <c r="S90" s="147" t="n"/>
      <c r="T90" s="147" t="n"/>
    </row>
    <row r="91" ht="48" customHeight="1">
      <c r="A91" s="116" t="inlineStr">
        <is>
          <t>Month #</t>
        </is>
      </c>
      <c r="B91" s="116" t="inlineStr">
        <is>
          <t>Consultants/Muni/Due/LIHTC/Closing</t>
        </is>
      </c>
      <c r="C91" s="116" t="inlineStr">
        <is>
          <t>Property Taxes &amp; Misc/Carrying</t>
        </is>
      </c>
      <c r="D91" s="116" t="inlineStr">
        <is>
          <t>Hard Costs</t>
        </is>
      </c>
      <c r="E91" s="116" t="inlineStr">
        <is>
          <t>Contingency</t>
        </is>
      </c>
      <c r="F91" s="116" t="n"/>
      <c r="G91" s="116" t="inlineStr">
        <is>
          <t>Developer Fee</t>
        </is>
      </c>
      <c r="H91" s="116" t="inlineStr">
        <is>
          <t>Land Lease Reserve</t>
        </is>
      </c>
      <c r="I91" s="116" t="inlineStr">
        <is>
          <t>Total Uses</t>
        </is>
      </c>
    </row>
    <row r="92">
      <c r="A92" s="117" t="n">
        <v>1</v>
      </c>
      <c r="B92" s="356">
        <f>+F15</f>
        <v/>
      </c>
      <c r="C92" s="356">
        <f>IF($C$7=0,0, IF(1&lt;=$C$7, $F$16/$C$7, 0))</f>
        <v/>
      </c>
      <c r="D92" s="356">
        <f>IF(1&lt;=$C$7, $F$17*D28, 0)</f>
        <v/>
      </c>
      <c r="E92" s="356">
        <f>IF(1&lt;=$C$7, $F$18*D28, 0)</f>
        <v/>
      </c>
      <c r="F92" s="356" t="n"/>
      <c r="G92" s="356" t="n">
        <v>0</v>
      </c>
      <c r="H92" s="356">
        <f>IF(A92&lt;=$C$7,B218,0)</f>
        <v/>
      </c>
      <c r="I92" s="356">
        <f>SUM(B92:H92)</f>
        <v/>
      </c>
    </row>
    <row r="93">
      <c r="A93" s="117" t="n">
        <v>2</v>
      </c>
      <c r="B93" s="356" t="n">
        <v>0</v>
      </c>
      <c r="C93" s="356">
        <f>IF($C$7=0,0, IF(2&lt;=$C$7, $F$16/$C$7, 0))</f>
        <v/>
      </c>
      <c r="D93" s="356">
        <f>IF(1&lt;=$C$7, $F$17*D29, 0)</f>
        <v/>
      </c>
      <c r="E93" s="356">
        <f>IF(1&lt;=$C$7, $F$18*D29, 0)</f>
        <v/>
      </c>
      <c r="F93" s="356" t="n"/>
      <c r="G93" s="356">
        <f>IF($C$7=0,0, IF(A93&lt;=$C$7, $F$19/($C$7-1), 0))</f>
        <v/>
      </c>
      <c r="H93" s="356">
        <f>IF(A93&lt;=$C$7,B219,0)</f>
        <v/>
      </c>
      <c r="I93" s="356">
        <f>SUM(B93:H93)</f>
        <v/>
      </c>
    </row>
    <row r="94">
      <c r="A94" s="117" t="n">
        <v>3</v>
      </c>
      <c r="B94" s="356" t="n">
        <v>0</v>
      </c>
      <c r="C94" s="356">
        <f>IF($C$7=0,0, IF(3&lt;=$C$7, $F$16/$C$7, 0))</f>
        <v/>
      </c>
      <c r="D94" s="356">
        <f>IF(1&lt;=$C$7, $F$17*D30, 0)</f>
        <v/>
      </c>
      <c r="E94" s="356">
        <f>IF(1&lt;=$C$7, $F$18*D30, 0)</f>
        <v/>
      </c>
      <c r="F94" s="356" t="n"/>
      <c r="G94" s="356">
        <f>IF($C$7=0,0, IF(A94&lt;=$C$7, $F$19/($C$7-1), 0))</f>
        <v/>
      </c>
      <c r="H94" s="356">
        <f>IF(A94&lt;=$C$7,B220,0)</f>
        <v/>
      </c>
      <c r="I94" s="356">
        <f>SUM(B94:H94)</f>
        <v/>
      </c>
    </row>
    <row r="95">
      <c r="A95" s="117" t="n">
        <v>4</v>
      </c>
      <c r="B95" s="356" t="n">
        <v>0</v>
      </c>
      <c r="C95" s="356">
        <f>IF($C$7=0,0, IF(4&lt;=$C$7, $F$16/$C$7, 0))</f>
        <v/>
      </c>
      <c r="D95" s="356">
        <f>IF(1&lt;=$C$7, $F$17*D31, 0)</f>
        <v/>
      </c>
      <c r="E95" s="356">
        <f>IF(1&lt;=$C$7, $F$18*D31, 0)</f>
        <v/>
      </c>
      <c r="F95" s="356" t="n"/>
      <c r="G95" s="356">
        <f>IF($C$7=0,0, IF(A95&lt;=$C$7, $F$19/($C$7-1), 0))</f>
        <v/>
      </c>
      <c r="H95" s="356">
        <f>IF(A95&lt;=$C$7,B221,0)</f>
        <v/>
      </c>
      <c r="I95" s="356">
        <f>SUM(B95:H95)</f>
        <v/>
      </c>
    </row>
    <row r="96">
      <c r="A96" s="117" t="n">
        <v>5</v>
      </c>
      <c r="B96" s="356" t="n">
        <v>0</v>
      </c>
      <c r="C96" s="356">
        <f>IF($C$7=0,0, IF(5&lt;=$C$7, $F$16/$C$7, 0))</f>
        <v/>
      </c>
      <c r="D96" s="356">
        <f>IF(1&lt;=$C$7, $F$17*D32, 0)</f>
        <v/>
      </c>
      <c r="E96" s="356">
        <f>IF(1&lt;=$C$7, $F$18*D32, 0)</f>
        <v/>
      </c>
      <c r="F96" s="356" t="n"/>
      <c r="G96" s="356">
        <f>IF($C$7=0,0, IF(A96&lt;=$C$7, $F$19/($C$7-1), 0))</f>
        <v/>
      </c>
      <c r="H96" s="356">
        <f>IF(A96&lt;=$C$7,B222,0)</f>
        <v/>
      </c>
      <c r="I96" s="356">
        <f>SUM(B96:H96)</f>
        <v/>
      </c>
    </row>
    <row r="97">
      <c r="A97" s="117" t="n">
        <v>6</v>
      </c>
      <c r="B97" s="356" t="n">
        <v>0</v>
      </c>
      <c r="C97" s="356">
        <f>IF($C$7=0,0, IF(6&lt;=$C$7, $F$16/$C$7, 0))</f>
        <v/>
      </c>
      <c r="D97" s="356">
        <f>IF(1&lt;=$C$7, $F$17*D33, 0)</f>
        <v/>
      </c>
      <c r="E97" s="356">
        <f>IF(1&lt;=$C$7, $F$18*D33, 0)</f>
        <v/>
      </c>
      <c r="F97" s="356" t="n"/>
      <c r="G97" s="356">
        <f>IF($C$7=0,0, IF(A97&lt;=$C$7, $F$19/($C$7-1), 0))</f>
        <v/>
      </c>
      <c r="H97" s="356">
        <f>IF(A97&lt;=$C$7,B223,0)</f>
        <v/>
      </c>
      <c r="I97" s="356">
        <f>SUM(B97:H97)</f>
        <v/>
      </c>
    </row>
    <row r="98">
      <c r="A98" s="117" t="n">
        <v>7</v>
      </c>
      <c r="B98" s="356" t="n">
        <v>0</v>
      </c>
      <c r="C98" s="356">
        <f>IF($C$7=0,0, IF(7&lt;=$C$7, $F$16/$C$7, 0))</f>
        <v/>
      </c>
      <c r="D98" s="356">
        <f>IF(1&lt;=$C$7, $F$17*D34, 0)</f>
        <v/>
      </c>
      <c r="E98" s="356">
        <f>IF(1&lt;=$C$7, $F$18*D34, 0)</f>
        <v/>
      </c>
      <c r="F98" s="356" t="n"/>
      <c r="G98" s="356">
        <f>IF($C$7=0,0, IF(A98&lt;=$C$7, $F$19/($C$7-1), 0))</f>
        <v/>
      </c>
      <c r="H98" s="356">
        <f>IF(A98&lt;=$C$7,B224,0)</f>
        <v/>
      </c>
      <c r="I98" s="356">
        <f>SUM(B98:H98)</f>
        <v/>
      </c>
    </row>
    <row r="99">
      <c r="A99" s="117" t="n">
        <v>8</v>
      </c>
      <c r="B99" s="356" t="n">
        <v>0</v>
      </c>
      <c r="C99" s="356">
        <f>IF($C$7=0,0, IF(8&lt;=$C$7, $F$16/$C$7, 0))</f>
        <v/>
      </c>
      <c r="D99" s="356">
        <f>IF(1&lt;=$C$7, $F$17*D35, 0)</f>
        <v/>
      </c>
      <c r="E99" s="356">
        <f>IF(1&lt;=$C$7, $F$18*D35, 0)</f>
        <v/>
      </c>
      <c r="F99" s="356" t="n"/>
      <c r="G99" s="356">
        <f>IF($C$7=0,0, IF(A99&lt;=$C$7, $F$19/($C$7-1), 0))</f>
        <v/>
      </c>
      <c r="H99" s="356">
        <f>IF(A99&lt;=$C$7,B225,0)</f>
        <v/>
      </c>
      <c r="I99" s="356">
        <f>SUM(B99:H99)</f>
        <v/>
      </c>
    </row>
    <row r="100">
      <c r="A100" s="117" t="n">
        <v>9</v>
      </c>
      <c r="B100" s="356" t="n">
        <v>0</v>
      </c>
      <c r="C100" s="356">
        <f>IF($C$7=0,0, IF(9&lt;=$C$7, $F$16/$C$7, 0))</f>
        <v/>
      </c>
      <c r="D100" s="356">
        <f>IF(1&lt;=$C$7, $F$17*D36, 0)</f>
        <v/>
      </c>
      <c r="E100" s="356">
        <f>IF(1&lt;=$C$7, $F$18*D36, 0)</f>
        <v/>
      </c>
      <c r="F100" s="356" t="n"/>
      <c r="G100" s="356">
        <f>IF($C$7=0,0, IF(A100&lt;=$C$7, $F$19/($C$7-1), 0))</f>
        <v/>
      </c>
      <c r="H100" s="356">
        <f>IF(A100&lt;=$C$7,B226,0)</f>
        <v/>
      </c>
      <c r="I100" s="356">
        <f>SUM(B100:H100)</f>
        <v/>
      </c>
    </row>
    <row r="101">
      <c r="A101" s="117" t="n">
        <v>10</v>
      </c>
      <c r="B101" s="356" t="n">
        <v>0</v>
      </c>
      <c r="C101" s="356">
        <f>IF($C$7=0,0, IF(10&lt;=$C$7, $F$16/$C$7, 0))</f>
        <v/>
      </c>
      <c r="D101" s="356">
        <f>IF(1&lt;=$C$7, $F$17*D37, 0)</f>
        <v/>
      </c>
      <c r="E101" s="356">
        <f>IF(1&lt;=$C$7, $F$18*D37, 0)</f>
        <v/>
      </c>
      <c r="F101" s="356" t="n"/>
      <c r="G101" s="356">
        <f>IF($C$7=0,0, IF(A101&lt;=$C$7, $F$19/($C$7-1), 0))</f>
        <v/>
      </c>
      <c r="H101" s="356">
        <f>IF(A101&lt;=$C$7,B227,0)</f>
        <v/>
      </c>
      <c r="I101" s="356">
        <f>SUM(B101:H101)</f>
        <v/>
      </c>
    </row>
    <row r="102">
      <c r="A102" s="117" t="n">
        <v>11</v>
      </c>
      <c r="B102" s="356" t="n">
        <v>0</v>
      </c>
      <c r="C102" s="356">
        <f>IF($C$7=0,0, IF(11&lt;=$C$7, $F$16/$C$7, 0))</f>
        <v/>
      </c>
      <c r="D102" s="356">
        <f>IF(1&lt;=$C$7, $F$17*D38, 0)</f>
        <v/>
      </c>
      <c r="E102" s="356">
        <f>IF(1&lt;=$C$7, $F$18*D38, 0)</f>
        <v/>
      </c>
      <c r="F102" s="356" t="n"/>
      <c r="G102" s="356">
        <f>IF($C$7=0,0, IF(A102&lt;=$C$7, $F$19/($C$7-1), 0))</f>
        <v/>
      </c>
      <c r="H102" s="356">
        <f>IF(A102&lt;=$C$7,B228,0)</f>
        <v/>
      </c>
      <c r="I102" s="356">
        <f>SUM(B102:H102)</f>
        <v/>
      </c>
    </row>
    <row r="103">
      <c r="A103" s="117" t="n">
        <v>12</v>
      </c>
      <c r="B103" s="356" t="n">
        <v>0</v>
      </c>
      <c r="C103" s="356">
        <f>IF($C$7=0,0, IF(12&lt;=$C$7, $F$16/$C$7, 0))</f>
        <v/>
      </c>
      <c r="D103" s="356">
        <f>IF(1&lt;=$C$7, $F$17*D39, 0)</f>
        <v/>
      </c>
      <c r="E103" s="356">
        <f>IF(1&lt;=$C$7, $F$18*D39, 0)</f>
        <v/>
      </c>
      <c r="F103" s="356" t="n"/>
      <c r="G103" s="356">
        <f>IF($C$7=0,0, IF(A103&lt;=$C$7, $F$19/($C$7-1), 0))</f>
        <v/>
      </c>
      <c r="H103" s="356">
        <f>IF(A103&lt;=$C$7,B229,0)</f>
        <v/>
      </c>
      <c r="I103" s="356">
        <f>SUM(B103:H103)</f>
        <v/>
      </c>
    </row>
    <row r="104">
      <c r="A104" s="117" t="n">
        <v>13</v>
      </c>
      <c r="B104" s="356" t="n">
        <v>0</v>
      </c>
      <c r="C104" s="356">
        <f>IF($C$7=0,0, IF(13&lt;=$C$7, $F$16/$C$7, 0))</f>
        <v/>
      </c>
      <c r="D104" s="356">
        <f>IF(1&lt;=$C$7, $F$17*D40, 0)</f>
        <v/>
      </c>
      <c r="E104" s="356">
        <f>IF(1&lt;=$C$7, $F$18*D40, 0)</f>
        <v/>
      </c>
      <c r="F104" s="356" t="n"/>
      <c r="G104" s="356">
        <f>IF($C$7=0,0, IF(A104&lt;=$C$7, $F$19/($C$7-1), 0))</f>
        <v/>
      </c>
      <c r="H104" s="356">
        <f>IF(A104&lt;=$C$7,B230,0)</f>
        <v/>
      </c>
      <c r="I104" s="356">
        <f>SUM(B104:H104)</f>
        <v/>
      </c>
    </row>
    <row r="105">
      <c r="A105" s="117" t="n">
        <v>14</v>
      </c>
      <c r="B105" s="356" t="n">
        <v>0</v>
      </c>
      <c r="C105" s="356">
        <f>IF($C$7=0,0, IF(14&lt;=$C$7, $F$16/$C$7, 0))</f>
        <v/>
      </c>
      <c r="D105" s="356">
        <f>IF(1&lt;=$C$7, $F$17*D41, 0)</f>
        <v/>
      </c>
      <c r="E105" s="356">
        <f>IF(1&lt;=$C$7, $F$18*D41, 0)</f>
        <v/>
      </c>
      <c r="F105" s="356" t="n"/>
      <c r="G105" s="356">
        <f>IF($C$7=0,0, IF(A105&lt;=$C$7, $F$19/($C$7-1), 0))</f>
        <v/>
      </c>
      <c r="H105" s="356">
        <f>IF(A105&lt;=$C$7,B231,0)</f>
        <v/>
      </c>
      <c r="I105" s="356">
        <f>SUM(B105:H105)</f>
        <v/>
      </c>
    </row>
    <row r="106">
      <c r="A106" s="117" t="n">
        <v>15</v>
      </c>
      <c r="B106" s="356" t="n">
        <v>0</v>
      </c>
      <c r="C106" s="356">
        <f>IF($C$7=0,0, IF(15&lt;=$C$7, $F$16/$C$7, 0))</f>
        <v/>
      </c>
      <c r="D106" s="356">
        <f>IF(1&lt;=$C$7, $F$17*D42, 0)</f>
        <v/>
      </c>
      <c r="E106" s="356">
        <f>IF(1&lt;=$C$7, $F$18*D42, 0)</f>
        <v/>
      </c>
      <c r="F106" s="356" t="n"/>
      <c r="G106" s="356">
        <f>IF($C$7=0,0, IF(A106&lt;=$C$7, $F$19/($C$7-1), 0))</f>
        <v/>
      </c>
      <c r="H106" s="356">
        <f>IF(A106&lt;=$C$7,B232,0)</f>
        <v/>
      </c>
      <c r="I106" s="356">
        <f>SUM(B106:H106)</f>
        <v/>
      </c>
    </row>
    <row r="107">
      <c r="A107" s="117" t="n">
        <v>16</v>
      </c>
      <c r="B107" s="356" t="n">
        <v>0</v>
      </c>
      <c r="C107" s="356">
        <f>IF($C$7=0,0, IF(16&lt;=$C$7, $F$16/$C$7, 0))</f>
        <v/>
      </c>
      <c r="D107" s="356">
        <f>IF(1&lt;=$C$7, $F$17*D43, 0)</f>
        <v/>
      </c>
      <c r="E107" s="356">
        <f>IF(1&lt;=$C$7, $F$18*D43, 0)</f>
        <v/>
      </c>
      <c r="F107" s="356" t="n"/>
      <c r="G107" s="356">
        <f>IF($C$7=0,0, IF(A107&lt;=$C$7, $F$19/($C$7-1), 0))</f>
        <v/>
      </c>
      <c r="H107" s="356">
        <f>IF(A107&lt;=$C$7,B233,0)</f>
        <v/>
      </c>
      <c r="I107" s="356">
        <f>SUM(B107:H107)</f>
        <v/>
      </c>
    </row>
    <row r="108">
      <c r="A108" s="117" t="n">
        <v>17</v>
      </c>
      <c r="B108" s="356" t="n">
        <v>0</v>
      </c>
      <c r="C108" s="356">
        <f>IF($C$7=0,0, IF(17&lt;=$C$7, $F$16/$C$7, 0))</f>
        <v/>
      </c>
      <c r="D108" s="356">
        <f>IF(1&lt;=$C$7, $F$17*D44, 0)</f>
        <v/>
      </c>
      <c r="E108" s="356">
        <f>IF(1&lt;=$C$7, $F$18*D44, 0)</f>
        <v/>
      </c>
      <c r="F108" s="356" t="n"/>
      <c r="G108" s="356">
        <f>IF($C$7=0,0, IF(A108&lt;=$C$7, $F$19/($C$7-1), 0))</f>
        <v/>
      </c>
      <c r="H108" s="356">
        <f>IF(A108&lt;=$C$7,B234,0)</f>
        <v/>
      </c>
      <c r="I108" s="356">
        <f>SUM(B108:H108)</f>
        <v/>
      </c>
    </row>
    <row r="109">
      <c r="A109" s="117" t="n">
        <v>18</v>
      </c>
      <c r="B109" s="356" t="n">
        <v>0</v>
      </c>
      <c r="C109" s="356">
        <f>IF($C$7=0,0, IF(18&lt;=$C$7, $F$16/$C$7, 0))</f>
        <v/>
      </c>
      <c r="D109" s="356">
        <f>IF(1&lt;=$C$7, $F$17*D45, 0)</f>
        <v/>
      </c>
      <c r="E109" s="356">
        <f>IF(1&lt;=$C$7, $F$18*D45, 0)</f>
        <v/>
      </c>
      <c r="F109" s="356" t="n"/>
      <c r="G109" s="356">
        <f>IF($C$7=0,0, IF(A109&lt;=$C$7, $F$19/($C$7-1), 0))</f>
        <v/>
      </c>
      <c r="H109" s="356">
        <f>IF(A109&lt;=$C$7,B235,0)</f>
        <v/>
      </c>
      <c r="I109" s="356">
        <f>SUM(B109:H109)</f>
        <v/>
      </c>
    </row>
    <row r="110">
      <c r="A110" s="117" t="n">
        <v>19</v>
      </c>
      <c r="B110" s="356" t="n">
        <v>0</v>
      </c>
      <c r="C110" s="356">
        <f>IF($C$7=0,0, IF(19&lt;=$C$7, $F$16/$C$7, 0))</f>
        <v/>
      </c>
      <c r="D110" s="356">
        <f>IF(1&lt;=$C$7, $F$17*D46, 0)</f>
        <v/>
      </c>
      <c r="E110" s="356">
        <f>IF(1&lt;=$C$7, $F$18*D46, 0)</f>
        <v/>
      </c>
      <c r="F110" s="356" t="n"/>
      <c r="G110" s="356">
        <f>IF($C$7=0,0, IF(A110&lt;=$C$7, $F$19/($C$7-1), 0))</f>
        <v/>
      </c>
      <c r="H110" s="356">
        <f>IF(A110&lt;=$C$7,B236,0)</f>
        <v/>
      </c>
      <c r="I110" s="356">
        <f>SUM(B110:H110)</f>
        <v/>
      </c>
    </row>
    <row r="111">
      <c r="A111" s="117" t="n">
        <v>20</v>
      </c>
      <c r="B111" s="356" t="n">
        <v>0</v>
      </c>
      <c r="C111" s="356">
        <f>IF($C$7=0,0, IF(20&lt;=$C$7, $F$16/$C$7, 0))</f>
        <v/>
      </c>
      <c r="D111" s="356">
        <f>IF(1&lt;=$C$7, $F$17*D47, 0)</f>
        <v/>
      </c>
      <c r="E111" s="356">
        <f>IF(1&lt;=$C$7, $F$18*D47, 0)</f>
        <v/>
      </c>
      <c r="F111" s="356" t="n"/>
      <c r="G111" s="356">
        <f>IF($C$7=0,0, IF(A111&lt;=$C$7, $F$19/($C$7-1), 0))</f>
        <v/>
      </c>
      <c r="H111" s="356">
        <f>IF(A111&lt;=$C$7,B237,0)</f>
        <v/>
      </c>
      <c r="I111" s="356">
        <f>SUM(B111:H111)</f>
        <v/>
      </c>
    </row>
    <row r="112">
      <c r="A112" s="117" t="n">
        <v>21</v>
      </c>
      <c r="B112" s="356" t="n">
        <v>0</v>
      </c>
      <c r="C112" s="356">
        <f>IF($C$7=0,0, IF(21&lt;=$C$7, $F$16/$C$7, 0))</f>
        <v/>
      </c>
      <c r="D112" s="356">
        <f>IF(1&lt;=$C$7, $F$17*D48, 0)</f>
        <v/>
      </c>
      <c r="E112" s="356">
        <f>IF(1&lt;=$C$7, $F$18*D48, 0)</f>
        <v/>
      </c>
      <c r="F112" s="356" t="n"/>
      <c r="G112" s="356">
        <f>IF($C$7=0,0, IF(A112&lt;=$C$7, $F$19/($C$7-1), 0))</f>
        <v/>
      </c>
      <c r="H112" s="356">
        <f>IF(A112&lt;=$C$7,B238,0)</f>
        <v/>
      </c>
      <c r="I112" s="356">
        <f>SUM(B112:H112)</f>
        <v/>
      </c>
    </row>
    <row r="113">
      <c r="A113" s="117" t="n">
        <v>22</v>
      </c>
      <c r="B113" s="356" t="n">
        <v>0</v>
      </c>
      <c r="C113" s="356">
        <f>IF($C$7=0,0, IF(22&lt;=$C$7, $F$16/$C$7, 0))</f>
        <v/>
      </c>
      <c r="D113" s="356">
        <f>IF(1&lt;=$C$7, $F$17*D49, 0)</f>
        <v/>
      </c>
      <c r="E113" s="356">
        <f>IF(1&lt;=$C$7, $F$18*D49, 0)</f>
        <v/>
      </c>
      <c r="F113" s="356" t="n"/>
      <c r="G113" s="356">
        <f>IF($C$7=0,0, IF(A113&lt;=$C$7, $F$19/($C$7-1), 0))</f>
        <v/>
      </c>
      <c r="H113" s="356">
        <f>IF(A113&lt;=$C$7,B239,0)</f>
        <v/>
      </c>
      <c r="I113" s="356">
        <f>SUM(B113:H113)</f>
        <v/>
      </c>
    </row>
    <row r="114">
      <c r="A114" s="117" t="n">
        <v>23</v>
      </c>
      <c r="B114" s="356" t="n">
        <v>0</v>
      </c>
      <c r="C114" s="356">
        <f>IF($C$7=0,0, IF(23&lt;=$C$7, $F$16/$C$7, 0))</f>
        <v/>
      </c>
      <c r="D114" s="356">
        <f>IF(1&lt;=$C$7, $F$17*D50, 0)</f>
        <v/>
      </c>
      <c r="E114" s="356">
        <f>IF(1&lt;=$C$7, $F$18*D50, 0)</f>
        <v/>
      </c>
      <c r="F114" s="356" t="n"/>
      <c r="G114" s="356">
        <f>IF($C$7=0,0, IF(A114&lt;=$C$7, $F$19/($C$7-1), 0))</f>
        <v/>
      </c>
      <c r="H114" s="356">
        <f>IF(A114&lt;=$C$7,B240,0)</f>
        <v/>
      </c>
      <c r="I114" s="356">
        <f>SUM(B114:H114)</f>
        <v/>
      </c>
    </row>
    <row r="115">
      <c r="A115" s="117" t="n">
        <v>24</v>
      </c>
      <c r="B115" s="356" t="n">
        <v>0</v>
      </c>
      <c r="C115" s="356">
        <f>IF($C$7=0,0, IF(24&lt;=$C$7, $F$16/$C$7, 0))</f>
        <v/>
      </c>
      <c r="D115" s="356">
        <f>IF(1&lt;=$C$7, $F$17*D51, 0)</f>
        <v/>
      </c>
      <c r="E115" s="356">
        <f>IF(1&lt;=$C$7, $F$18*D51, 0)</f>
        <v/>
      </c>
      <c r="F115" s="356" t="n"/>
      <c r="G115" s="356">
        <f>IF($C$7=0,0, IF(A115&lt;=$C$7, $F$19/($C$7-1), 0))</f>
        <v/>
      </c>
      <c r="H115" s="356">
        <f>IF(A115&lt;=$C$7,B241,0)</f>
        <v/>
      </c>
      <c r="I115" s="356">
        <f>SUM(B115:H115)</f>
        <v/>
      </c>
    </row>
    <row r="116">
      <c r="A116" s="117" t="n">
        <v>25</v>
      </c>
      <c r="B116" s="356" t="n">
        <v>0</v>
      </c>
      <c r="C116" s="356">
        <f>IF($C$7=0,0, IF(25&lt;=$C$7, $F$16/$C$7, 0))</f>
        <v/>
      </c>
      <c r="D116" s="356">
        <f>IF(1&lt;=$C$7, $F$17*D52, 0)</f>
        <v/>
      </c>
      <c r="E116" s="356">
        <f>IF(1&lt;=$C$7, $F$18*D52, 0)</f>
        <v/>
      </c>
      <c r="F116" s="356" t="n"/>
      <c r="G116" s="356">
        <f>IF($C$7=0,0, IF(A116&lt;=$C$7, $F$19/($C$7-1), 0))</f>
        <v/>
      </c>
      <c r="H116" s="356">
        <f>IF(A116&lt;=$C$7,B242,0)</f>
        <v/>
      </c>
      <c r="I116" s="356">
        <f>SUM(B116:H116)</f>
        <v/>
      </c>
    </row>
    <row r="117">
      <c r="A117" s="117" t="n">
        <v>26</v>
      </c>
      <c r="B117" s="356" t="n">
        <v>0</v>
      </c>
      <c r="C117" s="356">
        <f>IF($C$7=0,0, IF(26&lt;=$C$7, $F$16/$C$7, 0))</f>
        <v/>
      </c>
      <c r="D117" s="356">
        <f>IF(1&lt;=$C$7, $F$17*D53, 0)</f>
        <v/>
      </c>
      <c r="E117" s="356">
        <f>IF(1&lt;=$C$7, $F$18*D53, 0)</f>
        <v/>
      </c>
      <c r="F117" s="356" t="n"/>
      <c r="G117" s="356">
        <f>IF($C$7=0,0, IF(A117&lt;=$C$7, $F$19/($C$7-1), 0))</f>
        <v/>
      </c>
      <c r="H117" s="356">
        <f>IF(A117&lt;=$C$7,B243,0)</f>
        <v/>
      </c>
      <c r="I117" s="356">
        <f>SUM(B117:H117)</f>
        <v/>
      </c>
    </row>
    <row r="118">
      <c r="A118" s="117" t="n">
        <v>27</v>
      </c>
      <c r="B118" s="356" t="n">
        <v>0</v>
      </c>
      <c r="C118" s="356">
        <f>IF($C$7=0,0, IF(27&lt;=$C$7, $F$16/$C$7, 0))</f>
        <v/>
      </c>
      <c r="D118" s="356">
        <f>IF(1&lt;=$C$7, $F$17*D54, 0)</f>
        <v/>
      </c>
      <c r="E118" s="356">
        <f>IF(1&lt;=$C$7, $F$18*D54, 0)</f>
        <v/>
      </c>
      <c r="F118" s="356" t="n"/>
      <c r="G118" s="356">
        <f>IF($C$7=0,0, IF(A118&lt;=$C$7, $F$19/($C$7-1), 0))</f>
        <v/>
      </c>
      <c r="H118" s="356">
        <f>IF(A118&lt;=$C$7,B244,0)</f>
        <v/>
      </c>
      <c r="I118" s="356">
        <f>SUM(B118:H118)</f>
        <v/>
      </c>
    </row>
    <row r="119">
      <c r="A119" s="117" t="n">
        <v>28</v>
      </c>
      <c r="B119" s="356" t="n">
        <v>0</v>
      </c>
      <c r="C119" s="356">
        <f>IF($C$7=0,0, IF(28&lt;=$C$7, $F$16/$C$7, 0))</f>
        <v/>
      </c>
      <c r="D119" s="356">
        <f>IF(1&lt;=$C$7, $F$17*D55, 0)</f>
        <v/>
      </c>
      <c r="E119" s="356">
        <f>IF(1&lt;=$C$7, $F$18*D55, 0)</f>
        <v/>
      </c>
      <c r="F119" s="356" t="n"/>
      <c r="G119" s="356">
        <f>IF($C$7=0,0, IF(A119&lt;=$C$7, $F$19/($C$7-1), 0))</f>
        <v/>
      </c>
      <c r="H119" s="356">
        <f>IF(A119&lt;=$C$7,B245,0)</f>
        <v/>
      </c>
      <c r="I119" s="356">
        <f>SUM(B119:H119)</f>
        <v/>
      </c>
    </row>
    <row r="120">
      <c r="A120" s="117" t="n">
        <v>29</v>
      </c>
      <c r="B120" s="356" t="n">
        <v>0</v>
      </c>
      <c r="C120" s="356">
        <f>IF($C$7=0,0, IF(29&lt;=$C$7, $F$16/$C$7, 0))</f>
        <v/>
      </c>
      <c r="D120" s="356">
        <f>IF(1&lt;=$C$7, $F$17*D56, 0)</f>
        <v/>
      </c>
      <c r="E120" s="356">
        <f>IF(1&lt;=$C$7, $F$18*D56, 0)</f>
        <v/>
      </c>
      <c r="F120" s="356" t="n"/>
      <c r="G120" s="356">
        <f>IF($C$7=0,0, IF(A120&lt;=$C$7, $F$19/($C$7-1), 0))</f>
        <v/>
      </c>
      <c r="H120" s="356">
        <f>IF(A120&lt;=$C$7,B246,0)</f>
        <v/>
      </c>
      <c r="I120" s="356">
        <f>SUM(B120:H120)</f>
        <v/>
      </c>
    </row>
    <row r="121">
      <c r="A121" s="117" t="n">
        <v>30</v>
      </c>
      <c r="B121" s="356" t="n">
        <v>0</v>
      </c>
      <c r="C121" s="356">
        <f>IF($C$7=0,0, IF(30&lt;=$C$7, $F$16/$C$7, 0))</f>
        <v/>
      </c>
      <c r="D121" s="356">
        <f>IF(1&lt;=$C$7, $F$17*D57, 0)</f>
        <v/>
      </c>
      <c r="E121" s="356">
        <f>IF(1&lt;=$C$7, $F$18*D57, 0)</f>
        <v/>
      </c>
      <c r="F121" s="356" t="n"/>
      <c r="G121" s="356">
        <f>IF($C$7=0,0, IF(A121&lt;=$C$7, $F$19/($C$7-1), 0))</f>
        <v/>
      </c>
      <c r="H121" s="356">
        <f>IF(A121&lt;=$C$7,B247,0)</f>
        <v/>
      </c>
      <c r="I121" s="356">
        <f>SUM(B121:H121)</f>
        <v/>
      </c>
    </row>
    <row r="122">
      <c r="A122" s="117" t="n">
        <v>31</v>
      </c>
      <c r="B122" s="356" t="n">
        <v>0</v>
      </c>
      <c r="C122" s="356">
        <f>IF($C$7=0,0, IF(31&lt;=$C$7, $F$16/$C$7, 0))</f>
        <v/>
      </c>
      <c r="D122" s="356">
        <f>IF(1&lt;=$C$7, $F$17*D58, 0)</f>
        <v/>
      </c>
      <c r="E122" s="356">
        <f>IF(1&lt;=$C$7, $F$18*D58, 0)</f>
        <v/>
      </c>
      <c r="F122" s="356" t="n"/>
      <c r="G122" s="356">
        <f>IF($C$7=0,0, IF(A122&lt;=$C$7, $F$19/($C$7-1), 0))</f>
        <v/>
      </c>
      <c r="H122" s="356">
        <f>IF(A122&lt;=$C$7,B248,0)</f>
        <v/>
      </c>
      <c r="I122" s="356">
        <f>SUM(B122:H122)</f>
        <v/>
      </c>
    </row>
    <row r="123">
      <c r="A123" s="117" t="n">
        <v>32</v>
      </c>
      <c r="B123" s="356" t="n">
        <v>0</v>
      </c>
      <c r="C123" s="356">
        <f>IF($C$7=0,0, IF(32&lt;=$C$7, $F$16/$C$7, 0))</f>
        <v/>
      </c>
      <c r="D123" s="356">
        <f>IF(1&lt;=$C$7, $F$17*D59, 0)</f>
        <v/>
      </c>
      <c r="E123" s="356">
        <f>IF(1&lt;=$C$7, $F$18*D59, 0)</f>
        <v/>
      </c>
      <c r="F123" s="356" t="n"/>
      <c r="G123" s="356">
        <f>IF($C$7=0,0, IF(A123&lt;=$C$7, $F$19/($C$7-1), 0))</f>
        <v/>
      </c>
      <c r="H123" s="356">
        <f>IF(A123&lt;=$C$7,B249,0)</f>
        <v/>
      </c>
      <c r="I123" s="356">
        <f>SUM(B123:H123)</f>
        <v/>
      </c>
    </row>
    <row r="124">
      <c r="A124" s="117" t="n">
        <v>33</v>
      </c>
      <c r="B124" s="356" t="n">
        <v>0</v>
      </c>
      <c r="C124" s="356">
        <f>IF($C$7=0,0, IF(33&lt;=$C$7, $F$16/$C$7, 0))</f>
        <v/>
      </c>
      <c r="D124" s="356">
        <f>IF(1&lt;=$C$7, $F$17*D60, 0)</f>
        <v/>
      </c>
      <c r="E124" s="356">
        <f>IF(1&lt;=$C$7, $F$18*D60, 0)</f>
        <v/>
      </c>
      <c r="F124" s="356" t="n"/>
      <c r="G124" s="356">
        <f>IF($C$7=0,0, IF(A124&lt;=$C$7, $F$19/($C$7-1), 0))</f>
        <v/>
      </c>
      <c r="H124" s="356">
        <f>IF(A124&lt;=$C$7,B250,0)</f>
        <v/>
      </c>
      <c r="I124" s="356">
        <f>SUM(B124:H124)</f>
        <v/>
      </c>
    </row>
    <row r="125">
      <c r="A125" s="117" t="n">
        <v>34</v>
      </c>
      <c r="B125" s="356" t="n">
        <v>0</v>
      </c>
      <c r="C125" s="356">
        <f>IF($C$7=0,0, IF(34&lt;=$C$7, $F$16/$C$7, 0))</f>
        <v/>
      </c>
      <c r="D125" s="356">
        <f>IF(1&lt;=$C$7, $F$17*D61, 0)</f>
        <v/>
      </c>
      <c r="E125" s="356">
        <f>IF(1&lt;=$C$7, $F$18*D61, 0)</f>
        <v/>
      </c>
      <c r="F125" s="356" t="n"/>
      <c r="G125" s="356">
        <f>IF($C$7=0,0, IF(A125&lt;=$C$7, $F$19/($C$7-1), 0))</f>
        <v/>
      </c>
      <c r="H125" s="356">
        <f>IF(A125&lt;=$C$7,B251,0)</f>
        <v/>
      </c>
      <c r="I125" s="356">
        <f>SUM(B125:H125)</f>
        <v/>
      </c>
    </row>
    <row r="126">
      <c r="A126" s="117" t="n">
        <v>35</v>
      </c>
      <c r="B126" s="356" t="n">
        <v>0</v>
      </c>
      <c r="C126" s="356">
        <f>IF($C$7=0,0, IF(35&lt;=$C$7, $F$16/$C$7, 0))</f>
        <v/>
      </c>
      <c r="D126" s="356">
        <f>IF(1&lt;=$C$7, $F$17*D62, 0)</f>
        <v/>
      </c>
      <c r="E126" s="356">
        <f>IF(1&lt;=$C$7, $F$18*D62, 0)</f>
        <v/>
      </c>
      <c r="F126" s="356" t="n"/>
      <c r="G126" s="356">
        <f>IF($C$7=0,0, IF(A126&lt;=$C$7, $F$19/($C$7-1), 0))</f>
        <v/>
      </c>
      <c r="H126" s="356">
        <f>IF(A126&lt;=$C$7,B252,0)</f>
        <v/>
      </c>
      <c r="I126" s="356">
        <f>SUM(B126:H126)</f>
        <v/>
      </c>
    </row>
    <row r="127">
      <c r="A127" s="117" t="n">
        <v>36</v>
      </c>
      <c r="B127" s="356" t="n">
        <v>0</v>
      </c>
      <c r="C127" s="356">
        <f>IF($C$7=0,0, IF(36&lt;=$C$7, $F$16/$C$7, 0))</f>
        <v/>
      </c>
      <c r="D127" s="356">
        <f>IF(1&lt;=$C$7, $F$17*D63, 0)</f>
        <v/>
      </c>
      <c r="E127" s="356">
        <f>IF(1&lt;=$C$7, $F$18*D63, 0)</f>
        <v/>
      </c>
      <c r="F127" s="356" t="n"/>
      <c r="G127" s="356">
        <f>IF($C$7=0,0, IF(A127&lt;=$C$7, $F$19/($C$7-1), 0))</f>
        <v/>
      </c>
      <c r="H127" s="356">
        <f>IF(A127&lt;=$C$7,B253,0)</f>
        <v/>
      </c>
      <c r="I127" s="356">
        <f>SUM(B127:H127)</f>
        <v/>
      </c>
    </row>
    <row r="128">
      <c r="A128" s="117" t="n">
        <v>37</v>
      </c>
      <c r="B128" s="356" t="n">
        <v>0</v>
      </c>
      <c r="C128" s="356">
        <f>IF($C$7=0,0, IF(37&lt;=$C$7, $F$16/$C$7, 0))</f>
        <v/>
      </c>
      <c r="D128" s="356">
        <f>IF(1&lt;=$C$7, $F$17*D64, 0)</f>
        <v/>
      </c>
      <c r="E128" s="356">
        <f>IF(1&lt;=$C$7, $F$18*D64, 0)</f>
        <v/>
      </c>
      <c r="F128" s="356" t="n"/>
      <c r="G128" s="356">
        <f>IF($C$7=0,0, IF(A128&lt;=$C$7, $F$19/($C$7-1), 0))</f>
        <v/>
      </c>
      <c r="H128" s="356">
        <f>IF(A128&lt;=$C$7,B254,0)</f>
        <v/>
      </c>
      <c r="I128" s="356">
        <f>SUM(B128:H128)</f>
        <v/>
      </c>
    </row>
    <row r="129">
      <c r="A129" s="117" t="n">
        <v>38</v>
      </c>
      <c r="B129" s="356" t="n">
        <v>0</v>
      </c>
      <c r="C129" s="356">
        <f>IF($C$7=0,0, IF(38&lt;=$C$7, $F$16/$C$7, 0))</f>
        <v/>
      </c>
      <c r="D129" s="356">
        <f>IF(1&lt;=$C$7, $F$17*D65, 0)</f>
        <v/>
      </c>
      <c r="E129" s="356">
        <f>IF(1&lt;=$C$7, $F$18*D65, 0)</f>
        <v/>
      </c>
      <c r="F129" s="356" t="n"/>
      <c r="G129" s="356">
        <f>IF($C$7=0,0, IF(A129&lt;=$C$7, $F$19/($C$7-1), 0))</f>
        <v/>
      </c>
      <c r="H129" s="356">
        <f>IF(A129&lt;=$C$7,B255,0)</f>
        <v/>
      </c>
      <c r="I129" s="356">
        <f>SUM(B129:H129)</f>
        <v/>
      </c>
    </row>
    <row r="130">
      <c r="A130" s="117" t="n">
        <v>39</v>
      </c>
      <c r="B130" s="356" t="n">
        <v>0</v>
      </c>
      <c r="C130" s="356">
        <f>IF($C$7=0,0, IF(39&lt;=$C$7, $F$16/$C$7, 0))</f>
        <v/>
      </c>
      <c r="D130" s="356">
        <f>IF(1&lt;=$C$7, $F$17*D66, 0)</f>
        <v/>
      </c>
      <c r="E130" s="356">
        <f>IF(1&lt;=$C$7, $F$18*D66, 0)</f>
        <v/>
      </c>
      <c r="F130" s="356" t="n"/>
      <c r="G130" s="356">
        <f>IF($C$7=0,0, IF(A130&lt;=$C$7, $F$19/($C$7-1), 0))</f>
        <v/>
      </c>
      <c r="H130" s="356">
        <f>IF(A130&lt;=$C$7,B256,0)</f>
        <v/>
      </c>
      <c r="I130" s="356">
        <f>SUM(B130:H130)</f>
        <v/>
      </c>
    </row>
    <row r="131">
      <c r="A131" s="117" t="n">
        <v>40</v>
      </c>
      <c r="B131" s="356" t="n">
        <v>0</v>
      </c>
      <c r="C131" s="356">
        <f>IF($C$7=0,0, IF(40&lt;=$C$7, $F$16/$C$7, 0))</f>
        <v/>
      </c>
      <c r="D131" s="356">
        <f>IF(1&lt;=$C$7, $F$17*D67, 0)</f>
        <v/>
      </c>
      <c r="E131" s="356">
        <f>IF(1&lt;=$C$7, $F$18*D67, 0)</f>
        <v/>
      </c>
      <c r="F131" s="356" t="n"/>
      <c r="G131" s="356">
        <f>IF($C$7=0,0, IF(A131&lt;=$C$7, $F$19/($C$7-1), 0))</f>
        <v/>
      </c>
      <c r="H131" s="356">
        <f>IF(A131&lt;=$C$7,B257,0)</f>
        <v/>
      </c>
      <c r="I131" s="356">
        <f>SUM(B131:H131)</f>
        <v/>
      </c>
    </row>
    <row r="132">
      <c r="A132" s="117" t="n">
        <v>41</v>
      </c>
      <c r="B132" s="356" t="n">
        <v>0</v>
      </c>
      <c r="C132" s="356">
        <f>IF($C$7=0,0, IF(41&lt;=$C$7, $F$16/$C$7, 0))</f>
        <v/>
      </c>
      <c r="D132" s="356">
        <f>IF(1&lt;=$C$7, $F$17*D68, 0)</f>
        <v/>
      </c>
      <c r="E132" s="356">
        <f>IF(1&lt;=$C$7, $F$18*D68, 0)</f>
        <v/>
      </c>
      <c r="F132" s="356" t="n"/>
      <c r="G132" s="356">
        <f>IF($C$7=0,0, IF(A132&lt;=$C$7, $F$19/($C$7-1), 0))</f>
        <v/>
      </c>
      <c r="H132" s="356">
        <f>IF(A132&lt;=$C$7,B258,0)</f>
        <v/>
      </c>
      <c r="I132" s="356">
        <f>SUM(B132:H132)</f>
        <v/>
      </c>
    </row>
    <row r="133">
      <c r="A133" s="117" t="n">
        <v>42</v>
      </c>
      <c r="B133" s="356" t="n">
        <v>0</v>
      </c>
      <c r="C133" s="356">
        <f>IF($C$7=0,0, IF(42&lt;=$C$7, $F$16/$C$7, 0))</f>
        <v/>
      </c>
      <c r="D133" s="356">
        <f>IF(1&lt;=$C$7, $F$17*D69, 0)</f>
        <v/>
      </c>
      <c r="E133" s="356">
        <f>IF(1&lt;=$C$7, $F$18*D69, 0)</f>
        <v/>
      </c>
      <c r="F133" s="356" t="n"/>
      <c r="G133" s="356">
        <f>IF($C$7=0,0, IF(A133&lt;=$C$7, $F$19/($C$7-1), 0))</f>
        <v/>
      </c>
      <c r="H133" s="356">
        <f>IF(A133&lt;=$C$7,B259,0)</f>
        <v/>
      </c>
      <c r="I133" s="356">
        <f>SUM(B133:H133)</f>
        <v/>
      </c>
    </row>
    <row r="134">
      <c r="A134" s="117" t="n">
        <v>43</v>
      </c>
      <c r="B134" s="356" t="n">
        <v>0</v>
      </c>
      <c r="C134" s="356">
        <f>IF($C$7=0,0, IF(43&lt;=$C$7, $F$16/$C$7, 0))</f>
        <v/>
      </c>
      <c r="D134" s="356">
        <f>IF(1&lt;=$C$7, $F$17*D70, 0)</f>
        <v/>
      </c>
      <c r="E134" s="356">
        <f>IF(1&lt;=$C$7, $F$18*D70, 0)</f>
        <v/>
      </c>
      <c r="F134" s="356" t="n"/>
      <c r="G134" s="356">
        <f>IF($C$7=0,0, IF(A134&lt;=$C$7, $F$19/($C$7-1), 0))</f>
        <v/>
      </c>
      <c r="H134" s="356">
        <f>IF(A134&lt;=$C$7,B260,0)</f>
        <v/>
      </c>
      <c r="I134" s="356">
        <f>SUM(B134:H134)</f>
        <v/>
      </c>
    </row>
    <row r="135">
      <c r="A135" s="117" t="n">
        <v>44</v>
      </c>
      <c r="B135" s="356" t="n">
        <v>0</v>
      </c>
      <c r="C135" s="356">
        <f>IF($C$7=0,0, IF(44&lt;=$C$7, $F$16/$C$7, 0))</f>
        <v/>
      </c>
      <c r="D135" s="356">
        <f>IF(1&lt;=$C$7, $F$17*D71, 0)</f>
        <v/>
      </c>
      <c r="E135" s="356">
        <f>IF(1&lt;=$C$7, $F$18*D71, 0)</f>
        <v/>
      </c>
      <c r="F135" s="356" t="n"/>
      <c r="G135" s="356">
        <f>IF($C$7=0,0, IF(A135&lt;=$C$7, $F$19/($C$7-1), 0))</f>
        <v/>
      </c>
      <c r="H135" s="356">
        <f>IF(A135&lt;=$C$7,B261,0)</f>
        <v/>
      </c>
      <c r="I135" s="356">
        <f>SUM(B135:H135)</f>
        <v/>
      </c>
    </row>
    <row r="136">
      <c r="A136" s="117" t="n">
        <v>45</v>
      </c>
      <c r="B136" s="356" t="n">
        <v>0</v>
      </c>
      <c r="C136" s="356">
        <f>IF($C$7=0,0, IF(45&lt;=$C$7, $F$16/$C$7, 0))</f>
        <v/>
      </c>
      <c r="D136" s="356">
        <f>IF(1&lt;=$C$7, $F$17*D72, 0)</f>
        <v/>
      </c>
      <c r="E136" s="356">
        <f>IF(1&lt;=$C$7, $F$18*D72, 0)</f>
        <v/>
      </c>
      <c r="F136" s="356" t="n"/>
      <c r="G136" s="356">
        <f>IF($C$7=0,0, IF(A136&lt;=$C$7, $F$19/($C$7-1), 0))</f>
        <v/>
      </c>
      <c r="H136" s="356">
        <f>IF(A136&lt;=$C$7,B262,0)</f>
        <v/>
      </c>
      <c r="I136" s="356">
        <f>SUM(B136:H136)</f>
        <v/>
      </c>
    </row>
    <row r="137">
      <c r="A137" s="117" t="n">
        <v>46</v>
      </c>
      <c r="B137" s="356" t="n">
        <v>0</v>
      </c>
      <c r="C137" s="356">
        <f>IF($C$7=0,0, IF(46&lt;=$C$7, $F$16/$C$7, 0))</f>
        <v/>
      </c>
      <c r="D137" s="356">
        <f>IF(1&lt;=$C$7, $F$17*D73, 0)</f>
        <v/>
      </c>
      <c r="E137" s="356">
        <f>IF(1&lt;=$C$7, $F$18*D73, 0)</f>
        <v/>
      </c>
      <c r="F137" s="356" t="n"/>
      <c r="G137" s="356">
        <f>IF($C$7=0,0, IF(A137&lt;=$C$7, $F$19/($C$7-1), 0))</f>
        <v/>
      </c>
      <c r="H137" s="356">
        <f>IF(A137&lt;=$C$7,B263,0)</f>
        <v/>
      </c>
      <c r="I137" s="356">
        <f>SUM(B137:H137)</f>
        <v/>
      </c>
    </row>
    <row r="138">
      <c r="A138" s="117" t="n">
        <v>47</v>
      </c>
      <c r="B138" s="356" t="n">
        <v>0</v>
      </c>
      <c r="C138" s="356">
        <f>IF($C$7=0,0, IF(47&lt;=$C$7, $F$16/$C$7, 0))</f>
        <v/>
      </c>
      <c r="D138" s="356">
        <f>IF(1&lt;=$C$7, $F$17*D74, 0)</f>
        <v/>
      </c>
      <c r="E138" s="356">
        <f>IF(1&lt;=$C$7, $F$18*D74, 0)</f>
        <v/>
      </c>
      <c r="F138" s="356" t="n"/>
      <c r="G138" s="356">
        <f>IF($C$7=0,0, IF(A138&lt;=$C$7, $F$19/($C$7-1), 0))</f>
        <v/>
      </c>
      <c r="H138" s="356">
        <f>IF(A138&lt;=$C$7,B264,0)</f>
        <v/>
      </c>
      <c r="I138" s="356">
        <f>SUM(B138:H138)</f>
        <v/>
      </c>
    </row>
    <row r="139">
      <c r="A139" s="117" t="n">
        <v>48</v>
      </c>
      <c r="B139" s="356" t="n">
        <v>0</v>
      </c>
      <c r="C139" s="356">
        <f>IF($C$7=0,0, IF(48&lt;=$C$7, $F$16/$C$7, 0))</f>
        <v/>
      </c>
      <c r="D139" s="356">
        <f>IF(1&lt;=$C$7, $F$17*D75, 0)</f>
        <v/>
      </c>
      <c r="E139" s="356">
        <f>IF(1&lt;=$C$7, $F$18*D75, 0)</f>
        <v/>
      </c>
      <c r="F139" s="356" t="n"/>
      <c r="G139" s="356">
        <f>IF($C$7=0,0, IF(A139&lt;=$C$7, $F$19/($C$7-1), 0))</f>
        <v/>
      </c>
      <c r="H139" s="356">
        <f>IF(A139&lt;=$C$7,B265,0)</f>
        <v/>
      </c>
      <c r="I139" s="356">
        <f>SUM(B139:H139)</f>
        <v/>
      </c>
    </row>
    <row r="140">
      <c r="A140" s="117" t="n">
        <v>49</v>
      </c>
      <c r="B140" s="356" t="n">
        <v>0</v>
      </c>
      <c r="C140" s="356">
        <f>IF($C$7=0,0, IF(49&lt;=$C$7, $F$16/$C$7, 0))</f>
        <v/>
      </c>
      <c r="D140" s="356">
        <f>IF(1&lt;=$C$7, $F$17*D76, 0)</f>
        <v/>
      </c>
      <c r="E140" s="356">
        <f>IF(1&lt;=$C$7, $F$18*D76, 0)</f>
        <v/>
      </c>
      <c r="F140" s="356" t="n"/>
      <c r="G140" s="356">
        <f>IF($C$7=0,0, IF(A140&lt;=$C$7, $F$19/($C$7-1), 0))</f>
        <v/>
      </c>
      <c r="H140" s="356">
        <f>IF(A140&lt;=$C$7,B266,0)</f>
        <v/>
      </c>
      <c r="I140" s="356">
        <f>SUM(B140:H140)</f>
        <v/>
      </c>
    </row>
    <row r="141">
      <c r="A141" s="117" t="n">
        <v>50</v>
      </c>
      <c r="B141" s="356" t="n">
        <v>0</v>
      </c>
      <c r="C141" s="356">
        <f>IF($C$7=0,0, IF(50&lt;=$C$7, $F$16/$C$7, 0))</f>
        <v/>
      </c>
      <c r="D141" s="356">
        <f>IF(1&lt;=$C$7, $F$17*D77, 0)</f>
        <v/>
      </c>
      <c r="E141" s="356">
        <f>IF(1&lt;=$C$7, $F$18*D77, 0)</f>
        <v/>
      </c>
      <c r="F141" s="356" t="n"/>
      <c r="G141" s="356">
        <f>IF($C$7=0,0, IF(A141&lt;=$C$7, $F$19/($C$7-1), 0))</f>
        <v/>
      </c>
      <c r="H141" s="356">
        <f>IF(A141&lt;=$C$7,B267,0)</f>
        <v/>
      </c>
      <c r="I141" s="356">
        <f>SUM(B141:H141)</f>
        <v/>
      </c>
    </row>
    <row r="142">
      <c r="A142" s="117" t="n">
        <v>51</v>
      </c>
      <c r="B142" s="356" t="n">
        <v>0</v>
      </c>
      <c r="C142" s="356">
        <f>IF($C$7=0,0, IF(51&lt;=$C$7, $F$16/$C$7, 0))</f>
        <v/>
      </c>
      <c r="D142" s="356">
        <f>IF(1&lt;=$C$7, $F$17*D78, 0)</f>
        <v/>
      </c>
      <c r="E142" s="356">
        <f>IF(1&lt;=$C$7, $F$18*D78, 0)</f>
        <v/>
      </c>
      <c r="F142" s="356" t="n"/>
      <c r="G142" s="356">
        <f>IF($C$7=0,0, IF(A142&lt;=$C$7, $F$19/($C$7-1), 0))</f>
        <v/>
      </c>
      <c r="H142" s="356">
        <f>IF(A142&lt;=$C$7,B268,0)</f>
        <v/>
      </c>
      <c r="I142" s="356">
        <f>SUM(B142:H142)</f>
        <v/>
      </c>
    </row>
    <row r="143">
      <c r="A143" s="117" t="n">
        <v>52</v>
      </c>
      <c r="B143" s="356" t="n">
        <v>0</v>
      </c>
      <c r="C143" s="356">
        <f>IF($C$7=0,0, IF(52&lt;=$C$7, $F$16/$C$7, 0))</f>
        <v/>
      </c>
      <c r="D143" s="356">
        <f>IF(1&lt;=$C$7, $F$17*D79, 0)</f>
        <v/>
      </c>
      <c r="E143" s="356">
        <f>IF(1&lt;=$C$7, $F$18*D79, 0)</f>
        <v/>
      </c>
      <c r="F143" s="356" t="n"/>
      <c r="G143" s="356">
        <f>IF($C$7=0,0, IF(A143&lt;=$C$7, $F$19/($C$7-1), 0))</f>
        <v/>
      </c>
      <c r="H143" s="356">
        <f>IF(A143&lt;=$C$7,B269,0)</f>
        <v/>
      </c>
      <c r="I143" s="356">
        <f>SUM(B143:H143)</f>
        <v/>
      </c>
    </row>
    <row r="144">
      <c r="A144" s="117" t="n">
        <v>53</v>
      </c>
      <c r="B144" s="356" t="n">
        <v>0</v>
      </c>
      <c r="C144" s="356">
        <f>IF($C$7=0,0, IF(53&lt;=$C$7, $F$16/$C$7, 0))</f>
        <v/>
      </c>
      <c r="D144" s="356">
        <f>IF(1&lt;=$C$7, $F$17*D80, 0)</f>
        <v/>
      </c>
      <c r="E144" s="356">
        <f>IF(1&lt;=$C$7, $F$18*D80, 0)</f>
        <v/>
      </c>
      <c r="F144" s="356" t="n"/>
      <c r="G144" s="356">
        <f>IF($C$7=0,0, IF(A144&lt;=$C$7, $F$19/($C$7-1), 0))</f>
        <v/>
      </c>
      <c r="H144" s="356">
        <f>IF(A144&lt;=$C$7,B270,0)</f>
        <v/>
      </c>
      <c r="I144" s="356">
        <f>SUM(B144:H144)</f>
        <v/>
      </c>
    </row>
    <row r="145">
      <c r="A145" s="117" t="n">
        <v>54</v>
      </c>
      <c r="B145" s="356" t="n">
        <v>0</v>
      </c>
      <c r="C145" s="356">
        <f>IF($C$7=0,0, IF(54&lt;=$C$7, $F$16/$C$7, 0))</f>
        <v/>
      </c>
      <c r="D145" s="356">
        <f>IF(1&lt;=$C$7, $F$17*D81, 0)</f>
        <v/>
      </c>
      <c r="E145" s="356">
        <f>IF(1&lt;=$C$7, $F$18*D81, 0)</f>
        <v/>
      </c>
      <c r="F145" s="356" t="n"/>
      <c r="G145" s="356">
        <f>IF($C$7=0,0, IF(A145&lt;=$C$7, $F$19/($C$7-1), 0))</f>
        <v/>
      </c>
      <c r="H145" s="356">
        <f>IF(A145&lt;=$C$7,B271,0)</f>
        <v/>
      </c>
      <c r="I145" s="356">
        <f>SUM(B145:H145)</f>
        <v/>
      </c>
    </row>
    <row r="146">
      <c r="A146" s="117" t="n">
        <v>55</v>
      </c>
      <c r="B146" s="356" t="n">
        <v>0</v>
      </c>
      <c r="C146" s="356">
        <f>IF($C$7=0,0, IF(55&lt;=$C$7, $F$16/$C$7, 0))</f>
        <v/>
      </c>
      <c r="D146" s="356">
        <f>IF(1&lt;=$C$7, $F$17*D82, 0)</f>
        <v/>
      </c>
      <c r="E146" s="356">
        <f>IF(1&lt;=$C$7, $F$18*D82, 0)</f>
        <v/>
      </c>
      <c r="F146" s="356" t="n"/>
      <c r="G146" s="356">
        <f>IF($C$7=0,0, IF(A146&lt;=$C$7, $F$19/($C$7-1), 0))</f>
        <v/>
      </c>
      <c r="H146" s="356">
        <f>IF(A146&lt;=$C$7,B272,0)</f>
        <v/>
      </c>
      <c r="I146" s="356">
        <f>SUM(B146:H146)</f>
        <v/>
      </c>
    </row>
    <row r="147">
      <c r="A147" s="117" t="n">
        <v>56</v>
      </c>
      <c r="B147" s="356" t="n">
        <v>0</v>
      </c>
      <c r="C147" s="356">
        <f>IF($C$7=0,0, IF(56&lt;=$C$7, $F$16/$C$7, 0))</f>
        <v/>
      </c>
      <c r="D147" s="356">
        <f>IF(1&lt;=$C$7, $F$17*D83, 0)</f>
        <v/>
      </c>
      <c r="E147" s="356">
        <f>IF(1&lt;=$C$7, $F$18*D83, 0)</f>
        <v/>
      </c>
      <c r="F147" s="356" t="n"/>
      <c r="G147" s="356">
        <f>IF($C$7=0,0, IF(A147&lt;=$C$7, $F$19/($C$7-1), 0))</f>
        <v/>
      </c>
      <c r="H147" s="356">
        <f>IF(A147&lt;=$C$7,B273,0)</f>
        <v/>
      </c>
      <c r="I147" s="356">
        <f>SUM(B147:H147)</f>
        <v/>
      </c>
    </row>
    <row r="148">
      <c r="A148" s="117" t="n">
        <v>57</v>
      </c>
      <c r="B148" s="356" t="n">
        <v>0</v>
      </c>
      <c r="C148" s="356">
        <f>IF($C$7=0,0, IF(57&lt;=$C$7, $F$16/$C$7, 0))</f>
        <v/>
      </c>
      <c r="D148" s="356">
        <f>IF(1&lt;=$C$7, $F$17*D84, 0)</f>
        <v/>
      </c>
      <c r="E148" s="356">
        <f>IF(1&lt;=$C$7, $F$18*D84, 0)</f>
        <v/>
      </c>
      <c r="F148" s="356" t="n"/>
      <c r="G148" s="356">
        <f>IF($C$7=0,0, IF(A148&lt;=$C$7, $F$19/($C$7-1), 0))</f>
        <v/>
      </c>
      <c r="H148" s="356">
        <f>IF(A148&lt;=$C$7,B274,0)</f>
        <v/>
      </c>
      <c r="I148" s="356">
        <f>SUM(B148:H148)</f>
        <v/>
      </c>
    </row>
    <row r="149">
      <c r="A149" s="117" t="n">
        <v>58</v>
      </c>
      <c r="B149" s="356" t="n">
        <v>0</v>
      </c>
      <c r="C149" s="356">
        <f>IF($C$7=0,0, IF(58&lt;=$C$7, $F$16/$C$7, 0))</f>
        <v/>
      </c>
      <c r="D149" s="356">
        <f>IF(1&lt;=$C$7, $F$17*D85, 0)</f>
        <v/>
      </c>
      <c r="E149" s="356">
        <f>IF(1&lt;=$C$7, $F$18*D85, 0)</f>
        <v/>
      </c>
      <c r="F149" s="356" t="n"/>
      <c r="G149" s="356">
        <f>IF($C$7=0,0, IF(A149&lt;=$C$7, $F$19/($C$7-1), 0))</f>
        <v/>
      </c>
      <c r="H149" s="356">
        <f>IF(A149&lt;=$C$7,B275,0)</f>
        <v/>
      </c>
      <c r="I149" s="356">
        <f>SUM(B149:H149)</f>
        <v/>
      </c>
    </row>
    <row r="150">
      <c r="A150" s="117" t="n">
        <v>59</v>
      </c>
      <c r="B150" s="356" t="n">
        <v>0</v>
      </c>
      <c r="C150" s="356">
        <f>IF($C$7=0,0, IF(59&lt;=$C$7, $F$16/$C$7, 0))</f>
        <v/>
      </c>
      <c r="D150" s="356">
        <f>IF(1&lt;=$C$7, $F$17*D86, 0)</f>
        <v/>
      </c>
      <c r="E150" s="356">
        <f>IF(1&lt;=$C$7, $F$18*D86, 0)</f>
        <v/>
      </c>
      <c r="F150" s="356" t="n"/>
      <c r="G150" s="356">
        <f>IF($C$7=0,0, IF(A150&lt;=$C$7, $F$19/($C$7-1), 0))</f>
        <v/>
      </c>
      <c r="H150" s="356">
        <f>IF(A150&lt;=$C$7,B276,0)</f>
        <v/>
      </c>
      <c r="I150" s="356">
        <f>SUM(B150:H150)</f>
        <v/>
      </c>
    </row>
    <row r="151">
      <c r="A151" s="117" t="n">
        <v>60</v>
      </c>
      <c r="B151" s="356" t="n">
        <v>0</v>
      </c>
      <c r="C151" s="356">
        <f>IF($C$7=0,0, IF(60&lt;=$C$7, $F$16/$C$7, 0))</f>
        <v/>
      </c>
      <c r="D151" s="356">
        <f>IF(1&lt;=$C$7, $F$17*D87, 0)</f>
        <v/>
      </c>
      <c r="E151" s="356">
        <f>IF(1&lt;=$C$7, $F$18*D87, 0)</f>
        <v/>
      </c>
      <c r="F151" s="356" t="n"/>
      <c r="G151" s="356">
        <f>IF($C$7=0,0, IF(A151&lt;=$C$7, $F$19/($C$7-1), 0))</f>
        <v/>
      </c>
      <c r="H151" s="356">
        <f>IF(A151&lt;=$C$7,B277,0)</f>
        <v/>
      </c>
      <c r="I151" s="356">
        <f>SUM(B151:H151)</f>
        <v/>
      </c>
    </row>
    <row r="153" ht="15" customHeight="1">
      <c r="A153" s="168" t="inlineStr">
        <is>
          <t>Monthly Waterfall of Sources &amp; Interest (DevCash → TaxEq → Ground → TE → Taxable → B-Bond → Deferred)</t>
        </is>
      </c>
      <c r="B153" s="167" t="n"/>
      <c r="C153" s="167" t="n"/>
      <c r="D153" s="167" t="n"/>
      <c r="E153" s="167" t="n"/>
      <c r="F153" s="167" t="n"/>
      <c r="G153" s="167" t="n"/>
      <c r="H153" s="167" t="n"/>
      <c r="I153" s="167" t="n"/>
      <c r="J153" s="167" t="n"/>
      <c r="K153" s="167" t="n"/>
      <c r="L153" s="167" t="n"/>
      <c r="M153" s="167" t="n"/>
      <c r="N153" s="167" t="n"/>
      <c r="O153" s="167" t="n"/>
      <c r="P153" s="167" t="n"/>
      <c r="Q153" s="167" t="n"/>
      <c r="R153" s="167" t="n"/>
      <c r="S153" s="167" t="n"/>
      <c r="T153" s="167" t="n"/>
      <c r="U153" s="167" t="n"/>
      <c r="V153" s="167" t="n"/>
      <c r="W153" s="167" t="n"/>
      <c r="X153" s="167" t="n"/>
      <c r="Y153" s="167" t="n"/>
      <c r="Z153" s="167" t="n"/>
      <c r="AA153" s="167" t="n"/>
      <c r="AB153" s="167" t="n"/>
      <c r="AC153" s="167" t="n"/>
      <c r="AD153" s="167" t="n"/>
      <c r="AE153" s="167" t="n"/>
      <c r="AF153" s="167" t="n"/>
    </row>
    <row r="154" ht="16" customHeight="1">
      <c r="A154" s="116" t="inlineStr">
        <is>
          <t>Mo</t>
        </is>
      </c>
      <c r="B154" s="116" t="inlineStr">
        <is>
          <t>Uses</t>
        </is>
      </c>
      <c r="C154" s="121" t="inlineStr">
        <is>
          <t>DevCash Beg</t>
        </is>
      </c>
      <c r="D154" s="121" t="inlineStr">
        <is>
          <t>DevCash Draw</t>
        </is>
      </c>
      <c r="E154" s="121" t="inlineStr">
        <is>
          <t>DevCash End</t>
        </is>
      </c>
      <c r="F154" s="123" t="inlineStr">
        <is>
          <t>TaxEq Beg</t>
        </is>
      </c>
      <c r="G154" s="123" t="inlineStr">
        <is>
          <t>TaxEq Draw</t>
        </is>
      </c>
      <c r="H154" s="123" t="inlineStr">
        <is>
          <t>TaxEq End</t>
        </is>
      </c>
      <c r="I154" s="125" t="inlineStr">
        <is>
          <t>Ground Beg</t>
        </is>
      </c>
      <c r="J154" s="125" t="inlineStr">
        <is>
          <t>Ground Draw</t>
        </is>
      </c>
      <c r="K154" s="125" t="inlineStr">
        <is>
          <t>Ground End</t>
        </is>
      </c>
      <c r="L154" s="312" t="inlineStr">
        <is>
          <t>SD Beg</t>
        </is>
      </c>
      <c r="M154" s="312" t="inlineStr">
        <is>
          <t>SD Draw</t>
        </is>
      </c>
      <c r="N154" s="312" t="inlineStr">
        <is>
          <t>SD Int</t>
        </is>
      </c>
      <c r="O154" s="312" t="inlineStr">
        <is>
          <t>SD End</t>
        </is>
      </c>
      <c r="P154" s="131" t="inlineStr">
        <is>
          <t>B Beg</t>
        </is>
      </c>
      <c r="Q154" s="131" t="inlineStr">
        <is>
          <t>B Draw</t>
        </is>
      </c>
      <c r="R154" s="131" t="inlineStr">
        <is>
          <t>B Int</t>
        </is>
      </c>
      <c r="S154" s="131" t="inlineStr">
        <is>
          <t>B End</t>
        </is>
      </c>
      <c r="T154" s="127" t="inlineStr">
        <is>
          <t>TE Beg</t>
        </is>
      </c>
      <c r="U154" s="127" t="inlineStr">
        <is>
          <t>TE Draw</t>
        </is>
      </c>
      <c r="V154" s="127" t="inlineStr">
        <is>
          <t>TE Int</t>
        </is>
      </c>
      <c r="W154" s="127" t="inlineStr">
        <is>
          <t>TE End</t>
        </is>
      </c>
      <c r="X154" s="129" t="inlineStr">
        <is>
          <t>Tax Beg</t>
        </is>
      </c>
      <c r="Y154" s="129" t="inlineStr">
        <is>
          <t>Tax Draw</t>
        </is>
      </c>
      <c r="Z154" s="129" t="inlineStr">
        <is>
          <t>Tax Int</t>
        </is>
      </c>
      <c r="AA154" s="129" t="inlineStr">
        <is>
          <t>Tax End</t>
        </is>
      </c>
      <c r="AB154" s="116" t="inlineStr">
        <is>
          <t>DefDF Beg</t>
        </is>
      </c>
      <c r="AC154" s="116" t="inlineStr">
        <is>
          <t>DefDF Draw</t>
        </is>
      </c>
      <c r="AD154" s="116" t="inlineStr">
        <is>
          <t>DefDF End</t>
        </is>
      </c>
      <c r="AE154" s="116" t="inlineStr">
        <is>
          <t>Total Beg</t>
        </is>
      </c>
      <c r="AF154" s="116" t="inlineStr">
        <is>
          <t>Total Int</t>
        </is>
      </c>
      <c r="AG154" s="116" t="inlineStr">
        <is>
          <t>Total End</t>
        </is>
      </c>
    </row>
    <row r="155">
      <c r="A155" s="117" t="n">
        <v>1</v>
      </c>
      <c r="B155" s="356">
        <f>I92</f>
        <v/>
      </c>
      <c r="C155" s="357">
        <f>$F$5</f>
        <v/>
      </c>
      <c r="D155" s="357">
        <f>MIN(B155, C155)</f>
        <v/>
      </c>
      <c r="E155" s="357">
        <f>C155-D155</f>
        <v/>
      </c>
      <c r="F155" s="358">
        <f>$F$6*$C$13</f>
        <v/>
      </c>
      <c r="G155" s="358">
        <f>MIN(B155-D155, F155)</f>
        <v/>
      </c>
      <c r="H155" s="358">
        <f>F155-G155</f>
        <v/>
      </c>
      <c r="I155" s="359">
        <f>$F$7</f>
        <v/>
      </c>
      <c r="J155" s="359">
        <f>MIN(B155-D155-G155, I155)</f>
        <v/>
      </c>
      <c r="K155" s="359">
        <f>I155-J155</f>
        <v/>
      </c>
      <c r="L155" s="360" t="n"/>
      <c r="M155" s="360" t="n"/>
      <c r="N155" s="360" t="n"/>
      <c r="O155" s="360" t="n"/>
      <c r="P155" s="361" t="n">
        <v>0</v>
      </c>
      <c r="Q155" s="361">
        <f>MAX(0, MIN($F$10-SUM($Q154:Q$154), B155-D155-G155-J155-M155))</f>
        <v/>
      </c>
      <c r="R155" s="361">
        <f>$D$19*P155</f>
        <v/>
      </c>
      <c r="S155" s="361">
        <f>P155+Q155+R155</f>
        <v/>
      </c>
      <c r="T155" s="362" t="n">
        <v>0</v>
      </c>
      <c r="U155" s="362">
        <f>MAX(0, MIN($F$8-SUM($U154:U$154), B155-D155-G155-J155-Q155-M155))</f>
        <v/>
      </c>
      <c r="V155" s="362">
        <f>$D$17*T155</f>
        <v/>
      </c>
      <c r="W155" s="362">
        <f>T155+U155+V155</f>
        <v/>
      </c>
      <c r="X155" s="363" t="n">
        <v>0</v>
      </c>
      <c r="Y155" s="363">
        <f>MAX(0, MIN($F$9-SUM($Y154:Y$154), B155-D155-G155-J155-U155-Q155-M155))</f>
        <v/>
      </c>
      <c r="Z155" s="363">
        <f>$D$18*X155</f>
        <v/>
      </c>
      <c r="AA155" s="363">
        <f>X155+Y155+Z155</f>
        <v/>
      </c>
      <c r="AB155" s="356">
        <f>$F$11</f>
        <v/>
      </c>
      <c r="AC155" s="356">
        <f>MAX(0, MIN(AB155, B155-D155-G155-J155-U155-Y155-Q155-M155))</f>
        <v/>
      </c>
      <c r="AD155" s="356">
        <f>AB155-AC155</f>
        <v/>
      </c>
      <c r="AE155" s="356">
        <f>C155+F155+I155+T155+X155+P155+AB155</f>
        <v/>
      </c>
      <c r="AF155" s="356">
        <f>V155+Z155+R155+N155</f>
        <v/>
      </c>
      <c r="AG155" s="356">
        <f>E155+H155+K155+W155+AA155+S155+AD155</f>
        <v/>
      </c>
    </row>
    <row r="156">
      <c r="A156" s="117" t="n">
        <v>2</v>
      </c>
      <c r="B156" s="356">
        <f>I93</f>
        <v/>
      </c>
      <c r="C156" s="357">
        <f>E155</f>
        <v/>
      </c>
      <c r="D156" s="357">
        <f>MIN(B156, C156)</f>
        <v/>
      </c>
      <c r="E156" s="357">
        <f>C156-D156</f>
        <v/>
      </c>
      <c r="F156" s="358">
        <f>H155</f>
        <v/>
      </c>
      <c r="G156" s="358">
        <f>MIN(B156-D156, F156)</f>
        <v/>
      </c>
      <c r="H156" s="358">
        <f>F156-G156</f>
        <v/>
      </c>
      <c r="I156" s="359">
        <f>K155</f>
        <v/>
      </c>
      <c r="J156" s="359">
        <f>MIN(B156-D156-G156, I156)</f>
        <v/>
      </c>
      <c r="K156" s="359">
        <f>I156-J156</f>
        <v/>
      </c>
      <c r="L156" s="360" t="n"/>
      <c r="M156" s="360" t="n"/>
      <c r="N156" s="360" t="n"/>
      <c r="O156" s="360" t="n"/>
      <c r="P156" s="361">
        <f>IF($A156&lt;=$C$7,S155,0)</f>
        <v/>
      </c>
      <c r="Q156" s="361">
        <f>MAX(0, MIN($F$10-SUM($Q$154:Q155), B156-D156-G156-J156-M156))</f>
        <v/>
      </c>
      <c r="R156" s="361">
        <f>$D$19*P156</f>
        <v/>
      </c>
      <c r="S156" s="361">
        <f>P156+Q156+R156</f>
        <v/>
      </c>
      <c r="T156" s="362">
        <f>IF($A156&lt;=$C$7,W155,0)</f>
        <v/>
      </c>
      <c r="U156" s="362">
        <f>MAX(0, MIN($F$8-SUM($U$154:U155), B156-D156-G156-J156-Q156-M156))</f>
        <v/>
      </c>
      <c r="V156" s="362">
        <f>$D$17*T156</f>
        <v/>
      </c>
      <c r="W156" s="362">
        <f>T156+U156+V156</f>
        <v/>
      </c>
      <c r="X156" s="363">
        <f>IF($A156&lt;=$C$7,AA155,0)</f>
        <v/>
      </c>
      <c r="Y156" s="363">
        <f>MAX(0, MIN($F$9-SUM($Y$154:Y155), B156-D156-G156-J156-U156-Q156-M156))</f>
        <v/>
      </c>
      <c r="Z156" s="363">
        <f>$D$18*X156</f>
        <v/>
      </c>
      <c r="AA156" s="363">
        <f>X156+Y156+Z156</f>
        <v/>
      </c>
      <c r="AB156" s="356">
        <f>AB155</f>
        <v/>
      </c>
      <c r="AC156" s="356">
        <f>MAX(0, MIN(AB156, B156-D156-G156-J156-U156-Y156-Q156))</f>
        <v/>
      </c>
      <c r="AD156" s="356">
        <f>AB156-AC156</f>
        <v/>
      </c>
      <c r="AE156" s="356">
        <f>C156+F156+I156+T156+X156+P156+AB156</f>
        <v/>
      </c>
      <c r="AF156" s="356">
        <f>V156+Z156+R156+N156</f>
        <v/>
      </c>
      <c r="AG156" s="356">
        <f>E156+H156+K156+W156+AA156+S156+AD156</f>
        <v/>
      </c>
    </row>
    <row r="157">
      <c r="A157" s="117" t="n">
        <v>3</v>
      </c>
      <c r="B157" s="356">
        <f>I94</f>
        <v/>
      </c>
      <c r="C157" s="357">
        <f>E156</f>
        <v/>
      </c>
      <c r="D157" s="357">
        <f>MIN(B157, C157)</f>
        <v/>
      </c>
      <c r="E157" s="357">
        <f>C157-D157</f>
        <v/>
      </c>
      <c r="F157" s="358">
        <f>H156</f>
        <v/>
      </c>
      <c r="G157" s="358">
        <f>MIN(B157-D157, F157)</f>
        <v/>
      </c>
      <c r="H157" s="358">
        <f>F157-G157</f>
        <v/>
      </c>
      <c r="I157" s="359">
        <f>K156</f>
        <v/>
      </c>
      <c r="J157" s="359">
        <f>MIN(B157-D157-G157, I157)</f>
        <v/>
      </c>
      <c r="K157" s="359">
        <f>I157-J157</f>
        <v/>
      </c>
      <c r="L157" s="360" t="n"/>
      <c r="M157" s="360" t="n"/>
      <c r="N157" s="360" t="n"/>
      <c r="O157" s="360" t="n"/>
      <c r="P157" s="361">
        <f>IF($A157&lt;=$C$7,S156,0)</f>
        <v/>
      </c>
      <c r="Q157" s="361">
        <f>MAX(0, MIN($F$10-SUM($Q$154:Q156), B157-D157-G157-J157-M157))</f>
        <v/>
      </c>
      <c r="R157" s="361">
        <f>$D$19*P157</f>
        <v/>
      </c>
      <c r="S157" s="361">
        <f>P157+Q157+R157</f>
        <v/>
      </c>
      <c r="T157" s="362">
        <f>IF($A157&lt;=$C$7,W156,0)</f>
        <v/>
      </c>
      <c r="U157" s="362">
        <f>MAX(0, MIN($F$8-SUM($U$154:U156), B157-D157-G157-J157-Q157-M157))</f>
        <v/>
      </c>
      <c r="V157" s="362">
        <f>$D$17*T157</f>
        <v/>
      </c>
      <c r="W157" s="362">
        <f>T157+U157+V157</f>
        <v/>
      </c>
      <c r="X157" s="363">
        <f>IF($A157&lt;=$C$7,AA156,0)</f>
        <v/>
      </c>
      <c r="Y157" s="363">
        <f>MAX(0, MIN($F$9-SUM($Y$154:Y156), B157-D157-G157-J157-U157-Q157-M157))</f>
        <v/>
      </c>
      <c r="Z157" s="363">
        <f>$D$18*X157</f>
        <v/>
      </c>
      <c r="AA157" s="363">
        <f>X157+Y157+Z157</f>
        <v/>
      </c>
      <c r="AB157" s="356">
        <f>AB156</f>
        <v/>
      </c>
      <c r="AC157" s="356">
        <f>MAX(0, MIN(AB157, B157-D157-G157-J157-U157-Y157-Q157))</f>
        <v/>
      </c>
      <c r="AD157" s="356">
        <f>AB157-AC157</f>
        <v/>
      </c>
      <c r="AE157" s="356">
        <f>C157+F157+I157+T157+X157+P157+AB157</f>
        <v/>
      </c>
      <c r="AF157" s="356">
        <f>V157+Z157+R157+N157</f>
        <v/>
      </c>
      <c r="AG157" s="356">
        <f>E157+H157+K157+W157+AA157+S157+AD157</f>
        <v/>
      </c>
    </row>
    <row r="158">
      <c r="A158" s="117" t="n">
        <v>4</v>
      </c>
      <c r="B158" s="356">
        <f>I95</f>
        <v/>
      </c>
      <c r="C158" s="357">
        <f>E157</f>
        <v/>
      </c>
      <c r="D158" s="357">
        <f>MIN(B158, C158)</f>
        <v/>
      </c>
      <c r="E158" s="357">
        <f>C158-D158</f>
        <v/>
      </c>
      <c r="F158" s="358">
        <f>H157</f>
        <v/>
      </c>
      <c r="G158" s="358">
        <f>MIN(B158-D158, F158)</f>
        <v/>
      </c>
      <c r="H158" s="358">
        <f>F158-G158</f>
        <v/>
      </c>
      <c r="I158" s="359">
        <f>K157</f>
        <v/>
      </c>
      <c r="J158" s="359">
        <f>MIN(B158-D158-G158, I158)</f>
        <v/>
      </c>
      <c r="K158" s="359">
        <f>I158-J158</f>
        <v/>
      </c>
      <c r="L158" s="360" t="n"/>
      <c r="M158" s="360" t="n"/>
      <c r="N158" s="360" t="n"/>
      <c r="O158" s="360" t="n"/>
      <c r="P158" s="361">
        <f>IF($A158&lt;=$C$7,S157,0)</f>
        <v/>
      </c>
      <c r="Q158" s="361">
        <f>MAX(0, MIN($F$10-SUM($Q$154:Q157), B158-D158-G158-J158-M158))</f>
        <v/>
      </c>
      <c r="R158" s="361">
        <f>$D$19*P158</f>
        <v/>
      </c>
      <c r="S158" s="361">
        <f>P158+Q158+R158</f>
        <v/>
      </c>
      <c r="T158" s="362">
        <f>IF($A158&lt;=$C$7,W157,0)</f>
        <v/>
      </c>
      <c r="U158" s="362">
        <f>MAX(0, MIN($F$8-SUM($U$154:U157), B158-D158-G158-J158-Q158-M158))</f>
        <v/>
      </c>
      <c r="V158" s="362">
        <f>$D$17*T158</f>
        <v/>
      </c>
      <c r="W158" s="362">
        <f>T158+U158+V158</f>
        <v/>
      </c>
      <c r="X158" s="363">
        <f>IF($A158&lt;=$C$7,AA157,0)</f>
        <v/>
      </c>
      <c r="Y158" s="363">
        <f>MAX(0, MIN($F$9-SUM($Y$154:Y157), B158-D158-G158-J158-U158-Q158-M158))</f>
        <v/>
      </c>
      <c r="Z158" s="363">
        <f>$D$18*X158</f>
        <v/>
      </c>
      <c r="AA158" s="363">
        <f>X158+Y158+Z158</f>
        <v/>
      </c>
      <c r="AB158" s="356">
        <f>AB157</f>
        <v/>
      </c>
      <c r="AC158" s="356">
        <f>MAX(0, MIN(AB158, B158-D158-G158-J158-U158-Y158-Q158))</f>
        <v/>
      </c>
      <c r="AD158" s="356">
        <f>AB158-AC158</f>
        <v/>
      </c>
      <c r="AE158" s="356">
        <f>C158+F158+I158+T158+X158+P158+AB158</f>
        <v/>
      </c>
      <c r="AF158" s="356">
        <f>V158+Z158+R158+N158</f>
        <v/>
      </c>
      <c r="AG158" s="356">
        <f>E158+H158+K158+W158+AA158+S158+AD158</f>
        <v/>
      </c>
    </row>
    <row r="159">
      <c r="A159" s="117" t="n">
        <v>5</v>
      </c>
      <c r="B159" s="356">
        <f>I96</f>
        <v/>
      </c>
      <c r="C159" s="357">
        <f>E158</f>
        <v/>
      </c>
      <c r="D159" s="357">
        <f>MIN(B159, C159)</f>
        <v/>
      </c>
      <c r="E159" s="357">
        <f>C159-D159</f>
        <v/>
      </c>
      <c r="F159" s="358">
        <f>H158</f>
        <v/>
      </c>
      <c r="G159" s="358">
        <f>MIN(B159-D159, F159)</f>
        <v/>
      </c>
      <c r="H159" s="358">
        <f>F159-G159</f>
        <v/>
      </c>
      <c r="I159" s="359">
        <f>K158</f>
        <v/>
      </c>
      <c r="J159" s="359">
        <f>MIN(B159-D159-G159, I159)</f>
        <v/>
      </c>
      <c r="K159" s="359">
        <f>I159-J159</f>
        <v/>
      </c>
      <c r="L159" s="360" t="n"/>
      <c r="M159" s="360" t="n"/>
      <c r="N159" s="360" t="n"/>
      <c r="O159" s="360" t="n"/>
      <c r="P159" s="361">
        <f>IF($A159&lt;=$C$7,S158,0)</f>
        <v/>
      </c>
      <c r="Q159" s="361">
        <f>MAX(0, MIN($F$10-SUM($Q$154:Q158), B159-D159-G159-J159-M159))</f>
        <v/>
      </c>
      <c r="R159" s="361">
        <f>$D$19*P159</f>
        <v/>
      </c>
      <c r="S159" s="361">
        <f>P159+Q159+R159</f>
        <v/>
      </c>
      <c r="T159" s="362">
        <f>IF($A159&lt;=$C$7,W158,0)</f>
        <v/>
      </c>
      <c r="U159" s="362">
        <f>MAX(0, MIN($F$8-SUM($U$154:U158), B159-D159-G159-J159-Q159-M159))</f>
        <v/>
      </c>
      <c r="V159" s="362">
        <f>$D$17*T159</f>
        <v/>
      </c>
      <c r="W159" s="362">
        <f>T159+U159+V159</f>
        <v/>
      </c>
      <c r="X159" s="363">
        <f>IF($A159&lt;=$C$7,AA158,0)</f>
        <v/>
      </c>
      <c r="Y159" s="363">
        <f>MAX(0, MIN($F$9-SUM($Y$154:Y158), B159-D159-G159-J159-U159-Q159-M159))</f>
        <v/>
      </c>
      <c r="Z159" s="363">
        <f>$D$18*X159</f>
        <v/>
      </c>
      <c r="AA159" s="363">
        <f>X159+Y159+Z159</f>
        <v/>
      </c>
      <c r="AB159" s="356">
        <f>AB158</f>
        <v/>
      </c>
      <c r="AC159" s="356">
        <f>MAX(0, MIN(AB159, B159-D159-G159-J159-U159-Y159-Q159))</f>
        <v/>
      </c>
      <c r="AD159" s="356">
        <f>AB159-AC159</f>
        <v/>
      </c>
      <c r="AE159" s="356">
        <f>C159+F159+I159+T159+X159+P159+AB159</f>
        <v/>
      </c>
      <c r="AF159" s="356">
        <f>V159+Z159+R159+N159</f>
        <v/>
      </c>
      <c r="AG159" s="356">
        <f>E159+H159+K159+W159+AA159+S159+AD159</f>
        <v/>
      </c>
    </row>
    <row r="160">
      <c r="A160" s="117" t="n">
        <v>6</v>
      </c>
      <c r="B160" s="356">
        <f>I97</f>
        <v/>
      </c>
      <c r="C160" s="357">
        <f>E159</f>
        <v/>
      </c>
      <c r="D160" s="357">
        <f>MIN(B160, C160)</f>
        <v/>
      </c>
      <c r="E160" s="357">
        <f>C160-D160</f>
        <v/>
      </c>
      <c r="F160" s="358">
        <f>H159</f>
        <v/>
      </c>
      <c r="G160" s="358">
        <f>MIN(B160-D160, F160)</f>
        <v/>
      </c>
      <c r="H160" s="358">
        <f>F160-G160</f>
        <v/>
      </c>
      <c r="I160" s="359">
        <f>K159</f>
        <v/>
      </c>
      <c r="J160" s="359">
        <f>MIN(B160-D160-G160, I160)</f>
        <v/>
      </c>
      <c r="K160" s="359">
        <f>I160-J160</f>
        <v/>
      </c>
      <c r="L160" s="360" t="n"/>
      <c r="M160" s="360" t="n"/>
      <c r="N160" s="360" t="n"/>
      <c r="O160" s="360" t="n"/>
      <c r="P160" s="361">
        <f>IF($A160&lt;=$C$7,S159,0)</f>
        <v/>
      </c>
      <c r="Q160" s="361">
        <f>MAX(0, MIN($F$10-SUM($Q$154:Q159), B160-D160-G160-J160-M160))</f>
        <v/>
      </c>
      <c r="R160" s="361">
        <f>$D$19*P160</f>
        <v/>
      </c>
      <c r="S160" s="361">
        <f>P160+Q160+R160</f>
        <v/>
      </c>
      <c r="T160" s="362">
        <f>IF($A160&lt;=$C$7,W159,0)</f>
        <v/>
      </c>
      <c r="U160" s="362">
        <f>MAX(0, MIN($F$8-SUM($U$154:U159), B160-D160-G160-J160-Q160-M160))</f>
        <v/>
      </c>
      <c r="V160" s="362">
        <f>$D$17*T160</f>
        <v/>
      </c>
      <c r="W160" s="362">
        <f>T160+U160+V160</f>
        <v/>
      </c>
      <c r="X160" s="363">
        <f>IF($A160&lt;=$C$7,AA159,0)</f>
        <v/>
      </c>
      <c r="Y160" s="363">
        <f>MAX(0, MIN($F$9-SUM($Y$154:Y159), B160-D160-G160-J160-U160-Q160-M160))</f>
        <v/>
      </c>
      <c r="Z160" s="363">
        <f>$D$18*X160</f>
        <v/>
      </c>
      <c r="AA160" s="363">
        <f>X160+Y160+Z160</f>
        <v/>
      </c>
      <c r="AB160" s="356">
        <f>AB159</f>
        <v/>
      </c>
      <c r="AC160" s="356">
        <f>MAX(0, MIN(AB160, B160-D160-G160-J160-U160-Y160-Q160))</f>
        <v/>
      </c>
      <c r="AD160" s="356">
        <f>AB160-AC160</f>
        <v/>
      </c>
      <c r="AE160" s="356">
        <f>C160+F160+I160+T160+X160+P160+AB160</f>
        <v/>
      </c>
      <c r="AF160" s="356">
        <f>V160+Z160+R160+N160</f>
        <v/>
      </c>
      <c r="AG160" s="356">
        <f>E160+H160+K160+W160+AA160+S160+AD160</f>
        <v/>
      </c>
    </row>
    <row r="161">
      <c r="A161" s="117" t="n">
        <v>7</v>
      </c>
      <c r="B161" s="356">
        <f>I98</f>
        <v/>
      </c>
      <c r="C161" s="357">
        <f>E160</f>
        <v/>
      </c>
      <c r="D161" s="357">
        <f>MIN(B161, C161)</f>
        <v/>
      </c>
      <c r="E161" s="357">
        <f>C161-D161</f>
        <v/>
      </c>
      <c r="F161" s="358">
        <f>H160</f>
        <v/>
      </c>
      <c r="G161" s="358">
        <f>MIN(B161-D161, F161)</f>
        <v/>
      </c>
      <c r="H161" s="358">
        <f>F161-G161</f>
        <v/>
      </c>
      <c r="I161" s="359">
        <f>K160</f>
        <v/>
      </c>
      <c r="J161" s="359">
        <f>MIN(B161-D161-G161, I161)</f>
        <v/>
      </c>
      <c r="K161" s="359">
        <f>I161-J161</f>
        <v/>
      </c>
      <c r="L161" s="360" t="n"/>
      <c r="M161" s="360" t="n"/>
      <c r="N161" s="360" t="n"/>
      <c r="O161" s="360" t="n"/>
      <c r="P161" s="361">
        <f>IF($A161&lt;=$C$7,S160,0)</f>
        <v/>
      </c>
      <c r="Q161" s="361">
        <f>MAX(0, MIN($F$10-SUM($Q$154:Q160), B161-D161-G161-J161-M161))</f>
        <v/>
      </c>
      <c r="R161" s="361">
        <f>$D$19*P161</f>
        <v/>
      </c>
      <c r="S161" s="361">
        <f>P161+Q161+R161</f>
        <v/>
      </c>
      <c r="T161" s="362">
        <f>IF($A161&lt;=$C$7,W160,0)</f>
        <v/>
      </c>
      <c r="U161" s="362">
        <f>MAX(0, MIN($F$8-SUM($U$154:U160), B161-D161-G161-J161-Q161-M161))</f>
        <v/>
      </c>
      <c r="V161" s="362">
        <f>$D$17*T161</f>
        <v/>
      </c>
      <c r="W161" s="362">
        <f>T161+U161+V161</f>
        <v/>
      </c>
      <c r="X161" s="363">
        <f>IF($A161&lt;=$C$7,AA160,0)</f>
        <v/>
      </c>
      <c r="Y161" s="363">
        <f>MAX(0, MIN($F$9-SUM($Y$154:Y160), B161-D161-G161-J161-U161-Q161-M161))</f>
        <v/>
      </c>
      <c r="Z161" s="363">
        <f>$D$18*X161</f>
        <v/>
      </c>
      <c r="AA161" s="363">
        <f>X161+Y161+Z161</f>
        <v/>
      </c>
      <c r="AB161" s="356">
        <f>AB160</f>
        <v/>
      </c>
      <c r="AC161" s="356">
        <f>MAX(0, MIN(AB161, B161-D161-G161-J161-U161-Y161-Q161))</f>
        <v/>
      </c>
      <c r="AD161" s="356">
        <f>AB161-AC161</f>
        <v/>
      </c>
      <c r="AE161" s="356">
        <f>C161+F161+I161+T161+X161+P161+AB161</f>
        <v/>
      </c>
      <c r="AF161" s="356">
        <f>V161+Z161+R161+N161</f>
        <v/>
      </c>
      <c r="AG161" s="356">
        <f>E161+H161+K161+W161+AA161+S161+AD161</f>
        <v/>
      </c>
    </row>
    <row r="162">
      <c r="A162" s="117" t="n">
        <v>8</v>
      </c>
      <c r="B162" s="356">
        <f>I99</f>
        <v/>
      </c>
      <c r="C162" s="357">
        <f>E161</f>
        <v/>
      </c>
      <c r="D162" s="357">
        <f>MIN(B162, C162)</f>
        <v/>
      </c>
      <c r="E162" s="357">
        <f>C162-D162</f>
        <v/>
      </c>
      <c r="F162" s="358">
        <f>H161</f>
        <v/>
      </c>
      <c r="G162" s="358">
        <f>MIN(B162-D162, F162)</f>
        <v/>
      </c>
      <c r="H162" s="358">
        <f>F162-G162</f>
        <v/>
      </c>
      <c r="I162" s="359">
        <f>K161</f>
        <v/>
      </c>
      <c r="J162" s="359">
        <f>MIN(B162-D162-G162, I162)</f>
        <v/>
      </c>
      <c r="K162" s="359">
        <f>I162-J162</f>
        <v/>
      </c>
      <c r="L162" s="360" t="n"/>
      <c r="M162" s="360" t="n"/>
      <c r="N162" s="360" t="n"/>
      <c r="O162" s="360" t="n"/>
      <c r="P162" s="361">
        <f>IF($A162&lt;=$C$7,S161,0)</f>
        <v/>
      </c>
      <c r="Q162" s="361">
        <f>MAX(0, MIN($F$10-SUM($Q$154:Q161), B162-D162-G162-J162-M162))</f>
        <v/>
      </c>
      <c r="R162" s="361">
        <f>$D$19*P162</f>
        <v/>
      </c>
      <c r="S162" s="361">
        <f>P162+Q162+R162</f>
        <v/>
      </c>
      <c r="T162" s="362">
        <f>IF($A162&lt;=$C$7,W161,0)</f>
        <v/>
      </c>
      <c r="U162" s="362">
        <f>MAX(0, MIN($F$8-SUM($U$154:U161), B162-D162-G162-J162-Q162-M162))</f>
        <v/>
      </c>
      <c r="V162" s="362">
        <f>$D$17*T162</f>
        <v/>
      </c>
      <c r="W162" s="362">
        <f>T162+U162+V162</f>
        <v/>
      </c>
      <c r="X162" s="363">
        <f>IF($A162&lt;=$C$7,AA161,0)</f>
        <v/>
      </c>
      <c r="Y162" s="363">
        <f>MAX(0, MIN($F$9-SUM($Y$154:Y161), B162-D162-G162-J162-U162-Q162-M162))</f>
        <v/>
      </c>
      <c r="Z162" s="363">
        <f>$D$18*X162</f>
        <v/>
      </c>
      <c r="AA162" s="363">
        <f>X162+Y162+Z162</f>
        <v/>
      </c>
      <c r="AB162" s="356">
        <f>AB161</f>
        <v/>
      </c>
      <c r="AC162" s="356">
        <f>MAX(0, MIN(AB162, B162-D162-G162-J162-U162-Y162-Q162))</f>
        <v/>
      </c>
      <c r="AD162" s="356">
        <f>AB162-AC162</f>
        <v/>
      </c>
      <c r="AE162" s="356">
        <f>C162+F162+I162+T162+X162+P162+AB162</f>
        <v/>
      </c>
      <c r="AF162" s="356">
        <f>V162+Z162+R162+N162</f>
        <v/>
      </c>
      <c r="AG162" s="356">
        <f>E162+H162+K162+W162+AA162+S162+AD162</f>
        <v/>
      </c>
    </row>
    <row r="163">
      <c r="A163" s="117" t="n">
        <v>9</v>
      </c>
      <c r="B163" s="356">
        <f>I100</f>
        <v/>
      </c>
      <c r="C163" s="357">
        <f>E162</f>
        <v/>
      </c>
      <c r="D163" s="357">
        <f>MIN(B163, C163)</f>
        <v/>
      </c>
      <c r="E163" s="357">
        <f>C163-D163</f>
        <v/>
      </c>
      <c r="F163" s="358">
        <f>H162</f>
        <v/>
      </c>
      <c r="G163" s="358">
        <f>MIN(B163-D163, F163)</f>
        <v/>
      </c>
      <c r="H163" s="358">
        <f>F163-G163</f>
        <v/>
      </c>
      <c r="I163" s="359">
        <f>K162</f>
        <v/>
      </c>
      <c r="J163" s="359">
        <f>MIN(B163-D163-G163, I163)</f>
        <v/>
      </c>
      <c r="K163" s="359">
        <f>I163-J163</f>
        <v/>
      </c>
      <c r="L163" s="360" t="n"/>
      <c r="M163" s="360" t="n"/>
      <c r="N163" s="360" t="n"/>
      <c r="O163" s="360" t="n"/>
      <c r="P163" s="361">
        <f>IF($A163&lt;=$C$7,S162,0)</f>
        <v/>
      </c>
      <c r="Q163" s="361">
        <f>MAX(0, MIN($F$10-SUM($Q$154:Q162), B163-D163-G163-J163-M163))</f>
        <v/>
      </c>
      <c r="R163" s="361">
        <f>$D$19*P163</f>
        <v/>
      </c>
      <c r="S163" s="361">
        <f>P163+Q163+R163</f>
        <v/>
      </c>
      <c r="T163" s="362">
        <f>IF($A163&lt;=$C$7,W162,0)</f>
        <v/>
      </c>
      <c r="U163" s="362">
        <f>MAX(0, MIN($F$8-SUM($U$154:U162), B163-D163-G163-J163-Q163-M163))</f>
        <v/>
      </c>
      <c r="V163" s="362">
        <f>$D$17*T163</f>
        <v/>
      </c>
      <c r="W163" s="362">
        <f>T163+U163+V163</f>
        <v/>
      </c>
      <c r="X163" s="363">
        <f>IF($A163&lt;=$C$7,AA162,0)</f>
        <v/>
      </c>
      <c r="Y163" s="363">
        <f>MAX(0, MIN($F$9-SUM($Y$154:Y162), B163-D163-G163-J163-U163-Q163-M163))</f>
        <v/>
      </c>
      <c r="Z163" s="363">
        <f>$D$18*X163</f>
        <v/>
      </c>
      <c r="AA163" s="363">
        <f>X163+Y163+Z163</f>
        <v/>
      </c>
      <c r="AB163" s="356">
        <f>AB162</f>
        <v/>
      </c>
      <c r="AC163" s="356">
        <f>MAX(0, MIN(AB163, B163-D163-G163-J163-U163-Y163-Q163))</f>
        <v/>
      </c>
      <c r="AD163" s="356">
        <f>AB163-AC163</f>
        <v/>
      </c>
      <c r="AE163" s="356">
        <f>C163+F163+I163+T163+X163+P163+AB163</f>
        <v/>
      </c>
      <c r="AF163" s="356">
        <f>V163+Z163+R163+N163</f>
        <v/>
      </c>
      <c r="AG163" s="356">
        <f>E163+H163+K163+W163+AA163+S163+AD163</f>
        <v/>
      </c>
    </row>
    <row r="164">
      <c r="A164" s="117" t="n">
        <v>10</v>
      </c>
      <c r="B164" s="356">
        <f>I101</f>
        <v/>
      </c>
      <c r="C164" s="357">
        <f>E163</f>
        <v/>
      </c>
      <c r="D164" s="357">
        <f>MIN(B164, C164)</f>
        <v/>
      </c>
      <c r="E164" s="357">
        <f>C164-D164</f>
        <v/>
      </c>
      <c r="F164" s="358">
        <f>H163</f>
        <v/>
      </c>
      <c r="G164" s="358">
        <f>MIN(B164-D164, F164)</f>
        <v/>
      </c>
      <c r="H164" s="358">
        <f>F164-G164</f>
        <v/>
      </c>
      <c r="I164" s="359">
        <f>K163</f>
        <v/>
      </c>
      <c r="J164" s="359">
        <f>MIN(B164-D164-G164, I164)</f>
        <v/>
      </c>
      <c r="K164" s="359">
        <f>I164-J164</f>
        <v/>
      </c>
      <c r="L164" s="360" t="n"/>
      <c r="M164" s="360" t="n"/>
      <c r="N164" s="360" t="n"/>
      <c r="O164" s="360" t="n"/>
      <c r="P164" s="361">
        <f>IF($A164&lt;=$C$7,S163,0)</f>
        <v/>
      </c>
      <c r="Q164" s="361">
        <f>MAX(0, MIN($F$10-SUM($Q$154:Q163), B164-D164-G164-J164-M164))</f>
        <v/>
      </c>
      <c r="R164" s="361">
        <f>$D$19*P164</f>
        <v/>
      </c>
      <c r="S164" s="361">
        <f>P164+Q164+R164</f>
        <v/>
      </c>
      <c r="T164" s="362">
        <f>IF($A164&lt;=$C$7,W163,0)</f>
        <v/>
      </c>
      <c r="U164" s="362">
        <f>MAX(0, MIN($F$8-SUM($U$154:U163), B164-D164-G164-J164-Q164-M164))</f>
        <v/>
      </c>
      <c r="V164" s="362">
        <f>$D$17*T164</f>
        <v/>
      </c>
      <c r="W164" s="362">
        <f>T164+U164+V164</f>
        <v/>
      </c>
      <c r="X164" s="363">
        <f>IF($A164&lt;=$C$7,AA163,0)</f>
        <v/>
      </c>
      <c r="Y164" s="363">
        <f>MAX(0, MIN($F$9-SUM($Y$154:Y163), B164-D164-G164-J164-U164-Q164-M164))</f>
        <v/>
      </c>
      <c r="Z164" s="363">
        <f>$D$18*X164</f>
        <v/>
      </c>
      <c r="AA164" s="363">
        <f>X164+Y164+Z164</f>
        <v/>
      </c>
      <c r="AB164" s="356">
        <f>AB163</f>
        <v/>
      </c>
      <c r="AC164" s="356">
        <f>MAX(0, MIN(AB164, B164-D164-G164-J164-U164-Y164-Q164))</f>
        <v/>
      </c>
      <c r="AD164" s="356">
        <f>AB164-AC164</f>
        <v/>
      </c>
      <c r="AE164" s="356">
        <f>C164+F164+I164+T164+X164+P164+AB164</f>
        <v/>
      </c>
      <c r="AF164" s="356">
        <f>V164+Z164+R164+N164</f>
        <v/>
      </c>
      <c r="AG164" s="356">
        <f>E164+H164+K164+W164+AA164+S164+AD164</f>
        <v/>
      </c>
    </row>
    <row r="165">
      <c r="A165" s="117" t="n">
        <v>11</v>
      </c>
      <c r="B165" s="356">
        <f>I102</f>
        <v/>
      </c>
      <c r="C165" s="357">
        <f>E164</f>
        <v/>
      </c>
      <c r="D165" s="357">
        <f>MIN(B165, C165)</f>
        <v/>
      </c>
      <c r="E165" s="357">
        <f>C165-D165</f>
        <v/>
      </c>
      <c r="F165" s="358">
        <f>H164</f>
        <v/>
      </c>
      <c r="G165" s="358">
        <f>MIN(B165-D165, F165)</f>
        <v/>
      </c>
      <c r="H165" s="358">
        <f>F165-G165</f>
        <v/>
      </c>
      <c r="I165" s="359">
        <f>K164</f>
        <v/>
      </c>
      <c r="J165" s="359">
        <f>MIN(B165-D165-G165, I165)</f>
        <v/>
      </c>
      <c r="K165" s="359">
        <f>I165-J165</f>
        <v/>
      </c>
      <c r="L165" s="360" t="n"/>
      <c r="M165" s="360" t="n"/>
      <c r="N165" s="360" t="n"/>
      <c r="O165" s="360" t="n"/>
      <c r="P165" s="361">
        <f>IF($A165&lt;=$C$7,S164,0)</f>
        <v/>
      </c>
      <c r="Q165" s="361">
        <f>MAX(0, MIN($F$10-SUM($Q$154:Q164), B165-D165-G165-J165-M165))</f>
        <v/>
      </c>
      <c r="R165" s="361">
        <f>$D$19*P165</f>
        <v/>
      </c>
      <c r="S165" s="361">
        <f>P165+Q165+R165</f>
        <v/>
      </c>
      <c r="T165" s="362">
        <f>IF($A165&lt;=$C$7,W164,0)</f>
        <v/>
      </c>
      <c r="U165" s="362">
        <f>MAX(0, MIN($F$8-SUM($U$154:U164), B165-D165-G165-J165-Q165-M165))</f>
        <v/>
      </c>
      <c r="V165" s="362">
        <f>$D$17*T165</f>
        <v/>
      </c>
      <c r="W165" s="362">
        <f>T165+U165+V165</f>
        <v/>
      </c>
      <c r="X165" s="363">
        <f>IF($A165&lt;=$C$7,AA164,0)</f>
        <v/>
      </c>
      <c r="Y165" s="363">
        <f>MAX(0, MIN($F$9-SUM($Y$154:Y164), B165-D165-G165-J165-U165-Q165-M165))</f>
        <v/>
      </c>
      <c r="Z165" s="363">
        <f>$D$18*X165</f>
        <v/>
      </c>
      <c r="AA165" s="363">
        <f>X165+Y165+Z165</f>
        <v/>
      </c>
      <c r="AB165" s="356">
        <f>AB164</f>
        <v/>
      </c>
      <c r="AC165" s="356">
        <f>MAX(0, MIN(AB165, B165-D165-G165-J165-U165-Y165-Q165))</f>
        <v/>
      </c>
      <c r="AD165" s="356">
        <f>AB165-AC165</f>
        <v/>
      </c>
      <c r="AE165" s="356">
        <f>C165+F165+I165+T165+X165+P165+AB165</f>
        <v/>
      </c>
      <c r="AF165" s="356">
        <f>V165+Z165+R165+N165</f>
        <v/>
      </c>
      <c r="AG165" s="356">
        <f>E165+H165+K165+W165+AA165+S165+AD165</f>
        <v/>
      </c>
    </row>
    <row r="166">
      <c r="A166" s="117" t="n">
        <v>12</v>
      </c>
      <c r="B166" s="356">
        <f>I103</f>
        <v/>
      </c>
      <c r="C166" s="357">
        <f>E165</f>
        <v/>
      </c>
      <c r="D166" s="357">
        <f>MIN(B166, C166)</f>
        <v/>
      </c>
      <c r="E166" s="357">
        <f>C166-D166</f>
        <v/>
      </c>
      <c r="F166" s="358">
        <f>H165</f>
        <v/>
      </c>
      <c r="G166" s="358">
        <f>MIN(B166-D166, F166)</f>
        <v/>
      </c>
      <c r="H166" s="358">
        <f>F166-G166</f>
        <v/>
      </c>
      <c r="I166" s="359">
        <f>K165</f>
        <v/>
      </c>
      <c r="J166" s="359">
        <f>MIN(B166-D166-G166, I166)</f>
        <v/>
      </c>
      <c r="K166" s="359">
        <f>I166-J166</f>
        <v/>
      </c>
      <c r="L166" s="360" t="n"/>
      <c r="M166" s="360" t="n"/>
      <c r="N166" s="360" t="n"/>
      <c r="O166" s="360" t="n"/>
      <c r="P166" s="361">
        <f>IF($A166&lt;=$C$7,S165,0)</f>
        <v/>
      </c>
      <c r="Q166" s="361">
        <f>MAX(0, MIN($F$10-SUM($Q$154:Q165), B166-D166-G166-J166-M166))</f>
        <v/>
      </c>
      <c r="R166" s="361">
        <f>$D$19*P166</f>
        <v/>
      </c>
      <c r="S166" s="361">
        <f>P166+Q166+R166</f>
        <v/>
      </c>
      <c r="T166" s="362">
        <f>IF($A166&lt;=$C$7,W165,0)</f>
        <v/>
      </c>
      <c r="U166" s="362">
        <f>MAX(0, MIN($F$8-SUM($U$154:U165), B166-D166-G166-J166-Q166-M166))</f>
        <v/>
      </c>
      <c r="V166" s="362">
        <f>$D$17*T166</f>
        <v/>
      </c>
      <c r="W166" s="362">
        <f>T166+U166+V166</f>
        <v/>
      </c>
      <c r="X166" s="363">
        <f>IF($A166&lt;=$C$7,AA165,0)</f>
        <v/>
      </c>
      <c r="Y166" s="363">
        <f>MAX(0, MIN($F$9-SUM($Y$154:Y165), B166-D166-G166-J166-U166-Q166-M166))</f>
        <v/>
      </c>
      <c r="Z166" s="363">
        <f>$D$18*X166</f>
        <v/>
      </c>
      <c r="AA166" s="363">
        <f>X166+Y166+Z166</f>
        <v/>
      </c>
      <c r="AB166" s="356">
        <f>AB165</f>
        <v/>
      </c>
      <c r="AC166" s="356">
        <f>MAX(0, MIN(AB166, B166-D166-G166-J166-U166-Y166-Q166))</f>
        <v/>
      </c>
      <c r="AD166" s="356">
        <f>AB166-AC166</f>
        <v/>
      </c>
      <c r="AE166" s="356">
        <f>C166+F166+I166+T166+X166+P166+AB166</f>
        <v/>
      </c>
      <c r="AF166" s="356">
        <f>V166+Z166+R166+N166</f>
        <v/>
      </c>
      <c r="AG166" s="356">
        <f>E166+H166+K166+W166+AA166+S166+AD166</f>
        <v/>
      </c>
    </row>
    <row r="167">
      <c r="A167" s="117" t="n">
        <v>13</v>
      </c>
      <c r="B167" s="356">
        <f>I104</f>
        <v/>
      </c>
      <c r="C167" s="357">
        <f>E166</f>
        <v/>
      </c>
      <c r="D167" s="357">
        <f>MIN(B167, C167)</f>
        <v/>
      </c>
      <c r="E167" s="357">
        <f>C167-D167</f>
        <v/>
      </c>
      <c r="F167" s="358">
        <f>H166</f>
        <v/>
      </c>
      <c r="G167" s="358">
        <f>MIN(B167-D167, F167)</f>
        <v/>
      </c>
      <c r="H167" s="358">
        <f>F167-G167</f>
        <v/>
      </c>
      <c r="I167" s="359">
        <f>K166</f>
        <v/>
      </c>
      <c r="J167" s="359">
        <f>MIN(B167-D167-G167, I167)</f>
        <v/>
      </c>
      <c r="K167" s="359">
        <f>I167-J167</f>
        <v/>
      </c>
      <c r="L167" s="360" t="n"/>
      <c r="M167" s="360" t="n"/>
      <c r="N167" s="360" t="n"/>
      <c r="O167" s="360" t="n"/>
      <c r="P167" s="361">
        <f>IF($A167&lt;=$C$7,S166,0)</f>
        <v/>
      </c>
      <c r="Q167" s="361">
        <f>MAX(0, MIN($F$10-SUM($Q$154:Q166), B167-D167-G167-J167-M167))</f>
        <v/>
      </c>
      <c r="R167" s="361">
        <f>$D$19*P167</f>
        <v/>
      </c>
      <c r="S167" s="361">
        <f>P167+Q167+R167</f>
        <v/>
      </c>
      <c r="T167" s="362">
        <f>IF($A167&lt;=$C$7,W166,0)</f>
        <v/>
      </c>
      <c r="U167" s="362">
        <f>MAX(0, MIN($F$8-SUM($U$154:U166), B167-D167-G167-J167-Q167-M167))</f>
        <v/>
      </c>
      <c r="V167" s="362">
        <f>$D$17*T167</f>
        <v/>
      </c>
      <c r="W167" s="362">
        <f>T167+U167+V167</f>
        <v/>
      </c>
      <c r="X167" s="363">
        <f>IF($A167&lt;=$C$7,AA166,0)</f>
        <v/>
      </c>
      <c r="Y167" s="363">
        <f>MAX(0, MIN($F$9-SUM($Y$154:Y166), B167-D167-G167-J167-U167-Q167-M167))</f>
        <v/>
      </c>
      <c r="Z167" s="363">
        <f>$D$18*X167</f>
        <v/>
      </c>
      <c r="AA167" s="363">
        <f>X167+Y167+Z167</f>
        <v/>
      </c>
      <c r="AB167" s="356">
        <f>AB166</f>
        <v/>
      </c>
      <c r="AC167" s="356">
        <f>MAX(0, MIN(AB167, B167-D167-G167-J167-U167-Y167-Q167))</f>
        <v/>
      </c>
      <c r="AD167" s="356">
        <f>AB167-AC167</f>
        <v/>
      </c>
      <c r="AE167" s="356">
        <f>C167+F167+I167+T167+X167+P167+AB167</f>
        <v/>
      </c>
      <c r="AF167" s="356">
        <f>V167+Z167+R167+N167</f>
        <v/>
      </c>
      <c r="AG167" s="356">
        <f>E167+H167+K167+W167+AA167+S167+AD167</f>
        <v/>
      </c>
    </row>
    <row r="168">
      <c r="A168" s="117" t="n">
        <v>14</v>
      </c>
      <c r="B168" s="356">
        <f>I105</f>
        <v/>
      </c>
      <c r="C168" s="357">
        <f>E167</f>
        <v/>
      </c>
      <c r="D168" s="357">
        <f>MIN(B168, C168)</f>
        <v/>
      </c>
      <c r="E168" s="357">
        <f>C168-D168</f>
        <v/>
      </c>
      <c r="F168" s="358">
        <f>H167</f>
        <v/>
      </c>
      <c r="G168" s="358">
        <f>MIN(B168-D168, F168)</f>
        <v/>
      </c>
      <c r="H168" s="358">
        <f>F168-G168</f>
        <v/>
      </c>
      <c r="I168" s="359">
        <f>K167</f>
        <v/>
      </c>
      <c r="J168" s="359">
        <f>MIN(B168-D168-G168, I168)</f>
        <v/>
      </c>
      <c r="K168" s="359">
        <f>I168-J168</f>
        <v/>
      </c>
      <c r="L168" s="360" t="n"/>
      <c r="M168" s="360" t="n"/>
      <c r="N168" s="360" t="n"/>
      <c r="O168" s="360" t="n"/>
      <c r="P168" s="361">
        <f>IF($A168&lt;=$C$7,S167,0)</f>
        <v/>
      </c>
      <c r="Q168" s="361">
        <f>MAX(0, MIN($F$10-SUM($Q$154:Q167), B168-D168-G168-J168-M168))</f>
        <v/>
      </c>
      <c r="R168" s="361">
        <f>$D$19*P168</f>
        <v/>
      </c>
      <c r="S168" s="361">
        <f>P168+Q168+R168</f>
        <v/>
      </c>
      <c r="T168" s="362">
        <f>IF($A168&lt;=$C$7,W167,0)</f>
        <v/>
      </c>
      <c r="U168" s="362">
        <f>MAX(0, MIN($F$8-SUM($U$154:U167), B168-D168-G168-J168-Q168-M168))</f>
        <v/>
      </c>
      <c r="V168" s="362">
        <f>$D$17*T168</f>
        <v/>
      </c>
      <c r="W168" s="362">
        <f>T168+U168+V168</f>
        <v/>
      </c>
      <c r="X168" s="363">
        <f>IF($A168&lt;=$C$7,AA167,0)</f>
        <v/>
      </c>
      <c r="Y168" s="363">
        <f>MAX(0, MIN($F$9-SUM($Y$154:Y167), B168-D168-G168-J168-U168-Q168-M168))</f>
        <v/>
      </c>
      <c r="Z168" s="363">
        <f>$D$18*X168</f>
        <v/>
      </c>
      <c r="AA168" s="363">
        <f>X168+Y168+Z168</f>
        <v/>
      </c>
      <c r="AB168" s="356">
        <f>AB167</f>
        <v/>
      </c>
      <c r="AC168" s="356">
        <f>MAX(0, MIN(AB168, B168-D168-G168-J168-U168-Y168-Q168))</f>
        <v/>
      </c>
      <c r="AD168" s="356">
        <f>AB168-AC168</f>
        <v/>
      </c>
      <c r="AE168" s="356">
        <f>C168+F168+I168+T168+X168+P168+AB168</f>
        <v/>
      </c>
      <c r="AF168" s="356">
        <f>V168+Z168+R168+N168</f>
        <v/>
      </c>
      <c r="AG168" s="356">
        <f>E168+H168+K168+W168+AA168+S168+AD168</f>
        <v/>
      </c>
    </row>
    <row r="169">
      <c r="A169" s="117" t="n">
        <v>15</v>
      </c>
      <c r="B169" s="356">
        <f>I106</f>
        <v/>
      </c>
      <c r="C169" s="357">
        <f>E168</f>
        <v/>
      </c>
      <c r="D169" s="357">
        <f>MIN(B169, C169)</f>
        <v/>
      </c>
      <c r="E169" s="357">
        <f>C169-D169</f>
        <v/>
      </c>
      <c r="F169" s="358">
        <f>H168</f>
        <v/>
      </c>
      <c r="G169" s="358">
        <f>MIN(B169-D169, F169)</f>
        <v/>
      </c>
      <c r="H169" s="358">
        <f>F169-G169</f>
        <v/>
      </c>
      <c r="I169" s="359">
        <f>K168</f>
        <v/>
      </c>
      <c r="J169" s="359">
        <f>MIN(B169-D169-G169, I169)</f>
        <v/>
      </c>
      <c r="K169" s="359">
        <f>I169-J169</f>
        <v/>
      </c>
      <c r="L169" s="360" t="n"/>
      <c r="M169" s="360" t="n"/>
      <c r="N169" s="360" t="n"/>
      <c r="O169" s="360" t="n"/>
      <c r="P169" s="361">
        <f>IF($A169&lt;=$C$7,S168,0)</f>
        <v/>
      </c>
      <c r="Q169" s="361">
        <f>MAX(0, MIN($F$10-SUM($Q$154:Q168), B169-D169-G169-J169-M169))</f>
        <v/>
      </c>
      <c r="R169" s="361">
        <f>$D$19*P169</f>
        <v/>
      </c>
      <c r="S169" s="361">
        <f>P169+Q169+R169</f>
        <v/>
      </c>
      <c r="T169" s="362">
        <f>IF($A169&lt;=$C$7,W168,0)</f>
        <v/>
      </c>
      <c r="U169" s="362">
        <f>MAX(0, MIN($F$8-SUM($U$154:U168), B169-D169-G169-J169-Q169-M169))</f>
        <v/>
      </c>
      <c r="V169" s="362">
        <f>$D$17*T169</f>
        <v/>
      </c>
      <c r="W169" s="362">
        <f>T169+U169+V169</f>
        <v/>
      </c>
      <c r="X169" s="363">
        <f>IF($A169&lt;=$C$7,AA168,0)</f>
        <v/>
      </c>
      <c r="Y169" s="363">
        <f>MAX(0, MIN($F$9-SUM($Y$154:Y168), B169-D169-G169-J169-U169-Q169-M169))</f>
        <v/>
      </c>
      <c r="Z169" s="363">
        <f>$D$18*X169</f>
        <v/>
      </c>
      <c r="AA169" s="363">
        <f>X169+Y169+Z169</f>
        <v/>
      </c>
      <c r="AB169" s="356">
        <f>AB168</f>
        <v/>
      </c>
      <c r="AC169" s="356">
        <f>MAX(0, MIN(AB169, B169-D169-G169-J169-U169-Y169-Q169))</f>
        <v/>
      </c>
      <c r="AD169" s="356">
        <f>AB169-AC169</f>
        <v/>
      </c>
      <c r="AE169" s="356">
        <f>C169+F169+I169+T169+X169+P169+AB169</f>
        <v/>
      </c>
      <c r="AF169" s="356">
        <f>V169+Z169+R169+N169</f>
        <v/>
      </c>
      <c r="AG169" s="356">
        <f>E169+H169+K169+W169+AA169+S169+AD169</f>
        <v/>
      </c>
    </row>
    <row r="170">
      <c r="A170" s="117" t="n">
        <v>16</v>
      </c>
      <c r="B170" s="356">
        <f>I107</f>
        <v/>
      </c>
      <c r="C170" s="357">
        <f>E169</f>
        <v/>
      </c>
      <c r="D170" s="357">
        <f>MIN(B170, C170)</f>
        <v/>
      </c>
      <c r="E170" s="357">
        <f>C170-D170</f>
        <v/>
      </c>
      <c r="F170" s="358">
        <f>H169</f>
        <v/>
      </c>
      <c r="G170" s="358">
        <f>MIN(B170-D170, F170)</f>
        <v/>
      </c>
      <c r="H170" s="358">
        <f>F170-G170</f>
        <v/>
      </c>
      <c r="I170" s="359">
        <f>K169</f>
        <v/>
      </c>
      <c r="J170" s="359">
        <f>MIN(B170-D170-G170, I170)</f>
        <v/>
      </c>
      <c r="K170" s="359">
        <f>I170-J170</f>
        <v/>
      </c>
      <c r="L170" s="360" t="n"/>
      <c r="M170" s="360" t="n"/>
      <c r="N170" s="360" t="n"/>
      <c r="O170" s="360" t="n"/>
      <c r="P170" s="361">
        <f>IF($A170&lt;=$C$7,S169,0)</f>
        <v/>
      </c>
      <c r="Q170" s="361">
        <f>MAX(0, MIN($F$10-SUM($Q$154:Q169), B170-D170-G170-J170-M170))</f>
        <v/>
      </c>
      <c r="R170" s="361">
        <f>$D$19*P170</f>
        <v/>
      </c>
      <c r="S170" s="361">
        <f>P170+Q170+R170</f>
        <v/>
      </c>
      <c r="T170" s="362">
        <f>IF($A170&lt;=$C$7,W169,0)</f>
        <v/>
      </c>
      <c r="U170" s="362">
        <f>MAX(0, MIN($F$8-SUM($U$154:U169), B170-D170-G170-J170-Q170-M170))</f>
        <v/>
      </c>
      <c r="V170" s="362">
        <f>$D$17*T170</f>
        <v/>
      </c>
      <c r="W170" s="362">
        <f>T170+U170+V170</f>
        <v/>
      </c>
      <c r="X170" s="363">
        <f>IF($A170&lt;=$C$7,AA169,0)</f>
        <v/>
      </c>
      <c r="Y170" s="363">
        <f>MAX(0, MIN($F$9-SUM($Y$154:Y169), B170-D170-G170-J170-U170-Q170-M170))</f>
        <v/>
      </c>
      <c r="Z170" s="363">
        <f>$D$18*X170</f>
        <v/>
      </c>
      <c r="AA170" s="363">
        <f>X170+Y170+Z170</f>
        <v/>
      </c>
      <c r="AB170" s="356">
        <f>AB169</f>
        <v/>
      </c>
      <c r="AC170" s="356">
        <f>MAX(0, MIN(AB170, B170-D170-G170-J170-U170-Y170-Q170))</f>
        <v/>
      </c>
      <c r="AD170" s="356">
        <f>AB170-AC170</f>
        <v/>
      </c>
      <c r="AE170" s="356">
        <f>C170+F170+I170+T170+X170+P170+AB170</f>
        <v/>
      </c>
      <c r="AF170" s="356">
        <f>V170+Z170+R170+N170</f>
        <v/>
      </c>
      <c r="AG170" s="356">
        <f>E170+H170+K170+W170+AA170+S170+AD170</f>
        <v/>
      </c>
    </row>
    <row r="171">
      <c r="A171" s="117" t="n">
        <v>17</v>
      </c>
      <c r="B171" s="356">
        <f>I108</f>
        <v/>
      </c>
      <c r="C171" s="357">
        <f>E170</f>
        <v/>
      </c>
      <c r="D171" s="357">
        <f>MIN(B171, C171)</f>
        <v/>
      </c>
      <c r="E171" s="357">
        <f>C171-D171</f>
        <v/>
      </c>
      <c r="F171" s="358">
        <f>H170</f>
        <v/>
      </c>
      <c r="G171" s="358">
        <f>MIN(B171-D171, F171)</f>
        <v/>
      </c>
      <c r="H171" s="358">
        <f>F171-G171</f>
        <v/>
      </c>
      <c r="I171" s="359">
        <f>K170</f>
        <v/>
      </c>
      <c r="J171" s="359">
        <f>MIN(B171-D171-G171, I171)</f>
        <v/>
      </c>
      <c r="K171" s="359">
        <f>I171-J171</f>
        <v/>
      </c>
      <c r="L171" s="360" t="n"/>
      <c r="M171" s="360" t="n"/>
      <c r="N171" s="360" t="n"/>
      <c r="O171" s="360" t="n"/>
      <c r="P171" s="361">
        <f>IF($A171&lt;=$C$7,S170,0)</f>
        <v/>
      </c>
      <c r="Q171" s="361">
        <f>MAX(0, MIN($F$10-SUM($Q$154:Q170), B171-D171-G171-J171-M171))</f>
        <v/>
      </c>
      <c r="R171" s="361">
        <f>$D$19*P171</f>
        <v/>
      </c>
      <c r="S171" s="361">
        <f>P171+Q171+R171</f>
        <v/>
      </c>
      <c r="T171" s="362">
        <f>IF($A171&lt;=$C$7,W170,0)</f>
        <v/>
      </c>
      <c r="U171" s="362">
        <f>MAX(0, MIN($F$8-SUM($U$154:U170), B171-D171-G171-J171-Q171-M171))</f>
        <v/>
      </c>
      <c r="V171" s="362">
        <f>$D$17*T171</f>
        <v/>
      </c>
      <c r="W171" s="362">
        <f>T171+U171+V171</f>
        <v/>
      </c>
      <c r="X171" s="363">
        <f>IF($A171&lt;=$C$7,AA170,0)</f>
        <v/>
      </c>
      <c r="Y171" s="363">
        <f>MAX(0, MIN($F$9-SUM($Y$154:Y170), B171-D171-G171-J171-U171-Q171-M171))</f>
        <v/>
      </c>
      <c r="Z171" s="363">
        <f>$D$18*X171</f>
        <v/>
      </c>
      <c r="AA171" s="363">
        <f>X171+Y171+Z171</f>
        <v/>
      </c>
      <c r="AB171" s="356">
        <f>AB170</f>
        <v/>
      </c>
      <c r="AC171" s="356">
        <f>MAX(0, MIN(AB171, B171-D171-G171-J171-U171-Y171-Q171))</f>
        <v/>
      </c>
      <c r="AD171" s="356">
        <f>AB171-AC171</f>
        <v/>
      </c>
      <c r="AE171" s="356">
        <f>C171+F171+I171+T171+X171+P171+AB171</f>
        <v/>
      </c>
      <c r="AF171" s="356">
        <f>V171+Z171+R171+N171</f>
        <v/>
      </c>
      <c r="AG171" s="356">
        <f>E171+H171+K171+W171+AA171+S171+AD171</f>
        <v/>
      </c>
    </row>
    <row r="172">
      <c r="A172" s="117" t="n">
        <v>18</v>
      </c>
      <c r="B172" s="356">
        <f>I109</f>
        <v/>
      </c>
      <c r="C172" s="357">
        <f>E171</f>
        <v/>
      </c>
      <c r="D172" s="357">
        <f>MIN(B172, C172)</f>
        <v/>
      </c>
      <c r="E172" s="357">
        <f>C172-D172</f>
        <v/>
      </c>
      <c r="F172" s="358">
        <f>H171</f>
        <v/>
      </c>
      <c r="G172" s="358">
        <f>MIN(B172-D172, F172)</f>
        <v/>
      </c>
      <c r="H172" s="358">
        <f>F172-G172</f>
        <v/>
      </c>
      <c r="I172" s="359">
        <f>K171</f>
        <v/>
      </c>
      <c r="J172" s="359">
        <f>MIN(B172-D172-G172, I172)</f>
        <v/>
      </c>
      <c r="K172" s="359">
        <f>I172-J172</f>
        <v/>
      </c>
      <c r="L172" s="360" t="n"/>
      <c r="M172" s="360" t="n"/>
      <c r="N172" s="360" t="n"/>
      <c r="O172" s="360" t="n"/>
      <c r="P172" s="361">
        <f>IF($A172&lt;=$C$7,S171,0)</f>
        <v/>
      </c>
      <c r="Q172" s="361">
        <f>MAX(0, MIN($F$10-SUM($Q$154:Q171), B172-D172-G172-J172-M172))</f>
        <v/>
      </c>
      <c r="R172" s="361">
        <f>$D$19*P172</f>
        <v/>
      </c>
      <c r="S172" s="361">
        <f>P172+Q172+R172</f>
        <v/>
      </c>
      <c r="T172" s="362">
        <f>IF($A172&lt;=$C$7,W171,0)</f>
        <v/>
      </c>
      <c r="U172" s="362">
        <f>MAX(0, MIN($F$8-SUM($U$154:U171), B172-D172-G172-J172-Q172-M172))</f>
        <v/>
      </c>
      <c r="V172" s="362">
        <f>$D$17*T172</f>
        <v/>
      </c>
      <c r="W172" s="362">
        <f>T172+U172+V172</f>
        <v/>
      </c>
      <c r="X172" s="363">
        <f>IF($A172&lt;=$C$7,AA171,0)</f>
        <v/>
      </c>
      <c r="Y172" s="363">
        <f>MAX(0, MIN($F$9-SUM($Y$154:Y171), B172-D172-G172-J172-U172-Q172-M172))</f>
        <v/>
      </c>
      <c r="Z172" s="363">
        <f>$D$18*X172</f>
        <v/>
      </c>
      <c r="AA172" s="363">
        <f>X172+Y172+Z172</f>
        <v/>
      </c>
      <c r="AB172" s="356">
        <f>AB171</f>
        <v/>
      </c>
      <c r="AC172" s="356">
        <f>MAX(0, MIN(AB172, B172-D172-G172-J172-U172-Y172-Q172))</f>
        <v/>
      </c>
      <c r="AD172" s="356">
        <f>AB172-AC172</f>
        <v/>
      </c>
      <c r="AE172" s="356">
        <f>C172+F172+I172+T172+X172+P172+AB172</f>
        <v/>
      </c>
      <c r="AF172" s="356">
        <f>V172+Z172+R172+N172</f>
        <v/>
      </c>
      <c r="AG172" s="356">
        <f>E172+H172+K172+W172+AA172+S172+AD172</f>
        <v/>
      </c>
    </row>
    <row r="173">
      <c r="A173" s="117" t="n">
        <v>19</v>
      </c>
      <c r="B173" s="356">
        <f>I110</f>
        <v/>
      </c>
      <c r="C173" s="357">
        <f>E172</f>
        <v/>
      </c>
      <c r="D173" s="357">
        <f>MIN(B173, C173)</f>
        <v/>
      </c>
      <c r="E173" s="357">
        <f>C173-D173</f>
        <v/>
      </c>
      <c r="F173" s="358">
        <f>H172</f>
        <v/>
      </c>
      <c r="G173" s="358">
        <f>MIN(B173-D173, F173)</f>
        <v/>
      </c>
      <c r="H173" s="358">
        <f>F173-G173</f>
        <v/>
      </c>
      <c r="I173" s="359">
        <f>K172</f>
        <v/>
      </c>
      <c r="J173" s="359">
        <f>MIN(B173-D173-G173, I173)</f>
        <v/>
      </c>
      <c r="K173" s="359">
        <f>I173-J173</f>
        <v/>
      </c>
      <c r="L173" s="360" t="n"/>
      <c r="M173" s="360" t="n"/>
      <c r="N173" s="360" t="n"/>
      <c r="O173" s="360" t="n"/>
      <c r="P173" s="361">
        <f>IF($A173&lt;=$C$7,S172,0)</f>
        <v/>
      </c>
      <c r="Q173" s="361">
        <f>MAX(0, MIN($F$10-SUM($Q$154:Q172), B173-D173-G173-J173-M173))</f>
        <v/>
      </c>
      <c r="R173" s="361">
        <f>$D$19*P173</f>
        <v/>
      </c>
      <c r="S173" s="361">
        <f>P173+Q173+R173</f>
        <v/>
      </c>
      <c r="T173" s="362">
        <f>IF($A173&lt;=$C$7,W172,0)</f>
        <v/>
      </c>
      <c r="U173" s="362">
        <f>MAX(0, MIN($F$8-SUM($U$154:U172), B173-D173-G173-J173-Q173-M173))</f>
        <v/>
      </c>
      <c r="V173" s="362">
        <f>$D$17*T173</f>
        <v/>
      </c>
      <c r="W173" s="362">
        <f>T173+U173+V173</f>
        <v/>
      </c>
      <c r="X173" s="363">
        <f>IF($A173&lt;=$C$7,AA172,0)</f>
        <v/>
      </c>
      <c r="Y173" s="363">
        <f>MAX(0, MIN($F$9-SUM($Y$154:Y172), B173-D173-G173-J173-U173-Q173-M173))</f>
        <v/>
      </c>
      <c r="Z173" s="363">
        <f>$D$18*X173</f>
        <v/>
      </c>
      <c r="AA173" s="363">
        <f>X173+Y173+Z173</f>
        <v/>
      </c>
      <c r="AB173" s="356">
        <f>AB172</f>
        <v/>
      </c>
      <c r="AC173" s="356">
        <f>MAX(0, MIN(AB173, B173-D173-G173-J173-U173-Y173-Q173))</f>
        <v/>
      </c>
      <c r="AD173" s="356">
        <f>AB173-AC173</f>
        <v/>
      </c>
      <c r="AE173" s="356">
        <f>C173+F173+I173+T173+X173+P173+AB173</f>
        <v/>
      </c>
      <c r="AF173" s="356">
        <f>V173+Z173+R173+N173</f>
        <v/>
      </c>
      <c r="AG173" s="356">
        <f>E173+H173+K173+W173+AA173+S173+AD173</f>
        <v/>
      </c>
    </row>
    <row r="174">
      <c r="A174" s="117" t="n">
        <v>20</v>
      </c>
      <c r="B174" s="356">
        <f>I111</f>
        <v/>
      </c>
      <c r="C174" s="357">
        <f>E173</f>
        <v/>
      </c>
      <c r="D174" s="357">
        <f>MIN(B174, C174)</f>
        <v/>
      </c>
      <c r="E174" s="357">
        <f>C174-D174</f>
        <v/>
      </c>
      <c r="F174" s="358">
        <f>H173</f>
        <v/>
      </c>
      <c r="G174" s="358">
        <f>MIN(B174-D174, F174)</f>
        <v/>
      </c>
      <c r="H174" s="358">
        <f>F174-G174</f>
        <v/>
      </c>
      <c r="I174" s="359">
        <f>K173</f>
        <v/>
      </c>
      <c r="J174" s="359">
        <f>MIN(B174-D174-G174, I174)</f>
        <v/>
      </c>
      <c r="K174" s="359">
        <f>I174-J174</f>
        <v/>
      </c>
      <c r="L174" s="360" t="n"/>
      <c r="M174" s="360" t="n"/>
      <c r="N174" s="360" t="n"/>
      <c r="O174" s="360" t="n"/>
      <c r="P174" s="361">
        <f>IF($A174&lt;=$C$7,S173,0)</f>
        <v/>
      </c>
      <c r="Q174" s="361">
        <f>MAX(0, MIN($F$10-SUM($Q$154:Q173), B174-D174-G174-J174-M174))</f>
        <v/>
      </c>
      <c r="R174" s="361">
        <f>$D$19*P174</f>
        <v/>
      </c>
      <c r="S174" s="361">
        <f>P174+Q174+R174</f>
        <v/>
      </c>
      <c r="T174" s="362">
        <f>IF($A174&lt;=$C$7,W173,0)</f>
        <v/>
      </c>
      <c r="U174" s="362">
        <f>MAX(0, MIN($F$8-SUM($U$154:U173), B174-D174-G174-J174-Q174-M174))</f>
        <v/>
      </c>
      <c r="V174" s="362">
        <f>$D$17*T174</f>
        <v/>
      </c>
      <c r="W174" s="362">
        <f>T174+U174+V174</f>
        <v/>
      </c>
      <c r="X174" s="363">
        <f>IF($A174&lt;=$C$7,AA173,0)</f>
        <v/>
      </c>
      <c r="Y174" s="363">
        <f>MAX(0, MIN($F$9-SUM($Y$154:Y173), B174-D174-G174-J174-U174-Q174-M174))</f>
        <v/>
      </c>
      <c r="Z174" s="363">
        <f>$D$18*X174</f>
        <v/>
      </c>
      <c r="AA174" s="363">
        <f>X174+Y174+Z174</f>
        <v/>
      </c>
      <c r="AB174" s="356">
        <f>AB173</f>
        <v/>
      </c>
      <c r="AC174" s="356">
        <f>MAX(0, MIN(AB174, B174-D174-G174-J174-U174-Y174-Q174))</f>
        <v/>
      </c>
      <c r="AD174" s="356">
        <f>AB174-AC174</f>
        <v/>
      </c>
      <c r="AE174" s="356">
        <f>C174+F174+I174+T174+X174+P174+AB174</f>
        <v/>
      </c>
      <c r="AF174" s="356">
        <f>V174+Z174+R174+N174</f>
        <v/>
      </c>
      <c r="AG174" s="356">
        <f>E174+H174+K174+W174+AA174+S174+AD174</f>
        <v/>
      </c>
    </row>
    <row r="175">
      <c r="A175" s="117" t="n">
        <v>21</v>
      </c>
      <c r="B175" s="356">
        <f>I112</f>
        <v/>
      </c>
      <c r="C175" s="357">
        <f>E174</f>
        <v/>
      </c>
      <c r="D175" s="357">
        <f>MIN(B175, C175)</f>
        <v/>
      </c>
      <c r="E175" s="357">
        <f>C175-D175</f>
        <v/>
      </c>
      <c r="F175" s="358">
        <f>H174</f>
        <v/>
      </c>
      <c r="G175" s="358">
        <f>MIN(B175-D175, F175)</f>
        <v/>
      </c>
      <c r="H175" s="358">
        <f>F175-G175</f>
        <v/>
      </c>
      <c r="I175" s="359">
        <f>K174</f>
        <v/>
      </c>
      <c r="J175" s="359">
        <f>MIN(B175-D175-G175, I175)</f>
        <v/>
      </c>
      <c r="K175" s="359">
        <f>I175-J175</f>
        <v/>
      </c>
      <c r="L175" s="360" t="n"/>
      <c r="M175" s="360" t="n"/>
      <c r="N175" s="360" t="n"/>
      <c r="O175" s="360" t="n"/>
      <c r="P175" s="361">
        <f>IF($A175&lt;=$C$7,S174,0)</f>
        <v/>
      </c>
      <c r="Q175" s="361">
        <f>MAX(0, MIN($F$10-SUM($Q$154:Q174), B175-D175-G175-J175-M175))</f>
        <v/>
      </c>
      <c r="R175" s="361">
        <f>$D$19*P175</f>
        <v/>
      </c>
      <c r="S175" s="361">
        <f>P175+Q175+R175</f>
        <v/>
      </c>
      <c r="T175" s="362">
        <f>IF($A175&lt;=$C$7,W174,0)</f>
        <v/>
      </c>
      <c r="U175" s="362">
        <f>MAX(0, MIN($F$8-SUM($U$154:U174), B175-D175-G175-J175-Q175-M175))</f>
        <v/>
      </c>
      <c r="V175" s="362">
        <f>$D$17*T175</f>
        <v/>
      </c>
      <c r="W175" s="362">
        <f>T175+U175+V175</f>
        <v/>
      </c>
      <c r="X175" s="363">
        <f>IF($A175&lt;=$C$7,AA174,0)</f>
        <v/>
      </c>
      <c r="Y175" s="363">
        <f>MAX(0, MIN($F$9-SUM($Y$154:Y174), B175-D175-G175-J175-U175-Q175-M175))</f>
        <v/>
      </c>
      <c r="Z175" s="363">
        <f>$D$18*X175</f>
        <v/>
      </c>
      <c r="AA175" s="363">
        <f>X175+Y175+Z175</f>
        <v/>
      </c>
      <c r="AB175" s="356">
        <f>AB174</f>
        <v/>
      </c>
      <c r="AC175" s="356">
        <f>MAX(0, MIN(AB175, B175-D175-G175-J175-U175-Y175-Q175))</f>
        <v/>
      </c>
      <c r="AD175" s="356">
        <f>AB175-AC175</f>
        <v/>
      </c>
      <c r="AE175" s="356">
        <f>C175+F175+I175+T175+X175+P175+AB175</f>
        <v/>
      </c>
      <c r="AF175" s="356">
        <f>V175+Z175+R175+N175</f>
        <v/>
      </c>
      <c r="AG175" s="356">
        <f>E175+H175+K175+W175+AA175+S175+AD175</f>
        <v/>
      </c>
    </row>
    <row r="176">
      <c r="A176" s="117" t="n">
        <v>22</v>
      </c>
      <c r="B176" s="356">
        <f>I113</f>
        <v/>
      </c>
      <c r="C176" s="357">
        <f>E175</f>
        <v/>
      </c>
      <c r="D176" s="357">
        <f>MIN(B176, C176)</f>
        <v/>
      </c>
      <c r="E176" s="357">
        <f>C176-D176</f>
        <v/>
      </c>
      <c r="F176" s="358">
        <f>H175</f>
        <v/>
      </c>
      <c r="G176" s="358">
        <f>MIN(B176-D176, F176)</f>
        <v/>
      </c>
      <c r="H176" s="358">
        <f>F176-G176</f>
        <v/>
      </c>
      <c r="I176" s="359">
        <f>K175</f>
        <v/>
      </c>
      <c r="J176" s="359">
        <f>MIN(B176-D176-G176, I176)</f>
        <v/>
      </c>
      <c r="K176" s="359">
        <f>I176-J176</f>
        <v/>
      </c>
      <c r="L176" s="360" t="n"/>
      <c r="M176" s="360" t="n"/>
      <c r="N176" s="360" t="n"/>
      <c r="O176" s="360" t="n"/>
      <c r="P176" s="361">
        <f>IF($A176&lt;=$C$7,S175,0)</f>
        <v/>
      </c>
      <c r="Q176" s="361">
        <f>MAX(0, MIN($F$10-SUM($Q$154:Q175), B176-D176-G176-J176-M176))</f>
        <v/>
      </c>
      <c r="R176" s="361">
        <f>$D$19*P176</f>
        <v/>
      </c>
      <c r="S176" s="361">
        <f>P176+Q176+R176</f>
        <v/>
      </c>
      <c r="T176" s="362">
        <f>IF($A176&lt;=$C$7,W175,0)</f>
        <v/>
      </c>
      <c r="U176" s="362">
        <f>MAX(0, MIN($F$8-SUM($U$154:U175), B176-D176-G176-J176-Q176-M176))</f>
        <v/>
      </c>
      <c r="V176" s="362">
        <f>$D$17*T176</f>
        <v/>
      </c>
      <c r="W176" s="362">
        <f>T176+U176+V176</f>
        <v/>
      </c>
      <c r="X176" s="363">
        <f>IF($A176&lt;=$C$7,AA175,0)</f>
        <v/>
      </c>
      <c r="Y176" s="363">
        <f>MAX(0, MIN($F$9-SUM($Y$154:Y175), B176-D176-G176-J176-U176-Q176-M176))</f>
        <v/>
      </c>
      <c r="Z176" s="363">
        <f>$D$18*X176</f>
        <v/>
      </c>
      <c r="AA176" s="363">
        <f>X176+Y176+Z176</f>
        <v/>
      </c>
      <c r="AB176" s="356">
        <f>AB175</f>
        <v/>
      </c>
      <c r="AC176" s="356">
        <f>MAX(0, MIN(AB176, B176-D176-G176-J176-U176-Y176-Q176))</f>
        <v/>
      </c>
      <c r="AD176" s="356">
        <f>AB176-AC176</f>
        <v/>
      </c>
      <c r="AE176" s="356">
        <f>C176+F176+I176+T176+X176+P176+AB176</f>
        <v/>
      </c>
      <c r="AF176" s="356">
        <f>V176+Z176+R176+N176</f>
        <v/>
      </c>
      <c r="AG176" s="356">
        <f>E176+H176+K176+W176+AA176+S176+AD176</f>
        <v/>
      </c>
    </row>
    <row r="177">
      <c r="A177" s="117" t="n">
        <v>23</v>
      </c>
      <c r="B177" s="356">
        <f>I114</f>
        <v/>
      </c>
      <c r="C177" s="357">
        <f>E176</f>
        <v/>
      </c>
      <c r="D177" s="357">
        <f>MIN(B177, C177)</f>
        <v/>
      </c>
      <c r="E177" s="357">
        <f>C177-D177</f>
        <v/>
      </c>
      <c r="F177" s="358">
        <f>H176</f>
        <v/>
      </c>
      <c r="G177" s="358">
        <f>MIN(B177-D177, F177)</f>
        <v/>
      </c>
      <c r="H177" s="358">
        <f>F177-G177</f>
        <v/>
      </c>
      <c r="I177" s="359">
        <f>K176</f>
        <v/>
      </c>
      <c r="J177" s="359">
        <f>MIN(B177-D177-G177, I177)</f>
        <v/>
      </c>
      <c r="K177" s="359">
        <f>I177-J177</f>
        <v/>
      </c>
      <c r="L177" s="360" t="n"/>
      <c r="M177" s="360" t="n"/>
      <c r="N177" s="360" t="n"/>
      <c r="O177" s="360" t="n"/>
      <c r="P177" s="361">
        <f>IF($A177&lt;=$C$7,S176,0)</f>
        <v/>
      </c>
      <c r="Q177" s="361">
        <f>MAX(0, MIN($F$10-SUM($Q$154:Q176), B177-D177-G177-J177-M177))</f>
        <v/>
      </c>
      <c r="R177" s="361">
        <f>$D$19*P177</f>
        <v/>
      </c>
      <c r="S177" s="361">
        <f>P177+Q177+R177</f>
        <v/>
      </c>
      <c r="T177" s="362">
        <f>IF($A177&lt;=$C$7,W176,0)</f>
        <v/>
      </c>
      <c r="U177" s="362">
        <f>MAX(0, MIN($F$8-SUM($U$154:U176), B177-D177-G177-J177-Q177-M177))</f>
        <v/>
      </c>
      <c r="V177" s="362">
        <f>$D$17*T177</f>
        <v/>
      </c>
      <c r="W177" s="362">
        <f>T177+U177+V177</f>
        <v/>
      </c>
      <c r="X177" s="363">
        <f>IF($A177&lt;=$C$7,AA176,0)</f>
        <v/>
      </c>
      <c r="Y177" s="363">
        <f>MAX(0, MIN($F$9-SUM($Y$154:Y176), B177-D177-G177-J177-U177-Q177-M177))</f>
        <v/>
      </c>
      <c r="Z177" s="363">
        <f>$D$18*X177</f>
        <v/>
      </c>
      <c r="AA177" s="363">
        <f>X177+Y177+Z177</f>
        <v/>
      </c>
      <c r="AB177" s="356">
        <f>AB176</f>
        <v/>
      </c>
      <c r="AC177" s="356">
        <f>MAX(0, MIN(AB177, B177-D177-G177-J177-U177-Y177-Q177))</f>
        <v/>
      </c>
      <c r="AD177" s="356">
        <f>AB177-AC177</f>
        <v/>
      </c>
      <c r="AE177" s="356">
        <f>C177+F177+I177+T177+X177+P177+AB177</f>
        <v/>
      </c>
      <c r="AF177" s="356">
        <f>V177+Z177+R177+N177</f>
        <v/>
      </c>
      <c r="AG177" s="356">
        <f>E177+H177+K177+W177+AA177+S177+AD177</f>
        <v/>
      </c>
    </row>
    <row r="178">
      <c r="A178" s="117" t="n">
        <v>24</v>
      </c>
      <c r="B178" s="356">
        <f>I115</f>
        <v/>
      </c>
      <c r="C178" s="357">
        <f>E177</f>
        <v/>
      </c>
      <c r="D178" s="357">
        <f>MIN(B178, C178)</f>
        <v/>
      </c>
      <c r="E178" s="357">
        <f>C178-D178</f>
        <v/>
      </c>
      <c r="F178" s="358">
        <f>H177</f>
        <v/>
      </c>
      <c r="G178" s="358">
        <f>MIN(B178-D178, F178)</f>
        <v/>
      </c>
      <c r="H178" s="358">
        <f>F178-G178</f>
        <v/>
      </c>
      <c r="I178" s="359">
        <f>K177</f>
        <v/>
      </c>
      <c r="J178" s="359">
        <f>MIN(B178-D178-G178, I178)</f>
        <v/>
      </c>
      <c r="K178" s="359">
        <f>I178-J178</f>
        <v/>
      </c>
      <c r="L178" s="360" t="n"/>
      <c r="M178" s="360" t="n"/>
      <c r="N178" s="360" t="n"/>
      <c r="O178" s="360" t="n"/>
      <c r="P178" s="361">
        <f>IF($A178&lt;=$C$7,S177,0)</f>
        <v/>
      </c>
      <c r="Q178" s="361">
        <f>MAX(0, MIN($F$10-SUM($Q$154:Q177), B178-D178-G178-J178-M178))</f>
        <v/>
      </c>
      <c r="R178" s="361">
        <f>$D$19*P178</f>
        <v/>
      </c>
      <c r="S178" s="361">
        <f>P178+Q178+R178</f>
        <v/>
      </c>
      <c r="T178" s="362">
        <f>IF($A178&lt;=$C$7,W177,0)</f>
        <v/>
      </c>
      <c r="U178" s="362">
        <f>MAX(0, MIN($F$8-SUM($U$154:U177), B178-D178-G178-J178-Q178-M178))</f>
        <v/>
      </c>
      <c r="V178" s="362">
        <f>$D$17*T178</f>
        <v/>
      </c>
      <c r="W178" s="362">
        <f>T178+U178+V178</f>
        <v/>
      </c>
      <c r="X178" s="363">
        <f>IF($A178&lt;=$C$7,AA177,0)</f>
        <v/>
      </c>
      <c r="Y178" s="363">
        <f>MAX(0, MIN($F$9-SUM($Y$154:Y177), B178-D178-G178-J178-U178-Q178-M178))</f>
        <v/>
      </c>
      <c r="Z178" s="363">
        <f>$D$18*X178</f>
        <v/>
      </c>
      <c r="AA178" s="363">
        <f>X178+Y178+Z178</f>
        <v/>
      </c>
      <c r="AB178" s="356">
        <f>AB177</f>
        <v/>
      </c>
      <c r="AC178" s="356">
        <f>MAX(0, MIN(AB178, B178-D178-G178-J178-U178-Y178-Q178))</f>
        <v/>
      </c>
      <c r="AD178" s="356">
        <f>AB178-AC178</f>
        <v/>
      </c>
      <c r="AE178" s="356">
        <f>C178+F178+I178+T178+X178+P178+AB178</f>
        <v/>
      </c>
      <c r="AF178" s="356">
        <f>V178+Z178+R178+N178</f>
        <v/>
      </c>
      <c r="AG178" s="356">
        <f>E178+H178+K178+W178+AA178+S178+AD178</f>
        <v/>
      </c>
    </row>
    <row r="179">
      <c r="A179" s="117" t="n">
        <v>25</v>
      </c>
      <c r="B179" s="356">
        <f>I116</f>
        <v/>
      </c>
      <c r="C179" s="357">
        <f>E178</f>
        <v/>
      </c>
      <c r="D179" s="357">
        <f>MIN(B179, C179)</f>
        <v/>
      </c>
      <c r="E179" s="357">
        <f>C179-D179</f>
        <v/>
      </c>
      <c r="F179" s="358">
        <f>H178</f>
        <v/>
      </c>
      <c r="G179" s="358">
        <f>MIN(B179-D179, F179)</f>
        <v/>
      </c>
      <c r="H179" s="358">
        <f>F179-G179</f>
        <v/>
      </c>
      <c r="I179" s="359">
        <f>K178</f>
        <v/>
      </c>
      <c r="J179" s="359">
        <f>MIN(B179-D179-G179, I179)</f>
        <v/>
      </c>
      <c r="K179" s="359">
        <f>I179-J179</f>
        <v/>
      </c>
      <c r="L179" s="360" t="n"/>
      <c r="M179" s="360" t="n"/>
      <c r="N179" s="360" t="n"/>
      <c r="O179" s="360" t="n"/>
      <c r="P179" s="361">
        <f>IF($A179&lt;=$C$7,S178,0)</f>
        <v/>
      </c>
      <c r="Q179" s="361">
        <f>MAX(0, MIN($F$10-SUM($Q$154:Q178), B179-D179-G179-J179-M179))</f>
        <v/>
      </c>
      <c r="R179" s="361">
        <f>$D$19*P179</f>
        <v/>
      </c>
      <c r="S179" s="361">
        <f>P179+Q179+R179</f>
        <v/>
      </c>
      <c r="T179" s="362">
        <f>IF($A179&lt;=$C$7,W178,0)</f>
        <v/>
      </c>
      <c r="U179" s="362">
        <f>MAX(0, MIN($F$8-SUM($U$154:U178), B179-D179-G179-J179-Q179-M179))</f>
        <v/>
      </c>
      <c r="V179" s="362">
        <f>$D$17*T179</f>
        <v/>
      </c>
      <c r="W179" s="362">
        <f>T179+U179+V179</f>
        <v/>
      </c>
      <c r="X179" s="363">
        <f>IF($A179&lt;=$C$7,AA178,0)</f>
        <v/>
      </c>
      <c r="Y179" s="363">
        <f>MAX(0, MIN($F$9-SUM($Y$154:Y178), B179-D179-G179-J179-U179-Q179-M179))</f>
        <v/>
      </c>
      <c r="Z179" s="363">
        <f>$D$18*X179</f>
        <v/>
      </c>
      <c r="AA179" s="363">
        <f>X179+Y179+Z179</f>
        <v/>
      </c>
      <c r="AB179" s="356">
        <f>AB178</f>
        <v/>
      </c>
      <c r="AC179" s="356">
        <f>MAX(0, MIN(AB179, B179-D179-G179-J179-U179-Y179-Q179))</f>
        <v/>
      </c>
      <c r="AD179" s="356">
        <f>AB179-AC179</f>
        <v/>
      </c>
      <c r="AE179" s="356">
        <f>C179+F179+I179+T179+X179+P179+AB179</f>
        <v/>
      </c>
      <c r="AF179" s="356">
        <f>V179+Z179+R179+N179</f>
        <v/>
      </c>
      <c r="AG179" s="356">
        <f>E179+H179+K179+W179+AA179+S179+AD179</f>
        <v/>
      </c>
    </row>
    <row r="180">
      <c r="A180" s="117" t="n">
        <v>26</v>
      </c>
      <c r="B180" s="356">
        <f>I117</f>
        <v/>
      </c>
      <c r="C180" s="357">
        <f>E179</f>
        <v/>
      </c>
      <c r="D180" s="357">
        <f>MIN(B180, C180)</f>
        <v/>
      </c>
      <c r="E180" s="357">
        <f>C180-D180</f>
        <v/>
      </c>
      <c r="F180" s="358">
        <f>H179</f>
        <v/>
      </c>
      <c r="G180" s="358">
        <f>MIN(B180-D180, F180)</f>
        <v/>
      </c>
      <c r="H180" s="358">
        <f>F180-G180</f>
        <v/>
      </c>
      <c r="I180" s="359">
        <f>K179</f>
        <v/>
      </c>
      <c r="J180" s="359">
        <f>MIN(B180-D180-G180, I180)</f>
        <v/>
      </c>
      <c r="K180" s="359">
        <f>I180-J180</f>
        <v/>
      </c>
      <c r="L180" s="360" t="n"/>
      <c r="M180" s="360" t="n"/>
      <c r="N180" s="360" t="n"/>
      <c r="O180" s="360" t="n"/>
      <c r="P180" s="361">
        <f>IF($A180&lt;=$C$7,S179,0)</f>
        <v/>
      </c>
      <c r="Q180" s="361">
        <f>MAX(0, MIN($F$10-SUM($Q$154:Q179), B180-D180-G180-J180-M180))</f>
        <v/>
      </c>
      <c r="R180" s="361">
        <f>$D$19*P180</f>
        <v/>
      </c>
      <c r="S180" s="361">
        <f>P180+Q180+R180</f>
        <v/>
      </c>
      <c r="T180" s="362">
        <f>IF($A180&lt;=$C$7,W179,0)</f>
        <v/>
      </c>
      <c r="U180" s="362">
        <f>MAX(0, MIN($F$8-SUM($U$154:U179), B180-D180-G180-J180-Q180-M180))</f>
        <v/>
      </c>
      <c r="V180" s="362">
        <f>$D$17*T180</f>
        <v/>
      </c>
      <c r="W180" s="362">
        <f>T180+U180+V180</f>
        <v/>
      </c>
      <c r="X180" s="363">
        <f>IF($A180&lt;=$C$7,AA179,0)</f>
        <v/>
      </c>
      <c r="Y180" s="363">
        <f>MAX(0, MIN($F$9-SUM($Y$154:Y179), B180-D180-G180-J180-U180-Q180-M180))</f>
        <v/>
      </c>
      <c r="Z180" s="363">
        <f>$D$18*X180</f>
        <v/>
      </c>
      <c r="AA180" s="363">
        <f>X180+Y180+Z180</f>
        <v/>
      </c>
      <c r="AB180" s="356">
        <f>AB179</f>
        <v/>
      </c>
      <c r="AC180" s="356">
        <f>MAX(0, MIN(AB180, B180-D180-G180-J180-U180-Y180-Q180))</f>
        <v/>
      </c>
      <c r="AD180" s="356">
        <f>AB180-AC180</f>
        <v/>
      </c>
      <c r="AE180" s="356">
        <f>C180+F180+I180+T180+X180+P180+AB180</f>
        <v/>
      </c>
      <c r="AF180" s="356">
        <f>V180+Z180+R180+N180</f>
        <v/>
      </c>
      <c r="AG180" s="356">
        <f>E180+H180+K180+W180+AA180+S180+AD180</f>
        <v/>
      </c>
    </row>
    <row r="181">
      <c r="A181" s="117" t="n">
        <v>27</v>
      </c>
      <c r="B181" s="356">
        <f>I118</f>
        <v/>
      </c>
      <c r="C181" s="357">
        <f>E180</f>
        <v/>
      </c>
      <c r="D181" s="357">
        <f>MIN(B181, C181)</f>
        <v/>
      </c>
      <c r="E181" s="357">
        <f>C181-D181</f>
        <v/>
      </c>
      <c r="F181" s="358">
        <f>H180</f>
        <v/>
      </c>
      <c r="G181" s="358">
        <f>MIN(B181-D181, F181)</f>
        <v/>
      </c>
      <c r="H181" s="358">
        <f>F181-G181</f>
        <v/>
      </c>
      <c r="I181" s="359">
        <f>K180</f>
        <v/>
      </c>
      <c r="J181" s="359">
        <f>MIN(B181-D181-G181, I181)</f>
        <v/>
      </c>
      <c r="K181" s="359">
        <f>I181-J181</f>
        <v/>
      </c>
      <c r="L181" s="360" t="n"/>
      <c r="M181" s="360" t="n"/>
      <c r="N181" s="360" t="n"/>
      <c r="O181" s="360" t="n"/>
      <c r="P181" s="361">
        <f>IF($A181&lt;=$C$7,S180,0)</f>
        <v/>
      </c>
      <c r="Q181" s="361">
        <f>MAX(0, MIN($F$10-SUM($Q$154:Q180), B181-D181-G181-J181-M181))</f>
        <v/>
      </c>
      <c r="R181" s="361">
        <f>$D$19*P181</f>
        <v/>
      </c>
      <c r="S181" s="361">
        <f>P181+Q181+R181</f>
        <v/>
      </c>
      <c r="T181" s="362">
        <f>IF($A181&lt;=$C$7,W180,0)</f>
        <v/>
      </c>
      <c r="U181" s="362">
        <f>MAX(0, MIN($F$8-SUM($U$154:U180), B181-D181-G181-J181-Q181-M181))</f>
        <v/>
      </c>
      <c r="V181" s="362">
        <f>$D$17*T181</f>
        <v/>
      </c>
      <c r="W181" s="362">
        <f>T181+U181+V181</f>
        <v/>
      </c>
      <c r="X181" s="363">
        <f>IF($A181&lt;=$C$7,AA180,0)</f>
        <v/>
      </c>
      <c r="Y181" s="363">
        <f>MAX(0, MIN($F$9-SUM($Y$154:Y180), B181-D181-G181-J181-U181-Q181-M181))</f>
        <v/>
      </c>
      <c r="Z181" s="363">
        <f>$D$18*X181</f>
        <v/>
      </c>
      <c r="AA181" s="363">
        <f>X181+Y181+Z181</f>
        <v/>
      </c>
      <c r="AB181" s="356">
        <f>AB180</f>
        <v/>
      </c>
      <c r="AC181" s="356">
        <f>MAX(0, MIN(AB181, B181-D181-G181-J181-U181-Y181-Q181))</f>
        <v/>
      </c>
      <c r="AD181" s="356">
        <f>AB181-AC181</f>
        <v/>
      </c>
      <c r="AE181" s="356">
        <f>C181+F181+I181+T181+X181+P181+AB181</f>
        <v/>
      </c>
      <c r="AF181" s="356">
        <f>V181+Z181+R181+N181</f>
        <v/>
      </c>
      <c r="AG181" s="356">
        <f>E181+H181+K181+W181+AA181+S181+AD181</f>
        <v/>
      </c>
    </row>
    <row r="182">
      <c r="A182" s="117" t="n">
        <v>28</v>
      </c>
      <c r="B182" s="356">
        <f>I119</f>
        <v/>
      </c>
      <c r="C182" s="357">
        <f>E181</f>
        <v/>
      </c>
      <c r="D182" s="357">
        <f>MIN(B182, C182)</f>
        <v/>
      </c>
      <c r="E182" s="357">
        <f>C182-D182</f>
        <v/>
      </c>
      <c r="F182" s="358">
        <f>H181</f>
        <v/>
      </c>
      <c r="G182" s="358">
        <f>MIN(B182-D182, F182)</f>
        <v/>
      </c>
      <c r="H182" s="358">
        <f>F182-G182</f>
        <v/>
      </c>
      <c r="I182" s="359">
        <f>K181</f>
        <v/>
      </c>
      <c r="J182" s="359">
        <f>MIN(B182-D182-G182, I182)</f>
        <v/>
      </c>
      <c r="K182" s="359">
        <f>I182-J182</f>
        <v/>
      </c>
      <c r="L182" s="360" t="n"/>
      <c r="M182" s="360" t="n"/>
      <c r="N182" s="360" t="n"/>
      <c r="O182" s="360" t="n"/>
      <c r="P182" s="361">
        <f>IF($A182&lt;=$C$7,S181,0)</f>
        <v/>
      </c>
      <c r="Q182" s="361">
        <f>MAX(0, MIN($F$10-SUM($Q$154:Q181), B182-D182-G182-J182-M182))</f>
        <v/>
      </c>
      <c r="R182" s="361">
        <f>$D$19*P182</f>
        <v/>
      </c>
      <c r="S182" s="361">
        <f>P182+Q182+R182</f>
        <v/>
      </c>
      <c r="T182" s="362">
        <f>IF($A182&lt;=$C$7,W181,0)</f>
        <v/>
      </c>
      <c r="U182" s="362">
        <f>MAX(0, MIN($F$8-SUM($U$154:U181), B182-D182-G182-J182-Q182-M182))</f>
        <v/>
      </c>
      <c r="V182" s="362">
        <f>$D$17*T182</f>
        <v/>
      </c>
      <c r="W182" s="362">
        <f>T182+U182+V182</f>
        <v/>
      </c>
      <c r="X182" s="363">
        <f>IF($A182&lt;=$C$7,AA181,0)</f>
        <v/>
      </c>
      <c r="Y182" s="363">
        <f>MAX(0, MIN($F$9-SUM($Y$154:Y181), B182-D182-G182-J182-U182-Q182-M182))</f>
        <v/>
      </c>
      <c r="Z182" s="363">
        <f>$D$18*X182</f>
        <v/>
      </c>
      <c r="AA182" s="363">
        <f>X182+Y182+Z182</f>
        <v/>
      </c>
      <c r="AB182" s="356">
        <f>AB181</f>
        <v/>
      </c>
      <c r="AC182" s="356">
        <f>MAX(0, MIN(AB182, B182-D182-G182-J182-U182-Y182-Q182))</f>
        <v/>
      </c>
      <c r="AD182" s="356">
        <f>AB182-AC182</f>
        <v/>
      </c>
      <c r="AE182" s="356">
        <f>C182+F182+I182+T182+X182+P182+AB182</f>
        <v/>
      </c>
      <c r="AF182" s="356">
        <f>V182+Z182+R182+N182</f>
        <v/>
      </c>
      <c r="AG182" s="356">
        <f>E182+H182+K182+W182+AA182+S182+AD182</f>
        <v/>
      </c>
    </row>
    <row r="183">
      <c r="A183" s="117" t="n">
        <v>29</v>
      </c>
      <c r="B183" s="356">
        <f>I120</f>
        <v/>
      </c>
      <c r="C183" s="357">
        <f>E182</f>
        <v/>
      </c>
      <c r="D183" s="357">
        <f>MIN(B183, C183)</f>
        <v/>
      </c>
      <c r="E183" s="357">
        <f>C183-D183</f>
        <v/>
      </c>
      <c r="F183" s="358">
        <f>H182</f>
        <v/>
      </c>
      <c r="G183" s="358">
        <f>MIN(B183-D183, F183)</f>
        <v/>
      </c>
      <c r="H183" s="358">
        <f>F183-G183</f>
        <v/>
      </c>
      <c r="I183" s="359">
        <f>K182</f>
        <v/>
      </c>
      <c r="J183" s="359">
        <f>MIN(B183-D183-G183, I183)</f>
        <v/>
      </c>
      <c r="K183" s="359">
        <f>I183-J183</f>
        <v/>
      </c>
      <c r="L183" s="360" t="n"/>
      <c r="M183" s="360" t="n"/>
      <c r="N183" s="360" t="n"/>
      <c r="O183" s="360" t="n"/>
      <c r="P183" s="361">
        <f>IF($A183&lt;=$C$7,S182,0)</f>
        <v/>
      </c>
      <c r="Q183" s="361">
        <f>MAX(0, MIN($F$10-SUM($Q$154:Q182), B183-D183-G183-J183-M183))</f>
        <v/>
      </c>
      <c r="R183" s="361">
        <f>$D$19*P183</f>
        <v/>
      </c>
      <c r="S183" s="361">
        <f>P183+Q183+R183</f>
        <v/>
      </c>
      <c r="T183" s="362">
        <f>IF($A183&lt;=$C$7,W182,0)</f>
        <v/>
      </c>
      <c r="U183" s="362">
        <f>MAX(0, MIN($F$8-SUM($U$154:U182), B183-D183-G183-J183-Q183-M183))</f>
        <v/>
      </c>
      <c r="V183" s="362">
        <f>$D$17*T183</f>
        <v/>
      </c>
      <c r="W183" s="362">
        <f>T183+U183+V183</f>
        <v/>
      </c>
      <c r="X183" s="363">
        <f>IF($A183&lt;=$C$7,AA182,0)</f>
        <v/>
      </c>
      <c r="Y183" s="363">
        <f>MAX(0, MIN($F$9-SUM($Y$154:Y182), B183-D183-G183-J183-U183-Q183-M183))</f>
        <v/>
      </c>
      <c r="Z183" s="363">
        <f>$D$18*X183</f>
        <v/>
      </c>
      <c r="AA183" s="363">
        <f>X183+Y183+Z183</f>
        <v/>
      </c>
      <c r="AB183" s="356">
        <f>AB182</f>
        <v/>
      </c>
      <c r="AC183" s="356">
        <f>MAX(0, MIN(AB183, B183-D183-G183-J183-U183-Y183-Q183))</f>
        <v/>
      </c>
      <c r="AD183" s="356">
        <f>AB183-AC183</f>
        <v/>
      </c>
      <c r="AE183" s="356">
        <f>C183+F183+I183+T183+X183+P183+AB183</f>
        <v/>
      </c>
      <c r="AF183" s="356">
        <f>V183+Z183+R183+N183</f>
        <v/>
      </c>
      <c r="AG183" s="356">
        <f>E183+H183+K183+W183+AA183+S183+AD183</f>
        <v/>
      </c>
    </row>
    <row r="184">
      <c r="A184" s="117" t="n">
        <v>30</v>
      </c>
      <c r="B184" s="356">
        <f>I121</f>
        <v/>
      </c>
      <c r="C184" s="357">
        <f>E183</f>
        <v/>
      </c>
      <c r="D184" s="357">
        <f>MIN(B184, C184)</f>
        <v/>
      </c>
      <c r="E184" s="357">
        <f>C184-D184</f>
        <v/>
      </c>
      <c r="F184" s="358">
        <f>H183</f>
        <v/>
      </c>
      <c r="G184" s="358">
        <f>MIN(B184-D184, F184)</f>
        <v/>
      </c>
      <c r="H184" s="358">
        <f>F184-G184</f>
        <v/>
      </c>
      <c r="I184" s="359">
        <f>K183</f>
        <v/>
      </c>
      <c r="J184" s="359">
        <f>MIN(B184-D184-G184, I184)</f>
        <v/>
      </c>
      <c r="K184" s="359">
        <f>I184-J184</f>
        <v/>
      </c>
      <c r="L184" s="360" t="n"/>
      <c r="M184" s="360" t="n"/>
      <c r="N184" s="360" t="n"/>
      <c r="O184" s="360" t="n"/>
      <c r="P184" s="361">
        <f>IF($A184&lt;=$C$7,S183,0)</f>
        <v/>
      </c>
      <c r="Q184" s="361">
        <f>MAX(0, MIN($F$10-SUM($Q$154:Q183), B184-D184-G184-J184-M184))</f>
        <v/>
      </c>
      <c r="R184" s="361">
        <f>$D$19*P184</f>
        <v/>
      </c>
      <c r="S184" s="361">
        <f>P184+Q184+R184</f>
        <v/>
      </c>
      <c r="T184" s="362">
        <f>IF($A184&lt;=$C$7,W183,0)</f>
        <v/>
      </c>
      <c r="U184" s="362">
        <f>MAX(0, MIN($F$8-SUM($U$154:U183), B184-D184-G184-J184-Q184-M184))</f>
        <v/>
      </c>
      <c r="V184" s="362">
        <f>$D$17*T184</f>
        <v/>
      </c>
      <c r="W184" s="362">
        <f>T184+U184+V184</f>
        <v/>
      </c>
      <c r="X184" s="363">
        <f>IF($A184&lt;=$C$7,AA183,0)</f>
        <v/>
      </c>
      <c r="Y184" s="363">
        <f>MAX(0, MIN($F$9-SUM($Y$154:Y183), B184-D184-G184-J184-U184-Q184-M184))</f>
        <v/>
      </c>
      <c r="Z184" s="363">
        <f>$D$18*X184</f>
        <v/>
      </c>
      <c r="AA184" s="363">
        <f>X184+Y184+Z184</f>
        <v/>
      </c>
      <c r="AB184" s="356">
        <f>AB183</f>
        <v/>
      </c>
      <c r="AC184" s="356">
        <f>MAX(0, MIN(AB184, B184-D184-G184-J184-U184-Y184-Q184))</f>
        <v/>
      </c>
      <c r="AD184" s="356">
        <f>AB184-AC184</f>
        <v/>
      </c>
      <c r="AE184" s="356">
        <f>C184+F184+I184+T184+X184+P184+AB184</f>
        <v/>
      </c>
      <c r="AF184" s="356">
        <f>V184+Z184+R184+N184</f>
        <v/>
      </c>
      <c r="AG184" s="356">
        <f>E184+H184+K184+W184+AA184+S184+AD184</f>
        <v/>
      </c>
    </row>
    <row r="185">
      <c r="A185" s="117" t="n">
        <v>31</v>
      </c>
      <c r="B185" s="356">
        <f>I122</f>
        <v/>
      </c>
      <c r="C185" s="357">
        <f>E184</f>
        <v/>
      </c>
      <c r="D185" s="357">
        <f>MIN(B185, C185)</f>
        <v/>
      </c>
      <c r="E185" s="357">
        <f>C185-D185</f>
        <v/>
      </c>
      <c r="F185" s="358">
        <f>H184</f>
        <v/>
      </c>
      <c r="G185" s="358">
        <f>MIN(B185-D185, F185)</f>
        <v/>
      </c>
      <c r="H185" s="358">
        <f>F185-G185</f>
        <v/>
      </c>
      <c r="I185" s="359">
        <f>K184</f>
        <v/>
      </c>
      <c r="J185" s="359">
        <f>MIN(B185-D185-G185, I185)</f>
        <v/>
      </c>
      <c r="K185" s="359">
        <f>I185-J185</f>
        <v/>
      </c>
      <c r="L185" s="360" t="n"/>
      <c r="M185" s="360" t="n"/>
      <c r="N185" s="360" t="n"/>
      <c r="O185" s="360" t="n"/>
      <c r="P185" s="361">
        <f>IF($A185&lt;=$C$7,S184,0)</f>
        <v/>
      </c>
      <c r="Q185" s="361">
        <f>MAX(0, MIN($F$10-SUM($Q$154:Q184), B185-D185-G185-J185-M185))</f>
        <v/>
      </c>
      <c r="R185" s="361">
        <f>$D$19*P185</f>
        <v/>
      </c>
      <c r="S185" s="361">
        <f>P185+Q185+R185</f>
        <v/>
      </c>
      <c r="T185" s="362">
        <f>IF($A185&lt;=$C$7,W184,0)</f>
        <v/>
      </c>
      <c r="U185" s="362">
        <f>MAX(0, MIN($F$8-SUM($U$154:U184), B185-D185-G185-J185-Q185-M185))</f>
        <v/>
      </c>
      <c r="V185" s="362">
        <f>$D$17*T185</f>
        <v/>
      </c>
      <c r="W185" s="362">
        <f>T185+U185+V185</f>
        <v/>
      </c>
      <c r="X185" s="363">
        <f>IF($A185&lt;=$C$7,AA184,0)</f>
        <v/>
      </c>
      <c r="Y185" s="363">
        <f>MAX(0, MIN($F$9-SUM($Y$154:Y184), B185-D185-G185-J185-U185-Q185-M185))</f>
        <v/>
      </c>
      <c r="Z185" s="363">
        <f>$D$18*X185</f>
        <v/>
      </c>
      <c r="AA185" s="363">
        <f>X185+Y185+Z185</f>
        <v/>
      </c>
      <c r="AB185" s="356">
        <f>AB184</f>
        <v/>
      </c>
      <c r="AC185" s="356">
        <f>MAX(0, MIN(AB185, B185-D185-G185-J185-U185-Y185-Q185))</f>
        <v/>
      </c>
      <c r="AD185" s="356">
        <f>AB185-AC185</f>
        <v/>
      </c>
      <c r="AE185" s="356">
        <f>C185+F185+I185+T185+X185+P185+AB185</f>
        <v/>
      </c>
      <c r="AF185" s="356">
        <f>V185+Z185+R185+N185</f>
        <v/>
      </c>
      <c r="AG185" s="356">
        <f>E185+H185+K185+W185+AA185+S185+AD185</f>
        <v/>
      </c>
    </row>
    <row r="186">
      <c r="A186" s="117" t="n">
        <v>32</v>
      </c>
      <c r="B186" s="356">
        <f>I123</f>
        <v/>
      </c>
      <c r="C186" s="357">
        <f>E185</f>
        <v/>
      </c>
      <c r="D186" s="357">
        <f>MIN(B186, C186)</f>
        <v/>
      </c>
      <c r="E186" s="357">
        <f>C186-D186</f>
        <v/>
      </c>
      <c r="F186" s="358">
        <f>H185</f>
        <v/>
      </c>
      <c r="G186" s="358">
        <f>MIN(B186-D186, F186)</f>
        <v/>
      </c>
      <c r="H186" s="358">
        <f>F186-G186</f>
        <v/>
      </c>
      <c r="I186" s="359">
        <f>K185</f>
        <v/>
      </c>
      <c r="J186" s="359">
        <f>MIN(B186-D186-G186, I186)</f>
        <v/>
      </c>
      <c r="K186" s="359">
        <f>I186-J186</f>
        <v/>
      </c>
      <c r="L186" s="360" t="n"/>
      <c r="M186" s="360" t="n"/>
      <c r="N186" s="360" t="n"/>
      <c r="O186" s="360" t="n"/>
      <c r="P186" s="361">
        <f>IF($A186&lt;=$C$7,S185,0)</f>
        <v/>
      </c>
      <c r="Q186" s="361">
        <f>MAX(0, MIN($F$10-SUM($Q$154:Q185), B186-D186-G186-J186-M186))</f>
        <v/>
      </c>
      <c r="R186" s="361">
        <f>$D$19*P186</f>
        <v/>
      </c>
      <c r="S186" s="361">
        <f>P186+Q186+R186</f>
        <v/>
      </c>
      <c r="T186" s="362">
        <f>IF($A186&lt;=$C$7,W185,0)</f>
        <v/>
      </c>
      <c r="U186" s="362">
        <f>MAX(0, MIN($F$8-SUM($U$154:U185), B186-D186-G186-J186-Q186-M186))</f>
        <v/>
      </c>
      <c r="V186" s="362">
        <f>$D$17*T186</f>
        <v/>
      </c>
      <c r="W186" s="362">
        <f>T186+U186+V186</f>
        <v/>
      </c>
      <c r="X186" s="363">
        <f>IF($A186&lt;=$C$7,AA185,0)</f>
        <v/>
      </c>
      <c r="Y186" s="363">
        <f>MAX(0, MIN($F$9-SUM($Y$154:Y185), B186-D186-G186-J186-U186-Q186-M186))</f>
        <v/>
      </c>
      <c r="Z186" s="363">
        <f>$D$18*X186</f>
        <v/>
      </c>
      <c r="AA186" s="363">
        <f>X186+Y186+Z186</f>
        <v/>
      </c>
      <c r="AB186" s="356">
        <f>AB185</f>
        <v/>
      </c>
      <c r="AC186" s="356">
        <f>MAX(0, MIN(AB186, B186-D186-G186-J186-U186-Y186-Q186))</f>
        <v/>
      </c>
      <c r="AD186" s="356">
        <f>AB186-AC186</f>
        <v/>
      </c>
      <c r="AE186" s="356">
        <f>C186+F186+I186+T186+X186+P186+AB186</f>
        <v/>
      </c>
      <c r="AF186" s="356">
        <f>V186+Z186+R186+N186</f>
        <v/>
      </c>
      <c r="AG186" s="356">
        <f>E186+H186+K186+W186+AA186+S186+AD186</f>
        <v/>
      </c>
    </row>
    <row r="187">
      <c r="A187" s="117" t="n">
        <v>33</v>
      </c>
      <c r="B187" s="356">
        <f>I124</f>
        <v/>
      </c>
      <c r="C187" s="357">
        <f>E186</f>
        <v/>
      </c>
      <c r="D187" s="357">
        <f>MIN(B187, C187)</f>
        <v/>
      </c>
      <c r="E187" s="357">
        <f>C187-D187</f>
        <v/>
      </c>
      <c r="F187" s="358">
        <f>H186</f>
        <v/>
      </c>
      <c r="G187" s="358">
        <f>MIN(B187-D187, F187)</f>
        <v/>
      </c>
      <c r="H187" s="358">
        <f>F187-G187</f>
        <v/>
      </c>
      <c r="I187" s="359">
        <f>K186</f>
        <v/>
      </c>
      <c r="J187" s="359">
        <f>MIN(B187-D187-G187, I187)</f>
        <v/>
      </c>
      <c r="K187" s="359">
        <f>I187-J187</f>
        <v/>
      </c>
      <c r="L187" s="360" t="n"/>
      <c r="M187" s="360" t="n"/>
      <c r="N187" s="360" t="n"/>
      <c r="O187" s="360" t="n"/>
      <c r="P187" s="361">
        <f>IF($A187&lt;=$C$7,S186,0)</f>
        <v/>
      </c>
      <c r="Q187" s="361">
        <f>MAX(0, MIN($F$10-SUM($Q$154:Q186), B187-D187-G187-J187-M187))</f>
        <v/>
      </c>
      <c r="R187" s="361">
        <f>$D$19*P187</f>
        <v/>
      </c>
      <c r="S187" s="361">
        <f>P187+Q187+R187</f>
        <v/>
      </c>
      <c r="T187" s="362">
        <f>IF($A187&lt;=$C$7,W186,0)</f>
        <v/>
      </c>
      <c r="U187" s="362">
        <f>MAX(0, MIN($F$8-SUM($U$154:U186), B187-D187-G187-J187-Q187-M187))</f>
        <v/>
      </c>
      <c r="V187" s="362">
        <f>$D$17*T187</f>
        <v/>
      </c>
      <c r="W187" s="362">
        <f>T187+U187+V187</f>
        <v/>
      </c>
      <c r="X187" s="363">
        <f>IF($A187&lt;=$C$7,AA186,0)</f>
        <v/>
      </c>
      <c r="Y187" s="363">
        <f>MAX(0, MIN($F$9-SUM($Y$154:Y186), B187-D187-G187-J187-U187-Q187-M187))</f>
        <v/>
      </c>
      <c r="Z187" s="363">
        <f>$D$18*X187</f>
        <v/>
      </c>
      <c r="AA187" s="363">
        <f>X187+Y187+Z187</f>
        <v/>
      </c>
      <c r="AB187" s="356">
        <f>AB186</f>
        <v/>
      </c>
      <c r="AC187" s="356">
        <f>MAX(0, MIN(AB187, B187-D187-G187-J187-U187-Y187-Q187))</f>
        <v/>
      </c>
      <c r="AD187" s="356">
        <f>AB187-AC187</f>
        <v/>
      </c>
      <c r="AE187" s="356">
        <f>C187+F187+I187+T187+X187+P187+AB187</f>
        <v/>
      </c>
      <c r="AF187" s="356">
        <f>V187+Z187+R187+N187</f>
        <v/>
      </c>
      <c r="AG187" s="356">
        <f>E187+H187+K187+W187+AA187+S187+AD187</f>
        <v/>
      </c>
    </row>
    <row r="188">
      <c r="A188" s="117" t="n">
        <v>34</v>
      </c>
      <c r="B188" s="356">
        <f>I125</f>
        <v/>
      </c>
      <c r="C188" s="357">
        <f>E187</f>
        <v/>
      </c>
      <c r="D188" s="357">
        <f>MIN(B188, C188)</f>
        <v/>
      </c>
      <c r="E188" s="357">
        <f>C188-D188</f>
        <v/>
      </c>
      <c r="F188" s="358">
        <f>H187</f>
        <v/>
      </c>
      <c r="G188" s="358">
        <f>MIN(B188-D188, F188)</f>
        <v/>
      </c>
      <c r="H188" s="358">
        <f>F188-G188</f>
        <v/>
      </c>
      <c r="I188" s="359">
        <f>K187</f>
        <v/>
      </c>
      <c r="J188" s="359">
        <f>MIN(B188-D188-G188, I188)</f>
        <v/>
      </c>
      <c r="K188" s="359">
        <f>I188-J188</f>
        <v/>
      </c>
      <c r="L188" s="360" t="n"/>
      <c r="M188" s="360" t="n"/>
      <c r="N188" s="360" t="n"/>
      <c r="O188" s="360" t="n"/>
      <c r="P188" s="361">
        <f>IF($A188&lt;=$C$7,S187,0)</f>
        <v/>
      </c>
      <c r="Q188" s="361">
        <f>MAX(0, MIN($F$10-SUM($Q$154:Q187), B188-D188-G188-J188-M188))</f>
        <v/>
      </c>
      <c r="R188" s="361">
        <f>$D$19*P188</f>
        <v/>
      </c>
      <c r="S188" s="361">
        <f>P188+Q188+R188</f>
        <v/>
      </c>
      <c r="T188" s="362">
        <f>IF($A188&lt;=$C$7,W187,0)</f>
        <v/>
      </c>
      <c r="U188" s="362">
        <f>MAX(0, MIN($F$8-SUM($U$154:U187), B188-D188-G188-J188-Q188-M188))</f>
        <v/>
      </c>
      <c r="V188" s="362">
        <f>$D$17*T188</f>
        <v/>
      </c>
      <c r="W188" s="362">
        <f>T188+U188+V188</f>
        <v/>
      </c>
      <c r="X188" s="363">
        <f>IF($A188&lt;=$C$7,AA187,0)</f>
        <v/>
      </c>
      <c r="Y188" s="363">
        <f>MAX(0, MIN($F$9-SUM($Y$154:Y187), B188-D188-G188-J188-U188-Q188-M188))</f>
        <v/>
      </c>
      <c r="Z188" s="363">
        <f>$D$18*X188</f>
        <v/>
      </c>
      <c r="AA188" s="363">
        <f>X188+Y188+Z188</f>
        <v/>
      </c>
      <c r="AB188" s="356">
        <f>AB187</f>
        <v/>
      </c>
      <c r="AC188" s="356">
        <f>MAX(0, MIN(AB188, B188-D188-G188-J188-U188-Y188-Q188))</f>
        <v/>
      </c>
      <c r="AD188" s="356">
        <f>AB188-AC188</f>
        <v/>
      </c>
      <c r="AE188" s="356">
        <f>C188+F188+I188+T188+X188+P188+AB188</f>
        <v/>
      </c>
      <c r="AF188" s="356">
        <f>V188+Z188+R188+N188</f>
        <v/>
      </c>
      <c r="AG188" s="356">
        <f>E188+H188+K188+W188+AA188+S188+AD188</f>
        <v/>
      </c>
    </row>
    <row r="189">
      <c r="A189" s="117" t="n">
        <v>35</v>
      </c>
      <c r="B189" s="356">
        <f>I126</f>
        <v/>
      </c>
      <c r="C189" s="357">
        <f>E188</f>
        <v/>
      </c>
      <c r="D189" s="357">
        <f>MIN(B189, C189)</f>
        <v/>
      </c>
      <c r="E189" s="357">
        <f>C189-D189</f>
        <v/>
      </c>
      <c r="F189" s="358">
        <f>H188</f>
        <v/>
      </c>
      <c r="G189" s="358">
        <f>MIN(B189-D189, F189)</f>
        <v/>
      </c>
      <c r="H189" s="358">
        <f>F189-G189</f>
        <v/>
      </c>
      <c r="I189" s="359">
        <f>K188</f>
        <v/>
      </c>
      <c r="J189" s="359">
        <f>MIN(B189-D189-G189, I189)</f>
        <v/>
      </c>
      <c r="K189" s="359">
        <f>I189-J189</f>
        <v/>
      </c>
      <c r="L189" s="360" t="n"/>
      <c r="M189" s="360" t="n"/>
      <c r="N189" s="360" t="n"/>
      <c r="O189" s="360" t="n"/>
      <c r="P189" s="361">
        <f>IF($A189&lt;=$C$7,S188,0)</f>
        <v/>
      </c>
      <c r="Q189" s="361">
        <f>MAX(0, MIN($F$10-SUM($Q$154:Q188), B189-D189-G189-J189-M189))</f>
        <v/>
      </c>
      <c r="R189" s="361">
        <f>$D$19*P189</f>
        <v/>
      </c>
      <c r="S189" s="361">
        <f>P189+Q189+R189</f>
        <v/>
      </c>
      <c r="T189" s="362">
        <f>IF($A189&lt;=$C$7,W188,0)</f>
        <v/>
      </c>
      <c r="U189" s="362">
        <f>MAX(0, MIN($F$8-SUM($U$154:U188), B189-D189-G189-J189-Q189-M189))</f>
        <v/>
      </c>
      <c r="V189" s="362">
        <f>$D$17*T189</f>
        <v/>
      </c>
      <c r="W189" s="362">
        <f>T189+U189+V189</f>
        <v/>
      </c>
      <c r="X189" s="363">
        <f>IF($A189&lt;=$C$7,AA188,0)</f>
        <v/>
      </c>
      <c r="Y189" s="363">
        <f>MAX(0, MIN($F$9-SUM($Y$154:Y188), B189-D189-G189-J189-U189-Q189-M189))</f>
        <v/>
      </c>
      <c r="Z189" s="363">
        <f>$D$18*X189</f>
        <v/>
      </c>
      <c r="AA189" s="363">
        <f>X189+Y189+Z189</f>
        <v/>
      </c>
      <c r="AB189" s="356">
        <f>AB188</f>
        <v/>
      </c>
      <c r="AC189" s="356">
        <f>MAX(0, MIN(AB189, B189-D189-G189-J189-U189-Y189-Q189))</f>
        <v/>
      </c>
      <c r="AD189" s="356">
        <f>AB189-AC189</f>
        <v/>
      </c>
      <c r="AE189" s="356">
        <f>C189+F189+I189+T189+X189+P189+AB189</f>
        <v/>
      </c>
      <c r="AF189" s="356">
        <f>V189+Z189+R189+N189</f>
        <v/>
      </c>
      <c r="AG189" s="356">
        <f>E189+H189+K189+W189+AA189+S189+AD189</f>
        <v/>
      </c>
    </row>
    <row r="190">
      <c r="A190" s="117" t="n">
        <v>36</v>
      </c>
      <c r="B190" s="356">
        <f>I127</f>
        <v/>
      </c>
      <c r="C190" s="357">
        <f>E189</f>
        <v/>
      </c>
      <c r="D190" s="357">
        <f>MIN(B190, C190)</f>
        <v/>
      </c>
      <c r="E190" s="357">
        <f>C190-D190</f>
        <v/>
      </c>
      <c r="F190" s="358">
        <f>H189</f>
        <v/>
      </c>
      <c r="G190" s="358">
        <f>MIN(B190-D190, F190)</f>
        <v/>
      </c>
      <c r="H190" s="358">
        <f>F190-G190</f>
        <v/>
      </c>
      <c r="I190" s="359">
        <f>K189</f>
        <v/>
      </c>
      <c r="J190" s="359">
        <f>MIN(B190-D190-G190, I190)</f>
        <v/>
      </c>
      <c r="K190" s="359">
        <f>I190-J190</f>
        <v/>
      </c>
      <c r="L190" s="360" t="n"/>
      <c r="M190" s="360" t="n"/>
      <c r="N190" s="360" t="n"/>
      <c r="O190" s="360" t="n"/>
      <c r="P190" s="361">
        <f>IF($A190&lt;=$C$7,S189,0)</f>
        <v/>
      </c>
      <c r="Q190" s="361">
        <f>MAX(0, MIN($F$10-SUM($Q$154:Q189), B190-D190-G190-J190-M190))</f>
        <v/>
      </c>
      <c r="R190" s="361">
        <f>$D$19*P190</f>
        <v/>
      </c>
      <c r="S190" s="361">
        <f>P190+Q190+R190</f>
        <v/>
      </c>
      <c r="T190" s="362">
        <f>IF($A190&lt;=$C$7,W189,0)</f>
        <v/>
      </c>
      <c r="U190" s="362">
        <f>MAX(0, MIN($F$8-SUM($U$154:U189), B190-D190-G190-J190-Q190-M190))</f>
        <v/>
      </c>
      <c r="V190" s="362">
        <f>$D$17*T190</f>
        <v/>
      </c>
      <c r="W190" s="362">
        <f>T190+U190+V190</f>
        <v/>
      </c>
      <c r="X190" s="363">
        <f>IF($A190&lt;=$C$7,AA189,0)</f>
        <v/>
      </c>
      <c r="Y190" s="363">
        <f>MAX(0, MIN($F$9-SUM($Y$154:Y189), B190-D190-G190-J190-U190-Q190-M190))</f>
        <v/>
      </c>
      <c r="Z190" s="363">
        <f>$D$18*X190</f>
        <v/>
      </c>
      <c r="AA190" s="363">
        <f>X190+Y190+Z190</f>
        <v/>
      </c>
      <c r="AB190" s="356">
        <f>AB189</f>
        <v/>
      </c>
      <c r="AC190" s="356">
        <f>MAX(0, MIN(AB190, B190-D190-G190-J190-U190-Y190-Q190))</f>
        <v/>
      </c>
      <c r="AD190" s="356">
        <f>AB190-AC190</f>
        <v/>
      </c>
      <c r="AE190" s="356">
        <f>C190+F190+I190+T190+X190+P190+AB190</f>
        <v/>
      </c>
      <c r="AF190" s="356">
        <f>V190+Z190+R190+N190</f>
        <v/>
      </c>
      <c r="AG190" s="356">
        <f>E190+H190+K190+W190+AA190+S190+AD190</f>
        <v/>
      </c>
    </row>
    <row r="191">
      <c r="A191" s="117" t="n">
        <v>37</v>
      </c>
      <c r="B191" s="356">
        <f>I128</f>
        <v/>
      </c>
      <c r="C191" s="357">
        <f>E190</f>
        <v/>
      </c>
      <c r="D191" s="357">
        <f>MIN(B191, C191)</f>
        <v/>
      </c>
      <c r="E191" s="357">
        <f>C191-D191</f>
        <v/>
      </c>
      <c r="F191" s="358">
        <f>H190</f>
        <v/>
      </c>
      <c r="G191" s="358">
        <f>MIN(B191-D191, F191)</f>
        <v/>
      </c>
      <c r="H191" s="358">
        <f>F191-G191</f>
        <v/>
      </c>
      <c r="I191" s="359">
        <f>K190</f>
        <v/>
      </c>
      <c r="J191" s="359">
        <f>MIN(B191-D191-G191, I191)</f>
        <v/>
      </c>
      <c r="K191" s="359">
        <f>I191-J191</f>
        <v/>
      </c>
      <c r="L191" s="360" t="n"/>
      <c r="M191" s="360" t="n"/>
      <c r="N191" s="360" t="n"/>
      <c r="O191" s="360" t="n"/>
      <c r="P191" s="361">
        <f>IF($A191&lt;=$C$7,S190,0)</f>
        <v/>
      </c>
      <c r="Q191" s="361">
        <f>MAX(0, MIN($F$10-SUM($Q$154:Q190), B191-D191-G191-J191-M191))</f>
        <v/>
      </c>
      <c r="R191" s="361">
        <f>$D$19*P191</f>
        <v/>
      </c>
      <c r="S191" s="361">
        <f>P191+Q191+R191</f>
        <v/>
      </c>
      <c r="T191" s="362">
        <f>IF($A191&lt;=$C$7,W190,0)</f>
        <v/>
      </c>
      <c r="U191" s="362">
        <f>MAX(0, MIN($F$8-SUM($U$154:U190), B191-D191-G191-J191-Q191-M191))</f>
        <v/>
      </c>
      <c r="V191" s="362">
        <f>$D$17*T191</f>
        <v/>
      </c>
      <c r="W191" s="362">
        <f>T191+U191+V191</f>
        <v/>
      </c>
      <c r="X191" s="363">
        <f>IF($A191&lt;=$C$7,AA190,0)</f>
        <v/>
      </c>
      <c r="Y191" s="363">
        <f>MAX(0, MIN($F$9-SUM($Y$154:Y190), B191-D191-G191-J191-U191-Q191-M191))</f>
        <v/>
      </c>
      <c r="Z191" s="363">
        <f>$D$18*X191</f>
        <v/>
      </c>
      <c r="AA191" s="363">
        <f>X191+Y191+Z191</f>
        <v/>
      </c>
      <c r="AB191" s="356">
        <f>AB190</f>
        <v/>
      </c>
      <c r="AC191" s="356">
        <f>MAX(0, MIN(AB191, B191-D191-G191-J191-U191-Y191-Q191))</f>
        <v/>
      </c>
      <c r="AD191" s="356">
        <f>AB191-AC191</f>
        <v/>
      </c>
      <c r="AE191" s="356">
        <f>C191+F191+I191+T191+X191+P191+AB191</f>
        <v/>
      </c>
      <c r="AF191" s="356">
        <f>V191+Z191+R191+N191</f>
        <v/>
      </c>
      <c r="AG191" s="356">
        <f>E191+H191+K191+W191+AA191+S191+AD191</f>
        <v/>
      </c>
    </row>
    <row r="192">
      <c r="A192" s="117" t="n">
        <v>38</v>
      </c>
      <c r="B192" s="356">
        <f>I129</f>
        <v/>
      </c>
      <c r="C192" s="357">
        <f>E191</f>
        <v/>
      </c>
      <c r="D192" s="357">
        <f>MIN(B192, C192)</f>
        <v/>
      </c>
      <c r="E192" s="357">
        <f>C192-D192</f>
        <v/>
      </c>
      <c r="F192" s="358">
        <f>H191</f>
        <v/>
      </c>
      <c r="G192" s="358">
        <f>MIN(B192-D192, F192)</f>
        <v/>
      </c>
      <c r="H192" s="358">
        <f>F192-G192</f>
        <v/>
      </c>
      <c r="I192" s="359">
        <f>K191</f>
        <v/>
      </c>
      <c r="J192" s="359">
        <f>MIN(B192-D192-G192, I192)</f>
        <v/>
      </c>
      <c r="K192" s="359">
        <f>I192-J192</f>
        <v/>
      </c>
      <c r="L192" s="360" t="n"/>
      <c r="M192" s="360" t="n"/>
      <c r="N192" s="360" t="n"/>
      <c r="O192" s="360" t="n"/>
      <c r="P192" s="361">
        <f>IF($A192&lt;=$C$7,S191,0)</f>
        <v/>
      </c>
      <c r="Q192" s="361">
        <f>MAX(0, MIN($F$10-SUM($Q$154:Q191), B192-D192-G192-J192-M192))</f>
        <v/>
      </c>
      <c r="R192" s="361">
        <f>$D$19*P192</f>
        <v/>
      </c>
      <c r="S192" s="361">
        <f>P192+Q192+R192</f>
        <v/>
      </c>
      <c r="T192" s="362">
        <f>IF($A192&lt;=$C$7,W191,0)</f>
        <v/>
      </c>
      <c r="U192" s="362">
        <f>MAX(0, MIN($F$8-SUM($U$154:U191), B192-D192-G192-J192-Q192-M192))</f>
        <v/>
      </c>
      <c r="V192" s="362">
        <f>$D$17*T192</f>
        <v/>
      </c>
      <c r="W192" s="362">
        <f>T192+U192+V192</f>
        <v/>
      </c>
      <c r="X192" s="363">
        <f>IF($A192&lt;=$C$7,AA191,0)</f>
        <v/>
      </c>
      <c r="Y192" s="363">
        <f>MAX(0, MIN($F$9-SUM($Y$154:Y191), B192-D192-G192-J192-U192-Q192-M192))</f>
        <v/>
      </c>
      <c r="Z192" s="363">
        <f>$D$18*X192</f>
        <v/>
      </c>
      <c r="AA192" s="363">
        <f>X192+Y192+Z192</f>
        <v/>
      </c>
      <c r="AB192" s="356">
        <f>AB191</f>
        <v/>
      </c>
      <c r="AC192" s="356">
        <f>MAX(0, MIN(AB192, B192-D192-G192-J192-U192-Y192-Q192))</f>
        <v/>
      </c>
      <c r="AD192" s="356">
        <f>AB192-AC192</f>
        <v/>
      </c>
      <c r="AE192" s="356">
        <f>C192+F192+I192+T192+X192+P192+AB192</f>
        <v/>
      </c>
      <c r="AF192" s="356">
        <f>V192+Z192+R192+N192</f>
        <v/>
      </c>
      <c r="AG192" s="356">
        <f>E192+H192+K192+W192+AA192+S192+AD192</f>
        <v/>
      </c>
    </row>
    <row r="193">
      <c r="A193" s="117" t="n">
        <v>39</v>
      </c>
      <c r="B193" s="356">
        <f>I130</f>
        <v/>
      </c>
      <c r="C193" s="357">
        <f>E192</f>
        <v/>
      </c>
      <c r="D193" s="357">
        <f>MIN(B193, C193)</f>
        <v/>
      </c>
      <c r="E193" s="357">
        <f>C193-D193</f>
        <v/>
      </c>
      <c r="F193" s="358">
        <f>H192</f>
        <v/>
      </c>
      <c r="G193" s="358">
        <f>MIN(B193-D193, F193)</f>
        <v/>
      </c>
      <c r="H193" s="358">
        <f>F193-G193</f>
        <v/>
      </c>
      <c r="I193" s="359">
        <f>K192</f>
        <v/>
      </c>
      <c r="J193" s="359">
        <f>MIN(B193-D193-G193, I193)</f>
        <v/>
      </c>
      <c r="K193" s="359">
        <f>I193-J193</f>
        <v/>
      </c>
      <c r="L193" s="360" t="n"/>
      <c r="M193" s="360" t="n"/>
      <c r="N193" s="360" t="n"/>
      <c r="O193" s="360" t="n"/>
      <c r="P193" s="361">
        <f>IF($A193&lt;=$C$7,S192,0)</f>
        <v/>
      </c>
      <c r="Q193" s="361">
        <f>MAX(0, MIN($F$10-SUM($Q$154:Q192), B193-D193-G193-J193-M193))</f>
        <v/>
      </c>
      <c r="R193" s="361">
        <f>$D$19*P193</f>
        <v/>
      </c>
      <c r="S193" s="361">
        <f>P193+Q193+R193</f>
        <v/>
      </c>
      <c r="T193" s="362">
        <f>IF($A193&lt;=$C$7,W192,0)</f>
        <v/>
      </c>
      <c r="U193" s="362">
        <f>MAX(0, MIN($F$8-SUM($U$154:U192), B193-D193-G193-J193-Q193-M193))</f>
        <v/>
      </c>
      <c r="V193" s="362">
        <f>$D$17*T193</f>
        <v/>
      </c>
      <c r="W193" s="362">
        <f>T193+U193+V193</f>
        <v/>
      </c>
      <c r="X193" s="363">
        <f>IF($A193&lt;=$C$7,AA192,0)</f>
        <v/>
      </c>
      <c r="Y193" s="363">
        <f>MAX(0, MIN($F$9-SUM($Y$154:Y192), B193-D193-G193-J193-U193-Q193-M193))</f>
        <v/>
      </c>
      <c r="Z193" s="363">
        <f>$D$18*X193</f>
        <v/>
      </c>
      <c r="AA193" s="363">
        <f>X193+Y193+Z193</f>
        <v/>
      </c>
      <c r="AB193" s="356">
        <f>AB192</f>
        <v/>
      </c>
      <c r="AC193" s="356">
        <f>MAX(0, MIN(AB193, B193-D193-G193-J193-U193-Y193-Q193))</f>
        <v/>
      </c>
      <c r="AD193" s="356">
        <f>AB193-AC193</f>
        <v/>
      </c>
      <c r="AE193" s="356">
        <f>C193+F193+I193+T193+X193+P193+AB193</f>
        <v/>
      </c>
      <c r="AF193" s="356">
        <f>V193+Z193+R193+N193</f>
        <v/>
      </c>
      <c r="AG193" s="356">
        <f>E193+H193+K193+W193+AA193+S193+AD193</f>
        <v/>
      </c>
    </row>
    <row r="194">
      <c r="A194" s="117" t="n">
        <v>40</v>
      </c>
      <c r="B194" s="356">
        <f>I131</f>
        <v/>
      </c>
      <c r="C194" s="357">
        <f>E193</f>
        <v/>
      </c>
      <c r="D194" s="357">
        <f>MIN(B194, C194)</f>
        <v/>
      </c>
      <c r="E194" s="357">
        <f>C194-D194</f>
        <v/>
      </c>
      <c r="F194" s="358">
        <f>H193</f>
        <v/>
      </c>
      <c r="G194" s="358">
        <f>MIN(B194-D194, F194)</f>
        <v/>
      </c>
      <c r="H194" s="358">
        <f>F194-G194</f>
        <v/>
      </c>
      <c r="I194" s="359">
        <f>K193</f>
        <v/>
      </c>
      <c r="J194" s="359">
        <f>MIN(B194-D194-G194, I194)</f>
        <v/>
      </c>
      <c r="K194" s="359">
        <f>I194-J194</f>
        <v/>
      </c>
      <c r="L194" s="360" t="n"/>
      <c r="M194" s="360" t="n"/>
      <c r="N194" s="360" t="n"/>
      <c r="O194" s="360" t="n"/>
      <c r="P194" s="361">
        <f>IF($A194&lt;=$C$7,S193,0)</f>
        <v/>
      </c>
      <c r="Q194" s="361">
        <f>MAX(0, MIN($F$10-SUM($Q$154:Q193), B194-D194-G194-J194-M194))</f>
        <v/>
      </c>
      <c r="R194" s="361">
        <f>$D$19*P194</f>
        <v/>
      </c>
      <c r="S194" s="361">
        <f>P194+Q194+R194</f>
        <v/>
      </c>
      <c r="T194" s="362">
        <f>IF($A194&lt;=$C$7,W193,0)</f>
        <v/>
      </c>
      <c r="U194" s="362">
        <f>MAX(0, MIN($F$8-SUM($U$154:U193), B194-D194-G194-J194-Q194-M194))</f>
        <v/>
      </c>
      <c r="V194" s="362">
        <f>$D$17*T194</f>
        <v/>
      </c>
      <c r="W194" s="362">
        <f>T194+U194+V194</f>
        <v/>
      </c>
      <c r="X194" s="363">
        <f>IF($A194&lt;=$C$7,AA193,0)</f>
        <v/>
      </c>
      <c r="Y194" s="363">
        <f>MAX(0, MIN($F$9-SUM($Y$154:Y193), B194-D194-G194-J194-U194-Q194-M194))</f>
        <v/>
      </c>
      <c r="Z194" s="363">
        <f>$D$18*X194</f>
        <v/>
      </c>
      <c r="AA194" s="363">
        <f>X194+Y194+Z194</f>
        <v/>
      </c>
      <c r="AB194" s="356">
        <f>AB193</f>
        <v/>
      </c>
      <c r="AC194" s="356">
        <f>MAX(0, MIN(AB194, B194-D194-G194-J194-U194-Y194-Q194))</f>
        <v/>
      </c>
      <c r="AD194" s="356">
        <f>AB194-AC194</f>
        <v/>
      </c>
      <c r="AE194" s="356">
        <f>C194+F194+I194+T194+X194+P194+AB194</f>
        <v/>
      </c>
      <c r="AF194" s="356">
        <f>V194+Z194+R194+N194</f>
        <v/>
      </c>
      <c r="AG194" s="356">
        <f>E194+H194+K194+W194+AA194+S194+AD194</f>
        <v/>
      </c>
    </row>
    <row r="195">
      <c r="A195" s="117" t="n">
        <v>41</v>
      </c>
      <c r="B195" s="356">
        <f>I132</f>
        <v/>
      </c>
      <c r="C195" s="357">
        <f>E194</f>
        <v/>
      </c>
      <c r="D195" s="357">
        <f>MIN(B195, C195)</f>
        <v/>
      </c>
      <c r="E195" s="357">
        <f>C195-D195</f>
        <v/>
      </c>
      <c r="F195" s="358">
        <f>H194</f>
        <v/>
      </c>
      <c r="G195" s="358">
        <f>MIN(B195-D195, F195)</f>
        <v/>
      </c>
      <c r="H195" s="358">
        <f>F195-G195</f>
        <v/>
      </c>
      <c r="I195" s="359">
        <f>K194</f>
        <v/>
      </c>
      <c r="J195" s="359">
        <f>MIN(B195-D195-G195, I195)</f>
        <v/>
      </c>
      <c r="K195" s="359">
        <f>I195-J195</f>
        <v/>
      </c>
      <c r="L195" s="360" t="n"/>
      <c r="M195" s="360" t="n"/>
      <c r="N195" s="360" t="n"/>
      <c r="O195" s="360" t="n"/>
      <c r="P195" s="361">
        <f>IF($A195&lt;=$C$7,S194,0)</f>
        <v/>
      </c>
      <c r="Q195" s="361">
        <f>MAX(0, MIN($F$10-SUM($Q$154:Q194), B195-D195-G195-J195-M195))</f>
        <v/>
      </c>
      <c r="R195" s="361">
        <f>$D$19*P195</f>
        <v/>
      </c>
      <c r="S195" s="361">
        <f>P195+Q195+R195</f>
        <v/>
      </c>
      <c r="T195" s="362">
        <f>IF($A195&lt;=$C$7,W194,0)</f>
        <v/>
      </c>
      <c r="U195" s="362">
        <f>MAX(0, MIN($F$8-SUM($U$154:U194), B195-D195-G195-J195-Q195-M195))</f>
        <v/>
      </c>
      <c r="V195" s="362">
        <f>$D$17*T195</f>
        <v/>
      </c>
      <c r="W195" s="362">
        <f>T195+U195+V195</f>
        <v/>
      </c>
      <c r="X195" s="363">
        <f>IF($A195&lt;=$C$7,AA194,0)</f>
        <v/>
      </c>
      <c r="Y195" s="363">
        <f>MAX(0, MIN($F$9-SUM($Y$154:Y194), B195-D195-G195-J195-U195-Q195-M195))</f>
        <v/>
      </c>
      <c r="Z195" s="363">
        <f>$D$18*X195</f>
        <v/>
      </c>
      <c r="AA195" s="363">
        <f>X195+Y195+Z195</f>
        <v/>
      </c>
      <c r="AB195" s="356">
        <f>AB194</f>
        <v/>
      </c>
      <c r="AC195" s="356">
        <f>MAX(0, MIN(AB195, B195-D195-G195-J195-U195-Y195-Q195))</f>
        <v/>
      </c>
      <c r="AD195" s="356">
        <f>AB195-AC195</f>
        <v/>
      </c>
      <c r="AE195" s="356">
        <f>C195+F195+I195+T195+X195+P195+AB195</f>
        <v/>
      </c>
      <c r="AF195" s="356">
        <f>V195+Z195+R195+N195</f>
        <v/>
      </c>
      <c r="AG195" s="356">
        <f>E195+H195+K195+W195+AA195+S195+AD195</f>
        <v/>
      </c>
    </row>
    <row r="196">
      <c r="A196" s="117" t="n">
        <v>42</v>
      </c>
      <c r="B196" s="356">
        <f>I133</f>
        <v/>
      </c>
      <c r="C196" s="357">
        <f>E195</f>
        <v/>
      </c>
      <c r="D196" s="357">
        <f>MIN(B196, C196)</f>
        <v/>
      </c>
      <c r="E196" s="357">
        <f>C196-D196</f>
        <v/>
      </c>
      <c r="F196" s="358">
        <f>H195</f>
        <v/>
      </c>
      <c r="G196" s="358">
        <f>MIN(B196-D196, F196)</f>
        <v/>
      </c>
      <c r="H196" s="358">
        <f>F196-G196</f>
        <v/>
      </c>
      <c r="I196" s="359">
        <f>K195</f>
        <v/>
      </c>
      <c r="J196" s="359">
        <f>MIN(B196-D196-G196, I196)</f>
        <v/>
      </c>
      <c r="K196" s="359">
        <f>I196-J196</f>
        <v/>
      </c>
      <c r="L196" s="360" t="n"/>
      <c r="M196" s="360" t="n"/>
      <c r="N196" s="360" t="n"/>
      <c r="O196" s="360" t="n"/>
      <c r="P196" s="361">
        <f>IF($A196&lt;=$C$7,S195,0)</f>
        <v/>
      </c>
      <c r="Q196" s="361">
        <f>MAX(0, MIN($F$10-SUM($Q$154:Q195), B196-D196-G196-J196-M196))</f>
        <v/>
      </c>
      <c r="R196" s="361">
        <f>$D$19*P196</f>
        <v/>
      </c>
      <c r="S196" s="361">
        <f>P196+Q196+R196</f>
        <v/>
      </c>
      <c r="T196" s="362">
        <f>IF($A196&lt;=$C$7,W195,0)</f>
        <v/>
      </c>
      <c r="U196" s="362">
        <f>MAX(0, MIN($F$8-SUM($U$154:U195), B196-D196-G196-J196-Q196-M196))</f>
        <v/>
      </c>
      <c r="V196" s="362">
        <f>$D$17*T196</f>
        <v/>
      </c>
      <c r="W196" s="362">
        <f>T196+U196+V196</f>
        <v/>
      </c>
      <c r="X196" s="363">
        <f>IF($A196&lt;=$C$7,AA195,0)</f>
        <v/>
      </c>
      <c r="Y196" s="363">
        <f>MAX(0, MIN($F$9-SUM($Y$154:Y195), B196-D196-G196-J196-U196-Q196-M196))</f>
        <v/>
      </c>
      <c r="Z196" s="363">
        <f>$D$18*X196</f>
        <v/>
      </c>
      <c r="AA196" s="363">
        <f>X196+Y196+Z196</f>
        <v/>
      </c>
      <c r="AB196" s="356">
        <f>AB195</f>
        <v/>
      </c>
      <c r="AC196" s="356">
        <f>MAX(0, MIN(AB196, B196-D196-G196-J196-U196-Y196-Q196))</f>
        <v/>
      </c>
      <c r="AD196" s="356">
        <f>AB196-AC196</f>
        <v/>
      </c>
      <c r="AE196" s="356">
        <f>C196+F196+I196+T196+X196+P196+AB196</f>
        <v/>
      </c>
      <c r="AF196" s="356">
        <f>V196+Z196+R196+N196</f>
        <v/>
      </c>
      <c r="AG196" s="356">
        <f>E196+H196+K196+W196+AA196+S196+AD196</f>
        <v/>
      </c>
    </row>
    <row r="197">
      <c r="A197" s="117" t="n">
        <v>43</v>
      </c>
      <c r="B197" s="356">
        <f>I134</f>
        <v/>
      </c>
      <c r="C197" s="357">
        <f>E196</f>
        <v/>
      </c>
      <c r="D197" s="357">
        <f>MIN(B197, C197)</f>
        <v/>
      </c>
      <c r="E197" s="357">
        <f>C197-D197</f>
        <v/>
      </c>
      <c r="F197" s="358">
        <f>H196</f>
        <v/>
      </c>
      <c r="G197" s="358">
        <f>MIN(B197-D197, F197)</f>
        <v/>
      </c>
      <c r="H197" s="358">
        <f>F197-G197</f>
        <v/>
      </c>
      <c r="I197" s="359">
        <f>K196</f>
        <v/>
      </c>
      <c r="J197" s="359">
        <f>MIN(B197-D197-G197, I197)</f>
        <v/>
      </c>
      <c r="K197" s="359">
        <f>I197-J197</f>
        <v/>
      </c>
      <c r="L197" s="360" t="n"/>
      <c r="M197" s="360" t="n"/>
      <c r="N197" s="360" t="n"/>
      <c r="O197" s="360" t="n"/>
      <c r="P197" s="361">
        <f>IF($A197&lt;=$C$7,S196,0)</f>
        <v/>
      </c>
      <c r="Q197" s="361">
        <f>MAX(0, MIN($F$10-SUM($Q$154:Q196), B197-D197-G197-J197-M197))</f>
        <v/>
      </c>
      <c r="R197" s="361">
        <f>$D$19*P197</f>
        <v/>
      </c>
      <c r="S197" s="361">
        <f>P197+Q197+R197</f>
        <v/>
      </c>
      <c r="T197" s="362">
        <f>IF($A197&lt;=$C$7,W196,0)</f>
        <v/>
      </c>
      <c r="U197" s="362">
        <f>MAX(0, MIN($F$8-SUM($U$154:U196), B197-D197-G197-J197-Q197-M197))</f>
        <v/>
      </c>
      <c r="V197" s="362">
        <f>$D$17*T197</f>
        <v/>
      </c>
      <c r="W197" s="362">
        <f>T197+U197+V197</f>
        <v/>
      </c>
      <c r="X197" s="363">
        <f>IF($A197&lt;=$C$7,AA196,0)</f>
        <v/>
      </c>
      <c r="Y197" s="363">
        <f>MAX(0, MIN($F$9-SUM($Y$154:Y196), B197-D197-G197-J197-U197-Q197-M197))</f>
        <v/>
      </c>
      <c r="Z197" s="363">
        <f>$D$18*X197</f>
        <v/>
      </c>
      <c r="AA197" s="363">
        <f>X197+Y197+Z197</f>
        <v/>
      </c>
      <c r="AB197" s="356">
        <f>AB196</f>
        <v/>
      </c>
      <c r="AC197" s="356">
        <f>MAX(0, MIN(AB197, B197-D197-G197-J197-U197-Y197-Q197))</f>
        <v/>
      </c>
      <c r="AD197" s="356">
        <f>AB197-AC197</f>
        <v/>
      </c>
      <c r="AE197" s="356">
        <f>C197+F197+I197+T197+X197+P197+AB197</f>
        <v/>
      </c>
      <c r="AF197" s="356">
        <f>V197+Z197+R197+N197</f>
        <v/>
      </c>
      <c r="AG197" s="356">
        <f>E197+H197+K197+W197+AA197+S197+AD197</f>
        <v/>
      </c>
    </row>
    <row r="198">
      <c r="A198" s="117" t="n">
        <v>44</v>
      </c>
      <c r="B198" s="356">
        <f>I135</f>
        <v/>
      </c>
      <c r="C198" s="357">
        <f>E197</f>
        <v/>
      </c>
      <c r="D198" s="357">
        <f>MIN(B198, C198)</f>
        <v/>
      </c>
      <c r="E198" s="357">
        <f>C198-D198</f>
        <v/>
      </c>
      <c r="F198" s="358">
        <f>H197</f>
        <v/>
      </c>
      <c r="G198" s="358">
        <f>MIN(B198-D198, F198)</f>
        <v/>
      </c>
      <c r="H198" s="358">
        <f>F198-G198</f>
        <v/>
      </c>
      <c r="I198" s="359">
        <f>K197</f>
        <v/>
      </c>
      <c r="J198" s="359">
        <f>MIN(B198-D198-G198, I198)</f>
        <v/>
      </c>
      <c r="K198" s="359">
        <f>I198-J198</f>
        <v/>
      </c>
      <c r="L198" s="360" t="n"/>
      <c r="M198" s="360" t="n"/>
      <c r="N198" s="360" t="n"/>
      <c r="O198" s="360" t="n"/>
      <c r="P198" s="361">
        <f>IF($A198&lt;=$C$7,S197,0)</f>
        <v/>
      </c>
      <c r="Q198" s="361">
        <f>MAX(0, MIN($F$10-SUM($Q$154:Q197), B198-D198-G198-J198-M198))</f>
        <v/>
      </c>
      <c r="R198" s="361">
        <f>$D$19*P198</f>
        <v/>
      </c>
      <c r="S198" s="361">
        <f>P198+Q198+R198</f>
        <v/>
      </c>
      <c r="T198" s="362">
        <f>IF($A198&lt;=$C$7,W197,0)</f>
        <v/>
      </c>
      <c r="U198" s="362">
        <f>MAX(0, MIN($F$8-SUM($U$154:U197), B198-D198-G198-J198-Q198-M198))</f>
        <v/>
      </c>
      <c r="V198" s="362">
        <f>$D$17*T198</f>
        <v/>
      </c>
      <c r="W198" s="362">
        <f>T198+U198+V198</f>
        <v/>
      </c>
      <c r="X198" s="363">
        <f>IF($A198&lt;=$C$7,AA197,0)</f>
        <v/>
      </c>
      <c r="Y198" s="363">
        <f>MAX(0, MIN($F$9-SUM($Y$154:Y197), B198-D198-G198-J198-U198-Q198-M198))</f>
        <v/>
      </c>
      <c r="Z198" s="363">
        <f>$D$18*X198</f>
        <v/>
      </c>
      <c r="AA198" s="363">
        <f>X198+Y198+Z198</f>
        <v/>
      </c>
      <c r="AB198" s="356">
        <f>AB197</f>
        <v/>
      </c>
      <c r="AC198" s="356">
        <f>MAX(0, MIN(AB198, B198-D198-G198-J198-U198-Y198-Q198))</f>
        <v/>
      </c>
      <c r="AD198" s="356">
        <f>AB198-AC198</f>
        <v/>
      </c>
      <c r="AE198" s="356">
        <f>C198+F198+I198+T198+X198+P198+AB198</f>
        <v/>
      </c>
      <c r="AF198" s="356">
        <f>V198+Z198+R198+N198</f>
        <v/>
      </c>
      <c r="AG198" s="356">
        <f>E198+H198+K198+W198+AA198+S198+AD198</f>
        <v/>
      </c>
    </row>
    <row r="199">
      <c r="A199" s="117" t="n">
        <v>45</v>
      </c>
      <c r="B199" s="356">
        <f>I136</f>
        <v/>
      </c>
      <c r="C199" s="357">
        <f>E198</f>
        <v/>
      </c>
      <c r="D199" s="357">
        <f>MIN(B199, C199)</f>
        <v/>
      </c>
      <c r="E199" s="357">
        <f>C199-D199</f>
        <v/>
      </c>
      <c r="F199" s="358">
        <f>H198</f>
        <v/>
      </c>
      <c r="G199" s="358">
        <f>MIN(B199-D199, F199)</f>
        <v/>
      </c>
      <c r="H199" s="358">
        <f>F199-G199</f>
        <v/>
      </c>
      <c r="I199" s="359">
        <f>K198</f>
        <v/>
      </c>
      <c r="J199" s="359">
        <f>MIN(B199-D199-G199, I199)</f>
        <v/>
      </c>
      <c r="K199" s="359">
        <f>I199-J199</f>
        <v/>
      </c>
      <c r="L199" s="360" t="n"/>
      <c r="M199" s="360" t="n"/>
      <c r="N199" s="360" t="n"/>
      <c r="O199" s="360" t="n"/>
      <c r="P199" s="361">
        <f>IF($A199&lt;=$C$7,S198,0)</f>
        <v/>
      </c>
      <c r="Q199" s="361">
        <f>MAX(0, MIN($F$10-SUM($Q$154:Q198), B199-D199-G199-J199-M199))</f>
        <v/>
      </c>
      <c r="R199" s="361">
        <f>$D$19*P199</f>
        <v/>
      </c>
      <c r="S199" s="361">
        <f>P199+Q199+R199</f>
        <v/>
      </c>
      <c r="T199" s="362">
        <f>IF($A199&lt;=$C$7,W198,0)</f>
        <v/>
      </c>
      <c r="U199" s="362">
        <f>MAX(0, MIN($F$8-SUM($U$154:U198), B199-D199-G199-J199-Q199-M199))</f>
        <v/>
      </c>
      <c r="V199" s="362">
        <f>$D$17*T199</f>
        <v/>
      </c>
      <c r="W199" s="362">
        <f>T199+U199+V199</f>
        <v/>
      </c>
      <c r="X199" s="363">
        <f>IF($A199&lt;=$C$7,AA198,0)</f>
        <v/>
      </c>
      <c r="Y199" s="363">
        <f>MAX(0, MIN($F$9-SUM($Y$154:Y198), B199-D199-G199-J199-U199-Q199-M199))</f>
        <v/>
      </c>
      <c r="Z199" s="363">
        <f>$D$18*X199</f>
        <v/>
      </c>
      <c r="AA199" s="363">
        <f>X199+Y199+Z199</f>
        <v/>
      </c>
      <c r="AB199" s="356">
        <f>AB198</f>
        <v/>
      </c>
      <c r="AC199" s="356">
        <f>MAX(0, MIN(AB199, B199-D199-G199-J199-U199-Y199-Q199))</f>
        <v/>
      </c>
      <c r="AD199" s="356">
        <f>AB199-AC199</f>
        <v/>
      </c>
      <c r="AE199" s="356">
        <f>C199+F199+I199+T199+X199+P199+AB199</f>
        <v/>
      </c>
      <c r="AF199" s="356">
        <f>V199+Z199+R199+N199</f>
        <v/>
      </c>
      <c r="AG199" s="356">
        <f>E199+H199+K199+W199+AA199+S199+AD199</f>
        <v/>
      </c>
    </row>
    <row r="200">
      <c r="A200" s="117" t="n">
        <v>46</v>
      </c>
      <c r="B200" s="356">
        <f>I137</f>
        <v/>
      </c>
      <c r="C200" s="357">
        <f>E199</f>
        <v/>
      </c>
      <c r="D200" s="357">
        <f>MIN(B200, C200)</f>
        <v/>
      </c>
      <c r="E200" s="357">
        <f>C200-D200</f>
        <v/>
      </c>
      <c r="F200" s="358">
        <f>H199</f>
        <v/>
      </c>
      <c r="G200" s="358">
        <f>MIN(B200-D200, F200)</f>
        <v/>
      </c>
      <c r="H200" s="358">
        <f>F200-G200</f>
        <v/>
      </c>
      <c r="I200" s="359">
        <f>K199</f>
        <v/>
      </c>
      <c r="J200" s="359">
        <f>MIN(B200-D200-G200, I200)</f>
        <v/>
      </c>
      <c r="K200" s="359">
        <f>I200-J200</f>
        <v/>
      </c>
      <c r="L200" s="360" t="n"/>
      <c r="M200" s="360" t="n"/>
      <c r="N200" s="360" t="n"/>
      <c r="O200" s="360" t="n"/>
      <c r="P200" s="361">
        <f>IF($A200&lt;=$C$7,S199,0)</f>
        <v/>
      </c>
      <c r="Q200" s="361">
        <f>MAX(0, MIN($F$10-SUM($Q$154:Q199), B200-D200-G200-J200-M200))</f>
        <v/>
      </c>
      <c r="R200" s="361">
        <f>$D$19*P200</f>
        <v/>
      </c>
      <c r="S200" s="361">
        <f>P200+Q200+R200</f>
        <v/>
      </c>
      <c r="T200" s="362">
        <f>IF($A200&lt;=$C$7,W199,0)</f>
        <v/>
      </c>
      <c r="U200" s="362">
        <f>MAX(0, MIN($F$8-SUM($U$154:U199), B200-D200-G200-J200-Q200-M200))</f>
        <v/>
      </c>
      <c r="V200" s="362">
        <f>$D$17*T200</f>
        <v/>
      </c>
      <c r="W200" s="362">
        <f>T200+U200+V200</f>
        <v/>
      </c>
      <c r="X200" s="363">
        <f>IF($A200&lt;=$C$7,AA199,0)</f>
        <v/>
      </c>
      <c r="Y200" s="363">
        <f>MAX(0, MIN($F$9-SUM($Y$154:Y199), B200-D200-G200-J200-U200-Q200-M200))</f>
        <v/>
      </c>
      <c r="Z200" s="363">
        <f>$D$18*X200</f>
        <v/>
      </c>
      <c r="AA200" s="363">
        <f>X200+Y200+Z200</f>
        <v/>
      </c>
      <c r="AB200" s="356">
        <f>AB199</f>
        <v/>
      </c>
      <c r="AC200" s="356">
        <f>MAX(0, MIN(AB200, B200-D200-G200-J200-U200-Y200-Q200))</f>
        <v/>
      </c>
      <c r="AD200" s="356">
        <f>AB200-AC200</f>
        <v/>
      </c>
      <c r="AE200" s="356">
        <f>C200+F200+I200+T200+X200+P200+AB200</f>
        <v/>
      </c>
      <c r="AF200" s="356">
        <f>V200+Z200+R200+N200</f>
        <v/>
      </c>
      <c r="AG200" s="356">
        <f>E200+H200+K200+W200+AA200+S200+AD200</f>
        <v/>
      </c>
    </row>
    <row r="201">
      <c r="A201" s="117" t="n">
        <v>47</v>
      </c>
      <c r="B201" s="356">
        <f>I138</f>
        <v/>
      </c>
      <c r="C201" s="357">
        <f>E200</f>
        <v/>
      </c>
      <c r="D201" s="357">
        <f>MIN(B201, C201)</f>
        <v/>
      </c>
      <c r="E201" s="357">
        <f>C201-D201</f>
        <v/>
      </c>
      <c r="F201" s="358">
        <f>H200</f>
        <v/>
      </c>
      <c r="G201" s="358">
        <f>MIN(B201-D201, F201)</f>
        <v/>
      </c>
      <c r="H201" s="358">
        <f>F201-G201</f>
        <v/>
      </c>
      <c r="I201" s="359">
        <f>K200</f>
        <v/>
      </c>
      <c r="J201" s="359">
        <f>MIN(B201-D201-G201, I201)</f>
        <v/>
      </c>
      <c r="K201" s="359">
        <f>I201-J201</f>
        <v/>
      </c>
      <c r="L201" s="360" t="n"/>
      <c r="M201" s="360" t="n"/>
      <c r="N201" s="360" t="n"/>
      <c r="O201" s="360" t="n"/>
      <c r="P201" s="361">
        <f>IF($A201&lt;=$C$7,S200,0)</f>
        <v/>
      </c>
      <c r="Q201" s="361">
        <f>MAX(0, MIN($F$10-SUM($Q$154:Q200), B201-D201-G201-J201-M201))</f>
        <v/>
      </c>
      <c r="R201" s="361">
        <f>$D$19*P201</f>
        <v/>
      </c>
      <c r="S201" s="361">
        <f>P201+Q201+R201</f>
        <v/>
      </c>
      <c r="T201" s="362">
        <f>IF($A201&lt;=$C$7,W200,0)</f>
        <v/>
      </c>
      <c r="U201" s="362">
        <f>MAX(0, MIN($F$8-SUM($U$154:U200), B201-D201-G201-J201-Q201-M201))</f>
        <v/>
      </c>
      <c r="V201" s="362">
        <f>$D$17*T201</f>
        <v/>
      </c>
      <c r="W201" s="362">
        <f>T201+U201+V201</f>
        <v/>
      </c>
      <c r="X201" s="363">
        <f>IF($A201&lt;=$C$7,AA200,0)</f>
        <v/>
      </c>
      <c r="Y201" s="363">
        <f>MAX(0, MIN($F$9-SUM($Y$154:Y200), B201-D201-G201-J201-U201-Q201-M201))</f>
        <v/>
      </c>
      <c r="Z201" s="363">
        <f>$D$18*X201</f>
        <v/>
      </c>
      <c r="AA201" s="363">
        <f>X201+Y201+Z201</f>
        <v/>
      </c>
      <c r="AB201" s="356">
        <f>AB200</f>
        <v/>
      </c>
      <c r="AC201" s="356">
        <f>MAX(0, MIN(AB201, B201-D201-G201-J201-U201-Y201-Q201))</f>
        <v/>
      </c>
      <c r="AD201" s="356">
        <f>AB201-AC201</f>
        <v/>
      </c>
      <c r="AE201" s="356">
        <f>C201+F201+I201+T201+X201+P201+AB201</f>
        <v/>
      </c>
      <c r="AF201" s="356">
        <f>V201+Z201+R201+N201</f>
        <v/>
      </c>
      <c r="AG201" s="356">
        <f>E201+H201+K201+W201+AA201+S201+AD201</f>
        <v/>
      </c>
    </row>
    <row r="202">
      <c r="A202" s="117" t="n">
        <v>48</v>
      </c>
      <c r="B202" s="356">
        <f>I139</f>
        <v/>
      </c>
      <c r="C202" s="357">
        <f>E201</f>
        <v/>
      </c>
      <c r="D202" s="357">
        <f>MIN(B202, C202)</f>
        <v/>
      </c>
      <c r="E202" s="357">
        <f>C202-D202</f>
        <v/>
      </c>
      <c r="F202" s="358">
        <f>H201</f>
        <v/>
      </c>
      <c r="G202" s="358">
        <f>MIN(B202-D202, F202)</f>
        <v/>
      </c>
      <c r="H202" s="358">
        <f>F202-G202</f>
        <v/>
      </c>
      <c r="I202" s="359">
        <f>K201</f>
        <v/>
      </c>
      <c r="J202" s="359">
        <f>MIN(B202-D202-G202, I202)</f>
        <v/>
      </c>
      <c r="K202" s="359">
        <f>I202-J202</f>
        <v/>
      </c>
      <c r="L202" s="360" t="n"/>
      <c r="M202" s="360" t="n"/>
      <c r="N202" s="360" t="n"/>
      <c r="O202" s="360" t="n"/>
      <c r="P202" s="361">
        <f>IF($A202&lt;=$C$7,S201,0)</f>
        <v/>
      </c>
      <c r="Q202" s="361">
        <f>MAX(0, MIN($F$10-SUM($Q$154:Q201), B202-D202-G202-J202-M202))</f>
        <v/>
      </c>
      <c r="R202" s="361">
        <f>$D$19*P202</f>
        <v/>
      </c>
      <c r="S202" s="361">
        <f>P202+Q202+R202</f>
        <v/>
      </c>
      <c r="T202" s="362">
        <f>IF($A202&lt;=$C$7,W201,0)</f>
        <v/>
      </c>
      <c r="U202" s="362">
        <f>MAX(0, MIN($F$8-SUM($U$154:U201), B202-D202-G202-J202-Q202-M202))</f>
        <v/>
      </c>
      <c r="V202" s="362">
        <f>$D$17*T202</f>
        <v/>
      </c>
      <c r="W202" s="362">
        <f>T202+U202+V202</f>
        <v/>
      </c>
      <c r="X202" s="363">
        <f>IF($A202&lt;=$C$7,AA201,0)</f>
        <v/>
      </c>
      <c r="Y202" s="363">
        <f>MAX(0, MIN($F$9-SUM($Y$154:Y201), B202-D202-G202-J202-U202-Q202-M202))</f>
        <v/>
      </c>
      <c r="Z202" s="363">
        <f>$D$18*X202</f>
        <v/>
      </c>
      <c r="AA202" s="363">
        <f>X202+Y202+Z202</f>
        <v/>
      </c>
      <c r="AB202" s="356">
        <f>AB201</f>
        <v/>
      </c>
      <c r="AC202" s="356">
        <f>MAX(0, MIN(AB202, B202-D202-G202-J202-U202-Y202-Q202))</f>
        <v/>
      </c>
      <c r="AD202" s="356">
        <f>AB202-AC202</f>
        <v/>
      </c>
      <c r="AE202" s="356">
        <f>C202+F202+I202+T202+X202+P202+AB202</f>
        <v/>
      </c>
      <c r="AF202" s="356">
        <f>V202+Z202+R202+N202</f>
        <v/>
      </c>
      <c r="AG202" s="356">
        <f>E202+H202+K202+W202+AA202+S202+AD202</f>
        <v/>
      </c>
    </row>
    <row r="203">
      <c r="A203" s="117" t="n">
        <v>49</v>
      </c>
      <c r="B203" s="356">
        <f>I140</f>
        <v/>
      </c>
      <c r="C203" s="357">
        <f>E202</f>
        <v/>
      </c>
      <c r="D203" s="357">
        <f>MIN(B203, C203)</f>
        <v/>
      </c>
      <c r="E203" s="357">
        <f>C203-D203</f>
        <v/>
      </c>
      <c r="F203" s="358">
        <f>H202</f>
        <v/>
      </c>
      <c r="G203" s="358">
        <f>MIN(B203-D203, F203)</f>
        <v/>
      </c>
      <c r="H203" s="358">
        <f>F203-G203</f>
        <v/>
      </c>
      <c r="I203" s="359">
        <f>K202</f>
        <v/>
      </c>
      <c r="J203" s="359">
        <f>MIN(B203-D203-G203, I203)</f>
        <v/>
      </c>
      <c r="K203" s="359">
        <f>I203-J203</f>
        <v/>
      </c>
      <c r="L203" s="360" t="n"/>
      <c r="M203" s="360" t="n"/>
      <c r="N203" s="360" t="n"/>
      <c r="O203" s="360" t="n"/>
      <c r="P203" s="361">
        <f>IF($A203&lt;=$C$7,S202,0)</f>
        <v/>
      </c>
      <c r="Q203" s="361">
        <f>MAX(0, MIN($F$10-SUM($Q$154:Q202), B203-D203-G203-J203-M203))</f>
        <v/>
      </c>
      <c r="R203" s="361">
        <f>$D$19*P203</f>
        <v/>
      </c>
      <c r="S203" s="361">
        <f>P203+Q203+R203</f>
        <v/>
      </c>
      <c r="T203" s="362">
        <f>IF($A203&lt;=$C$7,W202,0)</f>
        <v/>
      </c>
      <c r="U203" s="362">
        <f>MAX(0, MIN($F$8-SUM($U$154:U202), B203-D203-G203-J203-Q203-M203))</f>
        <v/>
      </c>
      <c r="V203" s="362">
        <f>$D$17*T203</f>
        <v/>
      </c>
      <c r="W203" s="362">
        <f>T203+U203+V203</f>
        <v/>
      </c>
      <c r="X203" s="363">
        <f>IF($A203&lt;=$C$7,AA202,0)</f>
        <v/>
      </c>
      <c r="Y203" s="363">
        <f>MAX(0, MIN($F$9-SUM($Y$154:Y202), B203-D203-G203-J203-U203-Q203-M203))</f>
        <v/>
      </c>
      <c r="Z203" s="363">
        <f>$D$18*X203</f>
        <v/>
      </c>
      <c r="AA203" s="363">
        <f>X203+Y203+Z203</f>
        <v/>
      </c>
      <c r="AB203" s="356">
        <f>AB202</f>
        <v/>
      </c>
      <c r="AC203" s="356">
        <f>MAX(0, MIN(AB203, B203-D203-G203-J203-U203-Y203-Q203))</f>
        <v/>
      </c>
      <c r="AD203" s="356">
        <f>AB203-AC203</f>
        <v/>
      </c>
      <c r="AE203" s="356">
        <f>C203+F203+I203+T203+X203+P203+AB203</f>
        <v/>
      </c>
      <c r="AF203" s="356">
        <f>V203+Z203+R203+N203</f>
        <v/>
      </c>
      <c r="AG203" s="356">
        <f>E203+H203+K203+W203+AA203+S203+AD203</f>
        <v/>
      </c>
    </row>
    <row r="204">
      <c r="A204" s="117" t="n">
        <v>50</v>
      </c>
      <c r="B204" s="356">
        <f>I141</f>
        <v/>
      </c>
      <c r="C204" s="357">
        <f>E203</f>
        <v/>
      </c>
      <c r="D204" s="357">
        <f>MIN(B204, C204)</f>
        <v/>
      </c>
      <c r="E204" s="357">
        <f>C204-D204</f>
        <v/>
      </c>
      <c r="F204" s="358">
        <f>H203</f>
        <v/>
      </c>
      <c r="G204" s="358">
        <f>MIN(B204-D204, F204)</f>
        <v/>
      </c>
      <c r="H204" s="358">
        <f>F204-G204</f>
        <v/>
      </c>
      <c r="I204" s="359">
        <f>K203</f>
        <v/>
      </c>
      <c r="J204" s="359">
        <f>MIN(B204-D204-G204, I204)</f>
        <v/>
      </c>
      <c r="K204" s="359">
        <f>I204-J204</f>
        <v/>
      </c>
      <c r="L204" s="360" t="n"/>
      <c r="M204" s="360" t="n"/>
      <c r="N204" s="360" t="n"/>
      <c r="O204" s="360" t="n"/>
      <c r="P204" s="361">
        <f>IF($A204&lt;=$C$7,S203,0)</f>
        <v/>
      </c>
      <c r="Q204" s="361">
        <f>MAX(0, MIN($F$10-SUM($Q$154:Q203), B204-D204-G204-J204-M204))</f>
        <v/>
      </c>
      <c r="R204" s="361">
        <f>$D$19*P204</f>
        <v/>
      </c>
      <c r="S204" s="361">
        <f>P204+Q204+R204</f>
        <v/>
      </c>
      <c r="T204" s="362">
        <f>IF($A204&lt;=$C$7,W203,0)</f>
        <v/>
      </c>
      <c r="U204" s="362">
        <f>MAX(0, MIN($F$8-SUM($U$154:U203), B204-D204-G204-J204-Q204-M204))</f>
        <v/>
      </c>
      <c r="V204" s="362">
        <f>$D$17*T204</f>
        <v/>
      </c>
      <c r="W204" s="362">
        <f>T204+U204+V204</f>
        <v/>
      </c>
      <c r="X204" s="363">
        <f>IF($A204&lt;=$C$7,AA203,0)</f>
        <v/>
      </c>
      <c r="Y204" s="363">
        <f>MAX(0, MIN($F$9-SUM($Y$154:Y203), B204-D204-G204-J204-U204-Q204-M204))</f>
        <v/>
      </c>
      <c r="Z204" s="363">
        <f>$D$18*X204</f>
        <v/>
      </c>
      <c r="AA204" s="363">
        <f>X204+Y204+Z204</f>
        <v/>
      </c>
      <c r="AB204" s="356">
        <f>AB203</f>
        <v/>
      </c>
      <c r="AC204" s="356">
        <f>MAX(0, MIN(AB204, B204-D204-G204-J204-U204-Y204-Q204))</f>
        <v/>
      </c>
      <c r="AD204" s="356">
        <f>AB204-AC204</f>
        <v/>
      </c>
      <c r="AE204" s="356">
        <f>C204+F204+I204+T204+X204+P204+AB204</f>
        <v/>
      </c>
      <c r="AF204" s="356">
        <f>V204+Z204+R204+N204</f>
        <v/>
      </c>
      <c r="AG204" s="356">
        <f>E204+H204+K204+W204+AA204+S204+AD204</f>
        <v/>
      </c>
    </row>
    <row r="205">
      <c r="A205" s="117" t="n">
        <v>51</v>
      </c>
      <c r="B205" s="356">
        <f>I142</f>
        <v/>
      </c>
      <c r="C205" s="357">
        <f>E204</f>
        <v/>
      </c>
      <c r="D205" s="357">
        <f>MIN(B205, C205)</f>
        <v/>
      </c>
      <c r="E205" s="357">
        <f>C205-D205</f>
        <v/>
      </c>
      <c r="F205" s="358">
        <f>H204</f>
        <v/>
      </c>
      <c r="G205" s="358">
        <f>MIN(B205-D205, F205)</f>
        <v/>
      </c>
      <c r="H205" s="358">
        <f>F205-G205</f>
        <v/>
      </c>
      <c r="I205" s="359">
        <f>K204</f>
        <v/>
      </c>
      <c r="J205" s="359">
        <f>MIN(B205-D205-G205, I205)</f>
        <v/>
      </c>
      <c r="K205" s="359">
        <f>I205-J205</f>
        <v/>
      </c>
      <c r="L205" s="360" t="n"/>
      <c r="M205" s="360" t="n"/>
      <c r="N205" s="360" t="n"/>
      <c r="O205" s="360" t="n"/>
      <c r="P205" s="361">
        <f>IF($A205&lt;=$C$7,S204,0)</f>
        <v/>
      </c>
      <c r="Q205" s="361">
        <f>MAX(0, MIN($F$10-SUM($Q$154:Q204), B205-D205-G205-J205-M205))</f>
        <v/>
      </c>
      <c r="R205" s="361">
        <f>$D$19*P205</f>
        <v/>
      </c>
      <c r="S205" s="361">
        <f>P205+Q205+R205</f>
        <v/>
      </c>
      <c r="T205" s="362">
        <f>IF($A205&lt;=$C$7,W204,0)</f>
        <v/>
      </c>
      <c r="U205" s="362">
        <f>MAX(0, MIN($F$8-SUM($U$154:U204), B205-D205-G205-J205-Q205-M205))</f>
        <v/>
      </c>
      <c r="V205" s="362">
        <f>$D$17*T205</f>
        <v/>
      </c>
      <c r="W205" s="362">
        <f>T205+U205+V205</f>
        <v/>
      </c>
      <c r="X205" s="363">
        <f>IF($A205&lt;=$C$7,AA204,0)</f>
        <v/>
      </c>
      <c r="Y205" s="363">
        <f>MAX(0, MIN($F$9-SUM($Y$154:Y204), B205-D205-G205-J205-U205-Q205-M205))</f>
        <v/>
      </c>
      <c r="Z205" s="363">
        <f>$D$18*X205</f>
        <v/>
      </c>
      <c r="AA205" s="363">
        <f>X205+Y205+Z205</f>
        <v/>
      </c>
      <c r="AB205" s="356">
        <f>AB204</f>
        <v/>
      </c>
      <c r="AC205" s="356">
        <f>MAX(0, MIN(AB205, B205-D205-G205-J205-U205-Y205-Q205))</f>
        <v/>
      </c>
      <c r="AD205" s="356">
        <f>AB205-AC205</f>
        <v/>
      </c>
      <c r="AE205" s="356">
        <f>C205+F205+I205+T205+X205+P205+AB205</f>
        <v/>
      </c>
      <c r="AF205" s="356">
        <f>V205+Z205+R205+N205</f>
        <v/>
      </c>
      <c r="AG205" s="356">
        <f>E205+H205+K205+W205+AA205+S205+AD205</f>
        <v/>
      </c>
    </row>
    <row r="206">
      <c r="A206" s="117" t="n">
        <v>52</v>
      </c>
      <c r="B206" s="356">
        <f>I143</f>
        <v/>
      </c>
      <c r="C206" s="357">
        <f>E205</f>
        <v/>
      </c>
      <c r="D206" s="357">
        <f>MIN(B206, C206)</f>
        <v/>
      </c>
      <c r="E206" s="357">
        <f>C206-D206</f>
        <v/>
      </c>
      <c r="F206" s="358">
        <f>H205</f>
        <v/>
      </c>
      <c r="G206" s="358">
        <f>MIN(B206-D206, F206)</f>
        <v/>
      </c>
      <c r="H206" s="358">
        <f>F206-G206</f>
        <v/>
      </c>
      <c r="I206" s="359">
        <f>K205</f>
        <v/>
      </c>
      <c r="J206" s="359">
        <f>MIN(B206-D206-G206, I206)</f>
        <v/>
      </c>
      <c r="K206" s="359">
        <f>I206-J206</f>
        <v/>
      </c>
      <c r="L206" s="360" t="n"/>
      <c r="M206" s="360" t="n"/>
      <c r="N206" s="360" t="n"/>
      <c r="O206" s="360" t="n"/>
      <c r="P206" s="361">
        <f>IF($A206&lt;=$C$7,S205,0)</f>
        <v/>
      </c>
      <c r="Q206" s="361">
        <f>MAX(0, MIN($F$10-SUM($Q$154:Q205), B206-D206-G206-J206-M206))</f>
        <v/>
      </c>
      <c r="R206" s="361">
        <f>$D$19*P206</f>
        <v/>
      </c>
      <c r="S206" s="361">
        <f>P206+Q206+R206</f>
        <v/>
      </c>
      <c r="T206" s="362">
        <f>IF($A206&lt;=$C$7,W205,0)</f>
        <v/>
      </c>
      <c r="U206" s="362">
        <f>MAX(0, MIN($F$8-SUM($U$154:U205), B206-D206-G206-J206-Q206-M206))</f>
        <v/>
      </c>
      <c r="V206" s="362">
        <f>$D$17*T206</f>
        <v/>
      </c>
      <c r="W206" s="362">
        <f>T206+U206+V206</f>
        <v/>
      </c>
      <c r="X206" s="363">
        <f>IF($A206&lt;=$C$7,AA205,0)</f>
        <v/>
      </c>
      <c r="Y206" s="363">
        <f>MAX(0, MIN($F$9-SUM($Y$154:Y205), B206-D206-G206-J206-U206-Q206-M206))</f>
        <v/>
      </c>
      <c r="Z206" s="363">
        <f>$D$18*X206</f>
        <v/>
      </c>
      <c r="AA206" s="363">
        <f>X206+Y206+Z206</f>
        <v/>
      </c>
      <c r="AB206" s="356">
        <f>AB205</f>
        <v/>
      </c>
      <c r="AC206" s="356">
        <f>MAX(0, MIN(AB206, B206-D206-G206-J206-U206-Y206-Q206))</f>
        <v/>
      </c>
      <c r="AD206" s="356">
        <f>AB206-AC206</f>
        <v/>
      </c>
      <c r="AE206" s="356">
        <f>C206+F206+I206+T206+X206+P206+AB206</f>
        <v/>
      </c>
      <c r="AF206" s="356">
        <f>V206+Z206+R206+N206</f>
        <v/>
      </c>
      <c r="AG206" s="356">
        <f>E206+H206+K206+W206+AA206+S206+AD206</f>
        <v/>
      </c>
    </row>
    <row r="207">
      <c r="A207" s="117" t="n">
        <v>53</v>
      </c>
      <c r="B207" s="356">
        <f>I144</f>
        <v/>
      </c>
      <c r="C207" s="357">
        <f>E206</f>
        <v/>
      </c>
      <c r="D207" s="357">
        <f>MIN(B207, C207)</f>
        <v/>
      </c>
      <c r="E207" s="357">
        <f>C207-D207</f>
        <v/>
      </c>
      <c r="F207" s="358">
        <f>H206</f>
        <v/>
      </c>
      <c r="G207" s="358">
        <f>MIN(B207-D207, F207)</f>
        <v/>
      </c>
      <c r="H207" s="358">
        <f>F207-G207</f>
        <v/>
      </c>
      <c r="I207" s="359">
        <f>K206</f>
        <v/>
      </c>
      <c r="J207" s="359">
        <f>MIN(B207-D207-G207, I207)</f>
        <v/>
      </c>
      <c r="K207" s="359">
        <f>I207-J207</f>
        <v/>
      </c>
      <c r="L207" s="360" t="n"/>
      <c r="M207" s="360" t="n"/>
      <c r="N207" s="360" t="n"/>
      <c r="O207" s="360" t="n"/>
      <c r="P207" s="361">
        <f>IF($A207&lt;=$C$7,S206,0)</f>
        <v/>
      </c>
      <c r="Q207" s="361">
        <f>MAX(0, MIN($F$10-SUM($Q$154:Q206), B207-D207-G207-J207-M207))</f>
        <v/>
      </c>
      <c r="R207" s="361">
        <f>$D$19*P207</f>
        <v/>
      </c>
      <c r="S207" s="361">
        <f>P207+Q207+R207</f>
        <v/>
      </c>
      <c r="T207" s="362">
        <f>IF($A207&lt;=$C$7,W206,0)</f>
        <v/>
      </c>
      <c r="U207" s="362">
        <f>MAX(0, MIN($F$8-SUM($U$154:U206), B207-D207-G207-J207-Q207-M207))</f>
        <v/>
      </c>
      <c r="V207" s="362">
        <f>$D$17*T207</f>
        <v/>
      </c>
      <c r="W207" s="362">
        <f>T207+U207+V207</f>
        <v/>
      </c>
      <c r="X207" s="363">
        <f>IF($A207&lt;=$C$7,AA206,0)</f>
        <v/>
      </c>
      <c r="Y207" s="363">
        <f>MAX(0, MIN($F$9-SUM($Y$154:Y206), B207-D207-G207-J207-U207-Q207-M207))</f>
        <v/>
      </c>
      <c r="Z207" s="363">
        <f>$D$18*X207</f>
        <v/>
      </c>
      <c r="AA207" s="363">
        <f>X207+Y207+Z207</f>
        <v/>
      </c>
      <c r="AB207" s="356">
        <f>AB206</f>
        <v/>
      </c>
      <c r="AC207" s="356">
        <f>MAX(0, MIN(AB207, B207-D207-G207-J207-U207-Y207-Q207))</f>
        <v/>
      </c>
      <c r="AD207" s="356">
        <f>AB207-AC207</f>
        <v/>
      </c>
      <c r="AE207" s="356">
        <f>C207+F207+I207+T207+X207+P207+AB207</f>
        <v/>
      </c>
      <c r="AF207" s="356">
        <f>V207+Z207+R207+N207</f>
        <v/>
      </c>
      <c r="AG207" s="356">
        <f>E207+H207+K207+W207+AA207+S207+AD207</f>
        <v/>
      </c>
    </row>
    <row r="208">
      <c r="A208" s="117" t="n">
        <v>54</v>
      </c>
      <c r="B208" s="356">
        <f>I145</f>
        <v/>
      </c>
      <c r="C208" s="357">
        <f>E207</f>
        <v/>
      </c>
      <c r="D208" s="357">
        <f>MIN(B208, C208)</f>
        <v/>
      </c>
      <c r="E208" s="357">
        <f>C208-D208</f>
        <v/>
      </c>
      <c r="F208" s="358">
        <f>H207</f>
        <v/>
      </c>
      <c r="G208" s="358">
        <f>MIN(B208-D208, F208)</f>
        <v/>
      </c>
      <c r="H208" s="358">
        <f>F208-G208</f>
        <v/>
      </c>
      <c r="I208" s="359">
        <f>K207</f>
        <v/>
      </c>
      <c r="J208" s="359">
        <f>MIN(B208-D208-G208, I208)</f>
        <v/>
      </c>
      <c r="K208" s="359">
        <f>I208-J208</f>
        <v/>
      </c>
      <c r="L208" s="360" t="n"/>
      <c r="M208" s="360" t="n"/>
      <c r="N208" s="360" t="n"/>
      <c r="O208" s="360" t="n"/>
      <c r="P208" s="361">
        <f>IF($A208&lt;=$C$7,S207,0)</f>
        <v/>
      </c>
      <c r="Q208" s="361">
        <f>MAX(0, MIN($F$10-SUM($Q$154:Q207), B208-D208-G208-J208-M208))</f>
        <v/>
      </c>
      <c r="R208" s="361">
        <f>$D$19*P208</f>
        <v/>
      </c>
      <c r="S208" s="361">
        <f>P208+Q208+R208</f>
        <v/>
      </c>
      <c r="T208" s="362">
        <f>IF($A208&lt;=$C$7,W207,0)</f>
        <v/>
      </c>
      <c r="U208" s="362">
        <f>MAX(0, MIN($F$8-SUM($U$154:U207), B208-D208-G208-J208-Q208-M208))</f>
        <v/>
      </c>
      <c r="V208" s="362">
        <f>$D$17*T208</f>
        <v/>
      </c>
      <c r="W208" s="362">
        <f>T208+U208+V208</f>
        <v/>
      </c>
      <c r="X208" s="363">
        <f>IF($A208&lt;=$C$7,AA207,0)</f>
        <v/>
      </c>
      <c r="Y208" s="363">
        <f>MAX(0, MIN($F$9-SUM($Y$154:Y207), B208-D208-G208-J208-U208-Q208-M208))</f>
        <v/>
      </c>
      <c r="Z208" s="363">
        <f>$D$18*X208</f>
        <v/>
      </c>
      <c r="AA208" s="363">
        <f>X208+Y208+Z208</f>
        <v/>
      </c>
      <c r="AB208" s="356">
        <f>AB207</f>
        <v/>
      </c>
      <c r="AC208" s="356">
        <f>MAX(0, MIN(AB208, B208-D208-G208-J208-U208-Y208-Q208))</f>
        <v/>
      </c>
      <c r="AD208" s="356">
        <f>AB208-AC208</f>
        <v/>
      </c>
      <c r="AE208" s="356">
        <f>C208+F208+I208+T208+X208+P208+AB208</f>
        <v/>
      </c>
      <c r="AF208" s="356">
        <f>V208+Z208+R208+N208</f>
        <v/>
      </c>
      <c r="AG208" s="356">
        <f>E208+H208+K208+W208+AA208+S208+AD208</f>
        <v/>
      </c>
    </row>
    <row r="209">
      <c r="A209" s="117" t="n">
        <v>55</v>
      </c>
      <c r="B209" s="356">
        <f>I146</f>
        <v/>
      </c>
      <c r="C209" s="357">
        <f>E208</f>
        <v/>
      </c>
      <c r="D209" s="357">
        <f>MIN(B209, C209)</f>
        <v/>
      </c>
      <c r="E209" s="357">
        <f>C209-D209</f>
        <v/>
      </c>
      <c r="F209" s="358">
        <f>H208</f>
        <v/>
      </c>
      <c r="G209" s="358">
        <f>MIN(B209-D209, F209)</f>
        <v/>
      </c>
      <c r="H209" s="358">
        <f>F209-G209</f>
        <v/>
      </c>
      <c r="I209" s="359">
        <f>K208</f>
        <v/>
      </c>
      <c r="J209" s="359">
        <f>MIN(B209-D209-G209, I209)</f>
        <v/>
      </c>
      <c r="K209" s="359">
        <f>I209-J209</f>
        <v/>
      </c>
      <c r="L209" s="360" t="n"/>
      <c r="M209" s="360" t="n"/>
      <c r="N209" s="360" t="n"/>
      <c r="O209" s="360" t="n"/>
      <c r="P209" s="361">
        <f>IF($A209&lt;=$C$7,S208,0)</f>
        <v/>
      </c>
      <c r="Q209" s="361">
        <f>MAX(0, MIN($F$10-SUM($Q$154:Q208), B209-D209-G209-J209-M209))</f>
        <v/>
      </c>
      <c r="R209" s="361">
        <f>$D$19*P209</f>
        <v/>
      </c>
      <c r="S209" s="361">
        <f>P209+Q209+R209</f>
        <v/>
      </c>
      <c r="T209" s="362">
        <f>IF($A209&lt;=$C$7,W208,0)</f>
        <v/>
      </c>
      <c r="U209" s="362">
        <f>MAX(0, MIN($F$8-SUM($U$154:U208), B209-D209-G209-J209-Q209-M209))</f>
        <v/>
      </c>
      <c r="V209" s="362">
        <f>$D$17*T209</f>
        <v/>
      </c>
      <c r="W209" s="362">
        <f>T209+U209+V209</f>
        <v/>
      </c>
      <c r="X209" s="363">
        <f>IF($A209&lt;=$C$7,AA208,0)</f>
        <v/>
      </c>
      <c r="Y209" s="363">
        <f>MAX(0, MIN($F$9-SUM($Y$154:Y208), B209-D209-G209-J209-U209-Q209-M209))</f>
        <v/>
      </c>
      <c r="Z209" s="363">
        <f>$D$18*X209</f>
        <v/>
      </c>
      <c r="AA209" s="363">
        <f>X209+Y209+Z209</f>
        <v/>
      </c>
      <c r="AB209" s="356">
        <f>AB208</f>
        <v/>
      </c>
      <c r="AC209" s="356">
        <f>MAX(0, MIN(AB209, B209-D209-G209-J209-U209-Y209-Q209))</f>
        <v/>
      </c>
      <c r="AD209" s="356">
        <f>AB209-AC209</f>
        <v/>
      </c>
      <c r="AE209" s="356">
        <f>C209+F209+I209+T209+X209+P209+AB209</f>
        <v/>
      </c>
      <c r="AF209" s="356">
        <f>V209+Z209+R209+N209</f>
        <v/>
      </c>
      <c r="AG209" s="356">
        <f>E209+H209+K209+W209+AA209+S209+AD209</f>
        <v/>
      </c>
    </row>
    <row r="210">
      <c r="A210" s="117" t="n">
        <v>56</v>
      </c>
      <c r="B210" s="356">
        <f>I147</f>
        <v/>
      </c>
      <c r="C210" s="357">
        <f>E209</f>
        <v/>
      </c>
      <c r="D210" s="357">
        <f>MIN(B210, C210)</f>
        <v/>
      </c>
      <c r="E210" s="357">
        <f>C210-D210</f>
        <v/>
      </c>
      <c r="F210" s="358">
        <f>H209</f>
        <v/>
      </c>
      <c r="G210" s="358">
        <f>MIN(B210-D210, F210)</f>
        <v/>
      </c>
      <c r="H210" s="358">
        <f>F210-G210</f>
        <v/>
      </c>
      <c r="I210" s="359">
        <f>K209</f>
        <v/>
      </c>
      <c r="J210" s="359">
        <f>MIN(B210-D210-G210, I210)</f>
        <v/>
      </c>
      <c r="K210" s="359">
        <f>I210-J210</f>
        <v/>
      </c>
      <c r="L210" s="360" t="n"/>
      <c r="M210" s="360" t="n"/>
      <c r="N210" s="360" t="n"/>
      <c r="O210" s="360" t="n"/>
      <c r="P210" s="361">
        <f>IF($A210&lt;=$C$7,S209,0)</f>
        <v/>
      </c>
      <c r="Q210" s="361">
        <f>MAX(0, MIN($F$10-SUM($Q$154:Q209), B210-D210-G210-J210-M210))</f>
        <v/>
      </c>
      <c r="R210" s="361">
        <f>$D$19*P210</f>
        <v/>
      </c>
      <c r="S210" s="361">
        <f>P210+Q210+R210</f>
        <v/>
      </c>
      <c r="T210" s="362">
        <f>IF($A210&lt;=$C$7,W209,0)</f>
        <v/>
      </c>
      <c r="U210" s="362">
        <f>MAX(0, MIN($F$8-SUM($U$154:U209), B210-D210-G210-J210-Q210-M210))</f>
        <v/>
      </c>
      <c r="V210" s="362">
        <f>$D$17*T210</f>
        <v/>
      </c>
      <c r="W210" s="362">
        <f>T210+U210+V210</f>
        <v/>
      </c>
      <c r="X210" s="363">
        <f>IF($A210&lt;=$C$7,AA209,0)</f>
        <v/>
      </c>
      <c r="Y210" s="363">
        <f>MAX(0, MIN($F$9-SUM($Y$154:Y209), B210-D210-G210-J210-U210-Q210-M210))</f>
        <v/>
      </c>
      <c r="Z210" s="363">
        <f>$D$18*X210</f>
        <v/>
      </c>
      <c r="AA210" s="363">
        <f>X210+Y210+Z210</f>
        <v/>
      </c>
      <c r="AB210" s="356">
        <f>AB209</f>
        <v/>
      </c>
      <c r="AC210" s="356">
        <f>MAX(0, MIN(AB210, B210-D210-G210-J210-U210-Y210-Q210))</f>
        <v/>
      </c>
      <c r="AD210" s="356">
        <f>AB210-AC210</f>
        <v/>
      </c>
      <c r="AE210" s="356">
        <f>C210+F210+I210+T210+X210+P210+AB210</f>
        <v/>
      </c>
      <c r="AF210" s="356">
        <f>V210+Z210+R210+N210</f>
        <v/>
      </c>
      <c r="AG210" s="356">
        <f>E210+H210+K210+W210+AA210+S210+AD210</f>
        <v/>
      </c>
    </row>
    <row r="211">
      <c r="A211" s="117" t="n">
        <v>57</v>
      </c>
      <c r="B211" s="356">
        <f>I148</f>
        <v/>
      </c>
      <c r="C211" s="357">
        <f>E210</f>
        <v/>
      </c>
      <c r="D211" s="357">
        <f>MIN(B211, C211)</f>
        <v/>
      </c>
      <c r="E211" s="357">
        <f>C211-D211</f>
        <v/>
      </c>
      <c r="F211" s="358">
        <f>H210</f>
        <v/>
      </c>
      <c r="G211" s="358">
        <f>MIN(B211-D211, F211)</f>
        <v/>
      </c>
      <c r="H211" s="358">
        <f>F211-G211</f>
        <v/>
      </c>
      <c r="I211" s="359">
        <f>K210</f>
        <v/>
      </c>
      <c r="J211" s="359">
        <f>MIN(B211-D211-G211, I211)</f>
        <v/>
      </c>
      <c r="K211" s="359">
        <f>I211-J211</f>
        <v/>
      </c>
      <c r="L211" s="360" t="n"/>
      <c r="M211" s="360" t="n"/>
      <c r="N211" s="360" t="n"/>
      <c r="O211" s="360" t="n"/>
      <c r="P211" s="361">
        <f>IF($A211&lt;=$C$7,S210,0)</f>
        <v/>
      </c>
      <c r="Q211" s="361">
        <f>MAX(0, MIN($F$10-SUM($Q$154:Q210), B211-D211-G211-J211-M211))</f>
        <v/>
      </c>
      <c r="R211" s="361">
        <f>$D$19*P211</f>
        <v/>
      </c>
      <c r="S211" s="361">
        <f>P211+Q211+R211</f>
        <v/>
      </c>
      <c r="T211" s="362">
        <f>IF($A211&lt;=$C$7,W210,0)</f>
        <v/>
      </c>
      <c r="U211" s="362">
        <f>MAX(0, MIN($F$8-SUM($U$154:U210), B211-D211-G211-J211-Q211-M211))</f>
        <v/>
      </c>
      <c r="V211" s="362">
        <f>$D$17*T211</f>
        <v/>
      </c>
      <c r="W211" s="362">
        <f>T211+U211+V211</f>
        <v/>
      </c>
      <c r="X211" s="363">
        <f>IF($A211&lt;=$C$7,AA210,0)</f>
        <v/>
      </c>
      <c r="Y211" s="363">
        <f>MAX(0, MIN($F$9-SUM($Y$154:Y210), B211-D211-G211-J211-U211-Q211-M211))</f>
        <v/>
      </c>
      <c r="Z211" s="363">
        <f>$D$18*X211</f>
        <v/>
      </c>
      <c r="AA211" s="363">
        <f>X211+Y211+Z211</f>
        <v/>
      </c>
      <c r="AB211" s="356">
        <f>AB210</f>
        <v/>
      </c>
      <c r="AC211" s="356">
        <f>MAX(0, MIN(AB211, B211-D211-G211-J211-U211-Y211-Q211))</f>
        <v/>
      </c>
      <c r="AD211" s="356">
        <f>AB211-AC211</f>
        <v/>
      </c>
      <c r="AE211" s="356">
        <f>C211+F211+I211+T211+X211+P211+AB211</f>
        <v/>
      </c>
      <c r="AF211" s="356">
        <f>V211+Z211+R211+N211</f>
        <v/>
      </c>
      <c r="AG211" s="356">
        <f>E211+H211+K211+W211+AA211+S211+AD211</f>
        <v/>
      </c>
    </row>
    <row r="212">
      <c r="A212" s="117" t="n">
        <v>58</v>
      </c>
      <c r="B212" s="356">
        <f>I149</f>
        <v/>
      </c>
      <c r="C212" s="357">
        <f>E211</f>
        <v/>
      </c>
      <c r="D212" s="357">
        <f>MIN(B212, C212)</f>
        <v/>
      </c>
      <c r="E212" s="357">
        <f>C212-D212</f>
        <v/>
      </c>
      <c r="F212" s="358">
        <f>H211</f>
        <v/>
      </c>
      <c r="G212" s="358">
        <f>MIN(B212-D212, F212)</f>
        <v/>
      </c>
      <c r="H212" s="358">
        <f>F212-G212</f>
        <v/>
      </c>
      <c r="I212" s="359">
        <f>K211</f>
        <v/>
      </c>
      <c r="J212" s="359">
        <f>MIN(B212-D212-G212, I212)</f>
        <v/>
      </c>
      <c r="K212" s="359">
        <f>I212-J212</f>
        <v/>
      </c>
      <c r="L212" s="360" t="n"/>
      <c r="M212" s="360" t="n"/>
      <c r="N212" s="360" t="n"/>
      <c r="O212" s="360" t="n"/>
      <c r="P212" s="361">
        <f>IF($A212&lt;=$C$7,S211,0)</f>
        <v/>
      </c>
      <c r="Q212" s="361">
        <f>MAX(0, MIN($F$10-SUM($Q$154:Q211), B212-D212-G212-J212-M212))</f>
        <v/>
      </c>
      <c r="R212" s="361">
        <f>$D$19*P212</f>
        <v/>
      </c>
      <c r="S212" s="361">
        <f>P212+Q212+R212</f>
        <v/>
      </c>
      <c r="T212" s="362">
        <f>IF($A212&lt;=$C$7,W211,0)</f>
        <v/>
      </c>
      <c r="U212" s="362">
        <f>MAX(0, MIN($F$8-SUM($U$154:U211), B212-D212-G212-J212-Q212-M212))</f>
        <v/>
      </c>
      <c r="V212" s="362">
        <f>$D$17*T212</f>
        <v/>
      </c>
      <c r="W212" s="362">
        <f>T212+U212+V212</f>
        <v/>
      </c>
      <c r="X212" s="363">
        <f>IF($A212&lt;=$C$7,AA211,0)</f>
        <v/>
      </c>
      <c r="Y212" s="363">
        <f>MAX(0, MIN($F$9-SUM($Y$154:Y211), B212-D212-G212-J212-U212-Q212-M212))</f>
        <v/>
      </c>
      <c r="Z212" s="363">
        <f>$D$18*X212</f>
        <v/>
      </c>
      <c r="AA212" s="363">
        <f>X212+Y212+Z212</f>
        <v/>
      </c>
      <c r="AB212" s="356">
        <f>AB211</f>
        <v/>
      </c>
      <c r="AC212" s="356">
        <f>MAX(0, MIN(AB212, B212-D212-G212-J212-U212-Y212-Q212))</f>
        <v/>
      </c>
      <c r="AD212" s="356">
        <f>AB212-AC212</f>
        <v/>
      </c>
      <c r="AE212" s="356">
        <f>C212+F212+I212+T212+X212+P212+AB212</f>
        <v/>
      </c>
      <c r="AF212" s="356">
        <f>V212+Z212+R212+N212</f>
        <v/>
      </c>
      <c r="AG212" s="356">
        <f>E212+H212+K212+W212+AA212+S212+AD212</f>
        <v/>
      </c>
    </row>
    <row r="213">
      <c r="A213" s="117" t="n">
        <v>59</v>
      </c>
      <c r="B213" s="356">
        <f>I150</f>
        <v/>
      </c>
      <c r="C213" s="357">
        <f>E212</f>
        <v/>
      </c>
      <c r="D213" s="357">
        <f>MIN(B213, C213)</f>
        <v/>
      </c>
      <c r="E213" s="357">
        <f>C213-D213</f>
        <v/>
      </c>
      <c r="F213" s="358">
        <f>H212</f>
        <v/>
      </c>
      <c r="G213" s="358">
        <f>MIN(B213-D213, F213)</f>
        <v/>
      </c>
      <c r="H213" s="358">
        <f>F213-G213</f>
        <v/>
      </c>
      <c r="I213" s="359">
        <f>K212</f>
        <v/>
      </c>
      <c r="J213" s="359">
        <f>MIN(B213-D213-G213, I213)</f>
        <v/>
      </c>
      <c r="K213" s="359">
        <f>I213-J213</f>
        <v/>
      </c>
      <c r="L213" s="360" t="n"/>
      <c r="M213" s="360" t="n"/>
      <c r="N213" s="360" t="n"/>
      <c r="O213" s="360" t="n"/>
      <c r="P213" s="361">
        <f>IF($A213&lt;=$C$7,S212,0)</f>
        <v/>
      </c>
      <c r="Q213" s="361">
        <f>MAX(0, MIN($F$10-SUM($Q$154:Q212), B213-D213-G213-J213-M213))</f>
        <v/>
      </c>
      <c r="R213" s="361">
        <f>$D$19*P213</f>
        <v/>
      </c>
      <c r="S213" s="361">
        <f>P213+Q213+R213</f>
        <v/>
      </c>
      <c r="T213" s="362">
        <f>IF($A213&lt;=$C$7,W212,0)</f>
        <v/>
      </c>
      <c r="U213" s="362">
        <f>MAX(0, MIN($F$8-SUM($U$154:U212), B213-D213-G213-J213-Q213-M213))</f>
        <v/>
      </c>
      <c r="V213" s="362">
        <f>$D$17*T213</f>
        <v/>
      </c>
      <c r="W213" s="362">
        <f>T213+U213+V213</f>
        <v/>
      </c>
      <c r="X213" s="363">
        <f>IF($A213&lt;=$C$7,AA212,0)</f>
        <v/>
      </c>
      <c r="Y213" s="363">
        <f>MAX(0, MIN($F$9-SUM($Y$154:Y212), B213-D213-G213-J213-U213-Q213-M213))</f>
        <v/>
      </c>
      <c r="Z213" s="363">
        <f>$D$18*X213</f>
        <v/>
      </c>
      <c r="AA213" s="363">
        <f>X213+Y213+Z213</f>
        <v/>
      </c>
      <c r="AB213" s="356">
        <f>AB212</f>
        <v/>
      </c>
      <c r="AC213" s="356">
        <f>MAX(0, MIN(AB213, B213-D213-G213-J213-U213-Y213-Q213))</f>
        <v/>
      </c>
      <c r="AD213" s="356">
        <f>AB213-AC213</f>
        <v/>
      </c>
      <c r="AE213" s="356">
        <f>C213+F213+I213+T213+X213+P213+AB213</f>
        <v/>
      </c>
      <c r="AF213" s="356">
        <f>V213+Z213+R213+N213</f>
        <v/>
      </c>
      <c r="AG213" s="356">
        <f>E213+H213+K213+W213+AA213+S213+AD213</f>
        <v/>
      </c>
    </row>
    <row r="214">
      <c r="A214" s="117" t="n">
        <v>60</v>
      </c>
      <c r="B214" s="356">
        <f>I151</f>
        <v/>
      </c>
      <c r="C214" s="357">
        <f>E213</f>
        <v/>
      </c>
      <c r="D214" s="357">
        <f>MIN(B214, C214)</f>
        <v/>
      </c>
      <c r="E214" s="357">
        <f>C214-D214</f>
        <v/>
      </c>
      <c r="F214" s="358">
        <f>H213</f>
        <v/>
      </c>
      <c r="G214" s="358">
        <f>MIN(B214-D214, F214)</f>
        <v/>
      </c>
      <c r="H214" s="358">
        <f>F214-G214</f>
        <v/>
      </c>
      <c r="I214" s="359">
        <f>K213</f>
        <v/>
      </c>
      <c r="J214" s="359">
        <f>MIN(B214-D214-G214, I214)</f>
        <v/>
      </c>
      <c r="K214" s="359">
        <f>I214-J214</f>
        <v/>
      </c>
      <c r="L214" s="360" t="n"/>
      <c r="M214" s="360" t="n"/>
      <c r="N214" s="360" t="n"/>
      <c r="O214" s="360" t="n"/>
      <c r="P214" s="361">
        <f>IF($A214&lt;=$C$7,S213,0)</f>
        <v/>
      </c>
      <c r="Q214" s="361">
        <f>MAX(0, MIN($F$10-SUM($Q$155:Q213), B214-D214-G214-J214-U214-Y214))</f>
        <v/>
      </c>
      <c r="R214" s="361">
        <f>$D$19*P214</f>
        <v/>
      </c>
      <c r="S214" s="361">
        <f>P214+Q214+R214</f>
        <v/>
      </c>
      <c r="T214" s="362">
        <f>IF($A214&lt;=$C$7,W213,0)</f>
        <v/>
      </c>
      <c r="U214" s="362">
        <f>MAX(0, MIN($F$8-SUM($U$155:U213), B214-D214-G214-J214))</f>
        <v/>
      </c>
      <c r="V214" s="362">
        <f>$D$17*T214</f>
        <v/>
      </c>
      <c r="W214" s="362">
        <f>T214+U214+V214</f>
        <v/>
      </c>
      <c r="X214" s="363">
        <f>IF($A214&lt;=$C$7,AA213,0)</f>
        <v/>
      </c>
      <c r="Y214" s="363">
        <f>MAX(0, MIN($F$9-X214, B214-D214-G214-J214-U214-V214))</f>
        <v/>
      </c>
      <c r="Z214" s="363">
        <f>$D$18*X214</f>
        <v/>
      </c>
      <c r="AA214" s="363">
        <f>X214+Y214+Z214</f>
        <v/>
      </c>
      <c r="AB214" s="356">
        <f>AB213</f>
        <v/>
      </c>
      <c r="AC214" s="356">
        <f>MAX(0, MIN(AB214, B214-D214-G214-J214-U214-Y214-Q214))</f>
        <v/>
      </c>
      <c r="AD214" s="356">
        <f>AB214-AC214</f>
        <v/>
      </c>
      <c r="AE214" s="356">
        <f>C214+F214+I214+T214+X214+P214+AB214</f>
        <v/>
      </c>
      <c r="AF214" s="356">
        <f>V214+Z214+R214</f>
        <v/>
      </c>
      <c r="AG214" s="356">
        <f>E214+H214+K214+W214+AA214+S214+AD214</f>
        <v/>
      </c>
    </row>
    <row r="216">
      <c r="A216" s="171" t="inlineStr">
        <is>
          <t>Land Lease Schedule</t>
        </is>
      </c>
      <c r="B216" s="172" t="n"/>
    </row>
    <row r="217">
      <c r="A217" s="173" t="inlineStr">
        <is>
          <t>Month</t>
        </is>
      </c>
      <c r="B217" s="173" t="inlineStr">
        <is>
          <t>Rent</t>
        </is>
      </c>
    </row>
    <row r="218">
      <c r="A218" s="115" t="n">
        <v>1</v>
      </c>
      <c r="B218" s="42">
        <f>Pro_Forma!$S$21/12*(1+Pro_Forma!$S$22)^ROUNDDOWN((A218-1)/12,0)</f>
        <v/>
      </c>
    </row>
    <row r="219">
      <c r="A219" s="115">
        <f>1+A218</f>
        <v/>
      </c>
      <c r="B219" s="42">
        <f>Pro_Forma!$S$21/12*(1+Pro_Forma!$S$22)^ROUNDDOWN((A219-1)/12,0)</f>
        <v/>
      </c>
    </row>
    <row r="220">
      <c r="A220" s="115">
        <f>1+A219</f>
        <v/>
      </c>
      <c r="B220" s="42">
        <f>Pro_Forma!$S$21/12*(1+Pro_Forma!$S$22)^ROUNDDOWN((A220-1)/12,0)</f>
        <v/>
      </c>
    </row>
    <row r="221">
      <c r="A221" s="115">
        <f>1+A220</f>
        <v/>
      </c>
      <c r="B221" s="42">
        <f>Pro_Forma!$S$21/12*(1+Pro_Forma!$S$22)^ROUNDDOWN((A221-1)/12,0)</f>
        <v/>
      </c>
    </row>
    <row r="222">
      <c r="A222" s="115">
        <f>1+A221</f>
        <v/>
      </c>
      <c r="B222" s="42">
        <f>Pro_Forma!$S$21/12*(1+Pro_Forma!$S$22)^ROUNDDOWN((A222-1)/12,0)</f>
        <v/>
      </c>
    </row>
    <row r="223">
      <c r="A223" s="115">
        <f>1+A222</f>
        <v/>
      </c>
      <c r="B223" s="42">
        <f>Pro_Forma!$S$21/12*(1+Pro_Forma!$S$22)^ROUNDDOWN((A223-1)/12,0)</f>
        <v/>
      </c>
    </row>
    <row r="224">
      <c r="A224" s="115">
        <f>1+A223</f>
        <v/>
      </c>
      <c r="B224" s="42">
        <f>Pro_Forma!$S$21/12*(1+Pro_Forma!$S$22)^ROUNDDOWN((A224-1)/12,0)</f>
        <v/>
      </c>
    </row>
    <row r="225">
      <c r="A225" s="115">
        <f>1+A224</f>
        <v/>
      </c>
      <c r="B225" s="42">
        <f>Pro_Forma!$S$21/12*(1+Pro_Forma!$S$22)^ROUNDDOWN((A225-1)/12,0)</f>
        <v/>
      </c>
    </row>
    <row r="226">
      <c r="A226" s="115">
        <f>1+A225</f>
        <v/>
      </c>
      <c r="B226" s="42">
        <f>Pro_Forma!$S$21/12*(1+Pro_Forma!$S$22)^ROUNDDOWN((A226-1)/12,0)</f>
        <v/>
      </c>
    </row>
    <row r="227">
      <c r="A227" s="115">
        <f>1+A226</f>
        <v/>
      </c>
      <c r="B227" s="42">
        <f>Pro_Forma!$S$21/12*(1+Pro_Forma!$S$22)^ROUNDDOWN((A227-1)/12,0)</f>
        <v/>
      </c>
    </row>
    <row r="228">
      <c r="A228" s="115">
        <f>1+A227</f>
        <v/>
      </c>
      <c r="B228" s="42">
        <f>Pro_Forma!$S$21/12*(1+Pro_Forma!$S$22)^ROUNDDOWN((A228-1)/12,0)</f>
        <v/>
      </c>
    </row>
    <row r="229">
      <c r="A229" s="115">
        <f>1+A228</f>
        <v/>
      </c>
      <c r="B229" s="42">
        <f>Pro_Forma!$S$21/12*(1+Pro_Forma!$S$22)^ROUNDDOWN((A229-1)/12,0)</f>
        <v/>
      </c>
    </row>
    <row r="230">
      <c r="A230" s="115">
        <f>1+A229</f>
        <v/>
      </c>
      <c r="B230" s="42">
        <f>Pro_Forma!$S$21/12*(1+Pro_Forma!$S$22)^ROUNDDOWN((A230-1)/12,0)</f>
        <v/>
      </c>
    </row>
    <row r="231">
      <c r="A231" s="115">
        <f>1+A230</f>
        <v/>
      </c>
      <c r="B231" s="42">
        <f>Pro_Forma!$S$21/12*(1+Pro_Forma!$S$22)^ROUNDDOWN((A231-1)/12,0)</f>
        <v/>
      </c>
    </row>
    <row r="232">
      <c r="A232" s="115">
        <f>1+A231</f>
        <v/>
      </c>
      <c r="B232" s="42">
        <f>Pro_Forma!$S$21/12*(1+Pro_Forma!$S$22)^ROUNDDOWN((A232-1)/12,0)</f>
        <v/>
      </c>
    </row>
    <row r="233">
      <c r="A233" s="115">
        <f>1+A232</f>
        <v/>
      </c>
      <c r="B233" s="42">
        <f>Pro_Forma!$S$21/12*(1+Pro_Forma!$S$22)^ROUNDDOWN((A233-1)/12,0)</f>
        <v/>
      </c>
    </row>
    <row r="234">
      <c r="A234" s="115">
        <f>1+A233</f>
        <v/>
      </c>
      <c r="B234" s="42">
        <f>Pro_Forma!$S$21/12*(1+Pro_Forma!$S$22)^ROUNDDOWN((A234-1)/12,0)</f>
        <v/>
      </c>
    </row>
    <row r="235">
      <c r="A235" s="115">
        <f>1+A234</f>
        <v/>
      </c>
      <c r="B235" s="42">
        <f>Pro_Forma!$S$21/12*(1+Pro_Forma!$S$22)^ROUNDDOWN((A235-1)/12,0)</f>
        <v/>
      </c>
    </row>
    <row r="236">
      <c r="A236" s="115">
        <f>1+A235</f>
        <v/>
      </c>
      <c r="B236" s="42">
        <f>Pro_Forma!$S$21/12*(1+Pro_Forma!$S$22)^ROUNDDOWN((A236-1)/12,0)</f>
        <v/>
      </c>
    </row>
    <row r="237">
      <c r="A237" s="115">
        <f>1+A236</f>
        <v/>
      </c>
      <c r="B237" s="42">
        <f>Pro_Forma!$S$21/12*(1+Pro_Forma!$S$22)^ROUNDDOWN((A237-1)/12,0)</f>
        <v/>
      </c>
    </row>
    <row r="238">
      <c r="A238" s="115">
        <f>1+A237</f>
        <v/>
      </c>
      <c r="B238" s="42">
        <f>Pro_Forma!$S$21/12*(1+Pro_Forma!$S$22)^ROUNDDOWN((A238-1)/12,0)</f>
        <v/>
      </c>
    </row>
    <row r="239">
      <c r="A239" s="115">
        <f>1+A238</f>
        <v/>
      </c>
      <c r="B239" s="42">
        <f>Pro_Forma!$S$21/12*(1+Pro_Forma!$S$22)^ROUNDDOWN((A239-1)/12,0)</f>
        <v/>
      </c>
    </row>
    <row r="240">
      <c r="A240" s="115">
        <f>1+A239</f>
        <v/>
      </c>
      <c r="B240" s="42">
        <f>Pro_Forma!$S$21/12*(1+Pro_Forma!$S$22)^ROUNDDOWN((A240-1)/12,0)</f>
        <v/>
      </c>
    </row>
    <row r="241">
      <c r="A241" s="115">
        <f>1+A240</f>
        <v/>
      </c>
      <c r="B241" s="42">
        <f>Pro_Forma!$S$21/12*(1+Pro_Forma!$S$22)^ROUNDDOWN((A241-1)/12,0)</f>
        <v/>
      </c>
    </row>
    <row r="242">
      <c r="A242" s="115">
        <f>1+A241</f>
        <v/>
      </c>
      <c r="B242" s="42">
        <f>Pro_Forma!$S$21/12*(1+Pro_Forma!$S$22)^ROUNDDOWN((A242-1)/12,0)</f>
        <v/>
      </c>
    </row>
    <row r="243">
      <c r="A243" s="115">
        <f>1+A242</f>
        <v/>
      </c>
      <c r="B243" s="42">
        <f>Pro_Forma!$S$21/12*(1+Pro_Forma!$S$22)^ROUNDDOWN((A243-1)/12,0)</f>
        <v/>
      </c>
    </row>
    <row r="244">
      <c r="A244" s="115">
        <f>1+A243</f>
        <v/>
      </c>
      <c r="B244" s="42">
        <f>Pro_Forma!$S$21/12*(1+Pro_Forma!$S$22)^ROUNDDOWN((A244-1)/12,0)</f>
        <v/>
      </c>
    </row>
    <row r="245">
      <c r="A245" s="115">
        <f>1+A244</f>
        <v/>
      </c>
      <c r="B245" s="42">
        <f>Pro_Forma!$S$21/12*(1+Pro_Forma!$S$22)^ROUNDDOWN((A245-1)/12,0)</f>
        <v/>
      </c>
    </row>
    <row r="246">
      <c r="A246" s="115">
        <f>1+A245</f>
        <v/>
      </c>
      <c r="B246" s="42">
        <f>Pro_Forma!$S$21/12*(1+Pro_Forma!$S$22)^ROUNDDOWN((A246-1)/12,0)</f>
        <v/>
      </c>
    </row>
    <row r="247">
      <c r="A247" s="115">
        <f>1+A246</f>
        <v/>
      </c>
      <c r="B247" s="42">
        <f>Pro_Forma!$S$21/12*(1+Pro_Forma!$S$22)^ROUNDDOWN((A247-1)/12,0)</f>
        <v/>
      </c>
    </row>
    <row r="248">
      <c r="A248" s="115">
        <f>1+A247</f>
        <v/>
      </c>
      <c r="B248" s="42">
        <f>Pro_Forma!$S$21/12*(1+Pro_Forma!$S$22)^ROUNDDOWN((A248-1)/12,0)</f>
        <v/>
      </c>
    </row>
    <row r="249">
      <c r="A249" s="115">
        <f>1+A248</f>
        <v/>
      </c>
      <c r="B249" s="42">
        <f>Pro_Forma!$S$21/12*(1+Pro_Forma!$S$22)^ROUNDDOWN((A249-1)/12,0)</f>
        <v/>
      </c>
    </row>
    <row r="250">
      <c r="A250" s="115">
        <f>1+A249</f>
        <v/>
      </c>
      <c r="B250" s="42">
        <f>Pro_Forma!$S$21/12*(1+Pro_Forma!$S$22)^ROUNDDOWN((A250-1)/12,0)</f>
        <v/>
      </c>
    </row>
    <row r="251">
      <c r="A251" s="115">
        <f>1+A250</f>
        <v/>
      </c>
      <c r="B251" s="42">
        <f>Pro_Forma!$S$21/12*(1+Pro_Forma!$S$22)^ROUNDDOWN((A251-1)/12,0)</f>
        <v/>
      </c>
    </row>
    <row r="252">
      <c r="A252" s="115">
        <f>1+A251</f>
        <v/>
      </c>
      <c r="B252" s="42">
        <f>Pro_Forma!$S$21/12*(1+Pro_Forma!$S$22)^ROUNDDOWN((A252-1)/12,0)</f>
        <v/>
      </c>
    </row>
    <row r="253">
      <c r="A253" s="115">
        <f>1+A252</f>
        <v/>
      </c>
      <c r="B253" s="42">
        <f>Pro_Forma!$S$21/12*(1+Pro_Forma!$S$22)^ROUNDDOWN((A253-1)/12,0)</f>
        <v/>
      </c>
    </row>
    <row r="254">
      <c r="A254" s="115">
        <f>1+A253</f>
        <v/>
      </c>
      <c r="B254" s="42">
        <f>Pro_Forma!$S$21/12*(1+Pro_Forma!$S$22)^ROUNDDOWN((A254-1)/12,0)</f>
        <v/>
      </c>
    </row>
    <row r="255">
      <c r="A255" s="115">
        <f>1+A254</f>
        <v/>
      </c>
      <c r="B255" s="42">
        <f>Pro_Forma!$S$21/12*(1+Pro_Forma!$S$22)^ROUNDDOWN((A255-1)/12,0)</f>
        <v/>
      </c>
    </row>
    <row r="256">
      <c r="A256" s="115">
        <f>1+A255</f>
        <v/>
      </c>
      <c r="B256" s="42">
        <f>Pro_Forma!$S$21/12*(1+Pro_Forma!$S$22)^ROUNDDOWN((A256-1)/12,0)</f>
        <v/>
      </c>
    </row>
    <row r="257">
      <c r="A257" s="115">
        <f>1+A256</f>
        <v/>
      </c>
      <c r="B257" s="42">
        <f>Pro_Forma!$S$21/12*(1+Pro_Forma!$S$22)^ROUNDDOWN((A257-1)/12,0)</f>
        <v/>
      </c>
    </row>
    <row r="258">
      <c r="A258" s="115">
        <f>1+A257</f>
        <v/>
      </c>
      <c r="B258" s="42">
        <f>Pro_Forma!$S$21/12*(1+Pro_Forma!$S$22)^ROUNDDOWN((A258-1)/12,0)</f>
        <v/>
      </c>
    </row>
    <row r="259">
      <c r="A259" s="115">
        <f>1+A258</f>
        <v/>
      </c>
      <c r="B259" s="42">
        <f>Pro_Forma!$S$21/12*(1+Pro_Forma!$S$22)^ROUNDDOWN((A259-1)/12,0)</f>
        <v/>
      </c>
    </row>
    <row r="260">
      <c r="A260" s="115">
        <f>1+A259</f>
        <v/>
      </c>
      <c r="B260" s="42">
        <f>Pro_Forma!$S$21/12*(1+Pro_Forma!$S$22)^ROUNDDOWN((A260-1)/12,0)</f>
        <v/>
      </c>
    </row>
    <row r="261">
      <c r="A261" s="115">
        <f>1+A260</f>
        <v/>
      </c>
      <c r="B261" s="42">
        <f>Pro_Forma!$S$21/12*(1+Pro_Forma!$S$22)^ROUNDDOWN((A261-1)/12,0)</f>
        <v/>
      </c>
    </row>
    <row r="262">
      <c r="A262" s="115">
        <f>1+A261</f>
        <v/>
      </c>
      <c r="B262" s="42">
        <f>Pro_Forma!$S$21/12*(1+Pro_Forma!$S$22)^ROUNDDOWN((A262-1)/12,0)</f>
        <v/>
      </c>
    </row>
    <row r="263">
      <c r="A263" s="115">
        <f>1+A262</f>
        <v/>
      </c>
      <c r="B263" s="42">
        <f>Pro_Forma!$S$21/12*(1+Pro_Forma!$S$22)^ROUNDDOWN((A263-1)/12,0)</f>
        <v/>
      </c>
    </row>
    <row r="264">
      <c r="A264" s="115">
        <f>1+A263</f>
        <v/>
      </c>
      <c r="B264" s="42">
        <f>Pro_Forma!$S$21/12*(1+Pro_Forma!$S$22)^ROUNDDOWN((A264-1)/12,0)</f>
        <v/>
      </c>
    </row>
    <row r="265">
      <c r="A265" s="115">
        <f>1+A264</f>
        <v/>
      </c>
      <c r="B265" s="42">
        <f>Pro_Forma!$S$21/12*(1+Pro_Forma!$S$22)^ROUNDDOWN((A265-1)/12,0)</f>
        <v/>
      </c>
    </row>
    <row r="266">
      <c r="A266" s="115">
        <f>1+A265</f>
        <v/>
      </c>
      <c r="B266" s="42">
        <f>Pro_Forma!$S$21/12*(1+Pro_Forma!$S$22)^ROUNDDOWN((A266-1)/12,0)</f>
        <v/>
      </c>
    </row>
    <row r="267">
      <c r="A267" s="115">
        <f>1+A266</f>
        <v/>
      </c>
      <c r="B267" s="42">
        <f>Pro_Forma!$S$21/12*(1+Pro_Forma!$S$22)^ROUNDDOWN((A267-1)/12,0)</f>
        <v/>
      </c>
    </row>
    <row r="268">
      <c r="A268" s="115">
        <f>1+A267</f>
        <v/>
      </c>
      <c r="B268" s="42">
        <f>Pro_Forma!$S$21/12*(1+Pro_Forma!$S$22)^ROUNDDOWN((A268-1)/12,0)</f>
        <v/>
      </c>
    </row>
    <row r="269">
      <c r="A269" s="115">
        <f>1+A268</f>
        <v/>
      </c>
      <c r="B269" s="42">
        <f>Pro_Forma!$S$21/12*(1+Pro_Forma!$S$22)^ROUNDDOWN((A269-1)/12,0)</f>
        <v/>
      </c>
    </row>
    <row r="270">
      <c r="A270" s="115">
        <f>1+A269</f>
        <v/>
      </c>
      <c r="B270" s="42">
        <f>Pro_Forma!$S$21/12*(1+Pro_Forma!$S$22)^ROUNDDOWN((A270-1)/12,0)</f>
        <v/>
      </c>
    </row>
    <row r="271">
      <c r="A271" s="115">
        <f>1+A270</f>
        <v/>
      </c>
      <c r="B271" s="42">
        <f>Pro_Forma!$S$21/12*(1+Pro_Forma!$S$22)^ROUNDDOWN((A271-1)/12,0)</f>
        <v/>
      </c>
    </row>
    <row r="272">
      <c r="A272" s="115">
        <f>1+A271</f>
        <v/>
      </c>
      <c r="B272" s="42">
        <f>Pro_Forma!$S$21/12*(1+Pro_Forma!$S$22)^ROUNDDOWN((A272-1)/12,0)</f>
        <v/>
      </c>
    </row>
    <row r="273">
      <c r="A273" s="115">
        <f>1+A272</f>
        <v/>
      </c>
      <c r="B273" s="42">
        <f>Pro_Forma!$S$21/12*(1+Pro_Forma!$S$22)^ROUNDDOWN((A273-1)/12,0)</f>
        <v/>
      </c>
    </row>
    <row r="274">
      <c r="A274" s="115">
        <f>1+A273</f>
        <v/>
      </c>
      <c r="B274" s="42">
        <f>Pro_Forma!$S$21/12*(1+Pro_Forma!$S$22)^ROUNDDOWN((A274-1)/12,0)</f>
        <v/>
      </c>
    </row>
    <row r="275">
      <c r="A275" s="115">
        <f>1+A274</f>
        <v/>
      </c>
      <c r="B275" s="42">
        <f>Pro_Forma!$S$21/12*(1+Pro_Forma!$S$22)^ROUNDDOWN((A275-1)/12,0)</f>
        <v/>
      </c>
    </row>
    <row r="276">
      <c r="A276" s="115">
        <f>1+A275</f>
        <v/>
      </c>
      <c r="B276" s="42">
        <f>Pro_Forma!$S$21/12*(1+Pro_Forma!$S$22)^ROUNDDOWN((A276-1)/12,0)</f>
        <v/>
      </c>
    </row>
    <row r="277">
      <c r="A277" s="115">
        <f>1+A276</f>
        <v/>
      </c>
      <c r="B277" s="42">
        <f>Pro_Forma!$S$21/12*(1+Pro_Forma!$S$22)^ROUNDDOWN((A277-1)/12,0)</f>
        <v/>
      </c>
    </row>
    <row r="278">
      <c r="A278" s="115">
        <f>1+A277</f>
        <v/>
      </c>
      <c r="B278" s="42">
        <f>Pro_Forma!$S$21/12*(1+Pro_Forma!$S$22)^ROUNDDOWN((A278-1)/12,0)</f>
        <v/>
      </c>
    </row>
    <row r="279">
      <c r="A279" s="115">
        <f>1+A278</f>
        <v/>
      </c>
      <c r="B279" s="42">
        <f>Pro_Forma!$S$21/12*(1+Pro_Forma!$S$22)^ROUNDDOWN((A279-1)/12,0)</f>
        <v/>
      </c>
    </row>
    <row r="280">
      <c r="A280" s="115">
        <f>1+A279</f>
        <v/>
      </c>
      <c r="B280" s="42">
        <f>Pro_Forma!$S$21/12*(1+Pro_Forma!$S$22)^ROUNDDOWN((A280-1)/12,0)</f>
        <v/>
      </c>
    </row>
    <row r="281">
      <c r="A281" s="115">
        <f>1+A280</f>
        <v/>
      </c>
      <c r="B281" s="42">
        <f>Pro_Forma!$S$21/12*(1+Pro_Forma!$S$22)^ROUNDDOWN((A281-1)/12,0)</f>
        <v/>
      </c>
    </row>
    <row r="282">
      <c r="A282" s="115">
        <f>1+A281</f>
        <v/>
      </c>
      <c r="B282" s="42">
        <f>Pro_Forma!$S$21/12*(1+Pro_Forma!$S$22)^ROUNDDOWN((A282-1)/12,0)</f>
        <v/>
      </c>
    </row>
    <row r="283">
      <c r="A283" s="115">
        <f>1+A282</f>
        <v/>
      </c>
      <c r="B283" s="42">
        <f>Pro_Forma!$S$21/12*(1+Pro_Forma!$S$22)^ROUNDDOWN((A283-1)/12,0)</f>
        <v/>
      </c>
    </row>
    <row r="284">
      <c r="A284" s="115">
        <f>1+A283</f>
        <v/>
      </c>
      <c r="B284" s="42">
        <f>Pro_Forma!$S$21/12*(1+Pro_Forma!$S$22)^ROUNDDOWN((A284-1)/12,0)</f>
        <v/>
      </c>
    </row>
    <row r="285">
      <c r="A285" s="115">
        <f>1+A284</f>
        <v/>
      </c>
      <c r="B285" s="42">
        <f>Pro_Forma!$S$21/12*(1+Pro_Forma!$S$22)^ROUNDDOWN((A285-1)/12,0)</f>
        <v/>
      </c>
    </row>
    <row r="286">
      <c r="A286" s="115">
        <f>1+A285</f>
        <v/>
      </c>
      <c r="B286" s="42">
        <f>Pro_Forma!$S$21/12*(1+Pro_Forma!$S$22)^ROUNDDOWN((A286-1)/12,0)</f>
        <v/>
      </c>
    </row>
    <row r="287">
      <c r="A287" s="115">
        <f>1+A286</f>
        <v/>
      </c>
      <c r="B287" s="42">
        <f>Pro_Forma!$S$21/12*(1+Pro_Forma!$S$22)^ROUNDDOWN((A287-1)/12,0)</f>
        <v/>
      </c>
    </row>
    <row r="288">
      <c r="A288" s="115">
        <f>1+A287</f>
        <v/>
      </c>
      <c r="B288" s="42">
        <f>Pro_Forma!$S$21/12*(1+Pro_Forma!$S$22)^ROUNDDOWN((A288-1)/12,0)</f>
        <v/>
      </c>
    </row>
    <row r="289">
      <c r="A289" s="115">
        <f>1+A288</f>
        <v/>
      </c>
      <c r="B289" s="42">
        <f>Pro_Forma!$S$21/12*(1+Pro_Forma!$S$22)^ROUNDDOWN((A289-1)/12,0)</f>
        <v/>
      </c>
    </row>
    <row r="290">
      <c r="A290" s="115">
        <f>1+A289</f>
        <v/>
      </c>
      <c r="B290" s="42">
        <f>Pro_Forma!$S$21/12*(1+Pro_Forma!$S$22)^ROUNDDOWN((A290-1)/12,0)</f>
        <v/>
      </c>
    </row>
    <row r="291">
      <c r="A291" s="115">
        <f>1+A290</f>
        <v/>
      </c>
      <c r="B291" s="42">
        <f>Pro_Forma!$S$21/12*(1+Pro_Forma!$S$22)^ROUNDDOWN((A291-1)/12,0)</f>
        <v/>
      </c>
    </row>
    <row r="292">
      <c r="A292" s="115">
        <f>1+A291</f>
        <v/>
      </c>
      <c r="B292" s="42">
        <f>Pro_Forma!$S$21/12*(1+Pro_Forma!$S$22)^ROUNDDOWN((A292-1)/12,0)</f>
        <v/>
      </c>
    </row>
    <row r="293">
      <c r="A293" s="115">
        <f>1+A292</f>
        <v/>
      </c>
      <c r="B293" s="42">
        <f>Pro_Forma!$S$21/12*(1+Pro_Forma!$S$22)^ROUNDDOWN((A293-1)/12,0)</f>
        <v/>
      </c>
    </row>
    <row r="294">
      <c r="A294" s="115">
        <f>1+A293</f>
        <v/>
      </c>
      <c r="B294" s="42">
        <f>Pro_Forma!$S$21/12*(1+Pro_Forma!$S$22)^ROUNDDOWN((A294-1)/12,0)</f>
        <v/>
      </c>
    </row>
    <row r="295">
      <c r="A295" s="115">
        <f>1+A294</f>
        <v/>
      </c>
      <c r="B295" s="42">
        <f>Pro_Forma!$S$21/12*(1+Pro_Forma!$S$22)^ROUNDDOWN((A295-1)/12,0)</f>
        <v/>
      </c>
    </row>
    <row r="296">
      <c r="A296" s="115">
        <f>1+A295</f>
        <v/>
      </c>
      <c r="B296" s="42">
        <f>Pro_Forma!$S$21/12*(1+Pro_Forma!$S$22)^ROUNDDOWN((A296-1)/12,0)</f>
        <v/>
      </c>
    </row>
    <row r="297">
      <c r="A297" s="115">
        <f>1+A296</f>
        <v/>
      </c>
      <c r="B297" s="42">
        <f>Pro_Forma!$S$21/12*(1+Pro_Forma!$S$22)^ROUNDDOWN((A297-1)/12,0)</f>
        <v/>
      </c>
    </row>
    <row r="298">
      <c r="A298" s="115">
        <f>1+A297</f>
        <v/>
      </c>
      <c r="B298" s="42">
        <f>Pro_Forma!$S$21/12*(1+Pro_Forma!$S$22)^ROUNDDOWN((A298-1)/12,0)</f>
        <v/>
      </c>
    </row>
    <row r="299">
      <c r="A299" s="115">
        <f>1+A298</f>
        <v/>
      </c>
      <c r="B299" s="42">
        <f>Pro_Forma!$S$21/12*(1+Pro_Forma!$S$22)^ROUNDDOWN((A299-1)/12,0)</f>
        <v/>
      </c>
    </row>
    <row r="300">
      <c r="A300" s="115">
        <f>1+A299</f>
        <v/>
      </c>
      <c r="B300" s="42">
        <f>Pro_Forma!$S$21/12*(1+Pro_Forma!$S$22)^ROUNDDOWN((A300-1)/12,0)</f>
        <v/>
      </c>
    </row>
    <row r="301">
      <c r="A301" s="115">
        <f>1+A300</f>
        <v/>
      </c>
      <c r="B301" s="42">
        <f>Pro_Forma!$S$21/12*(1+Pro_Forma!$S$22)^ROUNDDOWN((A301-1)/12,0)</f>
        <v/>
      </c>
    </row>
    <row r="302">
      <c r="A302" s="115">
        <f>1+A301</f>
        <v/>
      </c>
      <c r="B302" s="42">
        <f>Pro_Forma!$S$21/12*(1+Pro_Forma!$S$22)^ROUNDDOWN((A302-1)/12,0)</f>
        <v/>
      </c>
    </row>
    <row r="303">
      <c r="A303" s="115">
        <f>1+A302</f>
        <v/>
      </c>
      <c r="B303" s="42">
        <f>Pro_Forma!$S$21/12*(1+Pro_Forma!$S$22)^ROUNDDOWN((A303-1)/12,0)</f>
        <v/>
      </c>
    </row>
    <row r="304">
      <c r="A304" s="115">
        <f>1+A303</f>
        <v/>
      </c>
      <c r="B304" s="42">
        <f>Pro_Forma!$S$21/12*(1+Pro_Forma!$S$22)^ROUNDDOWN((A304-1)/12,0)</f>
        <v/>
      </c>
    </row>
    <row r="305">
      <c r="A305" s="115">
        <f>1+A304</f>
        <v/>
      </c>
      <c r="B305" s="42">
        <f>Pro_Forma!$S$21/12*(1+Pro_Forma!$S$22)^ROUNDDOWN((A305-1)/12,0)</f>
        <v/>
      </c>
    </row>
    <row r="306">
      <c r="A306" s="115">
        <f>1+A305</f>
        <v/>
      </c>
      <c r="B306" s="42">
        <f>Pro_Forma!$S$21/12*(1+Pro_Forma!$S$22)^ROUNDDOWN((A306-1)/12,0)</f>
        <v/>
      </c>
    </row>
    <row r="307">
      <c r="A307" s="115">
        <f>1+A306</f>
        <v/>
      </c>
      <c r="B307" s="42">
        <f>Pro_Forma!$S$21/12*(1+Pro_Forma!$S$22)^ROUNDDOWN((A307-1)/12,0)</f>
        <v/>
      </c>
    </row>
    <row r="308">
      <c r="A308" s="115">
        <f>1+A307</f>
        <v/>
      </c>
      <c r="B308" s="42">
        <f>Pro_Forma!$S$21/12*(1+Pro_Forma!$S$22)^ROUNDDOWN((A308-1)/12,0)</f>
        <v/>
      </c>
    </row>
    <row r="309">
      <c r="A309" s="115">
        <f>1+A308</f>
        <v/>
      </c>
      <c r="B309" s="42">
        <f>Pro_Forma!$S$21/12*(1+Pro_Forma!$S$22)^ROUNDDOWN((A309-1)/12,0)</f>
        <v/>
      </c>
    </row>
    <row r="310">
      <c r="A310" s="115">
        <f>1+A309</f>
        <v/>
      </c>
      <c r="B310" s="42">
        <f>Pro_Forma!$S$21/12*(1+Pro_Forma!$S$22)^ROUNDDOWN((A310-1)/12,0)</f>
        <v/>
      </c>
    </row>
    <row r="311">
      <c r="A311" s="115">
        <f>1+A310</f>
        <v/>
      </c>
      <c r="B311" s="42">
        <f>Pro_Forma!$S$21/12*(1+Pro_Forma!$S$22)^ROUNDDOWN((A311-1)/12,0)</f>
        <v/>
      </c>
    </row>
    <row r="312">
      <c r="A312" s="115">
        <f>1+A311</f>
        <v/>
      </c>
      <c r="B312" s="42">
        <f>Pro_Forma!$S$21/12*(1+Pro_Forma!$S$22)^ROUNDDOWN((A312-1)/12,0)</f>
        <v/>
      </c>
    </row>
    <row r="313">
      <c r="A313" s="115">
        <f>1+A312</f>
        <v/>
      </c>
      <c r="B313" s="42">
        <f>Pro_Forma!$S$21/12*(1+Pro_Forma!$S$22)^ROUNDDOWN((A313-1)/12,0)</f>
        <v/>
      </c>
    </row>
    <row r="314">
      <c r="A314" s="115">
        <f>1+A313</f>
        <v/>
      </c>
      <c r="B314" s="42">
        <f>Pro_Forma!$S$21/12*(1+Pro_Forma!$S$22)^ROUNDDOWN((A314-1)/12,0)</f>
        <v/>
      </c>
    </row>
    <row r="315">
      <c r="A315" s="115">
        <f>1+A314</f>
        <v/>
      </c>
      <c r="B315" s="42">
        <f>Pro_Forma!$S$21/12*(1+Pro_Forma!$S$22)^ROUNDDOWN((A315-1)/12,0)</f>
        <v/>
      </c>
    </row>
    <row r="316">
      <c r="A316" s="115">
        <f>1+A315</f>
        <v/>
      </c>
      <c r="B316" s="42">
        <f>Pro_Forma!$S$21/12*(1+Pro_Forma!$S$22)^ROUNDDOWN((A316-1)/12,0)</f>
        <v/>
      </c>
    </row>
    <row r="317">
      <c r="A317" s="115">
        <f>1+A316</f>
        <v/>
      </c>
      <c r="B317" s="42">
        <f>Pro_Forma!$S$21/12*(1+Pro_Forma!$S$22)^ROUNDDOWN((A317-1)/12,0)</f>
        <v/>
      </c>
    </row>
    <row r="318">
      <c r="A318" s="115">
        <f>1+A317</f>
        <v/>
      </c>
      <c r="B318" s="42">
        <f>Pro_Forma!$S$21/12*(1+Pro_Forma!$S$22)^ROUNDDOWN((A318-1)/12,0)</f>
        <v/>
      </c>
    </row>
    <row r="319">
      <c r="A319" s="115">
        <f>1+A318</f>
        <v/>
      </c>
      <c r="B319" s="42">
        <f>Pro_Forma!$S$21/12*(1+Pro_Forma!$S$22)^ROUNDDOWN((A319-1)/12,0)</f>
        <v/>
      </c>
    </row>
    <row r="320">
      <c r="A320" s="115">
        <f>1+A319</f>
        <v/>
      </c>
      <c r="B320" s="42">
        <f>Pro_Forma!$S$21/12*(1+Pro_Forma!$S$22)^ROUNDDOWN((A320-1)/12,0)</f>
        <v/>
      </c>
    </row>
    <row r="321">
      <c r="A321" s="115">
        <f>1+A320</f>
        <v/>
      </c>
      <c r="B321" s="42">
        <f>Pro_Forma!$S$21/12*(1+Pro_Forma!$S$22)^ROUNDDOWN((A321-1)/12,0)</f>
        <v/>
      </c>
    </row>
    <row r="322">
      <c r="A322" s="115">
        <f>1+A321</f>
        <v/>
      </c>
      <c r="B322" s="42">
        <f>Pro_Forma!$S$21/12*(1+Pro_Forma!$S$22)^ROUNDDOWN((A322-1)/12,0)</f>
        <v/>
      </c>
    </row>
    <row r="323">
      <c r="A323" s="115">
        <f>1+A322</f>
        <v/>
      </c>
      <c r="B323" s="42">
        <f>Pro_Forma!$S$21/12*(1+Pro_Forma!$S$22)^ROUNDDOWN((A323-1)/12,0)</f>
        <v/>
      </c>
    </row>
    <row r="324">
      <c r="A324" s="115">
        <f>1+A323</f>
        <v/>
      </c>
      <c r="B324" s="42">
        <f>Pro_Forma!$S$21/12*(1+Pro_Forma!$S$22)^ROUNDDOWN((A324-1)/12,0)</f>
        <v/>
      </c>
    </row>
    <row r="325">
      <c r="A325" s="115">
        <f>1+A324</f>
        <v/>
      </c>
      <c r="B325" s="42">
        <f>Pro_Forma!$S$21/12*(1+Pro_Forma!$S$22)^ROUNDDOWN((A325-1)/12,0)</f>
        <v/>
      </c>
    </row>
    <row r="326">
      <c r="A326" s="115">
        <f>1+A325</f>
        <v/>
      </c>
      <c r="B326" s="42">
        <f>Pro_Forma!$S$21/12*(1+Pro_Forma!$S$22)^ROUNDDOWN((A326-1)/12,0)</f>
        <v/>
      </c>
    </row>
    <row r="327">
      <c r="A327" s="115">
        <f>1+A326</f>
        <v/>
      </c>
      <c r="B327" s="42">
        <f>Pro_Forma!$S$21/12*(1+Pro_Forma!$S$22)^ROUNDDOWN((A327-1)/12,0)</f>
        <v/>
      </c>
    </row>
    <row r="328">
      <c r="A328" s="115">
        <f>1+A327</f>
        <v/>
      </c>
      <c r="B328" s="42">
        <f>Pro_Forma!$S$21/12*(1+Pro_Forma!$S$22)^ROUNDDOWN((A328-1)/12,0)</f>
        <v/>
      </c>
    </row>
    <row r="329">
      <c r="A329" s="115">
        <f>1+A328</f>
        <v/>
      </c>
      <c r="B329" s="42">
        <f>Pro_Forma!$S$21/12*(1+Pro_Forma!$S$22)^ROUNDDOWN((A329-1)/12,0)</f>
        <v/>
      </c>
    </row>
    <row r="330">
      <c r="A330" s="115">
        <f>1+A329</f>
        <v/>
      </c>
      <c r="B330" s="42">
        <f>Pro_Forma!$S$21/12*(1+Pro_Forma!$S$22)^ROUNDDOWN((A330-1)/12,0)</f>
        <v/>
      </c>
    </row>
    <row r="331">
      <c r="A331" s="115">
        <f>1+A330</f>
        <v/>
      </c>
      <c r="B331" s="42">
        <f>Pro_Forma!$S$21/12*(1+Pro_Forma!$S$22)^ROUNDDOWN((A331-1)/12,0)</f>
        <v/>
      </c>
    </row>
    <row r="332">
      <c r="A332" s="115">
        <f>1+A331</f>
        <v/>
      </c>
      <c r="B332" s="42">
        <f>Pro_Forma!$S$21/12*(1+Pro_Forma!$S$22)^ROUNDDOWN((A332-1)/12,0)</f>
        <v/>
      </c>
    </row>
    <row r="333">
      <c r="A333" s="115">
        <f>1+A332</f>
        <v/>
      </c>
      <c r="B333" s="42">
        <f>Pro_Forma!$S$21/12*(1+Pro_Forma!$S$22)^ROUNDDOWN((A333-1)/12,0)</f>
        <v/>
      </c>
    </row>
    <row r="334">
      <c r="A334" s="115">
        <f>1+A333</f>
        <v/>
      </c>
      <c r="B334" s="42">
        <f>Pro_Forma!$S$21/12*(1+Pro_Forma!$S$22)^ROUNDDOWN((A334-1)/12,0)</f>
        <v/>
      </c>
    </row>
    <row r="335">
      <c r="A335" s="115">
        <f>1+A334</f>
        <v/>
      </c>
      <c r="B335" s="42">
        <f>Pro_Forma!$S$21/12*(1+Pro_Forma!$S$22)^ROUNDDOWN((A335-1)/12,0)</f>
        <v/>
      </c>
    </row>
    <row r="336">
      <c r="A336" s="115">
        <f>1+A335</f>
        <v/>
      </c>
      <c r="B336" s="42">
        <f>Pro_Forma!$S$21/12*(1+Pro_Forma!$S$22)^ROUNDDOWN((A336-1)/12,0)</f>
        <v/>
      </c>
    </row>
    <row r="337">
      <c r="A337" s="115">
        <f>1+A336</f>
        <v/>
      </c>
      <c r="B337" s="42">
        <f>Pro_Forma!$S$21/12*(1+Pro_Forma!$S$22)^ROUNDDOWN((A337-1)/12,0)</f>
        <v/>
      </c>
    </row>
    <row r="338">
      <c r="A338" s="115">
        <f>1+A337</f>
        <v/>
      </c>
      <c r="B338" s="42">
        <f>Pro_Forma!$S$21/12*(1+Pro_Forma!$S$22)^ROUNDDOWN((A338-1)/12,0)</f>
        <v/>
      </c>
    </row>
    <row r="339">
      <c r="A339" s="115">
        <f>1+A338</f>
        <v/>
      </c>
      <c r="B339" s="42">
        <f>Pro_Forma!$S$21/12*(1+Pro_Forma!$S$22)^ROUNDDOWN((A339-1)/12,0)</f>
        <v/>
      </c>
    </row>
    <row r="340">
      <c r="A340" s="115">
        <f>1+A339</f>
        <v/>
      </c>
      <c r="B340" s="42">
        <f>Pro_Forma!$S$21/12*(1+Pro_Forma!$S$22)^ROUNDDOWN((A340-1)/12,0)</f>
        <v/>
      </c>
    </row>
    <row r="341">
      <c r="A341" s="115">
        <f>1+A340</f>
        <v/>
      </c>
      <c r="B341" s="42">
        <f>Pro_Forma!$S$21/12*(1+Pro_Forma!$S$22)^ROUNDDOWN((A341-1)/12,0)</f>
        <v/>
      </c>
    </row>
    <row r="342">
      <c r="A342" s="115">
        <f>1+A341</f>
        <v/>
      </c>
      <c r="B342" s="42">
        <f>Pro_Forma!$S$21/12*(1+Pro_Forma!$S$22)^ROUNDDOWN((A342-1)/12,0)</f>
        <v/>
      </c>
    </row>
    <row r="343">
      <c r="A343" s="115">
        <f>1+A342</f>
        <v/>
      </c>
      <c r="B343" s="42">
        <f>Pro_Forma!$S$21/12*(1+Pro_Forma!$S$22)^ROUNDDOWN((A343-1)/12,0)</f>
        <v/>
      </c>
    </row>
    <row r="344">
      <c r="A344" s="115">
        <f>1+A343</f>
        <v/>
      </c>
      <c r="B344" s="42">
        <f>Pro_Forma!$S$21/12*(1+Pro_Forma!$S$22)^ROUNDDOWN((A344-1)/12,0)</f>
        <v/>
      </c>
    </row>
    <row r="345">
      <c r="A345" s="115">
        <f>1+A344</f>
        <v/>
      </c>
      <c r="B345" s="42">
        <f>Pro_Forma!$S$21/12*(1+Pro_Forma!$S$22)^ROUNDDOWN((A345-1)/12,0)</f>
        <v/>
      </c>
    </row>
    <row r="346">
      <c r="A346" s="115">
        <f>1+A345</f>
        <v/>
      </c>
      <c r="B346" s="42">
        <f>Pro_Forma!$S$21/12*(1+Pro_Forma!$S$22)^ROUNDDOWN((A346-1)/12,0)</f>
        <v/>
      </c>
    </row>
    <row r="347">
      <c r="A347" s="115">
        <f>1+A346</f>
        <v/>
      </c>
      <c r="B347" s="42">
        <f>Pro_Forma!$S$21/12*(1+Pro_Forma!$S$22)^ROUNDDOWN((A347-1)/12,0)</f>
        <v/>
      </c>
    </row>
    <row r="348">
      <c r="A348" s="115">
        <f>1+A347</f>
        <v/>
      </c>
      <c r="B348" s="42">
        <f>Pro_Forma!$S$21/12*(1+Pro_Forma!$S$22)^ROUNDDOWN((A348-1)/12,0)</f>
        <v/>
      </c>
    </row>
    <row r="349">
      <c r="A349" s="115">
        <f>1+A348</f>
        <v/>
      </c>
      <c r="B349" s="42">
        <f>Pro_Forma!$S$21/12*(1+Pro_Forma!$S$22)^ROUNDDOWN((A349-1)/12,0)</f>
        <v/>
      </c>
    </row>
    <row r="350">
      <c r="A350" s="115">
        <f>1+A349</f>
        <v/>
      </c>
      <c r="B350" s="42">
        <f>Pro_Forma!$S$21/12*(1+Pro_Forma!$S$22)^ROUNDDOWN((A350-1)/12,0)</f>
        <v/>
      </c>
    </row>
    <row r="351">
      <c r="A351" s="115">
        <f>1+A350</f>
        <v/>
      </c>
      <c r="B351" s="42">
        <f>Pro_Forma!$S$21/12*(1+Pro_Forma!$S$22)^ROUNDDOWN((A351-1)/12,0)</f>
        <v/>
      </c>
    </row>
    <row r="352">
      <c r="A352" s="115">
        <f>1+A351</f>
        <v/>
      </c>
      <c r="B352" s="42">
        <f>Pro_Forma!$S$21/12*(1+Pro_Forma!$S$22)^ROUNDDOWN((A352-1)/12,0)</f>
        <v/>
      </c>
    </row>
    <row r="353">
      <c r="A353" s="115">
        <f>1+A352</f>
        <v/>
      </c>
      <c r="B353" s="42">
        <f>Pro_Forma!$S$21/12*(1+Pro_Forma!$S$22)^ROUNDDOWN((A353-1)/12,0)</f>
        <v/>
      </c>
    </row>
    <row r="354">
      <c r="A354" s="115">
        <f>1+A353</f>
        <v/>
      </c>
      <c r="B354" s="42">
        <f>Pro_Forma!$S$21/12*(1+Pro_Forma!$S$22)^ROUNDDOWN((A354-1)/12,0)</f>
        <v/>
      </c>
    </row>
    <row r="355">
      <c r="A355" s="115">
        <f>1+A354</f>
        <v/>
      </c>
      <c r="B355" s="42">
        <f>Pro_Forma!$S$21/12*(1+Pro_Forma!$S$22)^ROUNDDOWN((A355-1)/12,0)</f>
        <v/>
      </c>
    </row>
    <row r="356">
      <c r="A356" s="115">
        <f>1+A355</f>
        <v/>
      </c>
      <c r="B356" s="42">
        <f>Pro_Forma!$S$21/12*(1+Pro_Forma!$S$22)^ROUNDDOWN((A356-1)/12,0)</f>
        <v/>
      </c>
    </row>
    <row r="357">
      <c r="A357" s="115">
        <f>1+A356</f>
        <v/>
      </c>
      <c r="B357" s="42">
        <f>Pro_Forma!$S$21/12*(1+Pro_Forma!$S$22)^ROUNDDOWN((A357-1)/12,0)</f>
        <v/>
      </c>
    </row>
    <row r="358">
      <c r="A358" s="115">
        <f>1+A357</f>
        <v/>
      </c>
      <c r="B358" s="42">
        <f>Pro_Forma!$S$21/12*(1+Pro_Forma!$S$22)^ROUNDDOWN((A358-1)/12,0)</f>
        <v/>
      </c>
    </row>
    <row r="359">
      <c r="A359" s="115">
        <f>1+A358</f>
        <v/>
      </c>
      <c r="B359" s="42">
        <f>Pro_Forma!$S$21/12*(1+Pro_Forma!$S$22)^ROUNDDOWN((A359-1)/12,0)</f>
        <v/>
      </c>
    </row>
    <row r="360">
      <c r="A360" s="115">
        <f>1+A359</f>
        <v/>
      </c>
      <c r="B360" s="42">
        <f>Pro_Forma!$S$21/12*(1+Pro_Forma!$S$22)^ROUNDDOWN((A360-1)/12,0)</f>
        <v/>
      </c>
    </row>
    <row r="361">
      <c r="A361" s="115">
        <f>1+A360</f>
        <v/>
      </c>
      <c r="B361" s="42">
        <f>Pro_Forma!$S$21/12*(1+Pro_Forma!$S$22)^ROUNDDOWN((A361-1)/12,0)</f>
        <v/>
      </c>
    </row>
    <row r="362">
      <c r="A362" s="115">
        <f>1+A361</f>
        <v/>
      </c>
      <c r="B362" s="42">
        <f>Pro_Forma!$S$21/12*(1+Pro_Forma!$S$22)^ROUNDDOWN((A362-1)/12,0)</f>
        <v/>
      </c>
    </row>
    <row r="363">
      <c r="A363" s="115">
        <f>1+A362</f>
        <v/>
      </c>
      <c r="B363" s="42">
        <f>Pro_Forma!$S$21/12*(1+Pro_Forma!$S$22)^ROUNDDOWN((A363-1)/12,0)</f>
        <v/>
      </c>
    </row>
    <row r="364">
      <c r="A364" s="115">
        <f>1+A363</f>
        <v/>
      </c>
      <c r="B364" s="42">
        <f>Pro_Forma!$S$21/12*(1+Pro_Forma!$S$22)^ROUNDDOWN((A364-1)/12,0)</f>
        <v/>
      </c>
    </row>
    <row r="365">
      <c r="A365" s="115">
        <f>1+A364</f>
        <v/>
      </c>
      <c r="B365" s="42">
        <f>Pro_Forma!$S$21/12*(1+Pro_Forma!$S$22)^ROUNDDOWN((A365-1)/12,0)</f>
        <v/>
      </c>
    </row>
    <row r="366">
      <c r="A366" s="115">
        <f>1+A365</f>
        <v/>
      </c>
      <c r="B366" s="42">
        <f>Pro_Forma!$S$21/12*(1+Pro_Forma!$S$22)^ROUNDDOWN((A366-1)/12,0)</f>
        <v/>
      </c>
    </row>
    <row r="367">
      <c r="A367" s="115">
        <f>1+A366</f>
        <v/>
      </c>
      <c r="B367" s="42">
        <f>Pro_Forma!$S$21/12*(1+Pro_Forma!$S$22)^ROUNDDOWN((A367-1)/12,0)</f>
        <v/>
      </c>
    </row>
    <row r="368">
      <c r="A368" s="115">
        <f>1+A367</f>
        <v/>
      </c>
      <c r="B368" s="42">
        <f>Pro_Forma!$S$21/12*(1+Pro_Forma!$S$22)^ROUNDDOWN((A368-1)/12,0)</f>
        <v/>
      </c>
    </row>
    <row r="369">
      <c r="A369" s="115">
        <f>1+A368</f>
        <v/>
      </c>
      <c r="B369" s="42">
        <f>Pro_Forma!$S$21/12*(1+Pro_Forma!$S$22)^ROUNDDOWN((A369-1)/12,0)</f>
        <v/>
      </c>
    </row>
    <row r="370">
      <c r="A370" s="115">
        <f>1+A369</f>
        <v/>
      </c>
      <c r="B370" s="42">
        <f>Pro_Forma!$S$21/12*(1+Pro_Forma!$S$22)^ROUNDDOWN((A370-1)/12,0)</f>
        <v/>
      </c>
    </row>
    <row r="371">
      <c r="A371" s="115">
        <f>1+A370</f>
        <v/>
      </c>
      <c r="B371" s="42">
        <f>Pro_Forma!$S$21/12*(1+Pro_Forma!$S$22)^ROUNDDOWN((A371-1)/12,0)</f>
        <v/>
      </c>
    </row>
    <row r="372">
      <c r="A372" s="115">
        <f>1+A371</f>
        <v/>
      </c>
      <c r="B372" s="42">
        <f>Pro_Forma!$S$21/12*(1+Pro_Forma!$S$22)^ROUNDDOWN((A372-1)/12,0)</f>
        <v/>
      </c>
    </row>
    <row r="373">
      <c r="A373" s="115">
        <f>1+A372</f>
        <v/>
      </c>
      <c r="B373" s="42">
        <f>Pro_Forma!$S$21/12*(1+Pro_Forma!$S$22)^ROUNDDOWN((A373-1)/12,0)</f>
        <v/>
      </c>
    </row>
    <row r="374">
      <c r="A374" s="115">
        <f>1+A373</f>
        <v/>
      </c>
      <c r="B374" s="42">
        <f>Pro_Forma!$S$21/12*(1+Pro_Forma!$S$22)^ROUNDDOWN((A374-1)/12,0)</f>
        <v/>
      </c>
    </row>
    <row r="375">
      <c r="A375" s="115">
        <f>1+A374</f>
        <v/>
      </c>
      <c r="B375" s="42">
        <f>Pro_Forma!$S$21/12*(1+Pro_Forma!$S$22)^ROUNDDOWN((A375-1)/12,0)</f>
        <v/>
      </c>
    </row>
    <row r="376">
      <c r="A376" s="115">
        <f>1+A375</f>
        <v/>
      </c>
      <c r="B376" s="42">
        <f>Pro_Forma!$S$21/12*(1+Pro_Forma!$S$22)^ROUNDDOWN((A376-1)/12,0)</f>
        <v/>
      </c>
    </row>
    <row r="377">
      <c r="A377" s="115">
        <f>1+A376</f>
        <v/>
      </c>
      <c r="B377" s="42">
        <f>Pro_Forma!$S$21/12*(1+Pro_Forma!$S$22)^ROUNDDOWN((A377-1)/12,0)</f>
        <v/>
      </c>
    </row>
    <row r="378">
      <c r="A378" s="115">
        <f>1+A377</f>
        <v/>
      </c>
      <c r="B378" s="42">
        <f>Pro_Forma!$S$21/12*(1+Pro_Forma!$S$22)^ROUNDDOWN((A378-1)/12,0)</f>
        <v/>
      </c>
    </row>
    <row r="379">
      <c r="A379" s="115">
        <f>1+A378</f>
        <v/>
      </c>
      <c r="B379" s="42">
        <f>Pro_Forma!$S$21/12*(1+Pro_Forma!$S$22)^ROUNDDOWN((A379-1)/12,0)</f>
        <v/>
      </c>
    </row>
    <row r="380">
      <c r="A380" s="115">
        <f>1+A379</f>
        <v/>
      </c>
      <c r="B380" s="42">
        <f>Pro_Forma!$S$21/12*(1+Pro_Forma!$S$22)^ROUNDDOWN((A380-1)/12,0)</f>
        <v/>
      </c>
    </row>
    <row r="381">
      <c r="A381" s="115">
        <f>1+A380</f>
        <v/>
      </c>
      <c r="B381" s="42">
        <f>Pro_Forma!$S$21/12*(1+Pro_Forma!$S$22)^ROUNDDOWN((A381-1)/12,0)</f>
        <v/>
      </c>
    </row>
    <row r="382">
      <c r="A382" s="115">
        <f>1+A381</f>
        <v/>
      </c>
      <c r="B382" s="42">
        <f>Pro_Forma!$S$21/12*(1+Pro_Forma!$S$22)^ROUNDDOWN((A382-1)/12,0)</f>
        <v/>
      </c>
    </row>
    <row r="383">
      <c r="A383" s="115">
        <f>1+A382</f>
        <v/>
      </c>
      <c r="B383" s="42">
        <f>Pro_Forma!$S$21/12*(1+Pro_Forma!$S$22)^ROUNDDOWN((A383-1)/12,0)</f>
        <v/>
      </c>
    </row>
    <row r="384">
      <c r="A384" s="115">
        <f>1+A383</f>
        <v/>
      </c>
      <c r="B384" s="42">
        <f>Pro_Forma!$S$21/12*(1+Pro_Forma!$S$22)^ROUNDDOWN((A384-1)/12,0)</f>
        <v/>
      </c>
    </row>
    <row r="385">
      <c r="A385" s="115">
        <f>1+A384</f>
        <v/>
      </c>
      <c r="B385" s="42">
        <f>Pro_Forma!$S$21/12*(1+Pro_Forma!$S$22)^ROUNDDOWN((A385-1)/12,0)</f>
        <v/>
      </c>
    </row>
    <row r="386">
      <c r="A386" s="115">
        <f>1+A385</f>
        <v/>
      </c>
      <c r="B386" s="42">
        <f>Pro_Forma!$S$21/12*(1+Pro_Forma!$S$22)^ROUNDDOWN((A386-1)/12,0)</f>
        <v/>
      </c>
    </row>
    <row r="387">
      <c r="A387" s="115">
        <f>1+A386</f>
        <v/>
      </c>
      <c r="B387" s="42">
        <f>Pro_Forma!$S$21/12*(1+Pro_Forma!$S$22)^ROUNDDOWN((A387-1)/12,0)</f>
        <v/>
      </c>
    </row>
    <row r="388">
      <c r="A388" s="115">
        <f>1+A387</f>
        <v/>
      </c>
      <c r="B388" s="42">
        <f>Pro_Forma!$S$21/12*(1+Pro_Forma!$S$22)^ROUNDDOWN((A388-1)/12,0)</f>
        <v/>
      </c>
    </row>
    <row r="389">
      <c r="A389" s="115">
        <f>1+A388</f>
        <v/>
      </c>
      <c r="B389" s="42">
        <f>Pro_Forma!$S$21/12*(1+Pro_Forma!$S$22)^ROUNDDOWN((A389-1)/12,0)</f>
        <v/>
      </c>
    </row>
    <row r="390">
      <c r="A390" s="115">
        <f>1+A389</f>
        <v/>
      </c>
      <c r="B390" s="42">
        <f>Pro_Forma!$S$21/12*(1+Pro_Forma!$S$22)^ROUNDDOWN((A390-1)/12,0)</f>
        <v/>
      </c>
    </row>
    <row r="391">
      <c r="A391" s="115">
        <f>1+A390</f>
        <v/>
      </c>
      <c r="B391" s="42">
        <f>Pro_Forma!$S$21/12*(1+Pro_Forma!$S$22)^ROUNDDOWN((A391-1)/12,0)</f>
        <v/>
      </c>
    </row>
    <row r="392">
      <c r="A392" s="115">
        <f>1+A391</f>
        <v/>
      </c>
      <c r="B392" s="42">
        <f>Pro_Forma!$S$21/12*(1+Pro_Forma!$S$22)^ROUNDDOWN((A392-1)/12,0)</f>
        <v/>
      </c>
    </row>
    <row r="393">
      <c r="A393" s="115">
        <f>1+A392</f>
        <v/>
      </c>
      <c r="B393" s="42">
        <f>Pro_Forma!$S$21/12*(1+Pro_Forma!$S$22)^ROUNDDOWN((A393-1)/12,0)</f>
        <v/>
      </c>
    </row>
    <row r="394">
      <c r="A394" s="115">
        <f>1+A393</f>
        <v/>
      </c>
      <c r="B394" s="42">
        <f>Pro_Forma!$S$21/12*(1+Pro_Forma!$S$22)^ROUNDDOWN((A394-1)/12,0)</f>
        <v/>
      </c>
    </row>
    <row r="395">
      <c r="A395" s="115">
        <f>1+A394</f>
        <v/>
      </c>
      <c r="B395" s="42">
        <f>Pro_Forma!$S$21/12*(1+Pro_Forma!$S$22)^ROUNDDOWN((A395-1)/12,0)</f>
        <v/>
      </c>
    </row>
    <row r="396">
      <c r="A396" s="115">
        <f>1+A395</f>
        <v/>
      </c>
      <c r="B396" s="42">
        <f>Pro_Forma!$S$21/12*(1+Pro_Forma!$S$22)^ROUNDDOWN((A396-1)/12,0)</f>
        <v/>
      </c>
    </row>
    <row r="397">
      <c r="A397" s="115">
        <f>1+A396</f>
        <v/>
      </c>
      <c r="B397" s="42">
        <f>Pro_Forma!$S$21/12*(1+Pro_Forma!$S$22)^ROUNDDOWN((A397-1)/12,0)</f>
        <v/>
      </c>
    </row>
    <row r="398">
      <c r="A398" s="115">
        <f>1+A397</f>
        <v/>
      </c>
      <c r="B398" s="42">
        <f>Pro_Forma!$S$21/12*(1+Pro_Forma!$S$22)^ROUNDDOWN((A398-1)/12,0)</f>
        <v/>
      </c>
    </row>
    <row r="399">
      <c r="A399" s="115">
        <f>1+A398</f>
        <v/>
      </c>
      <c r="B399" s="42">
        <f>Pro_Forma!$S$21/12*(1+Pro_Forma!$S$22)^ROUNDDOWN((A399-1)/12,0)</f>
        <v/>
      </c>
    </row>
    <row r="400">
      <c r="A400" s="115">
        <f>1+A399</f>
        <v/>
      </c>
      <c r="B400" s="42">
        <f>Pro_Forma!$S$21/12*(1+Pro_Forma!$S$22)^ROUNDDOWN((A400-1)/12,0)</f>
        <v/>
      </c>
    </row>
    <row r="401">
      <c r="A401" s="115">
        <f>1+A400</f>
        <v/>
      </c>
      <c r="B401" s="42">
        <f>Pro_Forma!$S$21/12*(1+Pro_Forma!$S$22)^ROUNDDOWN((A401-1)/12,0)</f>
        <v/>
      </c>
    </row>
    <row r="402">
      <c r="A402" s="115">
        <f>1+A401</f>
        <v/>
      </c>
      <c r="B402" s="42">
        <f>Pro_Forma!$S$21/12*(1+Pro_Forma!$S$22)^ROUNDDOWN((A402-1)/12,0)</f>
        <v/>
      </c>
    </row>
    <row r="403">
      <c r="A403" s="115">
        <f>1+A402</f>
        <v/>
      </c>
      <c r="B403" s="42">
        <f>Pro_Forma!$S$21/12*(1+Pro_Forma!$S$22)^ROUNDDOWN((A403-1)/12,0)</f>
        <v/>
      </c>
    </row>
    <row r="404">
      <c r="A404" s="115">
        <f>1+A403</f>
        <v/>
      </c>
      <c r="B404" s="42">
        <f>Pro_Forma!$S$21/12*(1+Pro_Forma!$S$22)^ROUNDDOWN((A404-1)/12,0)</f>
        <v/>
      </c>
    </row>
    <row r="405">
      <c r="A405" s="115">
        <f>1+A404</f>
        <v/>
      </c>
      <c r="B405" s="42">
        <f>Pro_Forma!$S$21/12*(1+Pro_Forma!$S$22)^ROUNDDOWN((A405-1)/12,0)</f>
        <v/>
      </c>
    </row>
    <row r="406">
      <c r="A406" s="115">
        <f>1+A405</f>
        <v/>
      </c>
      <c r="B406" s="42">
        <f>Pro_Forma!$S$21/12*(1+Pro_Forma!$S$22)^ROUNDDOWN((A406-1)/12,0)</f>
        <v/>
      </c>
    </row>
    <row r="407">
      <c r="A407" s="115">
        <f>1+A406</f>
        <v/>
      </c>
      <c r="B407" s="42">
        <f>Pro_Forma!$S$21/12*(1+Pro_Forma!$S$22)^ROUNDDOWN((A407-1)/12,0)</f>
        <v/>
      </c>
    </row>
    <row r="408">
      <c r="A408" s="115">
        <f>1+A407</f>
        <v/>
      </c>
      <c r="B408" s="42">
        <f>Pro_Forma!$S$21/12*(1+Pro_Forma!$S$22)^ROUNDDOWN((A408-1)/12,0)</f>
        <v/>
      </c>
    </row>
    <row r="409">
      <c r="A409" s="115">
        <f>1+A408</f>
        <v/>
      </c>
      <c r="B409" s="42">
        <f>Pro_Forma!$S$21/12*(1+Pro_Forma!$S$22)^ROUNDDOWN((A409-1)/12,0)</f>
        <v/>
      </c>
    </row>
    <row r="410">
      <c r="A410" s="115">
        <f>1+A409</f>
        <v/>
      </c>
      <c r="B410" s="42">
        <f>Pro_Forma!$S$21/12*(1+Pro_Forma!$S$22)^ROUNDDOWN((A410-1)/12,0)</f>
        <v/>
      </c>
    </row>
    <row r="411">
      <c r="A411" s="115">
        <f>1+A410</f>
        <v/>
      </c>
      <c r="B411" s="42">
        <f>Pro_Forma!$S$21/12*(1+Pro_Forma!$S$22)^ROUNDDOWN((A411-1)/12,0)</f>
        <v/>
      </c>
    </row>
    <row r="412">
      <c r="A412" s="115">
        <f>1+A411</f>
        <v/>
      </c>
      <c r="B412" s="42">
        <f>Pro_Forma!$S$21/12*(1+Pro_Forma!$S$22)^ROUNDDOWN((A412-1)/12,0)</f>
        <v/>
      </c>
    </row>
    <row r="413">
      <c r="A413" s="115">
        <f>1+A412</f>
        <v/>
      </c>
      <c r="B413" s="42">
        <f>Pro_Forma!$S$21/12*(1+Pro_Forma!$S$22)^ROUNDDOWN((A413-1)/12,0)</f>
        <v/>
      </c>
    </row>
    <row r="414">
      <c r="A414" s="115">
        <f>1+A413</f>
        <v/>
      </c>
      <c r="B414" s="42">
        <f>Pro_Forma!$S$21/12*(1+Pro_Forma!$S$22)^ROUNDDOWN((A414-1)/12,0)</f>
        <v/>
      </c>
    </row>
    <row r="415">
      <c r="A415" s="115">
        <f>1+A414</f>
        <v/>
      </c>
      <c r="B415" s="42">
        <f>Pro_Forma!$S$21/12*(1+Pro_Forma!$S$22)^ROUNDDOWN((A415-1)/12,0)</f>
        <v/>
      </c>
    </row>
    <row r="416">
      <c r="A416" s="115">
        <f>1+A415</f>
        <v/>
      </c>
      <c r="B416" s="42">
        <f>Pro_Forma!$S$21/12*(1+Pro_Forma!$S$22)^ROUNDDOWN((A416-1)/12,0)</f>
        <v/>
      </c>
    </row>
    <row r="417">
      <c r="A417" s="115">
        <f>1+A416</f>
        <v/>
      </c>
      <c r="B417" s="42">
        <f>Pro_Forma!$S$21/12*(1+Pro_Forma!$S$22)^ROUNDDOWN((A417-1)/12,0)</f>
        <v/>
      </c>
    </row>
    <row r="418">
      <c r="A418" s="115">
        <f>1+A417</f>
        <v/>
      </c>
      <c r="B418" s="42">
        <f>Pro_Forma!$S$21/12*(1+Pro_Forma!$S$22)^ROUNDDOWN((A418-1)/12,0)</f>
        <v/>
      </c>
    </row>
    <row r="419">
      <c r="A419" s="115">
        <f>1+A418</f>
        <v/>
      </c>
      <c r="B419" s="42">
        <f>Pro_Forma!$S$21/12*(1+Pro_Forma!$S$22)^ROUNDDOWN((A419-1)/12,0)</f>
        <v/>
      </c>
    </row>
    <row r="420">
      <c r="A420" s="115">
        <f>1+A419</f>
        <v/>
      </c>
      <c r="B420" s="42">
        <f>Pro_Forma!$S$21/12*(1+Pro_Forma!$S$22)^ROUNDDOWN((A420-1)/12,0)</f>
        <v/>
      </c>
    </row>
    <row r="421">
      <c r="A421" s="115">
        <f>1+A420</f>
        <v/>
      </c>
      <c r="B421" s="42">
        <f>Pro_Forma!$S$21/12*(1+Pro_Forma!$S$22)^ROUNDDOWN((A421-1)/12,0)</f>
        <v/>
      </c>
    </row>
    <row r="422">
      <c r="A422" s="115">
        <f>1+A421</f>
        <v/>
      </c>
      <c r="B422" s="42">
        <f>Pro_Forma!$S$21/12*(1+Pro_Forma!$S$22)^ROUNDDOWN((A422-1)/12,0)</f>
        <v/>
      </c>
    </row>
    <row r="423">
      <c r="A423" s="115">
        <f>1+A422</f>
        <v/>
      </c>
      <c r="B423" s="42">
        <f>Pro_Forma!$S$21/12*(1+Pro_Forma!$S$22)^ROUNDDOWN((A423-1)/12,0)</f>
        <v/>
      </c>
    </row>
    <row r="424">
      <c r="A424" s="115">
        <f>1+A423</f>
        <v/>
      </c>
      <c r="B424" s="42">
        <f>Pro_Forma!$S$21/12*(1+Pro_Forma!$S$22)^ROUNDDOWN((A424-1)/12,0)</f>
        <v/>
      </c>
    </row>
    <row r="425">
      <c r="A425" s="115">
        <f>1+A424</f>
        <v/>
      </c>
      <c r="B425" s="42">
        <f>Pro_Forma!$S$21/12*(1+Pro_Forma!$S$22)^ROUNDDOWN((A425-1)/12,0)</f>
        <v/>
      </c>
    </row>
    <row r="426">
      <c r="A426" s="115">
        <f>1+A425</f>
        <v/>
      </c>
      <c r="B426" s="42">
        <f>Pro_Forma!$S$21/12*(1+Pro_Forma!$S$22)^ROUNDDOWN((A426-1)/12,0)</f>
        <v/>
      </c>
    </row>
    <row r="427">
      <c r="A427" s="115">
        <f>1+A426</f>
        <v/>
      </c>
      <c r="B427" s="42">
        <f>Pro_Forma!$S$21/12*(1+Pro_Forma!$S$22)^ROUNDDOWN((A427-1)/12,0)</f>
        <v/>
      </c>
    </row>
    <row r="428">
      <c r="A428" s="115">
        <f>1+A427</f>
        <v/>
      </c>
      <c r="B428" s="42">
        <f>Pro_Forma!$S$21/12*(1+Pro_Forma!$S$22)^ROUNDDOWN((A428-1)/12,0)</f>
        <v/>
      </c>
    </row>
    <row r="429">
      <c r="A429" s="115">
        <f>1+A428</f>
        <v/>
      </c>
      <c r="B429" s="42">
        <f>Pro_Forma!$S$21/12*(1+Pro_Forma!$S$22)^ROUNDDOWN((A429-1)/12,0)</f>
        <v/>
      </c>
    </row>
    <row r="430">
      <c r="A430" s="115">
        <f>1+A429</f>
        <v/>
      </c>
      <c r="B430" s="42">
        <f>Pro_Forma!$S$21/12*(1+Pro_Forma!$S$22)^ROUNDDOWN((A430-1)/12,0)</f>
        <v/>
      </c>
    </row>
    <row r="431">
      <c r="A431" s="115">
        <f>1+A430</f>
        <v/>
      </c>
      <c r="B431" s="42">
        <f>Pro_Forma!$S$21/12*(1+Pro_Forma!$S$22)^ROUNDDOWN((A431-1)/12,0)</f>
        <v/>
      </c>
    </row>
    <row r="432">
      <c r="A432" s="115">
        <f>1+A431</f>
        <v/>
      </c>
      <c r="B432" s="42">
        <f>Pro_Forma!$S$21/12*(1+Pro_Forma!$S$22)^ROUNDDOWN((A432-1)/12,0)</f>
        <v/>
      </c>
    </row>
    <row r="433">
      <c r="A433" s="115">
        <f>1+A432</f>
        <v/>
      </c>
      <c r="B433" s="42">
        <f>Pro_Forma!$S$21/12*(1+Pro_Forma!$S$22)^ROUNDDOWN((A433-1)/12,0)</f>
        <v/>
      </c>
    </row>
    <row r="434">
      <c r="A434" s="115">
        <f>1+A433</f>
        <v/>
      </c>
      <c r="B434" s="42">
        <f>Pro_Forma!$S$21/12*(1+Pro_Forma!$S$22)^ROUNDDOWN((A434-1)/12,0)</f>
        <v/>
      </c>
    </row>
    <row r="435">
      <c r="A435" s="115">
        <f>1+A434</f>
        <v/>
      </c>
      <c r="B435" s="42">
        <f>Pro_Forma!$S$21/12*(1+Pro_Forma!$S$22)^ROUNDDOWN((A435-1)/12,0)</f>
        <v/>
      </c>
    </row>
    <row r="436">
      <c r="A436" s="115">
        <f>1+A435</f>
        <v/>
      </c>
      <c r="B436" s="42">
        <f>Pro_Forma!$S$21/12*(1+Pro_Forma!$S$22)^ROUNDDOWN((A436-1)/12,0)</f>
        <v/>
      </c>
    </row>
    <row r="437">
      <c r="A437" s="115">
        <f>1+A436</f>
        <v/>
      </c>
      <c r="B437" s="42">
        <f>Pro_Forma!$S$21/12*(1+Pro_Forma!$S$22)^ROUNDDOWN((A437-1)/12,0)</f>
        <v/>
      </c>
    </row>
    <row r="438">
      <c r="A438" s="115">
        <f>1+A437</f>
        <v/>
      </c>
      <c r="B438" s="42">
        <f>Pro_Forma!$S$21/12*(1+Pro_Forma!$S$22)^ROUNDDOWN((A438-1)/12,0)</f>
        <v/>
      </c>
    </row>
    <row r="439">
      <c r="A439" s="115">
        <f>1+A438</f>
        <v/>
      </c>
      <c r="B439" s="42">
        <f>Pro_Forma!$S$21/12*(1+Pro_Forma!$S$22)^ROUNDDOWN((A439-1)/12,0)</f>
        <v/>
      </c>
    </row>
    <row r="440">
      <c r="A440" s="115">
        <f>1+A439</f>
        <v/>
      </c>
      <c r="B440" s="42">
        <f>Pro_Forma!$S$21/12*(1+Pro_Forma!$S$22)^ROUNDDOWN((A440-1)/12,0)</f>
        <v/>
      </c>
    </row>
    <row r="441">
      <c r="A441" s="115">
        <f>1+A440</f>
        <v/>
      </c>
      <c r="B441" s="42">
        <f>Pro_Forma!$S$21/12*(1+Pro_Forma!$S$22)^ROUNDDOWN((A441-1)/12,0)</f>
        <v/>
      </c>
    </row>
    <row r="442">
      <c r="A442" s="115">
        <f>1+A441</f>
        <v/>
      </c>
      <c r="B442" s="42">
        <f>Pro_Forma!$S$21/12*(1+Pro_Forma!$S$22)^ROUNDDOWN((A442-1)/12,0)</f>
        <v/>
      </c>
    </row>
    <row r="443">
      <c r="A443" s="115">
        <f>1+A442</f>
        <v/>
      </c>
      <c r="B443" s="42">
        <f>Pro_Forma!$S$21/12*(1+Pro_Forma!$S$22)^ROUNDDOWN((A443-1)/12,0)</f>
        <v/>
      </c>
    </row>
    <row r="444">
      <c r="A444" s="115">
        <f>1+A443</f>
        <v/>
      </c>
      <c r="B444" s="42">
        <f>Pro_Forma!$S$21/12*(1+Pro_Forma!$S$22)^ROUNDDOWN((A444-1)/12,0)</f>
        <v/>
      </c>
    </row>
    <row r="445">
      <c r="A445" s="115">
        <f>1+A444</f>
        <v/>
      </c>
      <c r="B445" s="42">
        <f>Pro_Forma!$S$21/12*(1+Pro_Forma!$S$22)^ROUNDDOWN((A445-1)/12,0)</f>
        <v/>
      </c>
    </row>
    <row r="446">
      <c r="A446" s="115">
        <f>1+A445</f>
        <v/>
      </c>
      <c r="B446" s="42">
        <f>Pro_Forma!$S$21/12*(1+Pro_Forma!$S$22)^ROUNDDOWN((A446-1)/12,0)</f>
        <v/>
      </c>
    </row>
    <row r="447">
      <c r="A447" s="115">
        <f>1+A446</f>
        <v/>
      </c>
      <c r="B447" s="42">
        <f>Pro_Forma!$S$21/12*(1+Pro_Forma!$S$22)^ROUNDDOWN((A447-1)/12,0)</f>
        <v/>
      </c>
    </row>
    <row r="448">
      <c r="A448" s="115">
        <f>1+A447</f>
        <v/>
      </c>
      <c r="B448" s="42">
        <f>Pro_Forma!$S$21/12*(1+Pro_Forma!$S$22)^ROUNDDOWN((A448-1)/12,0)</f>
        <v/>
      </c>
    </row>
    <row r="449">
      <c r="A449" s="115">
        <f>1+A448</f>
        <v/>
      </c>
      <c r="B449" s="42">
        <f>Pro_Forma!$S$21/12*(1+Pro_Forma!$S$22)^ROUNDDOWN((A449-1)/12,0)</f>
        <v/>
      </c>
    </row>
    <row r="450">
      <c r="A450" s="115">
        <f>1+A449</f>
        <v/>
      </c>
      <c r="B450" s="42">
        <f>Pro_Forma!$S$21/12*(1+Pro_Forma!$S$22)^ROUNDDOWN((A450-1)/12,0)</f>
        <v/>
      </c>
    </row>
    <row r="451">
      <c r="A451" s="115">
        <f>1+A450</f>
        <v/>
      </c>
      <c r="B451" s="42">
        <f>Pro_Forma!$S$21/12*(1+Pro_Forma!$S$22)^ROUNDDOWN((A451-1)/12,0)</f>
        <v/>
      </c>
    </row>
    <row r="452">
      <c r="A452" s="115">
        <f>1+A451</f>
        <v/>
      </c>
      <c r="B452" s="42">
        <f>Pro_Forma!$S$21/12*(1+Pro_Forma!$S$22)^ROUNDDOWN((A452-1)/12,0)</f>
        <v/>
      </c>
    </row>
    <row r="453">
      <c r="A453" s="115">
        <f>1+A452</f>
        <v/>
      </c>
      <c r="B453" s="42">
        <f>Pro_Forma!$S$21/12*(1+Pro_Forma!$S$22)^ROUNDDOWN((A453-1)/12,0)</f>
        <v/>
      </c>
    </row>
    <row r="454">
      <c r="A454" s="115">
        <f>1+A453</f>
        <v/>
      </c>
      <c r="B454" s="42">
        <f>Pro_Forma!$S$21/12*(1+Pro_Forma!$S$22)^ROUNDDOWN((A454-1)/12,0)</f>
        <v/>
      </c>
    </row>
    <row r="455">
      <c r="A455" s="115">
        <f>1+A454</f>
        <v/>
      </c>
      <c r="B455" s="42">
        <f>Pro_Forma!$S$21/12*(1+Pro_Forma!$S$22)^ROUNDDOWN((A455-1)/12,0)</f>
        <v/>
      </c>
    </row>
    <row r="456">
      <c r="A456" s="115">
        <f>1+A455</f>
        <v/>
      </c>
      <c r="B456" s="42">
        <f>Pro_Forma!$S$21/12*(1+Pro_Forma!$S$22)^ROUNDDOWN((A456-1)/12,0)</f>
        <v/>
      </c>
    </row>
    <row r="457">
      <c r="A457" s="115">
        <f>1+A456</f>
        <v/>
      </c>
      <c r="B457" s="42">
        <f>Pro_Forma!$S$21/12*(1+Pro_Forma!$S$22)^ROUNDDOWN((A457-1)/12,0)</f>
        <v/>
      </c>
    </row>
    <row r="458">
      <c r="A458" s="115">
        <f>1+A457</f>
        <v/>
      </c>
      <c r="B458" s="42">
        <f>Pro_Forma!$S$21/12*(1+Pro_Forma!$S$22)^ROUNDDOWN((A458-1)/12,0)</f>
        <v/>
      </c>
    </row>
    <row r="459">
      <c r="A459" s="115">
        <f>1+A458</f>
        <v/>
      </c>
      <c r="B459" s="42">
        <f>Pro_Forma!$S$21/12*(1+Pro_Forma!$S$22)^ROUNDDOWN((A459-1)/12,0)</f>
        <v/>
      </c>
    </row>
    <row r="460">
      <c r="A460" s="115">
        <f>1+A459</f>
        <v/>
      </c>
      <c r="B460" s="42">
        <f>Pro_Forma!$S$21/12*(1+Pro_Forma!$S$22)^ROUNDDOWN((A460-1)/12,0)</f>
        <v/>
      </c>
    </row>
    <row r="461">
      <c r="A461" s="115">
        <f>1+A460</f>
        <v/>
      </c>
      <c r="B461" s="42">
        <f>Pro_Forma!$S$21/12*(1+Pro_Forma!$S$22)^ROUNDDOWN((A461-1)/12,0)</f>
        <v/>
      </c>
    </row>
    <row r="462">
      <c r="A462" s="115">
        <f>1+A461</f>
        <v/>
      </c>
      <c r="B462" s="42">
        <f>Pro_Forma!$S$21/12*(1+Pro_Forma!$S$22)^ROUNDDOWN((A462-1)/12,0)</f>
        <v/>
      </c>
    </row>
    <row r="463">
      <c r="A463" s="115">
        <f>1+A462</f>
        <v/>
      </c>
      <c r="B463" s="42">
        <f>Pro_Forma!$S$21/12*(1+Pro_Forma!$S$22)^ROUNDDOWN((A463-1)/12,0)</f>
        <v/>
      </c>
    </row>
    <row r="464">
      <c r="A464" s="115">
        <f>1+A463</f>
        <v/>
      </c>
      <c r="B464" s="42">
        <f>Pro_Forma!$S$21/12*(1+Pro_Forma!$S$22)^ROUNDDOWN((A464-1)/12,0)</f>
        <v/>
      </c>
    </row>
    <row r="465">
      <c r="A465" s="115">
        <f>1+A464</f>
        <v/>
      </c>
      <c r="B465" s="42">
        <f>Pro_Forma!$S$21/12*(1+Pro_Forma!$S$22)^ROUNDDOWN((A465-1)/12,0)</f>
        <v/>
      </c>
    </row>
    <row r="466">
      <c r="A466" s="115">
        <f>1+A465</f>
        <v/>
      </c>
      <c r="B466" s="42">
        <f>Pro_Forma!$S$21/12*(1+Pro_Forma!$S$22)^ROUNDDOWN((A466-1)/12,0)</f>
        <v/>
      </c>
    </row>
    <row r="467">
      <c r="A467" s="115">
        <f>1+A466</f>
        <v/>
      </c>
      <c r="B467" s="42">
        <f>Pro_Forma!$S$21/12*(1+Pro_Forma!$S$22)^ROUNDDOWN((A467-1)/12,0)</f>
        <v/>
      </c>
    </row>
    <row r="468">
      <c r="A468" s="115">
        <f>1+A467</f>
        <v/>
      </c>
      <c r="B468" s="42">
        <f>Pro_Forma!$S$21/12*(1+Pro_Forma!$S$22)^ROUNDDOWN((A468-1)/12,0)</f>
        <v/>
      </c>
    </row>
    <row r="469">
      <c r="A469" s="115">
        <f>1+A468</f>
        <v/>
      </c>
      <c r="B469" s="42">
        <f>Pro_Forma!$S$21/12*(1+Pro_Forma!$S$22)^ROUNDDOWN((A469-1)/12,0)</f>
        <v/>
      </c>
    </row>
    <row r="470">
      <c r="A470" s="115">
        <f>1+A469</f>
        <v/>
      </c>
      <c r="B470" s="42">
        <f>Pro_Forma!$S$21/12*(1+Pro_Forma!$S$22)^ROUNDDOWN((A470-1)/12,0)</f>
        <v/>
      </c>
    </row>
    <row r="471">
      <c r="A471" s="115">
        <f>1+A470</f>
        <v/>
      </c>
      <c r="B471" s="42">
        <f>Pro_Forma!$S$21/12*(1+Pro_Forma!$S$22)^ROUNDDOWN((A471-1)/12,0)</f>
        <v/>
      </c>
    </row>
    <row r="472">
      <c r="A472" s="115">
        <f>1+A471</f>
        <v/>
      </c>
      <c r="B472" s="42">
        <f>Pro_Forma!$S$21/12*(1+Pro_Forma!$S$22)^ROUNDDOWN((A472-1)/12,0)</f>
        <v/>
      </c>
    </row>
    <row r="473">
      <c r="A473" s="115">
        <f>1+A472</f>
        <v/>
      </c>
      <c r="B473" s="42">
        <f>Pro_Forma!$S$21/12*(1+Pro_Forma!$S$22)^ROUNDDOWN((A473-1)/12,0)</f>
        <v/>
      </c>
    </row>
    <row r="474">
      <c r="A474" s="115">
        <f>1+A473</f>
        <v/>
      </c>
      <c r="B474" s="42">
        <f>Pro_Forma!$S$21/12*(1+Pro_Forma!$S$22)^ROUNDDOWN((A474-1)/12,0)</f>
        <v/>
      </c>
    </row>
    <row r="475">
      <c r="A475" s="115">
        <f>1+A474</f>
        <v/>
      </c>
      <c r="B475" s="42">
        <f>Pro_Forma!$S$21/12*(1+Pro_Forma!$S$22)^ROUNDDOWN((A475-1)/12,0)</f>
        <v/>
      </c>
    </row>
    <row r="476">
      <c r="A476" s="115">
        <f>1+A475</f>
        <v/>
      </c>
      <c r="B476" s="42">
        <f>Pro_Forma!$S$21/12*(1+Pro_Forma!$S$22)^ROUNDDOWN((A476-1)/12,0)</f>
        <v/>
      </c>
    </row>
    <row r="477">
      <c r="A477" s="115">
        <f>1+A476</f>
        <v/>
      </c>
      <c r="B477" s="42">
        <f>Pro_Forma!$S$21/12*(1+Pro_Forma!$S$22)^ROUNDDOWN((A477-1)/12,0)</f>
        <v/>
      </c>
    </row>
    <row r="478">
      <c r="A478" s="115">
        <f>1+A477</f>
        <v/>
      </c>
      <c r="B478" s="42">
        <f>Pro_Forma!$S$21/12*(1+Pro_Forma!$S$22)^ROUNDDOWN((A478-1)/12,0)</f>
        <v/>
      </c>
    </row>
    <row r="479">
      <c r="A479" s="115">
        <f>1+A478</f>
        <v/>
      </c>
      <c r="B479" s="42">
        <f>Pro_Forma!$S$21/12*(1+Pro_Forma!$S$22)^ROUNDDOWN((A479-1)/12,0)</f>
        <v/>
      </c>
    </row>
    <row r="480">
      <c r="A480" s="115">
        <f>1+A479</f>
        <v/>
      </c>
      <c r="B480" s="42">
        <f>Pro_Forma!$S$21/12*(1+Pro_Forma!$S$22)^ROUNDDOWN((A480-1)/12,0)</f>
        <v/>
      </c>
    </row>
    <row r="481">
      <c r="A481" s="115">
        <f>1+A480</f>
        <v/>
      </c>
      <c r="B481" s="42">
        <f>Pro_Forma!$S$21/12*(1+Pro_Forma!$S$22)^ROUNDDOWN((A481-1)/12,0)</f>
        <v/>
      </c>
    </row>
    <row r="482">
      <c r="A482" s="115">
        <f>1+A481</f>
        <v/>
      </c>
      <c r="B482" s="42">
        <f>Pro_Forma!$S$21/12*(1+Pro_Forma!$S$22)^ROUNDDOWN((A482-1)/12,0)</f>
        <v/>
      </c>
    </row>
    <row r="483">
      <c r="A483" s="115">
        <f>1+A482</f>
        <v/>
      </c>
      <c r="B483" s="42">
        <f>Pro_Forma!$S$21/12*(1+Pro_Forma!$S$22)^ROUNDDOWN((A483-1)/12,0)</f>
        <v/>
      </c>
    </row>
    <row r="484">
      <c r="A484" s="115">
        <f>1+A483</f>
        <v/>
      </c>
      <c r="B484" s="42">
        <f>Pro_Forma!$S$21/12*(1+Pro_Forma!$S$22)^ROUNDDOWN((A484-1)/12,0)</f>
        <v/>
      </c>
    </row>
    <row r="485">
      <c r="A485" s="115">
        <f>1+A484</f>
        <v/>
      </c>
      <c r="B485" s="42">
        <f>Pro_Forma!$S$21/12*(1+Pro_Forma!$S$22)^ROUNDDOWN((A485-1)/12,0)</f>
        <v/>
      </c>
    </row>
    <row r="486">
      <c r="A486" s="115">
        <f>1+A485</f>
        <v/>
      </c>
      <c r="B486" s="42">
        <f>Pro_Forma!$S$21/12*(1+Pro_Forma!$S$22)^ROUNDDOWN((A486-1)/12,0)</f>
        <v/>
      </c>
    </row>
    <row r="487">
      <c r="A487" s="115">
        <f>1+A486</f>
        <v/>
      </c>
      <c r="B487" s="42">
        <f>Pro_Forma!$S$21/12*(1+Pro_Forma!$S$22)^ROUNDDOWN((A487-1)/12,0)</f>
        <v/>
      </c>
    </row>
    <row r="488">
      <c r="A488" s="115">
        <f>1+A487</f>
        <v/>
      </c>
      <c r="B488" s="42">
        <f>Pro_Forma!$S$21/12*(1+Pro_Forma!$S$22)^ROUNDDOWN((A488-1)/12,0)</f>
        <v/>
      </c>
    </row>
    <row r="489">
      <c r="A489" s="115">
        <f>1+A488</f>
        <v/>
      </c>
      <c r="B489" s="42">
        <f>Pro_Forma!$S$21/12*(1+Pro_Forma!$S$22)^ROUNDDOWN((A489-1)/12,0)</f>
        <v/>
      </c>
    </row>
    <row r="490">
      <c r="A490" s="115">
        <f>1+A489</f>
        <v/>
      </c>
      <c r="B490" s="42">
        <f>Pro_Forma!$S$21/12*(1+Pro_Forma!$S$22)^ROUNDDOWN((A490-1)/12,0)</f>
        <v/>
      </c>
    </row>
    <row r="491">
      <c r="A491" s="115">
        <f>1+A490</f>
        <v/>
      </c>
      <c r="B491" s="42">
        <f>Pro_Forma!$S$21/12*(1+Pro_Forma!$S$22)^ROUNDDOWN((A491-1)/12,0)</f>
        <v/>
      </c>
    </row>
    <row r="492">
      <c r="A492" s="115">
        <f>1+A491</f>
        <v/>
      </c>
      <c r="B492" s="42">
        <f>Pro_Forma!$S$21/12*(1+Pro_Forma!$S$22)^ROUNDDOWN((A492-1)/12,0)</f>
        <v/>
      </c>
    </row>
    <row r="493">
      <c r="A493" s="115">
        <f>1+A492</f>
        <v/>
      </c>
      <c r="B493" s="42">
        <f>Pro_Forma!$S$21/12*(1+Pro_Forma!$S$22)^ROUNDDOWN((A493-1)/12,0)</f>
        <v/>
      </c>
    </row>
    <row r="494">
      <c r="A494" s="115">
        <f>1+A493</f>
        <v/>
      </c>
      <c r="B494" s="42">
        <f>Pro_Forma!$S$21/12*(1+Pro_Forma!$S$22)^ROUNDDOWN((A494-1)/12,0)</f>
        <v/>
      </c>
    </row>
    <row r="495">
      <c r="A495" s="115">
        <f>1+A494</f>
        <v/>
      </c>
      <c r="B495" s="42">
        <f>Pro_Forma!$S$21/12*(1+Pro_Forma!$S$22)^ROUNDDOWN((A495-1)/12,0)</f>
        <v/>
      </c>
    </row>
    <row r="496">
      <c r="A496" s="115">
        <f>1+A495</f>
        <v/>
      </c>
      <c r="B496" s="42">
        <f>Pro_Forma!$S$21/12*(1+Pro_Forma!$S$22)^ROUNDDOWN((A496-1)/12,0)</f>
        <v/>
      </c>
    </row>
    <row r="497">
      <c r="A497" s="115">
        <f>1+A496</f>
        <v/>
      </c>
      <c r="B497" s="42">
        <f>Pro_Forma!$S$21/12*(1+Pro_Forma!$S$22)^ROUNDDOWN((A497-1)/12,0)</f>
        <v/>
      </c>
    </row>
    <row r="498">
      <c r="A498" s="115">
        <f>1+A497</f>
        <v/>
      </c>
      <c r="B498" s="42">
        <f>Pro_Forma!$S$21/12*(1+Pro_Forma!$S$22)^ROUNDDOWN((A498-1)/12,0)</f>
        <v/>
      </c>
    </row>
    <row r="499">
      <c r="A499" s="115">
        <f>1+A498</f>
        <v/>
      </c>
      <c r="B499" s="42">
        <f>Pro_Forma!$S$21/12*(1+Pro_Forma!$S$22)^ROUNDDOWN((A499-1)/12,0)</f>
        <v/>
      </c>
    </row>
    <row r="500">
      <c r="A500" s="115">
        <f>1+A499</f>
        <v/>
      </c>
      <c r="B500" s="42">
        <f>Pro_Forma!$S$21/12*(1+Pro_Forma!$S$22)^ROUNDDOWN((A500-1)/12,0)</f>
        <v/>
      </c>
    </row>
    <row r="501">
      <c r="A501" s="115">
        <f>1+A500</f>
        <v/>
      </c>
      <c r="B501" s="42">
        <f>Pro_Forma!$S$21/12*(1+Pro_Forma!$S$22)^ROUNDDOWN((A501-1)/12,0)</f>
        <v/>
      </c>
    </row>
    <row r="502">
      <c r="A502" s="115">
        <f>1+A501</f>
        <v/>
      </c>
      <c r="B502" s="42">
        <f>Pro_Forma!$S$21/12*(1+Pro_Forma!$S$22)^ROUNDDOWN((A502-1)/12,0)</f>
        <v/>
      </c>
    </row>
    <row r="503">
      <c r="A503" s="115">
        <f>1+A502</f>
        <v/>
      </c>
      <c r="B503" s="42">
        <f>Pro_Forma!$S$21/12*(1+Pro_Forma!$S$22)^ROUNDDOWN((A503-1)/12,0)</f>
        <v/>
      </c>
    </row>
    <row r="504">
      <c r="A504" s="115">
        <f>1+A503</f>
        <v/>
      </c>
      <c r="B504" s="42">
        <f>Pro_Forma!$S$21/12*(1+Pro_Forma!$S$22)^ROUNDDOWN((A504-1)/12,0)</f>
        <v/>
      </c>
    </row>
    <row r="505">
      <c r="A505" s="115">
        <f>1+A504</f>
        <v/>
      </c>
      <c r="B505" s="42">
        <f>Pro_Forma!$S$21/12*(1+Pro_Forma!$S$22)^ROUNDDOWN((A505-1)/12,0)</f>
        <v/>
      </c>
    </row>
    <row r="506">
      <c r="A506" s="115">
        <f>1+A505</f>
        <v/>
      </c>
      <c r="B506" s="42">
        <f>Pro_Forma!$S$21/12*(1+Pro_Forma!$S$22)^ROUNDDOWN((A506-1)/12,0)</f>
        <v/>
      </c>
    </row>
    <row r="507">
      <c r="A507" s="115">
        <f>1+A506</f>
        <v/>
      </c>
      <c r="B507" s="42">
        <f>Pro_Forma!$S$21/12*(1+Pro_Forma!$S$22)^ROUNDDOWN((A507-1)/12,0)</f>
        <v/>
      </c>
    </row>
    <row r="508">
      <c r="A508" s="115">
        <f>1+A507</f>
        <v/>
      </c>
      <c r="B508" s="42">
        <f>Pro_Forma!$S$21/12*(1+Pro_Forma!$S$22)^ROUNDDOWN((A508-1)/12,0)</f>
        <v/>
      </c>
    </row>
    <row r="509">
      <c r="A509" s="115">
        <f>1+A508</f>
        <v/>
      </c>
      <c r="B509" s="42">
        <f>Pro_Forma!$S$21/12*(1+Pro_Forma!$S$22)^ROUNDDOWN((A509-1)/12,0)</f>
        <v/>
      </c>
    </row>
    <row r="510">
      <c r="A510" s="115">
        <f>1+A509</f>
        <v/>
      </c>
      <c r="B510" s="42">
        <f>Pro_Forma!$S$21/12*(1+Pro_Forma!$S$22)^ROUNDDOWN((A510-1)/12,0)</f>
        <v/>
      </c>
    </row>
    <row r="511">
      <c r="A511" s="115">
        <f>1+A510</f>
        <v/>
      </c>
      <c r="B511" s="42">
        <f>Pro_Forma!$S$21/12*(1+Pro_Forma!$S$22)^ROUNDDOWN((A511-1)/12,0)</f>
        <v/>
      </c>
    </row>
    <row r="512">
      <c r="A512" s="115">
        <f>1+A511</f>
        <v/>
      </c>
      <c r="B512" s="42">
        <f>Pro_Forma!$S$21/12*(1+Pro_Forma!$S$22)^ROUNDDOWN((A512-1)/12,0)</f>
        <v/>
      </c>
    </row>
    <row r="513">
      <c r="A513" s="115">
        <f>1+A512</f>
        <v/>
      </c>
      <c r="B513" s="42">
        <f>Pro_Forma!$S$21/12*(1+Pro_Forma!$S$22)^ROUNDDOWN((A513-1)/12,0)</f>
        <v/>
      </c>
    </row>
    <row r="514">
      <c r="A514" s="115">
        <f>1+A513</f>
        <v/>
      </c>
      <c r="B514" s="42">
        <f>Pro_Forma!$S$21/12*(1+Pro_Forma!$S$22)^ROUNDDOWN((A514-1)/12,0)</f>
        <v/>
      </c>
    </row>
    <row r="515">
      <c r="A515" s="115">
        <f>1+A514</f>
        <v/>
      </c>
      <c r="B515" s="42">
        <f>Pro_Forma!$S$21/12*(1+Pro_Forma!$S$22)^ROUNDDOWN((A515-1)/12,0)</f>
        <v/>
      </c>
    </row>
    <row r="516">
      <c r="A516" s="115">
        <f>1+A515</f>
        <v/>
      </c>
      <c r="B516" s="42">
        <f>Pro_Forma!$S$21/12*(1+Pro_Forma!$S$22)^ROUNDDOWN((A516-1)/12,0)</f>
        <v/>
      </c>
    </row>
    <row r="517">
      <c r="A517" s="115">
        <f>1+A516</f>
        <v/>
      </c>
      <c r="B517" s="42">
        <f>Pro_Forma!$S$21/12*(1+Pro_Forma!$S$22)^ROUNDDOWN((A517-1)/12,0)</f>
        <v/>
      </c>
    </row>
    <row r="518">
      <c r="A518" s="115">
        <f>1+A517</f>
        <v/>
      </c>
      <c r="B518" s="42">
        <f>Pro_Forma!$S$21/12*(1+Pro_Forma!$S$22)^ROUNDDOWN((A518-1)/12,0)</f>
        <v/>
      </c>
    </row>
    <row r="519">
      <c r="A519" s="115">
        <f>1+A518</f>
        <v/>
      </c>
      <c r="B519" s="42">
        <f>Pro_Forma!$S$21/12*(1+Pro_Forma!$S$22)^ROUNDDOWN((A519-1)/12,0)</f>
        <v/>
      </c>
    </row>
    <row r="520">
      <c r="A520" s="115">
        <f>1+A519</f>
        <v/>
      </c>
      <c r="B520" s="42">
        <f>Pro_Forma!$S$21/12*(1+Pro_Forma!$S$22)^ROUNDDOWN((A520-1)/12,0)</f>
        <v/>
      </c>
    </row>
    <row r="521">
      <c r="A521" s="115">
        <f>1+A520</f>
        <v/>
      </c>
      <c r="B521" s="42">
        <f>Pro_Forma!$S$21/12*(1+Pro_Forma!$S$22)^ROUNDDOWN((A521-1)/12,0)</f>
        <v/>
      </c>
    </row>
    <row r="522">
      <c r="A522" s="115">
        <f>1+A521</f>
        <v/>
      </c>
      <c r="B522" s="42">
        <f>Pro_Forma!$S$21/12*(1+Pro_Forma!$S$22)^ROUNDDOWN((A522-1)/12,0)</f>
        <v/>
      </c>
    </row>
    <row r="523">
      <c r="A523" s="115">
        <f>1+A522</f>
        <v/>
      </c>
      <c r="B523" s="42">
        <f>Pro_Forma!$S$21/12*(1+Pro_Forma!$S$22)^ROUNDDOWN((A523-1)/12,0)</f>
        <v/>
      </c>
    </row>
    <row r="524">
      <c r="A524" s="115">
        <f>1+A523</f>
        <v/>
      </c>
      <c r="B524" s="42">
        <f>Pro_Forma!$S$21/12*(1+Pro_Forma!$S$22)^ROUNDDOWN((A524-1)/12,0)</f>
        <v/>
      </c>
    </row>
    <row r="525">
      <c r="A525" s="115">
        <f>1+A524</f>
        <v/>
      </c>
      <c r="B525" s="42">
        <f>Pro_Forma!$S$21/12*(1+Pro_Forma!$S$22)^ROUNDDOWN((A525-1)/12,0)</f>
        <v/>
      </c>
    </row>
    <row r="526">
      <c r="A526" s="115">
        <f>1+A525</f>
        <v/>
      </c>
      <c r="B526" s="42">
        <f>Pro_Forma!$S$21/12*(1+Pro_Forma!$S$22)^ROUNDDOWN((A526-1)/12,0)</f>
        <v/>
      </c>
    </row>
    <row r="527">
      <c r="A527" s="115">
        <f>1+A526</f>
        <v/>
      </c>
      <c r="B527" s="42">
        <f>Pro_Forma!$S$21/12*(1+Pro_Forma!$S$22)^ROUNDDOWN((A527-1)/12,0)</f>
        <v/>
      </c>
    </row>
    <row r="528">
      <c r="A528" s="115">
        <f>1+A527</f>
        <v/>
      </c>
      <c r="B528" s="42">
        <f>Pro_Forma!$S$21/12*(1+Pro_Forma!$S$22)^ROUNDDOWN((A528-1)/12,0)</f>
        <v/>
      </c>
    </row>
    <row r="529">
      <c r="A529" s="115">
        <f>1+A528</f>
        <v/>
      </c>
      <c r="B529" s="42">
        <f>Pro_Forma!$S$21/12*(1+Pro_Forma!$S$22)^ROUNDDOWN((A529-1)/12,0)</f>
        <v/>
      </c>
    </row>
    <row r="530">
      <c r="A530" s="115">
        <f>1+A529</f>
        <v/>
      </c>
      <c r="B530" s="42">
        <f>Pro_Forma!$S$21/12*(1+Pro_Forma!$S$22)^ROUNDDOWN((A530-1)/12,0)</f>
        <v/>
      </c>
    </row>
    <row r="531">
      <c r="A531" s="115">
        <f>1+A530</f>
        <v/>
      </c>
      <c r="B531" s="42">
        <f>Pro_Forma!$S$21/12*(1+Pro_Forma!$S$22)^ROUNDDOWN((A531-1)/12,0)</f>
        <v/>
      </c>
    </row>
    <row r="532">
      <c r="A532" s="115">
        <f>1+A531</f>
        <v/>
      </c>
      <c r="B532" s="42">
        <f>Pro_Forma!$S$21/12*(1+Pro_Forma!$S$22)^ROUNDDOWN((A532-1)/12,0)</f>
        <v/>
      </c>
    </row>
    <row r="533">
      <c r="A533" s="115">
        <f>1+A532</f>
        <v/>
      </c>
      <c r="B533" s="42">
        <f>Pro_Forma!$S$21/12*(1+Pro_Forma!$S$22)^ROUNDDOWN((A533-1)/12,0)</f>
        <v/>
      </c>
    </row>
    <row r="534">
      <c r="A534" s="115">
        <f>1+A533</f>
        <v/>
      </c>
      <c r="B534" s="42">
        <f>Pro_Forma!$S$21/12*(1+Pro_Forma!$S$22)^ROUNDDOWN((A534-1)/12,0)</f>
        <v/>
      </c>
    </row>
    <row r="535">
      <c r="A535" s="115">
        <f>1+A534</f>
        <v/>
      </c>
      <c r="B535" s="42">
        <f>Pro_Forma!$S$21/12*(1+Pro_Forma!$S$22)^ROUNDDOWN((A535-1)/12,0)</f>
        <v/>
      </c>
    </row>
    <row r="536">
      <c r="A536" s="115">
        <f>1+A535</f>
        <v/>
      </c>
      <c r="B536" s="42">
        <f>Pro_Forma!$S$21/12*(1+Pro_Forma!$S$22)^ROUNDDOWN((A536-1)/12,0)</f>
        <v/>
      </c>
    </row>
    <row r="537">
      <c r="A537" s="115">
        <f>1+A536</f>
        <v/>
      </c>
      <c r="B537" s="42">
        <f>Pro_Forma!$S$21/12*(1+Pro_Forma!$S$22)^ROUNDDOWN((A537-1)/12,0)</f>
        <v/>
      </c>
    </row>
    <row r="538">
      <c r="A538" s="115">
        <f>1+A537</f>
        <v/>
      </c>
      <c r="B538" s="42">
        <f>Pro_Forma!$S$21/12*(1+Pro_Forma!$S$22)^ROUNDDOWN((A538-1)/12,0)</f>
        <v/>
      </c>
    </row>
    <row r="539">
      <c r="A539" s="115">
        <f>1+A538</f>
        <v/>
      </c>
      <c r="B539" s="42">
        <f>Pro_Forma!$S$21/12*(1+Pro_Forma!$S$22)^ROUNDDOWN((A539-1)/12,0)</f>
        <v/>
      </c>
    </row>
    <row r="540">
      <c r="A540" s="115">
        <f>1+A539</f>
        <v/>
      </c>
      <c r="B540" s="42">
        <f>Pro_Forma!$S$21/12*(1+Pro_Forma!$S$22)^ROUNDDOWN((A540-1)/12,0)</f>
        <v/>
      </c>
    </row>
    <row r="541">
      <c r="A541" s="115">
        <f>1+A540</f>
        <v/>
      </c>
      <c r="B541" s="42">
        <f>Pro_Forma!$S$21/12*(1+Pro_Forma!$S$22)^ROUNDDOWN((A541-1)/12,0)</f>
        <v/>
      </c>
    </row>
    <row r="542">
      <c r="A542" s="115">
        <f>1+A541</f>
        <v/>
      </c>
      <c r="B542" s="42">
        <f>Pro_Forma!$S$21/12*(1+Pro_Forma!$S$22)^ROUNDDOWN((A542-1)/12,0)</f>
        <v/>
      </c>
    </row>
    <row r="543">
      <c r="A543" s="115">
        <f>1+A542</f>
        <v/>
      </c>
      <c r="B543" s="42">
        <f>Pro_Forma!$S$21/12*(1+Pro_Forma!$S$22)^ROUNDDOWN((A543-1)/12,0)</f>
        <v/>
      </c>
    </row>
    <row r="544">
      <c r="A544" s="115">
        <f>1+A543</f>
        <v/>
      </c>
      <c r="B544" s="42">
        <f>Pro_Forma!$S$21/12*(1+Pro_Forma!$S$22)^ROUNDDOWN((A544-1)/12,0)</f>
        <v/>
      </c>
    </row>
    <row r="545">
      <c r="A545" s="115">
        <f>1+A544</f>
        <v/>
      </c>
      <c r="B545" s="42">
        <f>Pro_Forma!$S$21/12*(1+Pro_Forma!$S$22)^ROUNDDOWN((A545-1)/12,0)</f>
        <v/>
      </c>
    </row>
    <row r="546">
      <c r="A546" s="115">
        <f>1+A545</f>
        <v/>
      </c>
      <c r="B546" s="42">
        <f>Pro_Forma!$S$21/12*(1+Pro_Forma!$S$22)^ROUNDDOWN((A546-1)/12,0)</f>
        <v/>
      </c>
    </row>
    <row r="547">
      <c r="A547" s="115">
        <f>1+A546</f>
        <v/>
      </c>
      <c r="B547" s="42">
        <f>Pro_Forma!$S$21/12*(1+Pro_Forma!$S$22)^ROUNDDOWN((A547-1)/12,0)</f>
        <v/>
      </c>
    </row>
    <row r="548">
      <c r="A548" s="115">
        <f>1+A547</f>
        <v/>
      </c>
      <c r="B548" s="42">
        <f>Pro_Forma!$S$21/12*(1+Pro_Forma!$S$22)^ROUNDDOWN((A548-1)/12,0)</f>
        <v/>
      </c>
    </row>
    <row r="549">
      <c r="A549" s="115">
        <f>1+A548</f>
        <v/>
      </c>
      <c r="B549" s="42">
        <f>Pro_Forma!$S$21/12*(1+Pro_Forma!$S$22)^ROUNDDOWN((A549-1)/12,0)</f>
        <v/>
      </c>
    </row>
    <row r="550">
      <c r="A550" s="115">
        <f>1+A549</f>
        <v/>
      </c>
      <c r="B550" s="42">
        <f>Pro_Forma!$S$21/12*(1+Pro_Forma!$S$22)^ROUNDDOWN((A550-1)/12,0)</f>
        <v/>
      </c>
    </row>
    <row r="551">
      <c r="A551" s="115">
        <f>1+A550</f>
        <v/>
      </c>
      <c r="B551" s="42">
        <f>Pro_Forma!$S$21/12*(1+Pro_Forma!$S$22)^ROUNDDOWN((A551-1)/12,0)</f>
        <v/>
      </c>
    </row>
    <row r="552">
      <c r="A552" s="115">
        <f>1+A551</f>
        <v/>
      </c>
      <c r="B552" s="42">
        <f>Pro_Forma!$S$21/12*(1+Pro_Forma!$S$22)^ROUNDDOWN((A552-1)/12,0)</f>
        <v/>
      </c>
    </row>
    <row r="553">
      <c r="A553" s="115">
        <f>1+A552</f>
        <v/>
      </c>
      <c r="B553" s="42">
        <f>Pro_Forma!$S$21/12*(1+Pro_Forma!$S$22)^ROUNDDOWN((A553-1)/12,0)</f>
        <v/>
      </c>
    </row>
    <row r="554">
      <c r="A554" s="115">
        <f>1+A553</f>
        <v/>
      </c>
      <c r="B554" s="42">
        <f>Pro_Forma!$S$21/12*(1+Pro_Forma!$S$22)^ROUNDDOWN((A554-1)/12,0)</f>
        <v/>
      </c>
    </row>
    <row r="555">
      <c r="A555" s="115">
        <f>1+A554</f>
        <v/>
      </c>
      <c r="B555" s="42">
        <f>Pro_Forma!$S$21/12*(1+Pro_Forma!$S$22)^ROUNDDOWN((A555-1)/12,0)</f>
        <v/>
      </c>
    </row>
    <row r="556">
      <c r="A556" s="115">
        <f>1+A555</f>
        <v/>
      </c>
      <c r="B556" s="42">
        <f>Pro_Forma!$S$21/12*(1+Pro_Forma!$S$22)^ROUNDDOWN((A556-1)/12,0)</f>
        <v/>
      </c>
    </row>
    <row r="557">
      <c r="A557" s="115">
        <f>1+A556</f>
        <v/>
      </c>
      <c r="B557" s="42">
        <f>Pro_Forma!$S$21/12*(1+Pro_Forma!$S$22)^ROUNDDOWN((A557-1)/12,0)</f>
        <v/>
      </c>
    </row>
    <row r="558">
      <c r="A558" s="115">
        <f>1+A557</f>
        <v/>
      </c>
      <c r="B558" s="42">
        <f>Pro_Forma!$S$21/12*(1+Pro_Forma!$S$22)^ROUNDDOWN((A558-1)/12,0)</f>
        <v/>
      </c>
    </row>
    <row r="559">
      <c r="A559" s="115">
        <f>1+A558</f>
        <v/>
      </c>
      <c r="B559" s="42">
        <f>Pro_Forma!$S$21/12*(1+Pro_Forma!$S$22)^ROUNDDOWN((A559-1)/12,0)</f>
        <v/>
      </c>
    </row>
    <row r="560">
      <c r="A560" s="115">
        <f>1+A559</f>
        <v/>
      </c>
      <c r="B560" s="42">
        <f>Pro_Forma!$S$21/12*(1+Pro_Forma!$S$22)^ROUNDDOWN((A560-1)/12,0)</f>
        <v/>
      </c>
    </row>
    <row r="561">
      <c r="A561" s="115">
        <f>1+A560</f>
        <v/>
      </c>
      <c r="B561" s="42">
        <f>Pro_Forma!$S$21/12*(1+Pro_Forma!$S$22)^ROUNDDOWN((A561-1)/12,0)</f>
        <v/>
      </c>
    </row>
    <row r="562">
      <c r="A562" s="115">
        <f>1+A561</f>
        <v/>
      </c>
      <c r="B562" s="42">
        <f>Pro_Forma!$S$21/12*(1+Pro_Forma!$S$22)^ROUNDDOWN((A562-1)/12,0)</f>
        <v/>
      </c>
    </row>
    <row r="563">
      <c r="A563" s="115">
        <f>1+A562</f>
        <v/>
      </c>
      <c r="B563" s="42">
        <f>Pro_Forma!$S$21/12*(1+Pro_Forma!$S$22)^ROUNDDOWN((A563-1)/12,0)</f>
        <v/>
      </c>
    </row>
    <row r="564">
      <c r="A564" s="115">
        <f>1+A563</f>
        <v/>
      </c>
      <c r="B564" s="42">
        <f>Pro_Forma!$S$21/12*(1+Pro_Forma!$S$22)^ROUNDDOWN((A564-1)/12,0)</f>
        <v/>
      </c>
    </row>
    <row r="565">
      <c r="A565" s="115">
        <f>1+A564</f>
        <v/>
      </c>
      <c r="B565" s="42">
        <f>Pro_Forma!$S$21/12*(1+Pro_Forma!$S$22)^ROUNDDOWN((A565-1)/12,0)</f>
        <v/>
      </c>
    </row>
    <row r="566">
      <c r="A566" s="115">
        <f>1+A565</f>
        <v/>
      </c>
      <c r="B566" s="42">
        <f>Pro_Forma!$S$21/12*(1+Pro_Forma!$S$22)^ROUNDDOWN((A566-1)/12,0)</f>
        <v/>
      </c>
    </row>
    <row r="567">
      <c r="A567" s="115">
        <f>1+A566</f>
        <v/>
      </c>
      <c r="B567" s="42">
        <f>Pro_Forma!$S$21/12*(1+Pro_Forma!$S$22)^ROUNDDOWN((A567-1)/12,0)</f>
        <v/>
      </c>
    </row>
    <row r="568">
      <c r="A568" s="115">
        <f>1+A567</f>
        <v/>
      </c>
      <c r="B568" s="42">
        <f>Pro_Forma!$S$21/12*(1+Pro_Forma!$S$22)^ROUNDDOWN((A568-1)/12,0)</f>
        <v/>
      </c>
    </row>
    <row r="569">
      <c r="A569" s="115">
        <f>1+A568</f>
        <v/>
      </c>
      <c r="B569" s="42">
        <f>Pro_Forma!$S$21/12*(1+Pro_Forma!$S$22)^ROUNDDOWN((A569-1)/12,0)</f>
        <v/>
      </c>
    </row>
    <row r="570">
      <c r="A570" s="115">
        <f>1+A569</f>
        <v/>
      </c>
      <c r="B570" s="42">
        <f>Pro_Forma!$S$21/12*(1+Pro_Forma!$S$22)^ROUNDDOWN((A570-1)/12,0)</f>
        <v/>
      </c>
    </row>
    <row r="571">
      <c r="A571" s="115">
        <f>1+A570</f>
        <v/>
      </c>
      <c r="B571" s="42">
        <f>Pro_Forma!$S$21/12*(1+Pro_Forma!$S$22)^ROUNDDOWN((A571-1)/12,0)</f>
        <v/>
      </c>
    </row>
    <row r="572">
      <c r="A572" s="115">
        <f>1+A571</f>
        <v/>
      </c>
      <c r="B572" s="42">
        <f>Pro_Forma!$S$21/12*(1+Pro_Forma!$S$22)^ROUNDDOWN((A572-1)/12,0)</f>
        <v/>
      </c>
    </row>
    <row r="573">
      <c r="A573" s="115">
        <f>1+A572</f>
        <v/>
      </c>
      <c r="B573" s="42">
        <f>Pro_Forma!$S$21/12*(1+Pro_Forma!$S$22)^ROUNDDOWN((A573-1)/12,0)</f>
        <v/>
      </c>
    </row>
    <row r="574">
      <c r="A574" s="115">
        <f>1+A573</f>
        <v/>
      </c>
      <c r="B574" s="42">
        <f>Pro_Forma!$S$21/12*(1+Pro_Forma!$S$22)^ROUNDDOWN((A574-1)/12,0)</f>
        <v/>
      </c>
    </row>
    <row r="575">
      <c r="A575" s="115">
        <f>1+A574</f>
        <v/>
      </c>
      <c r="B575" s="42">
        <f>Pro_Forma!$S$21/12*(1+Pro_Forma!$S$22)^ROUNDDOWN((A575-1)/12,0)</f>
        <v/>
      </c>
    </row>
    <row r="576">
      <c r="A576" s="115">
        <f>1+A575</f>
        <v/>
      </c>
      <c r="B576" s="42">
        <f>Pro_Forma!$S$21/12*(1+Pro_Forma!$S$22)^ROUNDDOWN((A576-1)/12,0)</f>
        <v/>
      </c>
    </row>
    <row r="577">
      <c r="A577" s="115">
        <f>1+A576</f>
        <v/>
      </c>
      <c r="B577" s="42">
        <f>Pro_Forma!$S$21/12*(1+Pro_Forma!$S$22)^ROUNDDOWN((A577-1)/12,0)</f>
        <v/>
      </c>
    </row>
    <row r="578">
      <c r="A578" s="115">
        <f>1+A577</f>
        <v/>
      </c>
      <c r="B578" s="42">
        <f>Pro_Forma!$S$21/12*(1+Pro_Forma!$S$22)^ROUNDDOWN((A578-1)/12,0)</f>
        <v/>
      </c>
    </row>
    <row r="579">
      <c r="A579" s="115">
        <f>1+A578</f>
        <v/>
      </c>
      <c r="B579" s="42">
        <f>Pro_Forma!$S$21/12*(1+Pro_Forma!$S$22)^ROUNDDOWN((A579-1)/12,0)</f>
        <v/>
      </c>
    </row>
    <row r="580">
      <c r="A580" s="115">
        <f>1+A579</f>
        <v/>
      </c>
      <c r="B580" s="42">
        <f>Pro_Forma!$S$21/12*(1+Pro_Forma!$S$22)^ROUNDDOWN((A580-1)/12,0)</f>
        <v/>
      </c>
    </row>
    <row r="581">
      <c r="A581" s="115">
        <f>1+A580</f>
        <v/>
      </c>
      <c r="B581" s="42">
        <f>Pro_Forma!$S$21/12*(1+Pro_Forma!$S$22)^ROUNDDOWN((A581-1)/12,0)</f>
        <v/>
      </c>
    </row>
    <row r="582">
      <c r="A582" s="115">
        <f>1+A581</f>
        <v/>
      </c>
      <c r="B582" s="42">
        <f>Pro_Forma!$S$21/12*(1+Pro_Forma!$S$22)^ROUNDDOWN((A582-1)/12,0)</f>
        <v/>
      </c>
    </row>
    <row r="583">
      <c r="A583" s="115">
        <f>1+A582</f>
        <v/>
      </c>
      <c r="B583" s="42">
        <f>Pro_Forma!$S$21/12*(1+Pro_Forma!$S$22)^ROUNDDOWN((A583-1)/12,0)</f>
        <v/>
      </c>
    </row>
    <row r="584">
      <c r="A584" s="115">
        <f>1+A583</f>
        <v/>
      </c>
      <c r="B584" s="42">
        <f>Pro_Forma!$S$21/12*(1+Pro_Forma!$S$22)^ROUNDDOWN((A584-1)/12,0)</f>
        <v/>
      </c>
    </row>
    <row r="585">
      <c r="A585" s="115">
        <f>1+A584</f>
        <v/>
      </c>
      <c r="B585" s="42">
        <f>Pro_Forma!$S$21/12*(1+Pro_Forma!$S$22)^ROUNDDOWN((A585-1)/12,0)</f>
        <v/>
      </c>
    </row>
    <row r="586">
      <c r="A586" s="115">
        <f>1+A585</f>
        <v/>
      </c>
      <c r="B586" s="42">
        <f>Pro_Forma!$S$21/12*(1+Pro_Forma!$S$22)^ROUNDDOWN((A586-1)/12,0)</f>
        <v/>
      </c>
    </row>
    <row r="587">
      <c r="A587" s="115">
        <f>1+A586</f>
        <v/>
      </c>
      <c r="B587" s="42">
        <f>Pro_Forma!$S$21/12*(1+Pro_Forma!$S$22)^ROUNDDOWN((A587-1)/12,0)</f>
        <v/>
      </c>
    </row>
    <row r="588">
      <c r="A588" s="115">
        <f>1+A587</f>
        <v/>
      </c>
      <c r="B588" s="42">
        <f>Pro_Forma!$S$21/12*(1+Pro_Forma!$S$22)^ROUNDDOWN((A588-1)/12,0)</f>
        <v/>
      </c>
    </row>
    <row r="589">
      <c r="A589" s="115">
        <f>1+A588</f>
        <v/>
      </c>
      <c r="B589" s="42">
        <f>Pro_Forma!$S$21/12*(1+Pro_Forma!$S$22)^ROUNDDOWN((A589-1)/12,0)</f>
        <v/>
      </c>
    </row>
    <row r="590">
      <c r="A590" s="115">
        <f>1+A589</f>
        <v/>
      </c>
      <c r="B590" s="42">
        <f>Pro_Forma!$S$21/12*(1+Pro_Forma!$S$22)^ROUNDDOWN((A590-1)/12,0)</f>
        <v/>
      </c>
    </row>
    <row r="591">
      <c r="A591" s="115">
        <f>1+A590</f>
        <v/>
      </c>
      <c r="B591" s="42">
        <f>Pro_Forma!$S$21/12*(1+Pro_Forma!$S$22)^ROUNDDOWN((A591-1)/12,0)</f>
        <v/>
      </c>
    </row>
    <row r="592">
      <c r="A592" s="115">
        <f>1+A591</f>
        <v/>
      </c>
      <c r="B592" s="42">
        <f>Pro_Forma!$S$21/12*(1+Pro_Forma!$S$22)^ROUNDDOWN((A592-1)/12,0)</f>
        <v/>
      </c>
    </row>
    <row r="593">
      <c r="A593" s="115">
        <f>1+A592</f>
        <v/>
      </c>
      <c r="B593" s="42">
        <f>Pro_Forma!$S$21/12*(1+Pro_Forma!$S$22)^ROUNDDOWN((A593-1)/12,0)</f>
        <v/>
      </c>
    </row>
    <row r="594">
      <c r="A594" s="115">
        <f>1+A593</f>
        <v/>
      </c>
      <c r="B594" s="42">
        <f>Pro_Forma!$S$21/12*(1+Pro_Forma!$S$22)^ROUNDDOWN((A594-1)/12,0)</f>
        <v/>
      </c>
    </row>
    <row r="595">
      <c r="A595" s="115">
        <f>1+A594</f>
        <v/>
      </c>
      <c r="B595" s="42">
        <f>Pro_Forma!$S$21/12*(1+Pro_Forma!$S$22)^ROUNDDOWN((A595-1)/12,0)</f>
        <v/>
      </c>
    </row>
    <row r="596">
      <c r="A596" s="115">
        <f>1+A595</f>
        <v/>
      </c>
      <c r="B596" s="42">
        <f>Pro_Forma!$S$21/12*(1+Pro_Forma!$S$22)^ROUNDDOWN((A596-1)/12,0)</f>
        <v/>
      </c>
    </row>
    <row r="597">
      <c r="A597" s="115">
        <f>1+A596</f>
        <v/>
      </c>
      <c r="B597" s="42">
        <f>Pro_Forma!$S$21/12*(1+Pro_Forma!$S$22)^ROUNDDOWN((A597-1)/12,0)</f>
        <v/>
      </c>
    </row>
    <row r="598">
      <c r="A598" s="115">
        <f>1+A597</f>
        <v/>
      </c>
      <c r="B598" s="42">
        <f>Pro_Forma!$S$21/12*(1+Pro_Forma!$S$22)^ROUNDDOWN((A598-1)/12,0)</f>
        <v/>
      </c>
    </row>
    <row r="599">
      <c r="A599" s="115">
        <f>1+A598</f>
        <v/>
      </c>
      <c r="B599" s="42">
        <f>Pro_Forma!$S$21/12*(1+Pro_Forma!$S$22)^ROUNDDOWN((A599-1)/12,0)</f>
        <v/>
      </c>
    </row>
    <row r="600">
      <c r="A600" s="115">
        <f>1+A599</f>
        <v/>
      </c>
      <c r="B600" s="42">
        <f>Pro_Forma!$S$21/12*(1+Pro_Forma!$S$22)^ROUNDDOWN((A600-1)/12,0)</f>
        <v/>
      </c>
    </row>
    <row r="601">
      <c r="A601" s="115">
        <f>1+A600</f>
        <v/>
      </c>
      <c r="B601" s="42">
        <f>Pro_Forma!$S$21/12*(1+Pro_Forma!$S$22)^ROUNDDOWN((A601-1)/12,0)</f>
        <v/>
      </c>
    </row>
    <row r="602">
      <c r="A602" s="115">
        <f>1+A601</f>
        <v/>
      </c>
      <c r="B602" s="42">
        <f>Pro_Forma!$S$21/12*(1+Pro_Forma!$S$22)^ROUNDDOWN((A602-1)/12,0)</f>
        <v/>
      </c>
    </row>
    <row r="603">
      <c r="A603" s="115">
        <f>1+A602</f>
        <v/>
      </c>
      <c r="B603" s="42">
        <f>Pro_Forma!$S$21/12*(1+Pro_Forma!$S$22)^ROUNDDOWN((A603-1)/12,0)</f>
        <v/>
      </c>
    </row>
    <row r="604">
      <c r="A604" s="115">
        <f>1+A603</f>
        <v/>
      </c>
      <c r="B604" s="42">
        <f>Pro_Forma!$S$21/12*(1+Pro_Forma!$S$22)^ROUNDDOWN((A604-1)/12,0)</f>
        <v/>
      </c>
    </row>
    <row r="605">
      <c r="A605" s="115">
        <f>1+A604</f>
        <v/>
      </c>
      <c r="B605" s="42">
        <f>Pro_Forma!$S$21/12*(1+Pro_Forma!$S$22)^ROUNDDOWN((A605-1)/12,0)</f>
        <v/>
      </c>
    </row>
    <row r="606">
      <c r="A606" s="115">
        <f>1+A605</f>
        <v/>
      </c>
      <c r="B606" s="42">
        <f>Pro_Forma!$S$21/12*(1+Pro_Forma!$S$22)^ROUNDDOWN((A606-1)/12,0)</f>
        <v/>
      </c>
    </row>
    <row r="607">
      <c r="A607" s="115">
        <f>1+A606</f>
        <v/>
      </c>
      <c r="B607" s="42">
        <f>Pro_Forma!$S$21/12*(1+Pro_Forma!$S$22)^ROUNDDOWN((A607-1)/12,0)</f>
        <v/>
      </c>
    </row>
    <row r="608">
      <c r="A608" s="115">
        <f>1+A607</f>
        <v/>
      </c>
      <c r="B608" s="42">
        <f>Pro_Forma!$S$21/12*(1+Pro_Forma!$S$22)^ROUNDDOWN((A608-1)/12,0)</f>
        <v/>
      </c>
    </row>
    <row r="609">
      <c r="A609" s="115">
        <f>1+A608</f>
        <v/>
      </c>
      <c r="B609" s="42">
        <f>Pro_Forma!$S$21/12*(1+Pro_Forma!$S$22)^ROUNDDOWN((A609-1)/12,0)</f>
        <v/>
      </c>
    </row>
    <row r="610">
      <c r="A610" s="115">
        <f>1+A609</f>
        <v/>
      </c>
      <c r="B610" s="42">
        <f>Pro_Forma!$S$21/12*(1+Pro_Forma!$S$22)^ROUNDDOWN((A610-1)/12,0)</f>
        <v/>
      </c>
    </row>
    <row r="611">
      <c r="A611" s="115">
        <f>1+A610</f>
        <v/>
      </c>
      <c r="B611" s="42">
        <f>Pro_Forma!$S$21/12*(1+Pro_Forma!$S$22)^ROUNDDOWN((A611-1)/12,0)</f>
        <v/>
      </c>
    </row>
    <row r="612">
      <c r="A612" s="115">
        <f>1+A611</f>
        <v/>
      </c>
      <c r="B612" s="42">
        <f>Pro_Forma!$S$21/12*(1+Pro_Forma!$S$22)^ROUNDDOWN((A612-1)/12,0)</f>
        <v/>
      </c>
    </row>
    <row r="613">
      <c r="A613" s="115">
        <f>1+A612</f>
        <v/>
      </c>
      <c r="B613" s="42">
        <f>Pro_Forma!$S$21/12*(1+Pro_Forma!$S$22)^ROUNDDOWN((A613-1)/12,0)</f>
        <v/>
      </c>
    </row>
    <row r="614">
      <c r="A614" s="115">
        <f>1+A613</f>
        <v/>
      </c>
      <c r="B614" s="42">
        <f>Pro_Forma!$S$21/12*(1+Pro_Forma!$S$22)^ROUNDDOWN((A614-1)/12,0)</f>
        <v/>
      </c>
    </row>
    <row r="615">
      <c r="A615" s="115">
        <f>1+A614</f>
        <v/>
      </c>
      <c r="B615" s="42">
        <f>Pro_Forma!$S$21/12*(1+Pro_Forma!$S$22)^ROUNDDOWN((A615-1)/12,0)</f>
        <v/>
      </c>
    </row>
    <row r="616">
      <c r="A616" s="115">
        <f>1+A615</f>
        <v/>
      </c>
      <c r="B616" s="42">
        <f>Pro_Forma!$S$21/12*(1+Pro_Forma!$S$22)^ROUNDDOWN((A616-1)/12,0)</f>
        <v/>
      </c>
    </row>
    <row r="617">
      <c r="A617" s="115">
        <f>1+A616</f>
        <v/>
      </c>
      <c r="B617" s="42">
        <f>Pro_Forma!$S$21/12*(1+Pro_Forma!$S$22)^ROUNDDOWN((A617-1)/12,0)</f>
        <v/>
      </c>
    </row>
    <row r="618">
      <c r="A618" s="115">
        <f>1+A617</f>
        <v/>
      </c>
      <c r="B618" s="42">
        <f>Pro_Forma!$S$21/12*(1+Pro_Forma!$S$22)^ROUNDDOWN((A618-1)/12,0)</f>
        <v/>
      </c>
    </row>
    <row r="619">
      <c r="A619" s="115">
        <f>1+A618</f>
        <v/>
      </c>
      <c r="B619" s="42">
        <f>Pro_Forma!$S$21/12*(1+Pro_Forma!$S$22)^ROUNDDOWN((A619-1)/12,0)</f>
        <v/>
      </c>
    </row>
    <row r="620">
      <c r="A620" s="115">
        <f>1+A619</f>
        <v/>
      </c>
      <c r="B620" s="42">
        <f>Pro_Forma!$S$21/12*(1+Pro_Forma!$S$22)^ROUNDDOWN((A620-1)/12,0)</f>
        <v/>
      </c>
    </row>
    <row r="621">
      <c r="A621" s="115">
        <f>1+A620</f>
        <v/>
      </c>
      <c r="B621" s="42">
        <f>Pro_Forma!$S$21/12*(1+Pro_Forma!$S$22)^ROUNDDOWN((A621-1)/12,0)</f>
        <v/>
      </c>
    </row>
    <row r="622">
      <c r="A622" s="115">
        <f>1+A621</f>
        <v/>
      </c>
      <c r="B622" s="42">
        <f>Pro_Forma!$S$21/12*(1+Pro_Forma!$S$22)^ROUNDDOWN((A622-1)/12,0)</f>
        <v/>
      </c>
    </row>
    <row r="623">
      <c r="A623" s="115">
        <f>1+A622</f>
        <v/>
      </c>
      <c r="B623" s="42">
        <f>Pro_Forma!$S$21/12*(1+Pro_Forma!$S$22)^ROUNDDOWN((A623-1)/12,0)</f>
        <v/>
      </c>
    </row>
    <row r="624">
      <c r="A624" s="115">
        <f>1+A623</f>
        <v/>
      </c>
      <c r="B624" s="42">
        <f>Pro_Forma!$S$21/12*(1+Pro_Forma!$S$22)^ROUNDDOWN((A624-1)/12,0)</f>
        <v/>
      </c>
    </row>
    <row r="625">
      <c r="A625" s="115">
        <f>1+A624</f>
        <v/>
      </c>
      <c r="B625" s="42">
        <f>Pro_Forma!$S$21/12*(1+Pro_Forma!$S$22)^ROUNDDOWN((A625-1)/12,0)</f>
        <v/>
      </c>
    </row>
    <row r="626">
      <c r="A626" s="115">
        <f>1+A625</f>
        <v/>
      </c>
      <c r="B626" s="42">
        <f>Pro_Forma!$S$21/12*(1+Pro_Forma!$S$22)^ROUNDDOWN((A626-1)/12,0)</f>
        <v/>
      </c>
    </row>
    <row r="627">
      <c r="A627" s="115">
        <f>1+A626</f>
        <v/>
      </c>
      <c r="B627" s="42">
        <f>Pro_Forma!$S$21/12*(1+Pro_Forma!$S$22)^ROUNDDOWN((A627-1)/12,0)</f>
        <v/>
      </c>
    </row>
    <row r="628">
      <c r="A628" s="115">
        <f>1+A627</f>
        <v/>
      </c>
      <c r="B628" s="42">
        <f>Pro_Forma!$S$21/12*(1+Pro_Forma!$S$22)^ROUNDDOWN((A628-1)/12,0)</f>
        <v/>
      </c>
    </row>
    <row r="629">
      <c r="A629" s="115">
        <f>1+A628</f>
        <v/>
      </c>
      <c r="B629" s="42">
        <f>Pro_Forma!$S$21/12*(1+Pro_Forma!$S$22)^ROUNDDOWN((A629-1)/12,0)</f>
        <v/>
      </c>
    </row>
    <row r="630">
      <c r="A630" s="115">
        <f>1+A629</f>
        <v/>
      </c>
      <c r="B630" s="42">
        <f>Pro_Forma!$S$21/12*(1+Pro_Forma!$S$22)^ROUNDDOWN((A630-1)/12,0)</f>
        <v/>
      </c>
    </row>
    <row r="631">
      <c r="A631" s="115">
        <f>1+A630</f>
        <v/>
      </c>
      <c r="B631" s="42">
        <f>Pro_Forma!$S$21/12*(1+Pro_Forma!$S$22)^ROUNDDOWN((A631-1)/12,0)</f>
        <v/>
      </c>
    </row>
    <row r="632">
      <c r="A632" s="115">
        <f>1+A631</f>
        <v/>
      </c>
      <c r="B632" s="42">
        <f>Pro_Forma!$S$21/12*(1+Pro_Forma!$S$22)^ROUNDDOWN((A632-1)/12,0)</f>
        <v/>
      </c>
    </row>
    <row r="633">
      <c r="A633" s="115">
        <f>1+A632</f>
        <v/>
      </c>
      <c r="B633" s="42">
        <f>Pro_Forma!$S$21/12*(1+Pro_Forma!$S$22)^ROUNDDOWN((A633-1)/12,0)</f>
        <v/>
      </c>
    </row>
    <row r="634">
      <c r="A634" s="115">
        <f>1+A633</f>
        <v/>
      </c>
      <c r="B634" s="42">
        <f>Pro_Forma!$S$21/12*(1+Pro_Forma!$S$22)^ROUNDDOWN((A634-1)/12,0)</f>
        <v/>
      </c>
    </row>
    <row r="635">
      <c r="A635" s="115">
        <f>1+A634</f>
        <v/>
      </c>
      <c r="B635" s="42">
        <f>Pro_Forma!$S$21/12*(1+Pro_Forma!$S$22)^ROUNDDOWN((A635-1)/12,0)</f>
        <v/>
      </c>
    </row>
    <row r="636">
      <c r="A636" s="115">
        <f>1+A635</f>
        <v/>
      </c>
      <c r="B636" s="42">
        <f>Pro_Forma!$S$21/12*(1+Pro_Forma!$S$22)^ROUNDDOWN((A636-1)/12,0)</f>
        <v/>
      </c>
    </row>
    <row r="637">
      <c r="A637" s="115">
        <f>1+A636</f>
        <v/>
      </c>
      <c r="B637" s="42">
        <f>Pro_Forma!$S$21/12*(1+Pro_Forma!$S$22)^ROUNDDOWN((A637-1)/12,0)</f>
        <v/>
      </c>
    </row>
    <row r="638">
      <c r="A638" s="115">
        <f>1+A637</f>
        <v/>
      </c>
      <c r="B638" s="42">
        <f>Pro_Forma!$S$21/12*(1+Pro_Forma!$S$22)^ROUNDDOWN((A638-1)/12,0)</f>
        <v/>
      </c>
    </row>
    <row r="639">
      <c r="A639" s="115">
        <f>1+A638</f>
        <v/>
      </c>
      <c r="B639" s="42">
        <f>Pro_Forma!$S$21/12*(1+Pro_Forma!$S$22)^ROUNDDOWN((A639-1)/12,0)</f>
        <v/>
      </c>
    </row>
    <row r="640">
      <c r="A640" s="115">
        <f>1+A639</f>
        <v/>
      </c>
      <c r="B640" s="42">
        <f>Pro_Forma!$S$21/12*(1+Pro_Forma!$S$22)^ROUNDDOWN((A640-1)/12,0)</f>
        <v/>
      </c>
    </row>
    <row r="641">
      <c r="A641" s="115">
        <f>1+A640</f>
        <v/>
      </c>
      <c r="B641" s="42">
        <f>Pro_Forma!$S$21/12*(1+Pro_Forma!$S$22)^ROUNDDOWN((A641-1)/12,0)</f>
        <v/>
      </c>
    </row>
    <row r="642">
      <c r="A642" s="115">
        <f>1+A641</f>
        <v/>
      </c>
      <c r="B642" s="42">
        <f>Pro_Forma!$S$21/12*(1+Pro_Forma!$S$22)^ROUNDDOWN((A642-1)/12,0)</f>
        <v/>
      </c>
    </row>
    <row r="643">
      <c r="A643" s="115">
        <f>1+A642</f>
        <v/>
      </c>
      <c r="B643" s="42">
        <f>Pro_Forma!$S$21/12*(1+Pro_Forma!$S$22)^ROUNDDOWN((A643-1)/12,0)</f>
        <v/>
      </c>
    </row>
    <row r="644">
      <c r="A644" s="115">
        <f>1+A643</f>
        <v/>
      </c>
      <c r="B644" s="42">
        <f>Pro_Forma!$S$21/12*(1+Pro_Forma!$S$22)^ROUNDDOWN((A644-1)/12,0)</f>
        <v/>
      </c>
    </row>
    <row r="645">
      <c r="A645" s="115">
        <f>1+A644</f>
        <v/>
      </c>
      <c r="B645" s="42">
        <f>Pro_Forma!$S$21/12*(1+Pro_Forma!$S$22)^ROUNDDOWN((A645-1)/12,0)</f>
        <v/>
      </c>
    </row>
    <row r="646">
      <c r="A646" s="115">
        <f>1+A645</f>
        <v/>
      </c>
      <c r="B646" s="42">
        <f>Pro_Forma!$S$21/12*(1+Pro_Forma!$S$22)^ROUNDDOWN((A646-1)/12,0)</f>
        <v/>
      </c>
    </row>
    <row r="647">
      <c r="A647" s="115">
        <f>1+A646</f>
        <v/>
      </c>
      <c r="B647" s="42">
        <f>Pro_Forma!$S$21/12*(1+Pro_Forma!$S$22)^ROUNDDOWN((A647-1)/12,0)</f>
        <v/>
      </c>
    </row>
    <row r="648">
      <c r="A648" s="115">
        <f>1+A647</f>
        <v/>
      </c>
      <c r="B648" s="42">
        <f>Pro_Forma!$S$21/12*(1+Pro_Forma!$S$22)^ROUNDDOWN((A648-1)/12,0)</f>
        <v/>
      </c>
    </row>
    <row r="649">
      <c r="A649" s="115">
        <f>1+A648</f>
        <v/>
      </c>
      <c r="B649" s="42">
        <f>Pro_Forma!$S$21/12*(1+Pro_Forma!$S$22)^ROUNDDOWN((A649-1)/12,0)</f>
        <v/>
      </c>
    </row>
    <row r="650">
      <c r="A650" s="115">
        <f>1+A649</f>
        <v/>
      </c>
      <c r="B650" s="42">
        <f>Pro_Forma!$S$21/12*(1+Pro_Forma!$S$22)^ROUNDDOWN((A650-1)/12,0)</f>
        <v/>
      </c>
    </row>
    <row r="651">
      <c r="A651" s="115">
        <f>1+A650</f>
        <v/>
      </c>
      <c r="B651" s="42">
        <f>Pro_Forma!$S$21/12*(1+Pro_Forma!$S$22)^ROUNDDOWN((A651-1)/12,0)</f>
        <v/>
      </c>
    </row>
    <row r="652">
      <c r="A652" s="115">
        <f>1+A651</f>
        <v/>
      </c>
      <c r="B652" s="42">
        <f>Pro_Forma!$S$21/12*(1+Pro_Forma!$S$22)^ROUNDDOWN((A652-1)/12,0)</f>
        <v/>
      </c>
    </row>
    <row r="653">
      <c r="A653" s="115">
        <f>1+A652</f>
        <v/>
      </c>
      <c r="B653" s="42">
        <f>Pro_Forma!$S$21/12*(1+Pro_Forma!$S$22)^ROUNDDOWN((A653-1)/12,0)</f>
        <v/>
      </c>
    </row>
    <row r="654">
      <c r="A654" s="115">
        <f>1+A653</f>
        <v/>
      </c>
      <c r="B654" s="42">
        <f>Pro_Forma!$S$21/12*(1+Pro_Forma!$S$22)^ROUNDDOWN((A654-1)/12,0)</f>
        <v/>
      </c>
    </row>
    <row r="655">
      <c r="A655" s="115">
        <f>1+A654</f>
        <v/>
      </c>
      <c r="B655" s="42">
        <f>Pro_Forma!$S$21/12*(1+Pro_Forma!$S$22)^ROUNDDOWN((A655-1)/12,0)</f>
        <v/>
      </c>
    </row>
    <row r="656">
      <c r="A656" s="115">
        <f>1+A655</f>
        <v/>
      </c>
      <c r="B656" s="42">
        <f>Pro_Forma!$S$21/12*(1+Pro_Forma!$S$22)^ROUNDDOWN((A656-1)/12,0)</f>
        <v/>
      </c>
    </row>
    <row r="657">
      <c r="A657" s="115">
        <f>1+A656</f>
        <v/>
      </c>
      <c r="B657" s="42">
        <f>Pro_Forma!$S$21/12*(1+Pro_Forma!$S$22)^ROUNDDOWN((A657-1)/12,0)</f>
        <v/>
      </c>
    </row>
    <row r="658">
      <c r="A658" s="115">
        <f>1+A657</f>
        <v/>
      </c>
      <c r="B658" s="42">
        <f>Pro_Forma!$S$21/12*(1+Pro_Forma!$S$22)^ROUNDDOWN((A658-1)/12,0)</f>
        <v/>
      </c>
    </row>
    <row r="659">
      <c r="A659" s="115">
        <f>1+A658</f>
        <v/>
      </c>
      <c r="B659" s="42">
        <f>Pro_Forma!$S$21/12*(1+Pro_Forma!$S$22)^ROUNDDOWN((A659-1)/12,0)</f>
        <v/>
      </c>
    </row>
    <row r="660">
      <c r="A660" s="115">
        <f>1+A659</f>
        <v/>
      </c>
      <c r="B660" s="42">
        <f>Pro_Forma!$S$21/12*(1+Pro_Forma!$S$22)^ROUNDDOWN((A660-1)/12,0)</f>
        <v/>
      </c>
    </row>
    <row r="661">
      <c r="A661" s="115">
        <f>1+A660</f>
        <v/>
      </c>
      <c r="B661" s="42">
        <f>Pro_Forma!$S$21/12*(1+Pro_Forma!$S$22)^ROUNDDOWN((A661-1)/12,0)</f>
        <v/>
      </c>
    </row>
    <row r="662">
      <c r="A662" s="115">
        <f>1+A661</f>
        <v/>
      </c>
      <c r="B662" s="42">
        <f>Pro_Forma!$S$21/12*(1+Pro_Forma!$S$22)^ROUNDDOWN((A662-1)/12,0)</f>
        <v/>
      </c>
    </row>
    <row r="663">
      <c r="A663" s="115">
        <f>1+A662</f>
        <v/>
      </c>
      <c r="B663" s="42">
        <f>Pro_Forma!$S$21/12*(1+Pro_Forma!$S$22)^ROUNDDOWN((A663-1)/12,0)</f>
        <v/>
      </c>
    </row>
    <row r="664">
      <c r="A664" s="115">
        <f>1+A663</f>
        <v/>
      </c>
      <c r="B664" s="42">
        <f>Pro_Forma!$S$21/12*(1+Pro_Forma!$S$22)^ROUNDDOWN((A664-1)/12,0)</f>
        <v/>
      </c>
    </row>
    <row r="665">
      <c r="A665" s="115">
        <f>1+A664</f>
        <v/>
      </c>
      <c r="B665" s="42">
        <f>Pro_Forma!$S$21/12*(1+Pro_Forma!$S$22)^ROUNDDOWN((A665-1)/12,0)</f>
        <v/>
      </c>
    </row>
    <row r="666">
      <c r="A666" s="115">
        <f>1+A665</f>
        <v/>
      </c>
      <c r="B666" s="42">
        <f>Pro_Forma!$S$21/12*(1+Pro_Forma!$S$22)^ROUNDDOWN((A666-1)/12,0)</f>
        <v/>
      </c>
    </row>
    <row r="667">
      <c r="A667" s="115">
        <f>1+A666</f>
        <v/>
      </c>
      <c r="B667" s="42">
        <f>Pro_Forma!$S$21/12*(1+Pro_Forma!$S$22)^ROUNDDOWN((A667-1)/12,0)</f>
        <v/>
      </c>
    </row>
    <row r="668">
      <c r="A668" s="115">
        <f>1+A667</f>
        <v/>
      </c>
      <c r="B668" s="42">
        <f>Pro_Forma!$S$21/12*(1+Pro_Forma!$S$22)^ROUNDDOWN((A668-1)/12,0)</f>
        <v/>
      </c>
    </row>
    <row r="669">
      <c r="A669" s="115">
        <f>1+A668</f>
        <v/>
      </c>
      <c r="B669" s="42">
        <f>Pro_Forma!$S$21/12*(1+Pro_Forma!$S$22)^ROUNDDOWN((A669-1)/12,0)</f>
        <v/>
      </c>
    </row>
    <row r="670">
      <c r="A670" s="115">
        <f>1+A669</f>
        <v/>
      </c>
      <c r="B670" s="42">
        <f>Pro_Forma!$S$21/12*(1+Pro_Forma!$S$22)^ROUNDDOWN((A670-1)/12,0)</f>
        <v/>
      </c>
    </row>
    <row r="671">
      <c r="A671" s="115">
        <f>1+A670</f>
        <v/>
      </c>
      <c r="B671" s="42">
        <f>Pro_Forma!$S$21/12*(1+Pro_Forma!$S$22)^ROUNDDOWN((A671-1)/12,0)</f>
        <v/>
      </c>
    </row>
    <row r="672">
      <c r="A672" s="115">
        <f>1+A671</f>
        <v/>
      </c>
      <c r="B672" s="42">
        <f>Pro_Forma!$S$21/12*(1+Pro_Forma!$S$22)^ROUNDDOWN((A672-1)/12,0)</f>
        <v/>
      </c>
    </row>
    <row r="673">
      <c r="A673" s="115">
        <f>1+A672</f>
        <v/>
      </c>
      <c r="B673" s="42">
        <f>Pro_Forma!$S$21/12*(1+Pro_Forma!$S$22)^ROUNDDOWN((A673-1)/12,0)</f>
        <v/>
      </c>
    </row>
    <row r="674">
      <c r="A674" s="115">
        <f>1+A673</f>
        <v/>
      </c>
      <c r="B674" s="42">
        <f>Pro_Forma!$S$21/12*(1+Pro_Forma!$S$22)^ROUNDDOWN((A674-1)/12,0)</f>
        <v/>
      </c>
    </row>
    <row r="675">
      <c r="A675" s="115">
        <f>1+A674</f>
        <v/>
      </c>
      <c r="B675" s="42">
        <f>Pro_Forma!$S$21/12*(1+Pro_Forma!$S$22)^ROUNDDOWN((A675-1)/12,0)</f>
        <v/>
      </c>
    </row>
    <row r="676">
      <c r="A676" s="115">
        <f>1+A675</f>
        <v/>
      </c>
      <c r="B676" s="42">
        <f>Pro_Forma!$S$21/12*(1+Pro_Forma!$S$22)^ROUNDDOWN((A676-1)/12,0)</f>
        <v/>
      </c>
    </row>
    <row r="677">
      <c r="A677" s="115">
        <f>1+A676</f>
        <v/>
      </c>
      <c r="B677" s="42">
        <f>Pro_Forma!$S$21/12*(1+Pro_Forma!$S$22)^ROUNDDOWN((A677-1)/12,0)</f>
        <v/>
      </c>
    </row>
    <row r="678">
      <c r="A678" s="115">
        <f>1+A677</f>
        <v/>
      </c>
      <c r="B678" s="42">
        <f>Pro_Forma!$S$21/12*(1+Pro_Forma!$S$22)^ROUNDDOWN((A678-1)/12,0)</f>
        <v/>
      </c>
    </row>
    <row r="679">
      <c r="A679" s="115">
        <f>1+A678</f>
        <v/>
      </c>
      <c r="B679" s="42">
        <f>Pro_Forma!$S$21/12*(1+Pro_Forma!$S$22)^ROUNDDOWN((A679-1)/12,0)</f>
        <v/>
      </c>
    </row>
    <row r="680">
      <c r="A680" s="115">
        <f>1+A679</f>
        <v/>
      </c>
      <c r="B680" s="42">
        <f>Pro_Forma!$S$21/12*(1+Pro_Forma!$S$22)^ROUNDDOWN((A680-1)/12,0)</f>
        <v/>
      </c>
    </row>
    <row r="681">
      <c r="A681" s="115">
        <f>1+A680</f>
        <v/>
      </c>
      <c r="B681" s="42">
        <f>Pro_Forma!$S$21/12*(1+Pro_Forma!$S$22)^ROUNDDOWN((A681-1)/12,0)</f>
        <v/>
      </c>
    </row>
    <row r="682">
      <c r="A682" s="115">
        <f>1+A681</f>
        <v/>
      </c>
      <c r="B682" s="42">
        <f>Pro_Forma!$S$21/12*(1+Pro_Forma!$S$22)^ROUNDDOWN((A682-1)/12,0)</f>
        <v/>
      </c>
    </row>
    <row r="683">
      <c r="A683" s="115">
        <f>1+A682</f>
        <v/>
      </c>
      <c r="B683" s="42">
        <f>Pro_Forma!$S$21/12*(1+Pro_Forma!$S$22)^ROUNDDOWN((A683-1)/12,0)</f>
        <v/>
      </c>
    </row>
    <row r="684">
      <c r="A684" s="115">
        <f>1+A683</f>
        <v/>
      </c>
      <c r="B684" s="42">
        <f>Pro_Forma!$S$21/12*(1+Pro_Forma!$S$22)^ROUNDDOWN((A684-1)/12,0)</f>
        <v/>
      </c>
    </row>
    <row r="685">
      <c r="A685" s="115">
        <f>1+A684</f>
        <v/>
      </c>
      <c r="B685" s="42">
        <f>Pro_Forma!$S$21/12*(1+Pro_Forma!$S$22)^ROUNDDOWN((A685-1)/12,0)</f>
        <v/>
      </c>
    </row>
    <row r="686">
      <c r="A686" s="115">
        <f>1+A685</f>
        <v/>
      </c>
      <c r="B686" s="42">
        <f>Pro_Forma!$S$21/12*(1+Pro_Forma!$S$22)^ROUNDDOWN((A686-1)/12,0)</f>
        <v/>
      </c>
    </row>
    <row r="687">
      <c r="A687" s="115">
        <f>1+A686</f>
        <v/>
      </c>
      <c r="B687" s="42">
        <f>Pro_Forma!$S$21/12*(1+Pro_Forma!$S$22)^ROUNDDOWN((A687-1)/12,0)</f>
        <v/>
      </c>
    </row>
    <row r="688">
      <c r="A688" s="115">
        <f>1+A687</f>
        <v/>
      </c>
      <c r="B688" s="42">
        <f>Pro_Forma!$S$21/12*(1+Pro_Forma!$S$22)^ROUNDDOWN((A688-1)/12,0)</f>
        <v/>
      </c>
    </row>
    <row r="689">
      <c r="A689" s="115">
        <f>1+A688</f>
        <v/>
      </c>
      <c r="B689" s="42">
        <f>Pro_Forma!$S$21/12*(1+Pro_Forma!$S$22)^ROUNDDOWN((A689-1)/12,0)</f>
        <v/>
      </c>
    </row>
    <row r="690">
      <c r="A690" s="115">
        <f>1+A689</f>
        <v/>
      </c>
      <c r="B690" s="42">
        <f>Pro_Forma!$S$21/12*(1+Pro_Forma!$S$22)^ROUNDDOWN((A690-1)/12,0)</f>
        <v/>
      </c>
    </row>
    <row r="691">
      <c r="A691" s="115">
        <f>1+A690</f>
        <v/>
      </c>
      <c r="B691" s="42">
        <f>Pro_Forma!$S$21/12*(1+Pro_Forma!$S$22)^ROUNDDOWN((A691-1)/12,0)</f>
        <v/>
      </c>
    </row>
    <row r="692">
      <c r="A692" s="115">
        <f>1+A691</f>
        <v/>
      </c>
      <c r="B692" s="42">
        <f>Pro_Forma!$S$21/12*(1+Pro_Forma!$S$22)^ROUNDDOWN((A692-1)/12,0)</f>
        <v/>
      </c>
    </row>
    <row r="693">
      <c r="A693" s="115">
        <f>1+A692</f>
        <v/>
      </c>
      <c r="B693" s="42">
        <f>Pro_Forma!$S$21/12*(1+Pro_Forma!$S$22)^ROUNDDOWN((A693-1)/12,0)</f>
        <v/>
      </c>
    </row>
    <row r="694">
      <c r="A694" s="115">
        <f>1+A693</f>
        <v/>
      </c>
      <c r="B694" s="42">
        <f>Pro_Forma!$S$21/12*(1+Pro_Forma!$S$22)^ROUNDDOWN((A694-1)/12,0)</f>
        <v/>
      </c>
    </row>
    <row r="695">
      <c r="A695" s="115">
        <f>1+A694</f>
        <v/>
      </c>
      <c r="B695" s="42">
        <f>Pro_Forma!$S$21/12*(1+Pro_Forma!$S$22)^ROUNDDOWN((A695-1)/12,0)</f>
        <v/>
      </c>
    </row>
    <row r="696">
      <c r="A696" s="115">
        <f>1+A695</f>
        <v/>
      </c>
      <c r="B696" s="42">
        <f>Pro_Forma!$S$21/12*(1+Pro_Forma!$S$22)^ROUNDDOWN((A696-1)/12,0)</f>
        <v/>
      </c>
    </row>
    <row r="697">
      <c r="A697" s="115">
        <f>1+A696</f>
        <v/>
      </c>
      <c r="B697" s="42">
        <f>Pro_Forma!$S$21/12*(1+Pro_Forma!$S$22)^ROUNDDOWN((A697-1)/12,0)</f>
        <v/>
      </c>
    </row>
    <row r="698">
      <c r="A698" s="115">
        <f>1+A697</f>
        <v/>
      </c>
      <c r="B698" s="42">
        <f>Pro_Forma!$S$21/12*(1+Pro_Forma!$S$22)^ROUNDDOWN((A698-1)/12,0)</f>
        <v/>
      </c>
    </row>
    <row r="699">
      <c r="A699" s="115">
        <f>1+A698</f>
        <v/>
      </c>
      <c r="B699" s="42">
        <f>Pro_Forma!$S$21/12*(1+Pro_Forma!$S$22)^ROUNDDOWN((A699-1)/12,0)</f>
        <v/>
      </c>
    </row>
    <row r="700">
      <c r="A700" s="115">
        <f>1+A699</f>
        <v/>
      </c>
      <c r="B700" s="42">
        <f>Pro_Forma!$S$21/12*(1+Pro_Forma!$S$22)^ROUNDDOWN((A700-1)/12,0)</f>
        <v/>
      </c>
    </row>
    <row r="701">
      <c r="A701" s="115">
        <f>1+A700</f>
        <v/>
      </c>
      <c r="B701" s="42">
        <f>Pro_Forma!$S$21/12*(1+Pro_Forma!$S$22)^ROUNDDOWN((A701-1)/12,0)</f>
        <v/>
      </c>
    </row>
    <row r="702">
      <c r="A702" s="115">
        <f>1+A701</f>
        <v/>
      </c>
      <c r="B702" s="42">
        <f>Pro_Forma!$S$21/12*(1+Pro_Forma!$S$22)^ROUNDDOWN((A702-1)/12,0)</f>
        <v/>
      </c>
    </row>
    <row r="703">
      <c r="A703" s="115">
        <f>1+A702</f>
        <v/>
      </c>
      <c r="B703" s="42">
        <f>Pro_Forma!$S$21/12*(1+Pro_Forma!$S$22)^ROUNDDOWN((A703-1)/12,0)</f>
        <v/>
      </c>
    </row>
    <row r="704">
      <c r="A704" s="115">
        <f>1+A703</f>
        <v/>
      </c>
      <c r="B704" s="42">
        <f>Pro_Forma!$S$21/12*(1+Pro_Forma!$S$22)^ROUNDDOWN((A704-1)/12,0)</f>
        <v/>
      </c>
    </row>
    <row r="705">
      <c r="A705" s="115">
        <f>1+A704</f>
        <v/>
      </c>
      <c r="B705" s="42">
        <f>Pro_Forma!$S$21/12*(1+Pro_Forma!$S$22)^ROUNDDOWN((A705-1)/12,0)</f>
        <v/>
      </c>
    </row>
    <row r="706">
      <c r="A706" s="115">
        <f>1+A705</f>
        <v/>
      </c>
      <c r="B706" s="42">
        <f>Pro_Forma!$S$21/12*(1+Pro_Forma!$S$22)^ROUNDDOWN((A706-1)/12,0)</f>
        <v/>
      </c>
    </row>
    <row r="707">
      <c r="A707" s="115">
        <f>1+A706</f>
        <v/>
      </c>
      <c r="B707" s="42">
        <f>Pro_Forma!$S$21/12*(1+Pro_Forma!$S$22)^ROUNDDOWN((A707-1)/12,0)</f>
        <v/>
      </c>
    </row>
    <row r="708">
      <c r="A708" s="115">
        <f>1+A707</f>
        <v/>
      </c>
      <c r="B708" s="42">
        <f>Pro_Forma!$S$21/12*(1+Pro_Forma!$S$22)^ROUNDDOWN((A708-1)/12,0)</f>
        <v/>
      </c>
    </row>
    <row r="709">
      <c r="A709" s="115">
        <f>1+A708</f>
        <v/>
      </c>
      <c r="B709" s="42">
        <f>Pro_Forma!$S$21/12*(1+Pro_Forma!$S$22)^ROUNDDOWN((A709-1)/12,0)</f>
        <v/>
      </c>
    </row>
    <row r="710">
      <c r="A710" s="115">
        <f>1+A709</f>
        <v/>
      </c>
      <c r="B710" s="42">
        <f>Pro_Forma!$S$21/12*(1+Pro_Forma!$S$22)^ROUNDDOWN((A710-1)/12,0)</f>
        <v/>
      </c>
    </row>
    <row r="711">
      <c r="A711" s="115">
        <f>1+A710</f>
        <v/>
      </c>
      <c r="B711" s="42">
        <f>Pro_Forma!$S$21/12*(1+Pro_Forma!$S$22)^ROUNDDOWN((A711-1)/12,0)</f>
        <v/>
      </c>
    </row>
    <row r="712">
      <c r="A712" s="115">
        <f>1+A711</f>
        <v/>
      </c>
      <c r="B712" s="42">
        <f>Pro_Forma!$S$21/12*(1+Pro_Forma!$S$22)^ROUNDDOWN((A712-1)/12,0)</f>
        <v/>
      </c>
    </row>
    <row r="713">
      <c r="A713" s="115">
        <f>1+A712</f>
        <v/>
      </c>
      <c r="B713" s="42">
        <f>Pro_Forma!$S$21/12*(1+Pro_Forma!$S$22)^ROUNDDOWN((A713-1)/12,0)</f>
        <v/>
      </c>
    </row>
    <row r="714">
      <c r="A714" s="115">
        <f>1+A713</f>
        <v/>
      </c>
      <c r="B714" s="42">
        <f>Pro_Forma!$S$21/12*(1+Pro_Forma!$S$22)^ROUNDDOWN((A714-1)/12,0)</f>
        <v/>
      </c>
    </row>
    <row r="715">
      <c r="A715" s="115">
        <f>1+A714</f>
        <v/>
      </c>
      <c r="B715" s="42">
        <f>Pro_Forma!$S$21/12*(1+Pro_Forma!$S$22)^ROUNDDOWN((A715-1)/12,0)</f>
        <v/>
      </c>
    </row>
    <row r="716">
      <c r="A716" s="115">
        <f>1+A715</f>
        <v/>
      </c>
      <c r="B716" s="42">
        <f>Pro_Forma!$S$21/12*(1+Pro_Forma!$S$22)^ROUNDDOWN((A716-1)/12,0)</f>
        <v/>
      </c>
    </row>
    <row r="717">
      <c r="A717" s="115">
        <f>1+A716</f>
        <v/>
      </c>
      <c r="B717" s="42">
        <f>Pro_Forma!$S$21/12*(1+Pro_Forma!$S$22)^ROUNDDOWN((A717-1)/12,0)</f>
        <v/>
      </c>
    </row>
    <row r="718">
      <c r="A718" s="115">
        <f>1+A717</f>
        <v/>
      </c>
      <c r="B718" s="42">
        <f>Pro_Forma!$S$21/12*(1+Pro_Forma!$S$22)^ROUNDDOWN((A718-1)/12,0)</f>
        <v/>
      </c>
    </row>
    <row r="719">
      <c r="A719" s="115">
        <f>1+A718</f>
        <v/>
      </c>
      <c r="B719" s="42">
        <f>Pro_Forma!$S$21/12*(1+Pro_Forma!$S$22)^ROUNDDOWN((A719-1)/12,0)</f>
        <v/>
      </c>
    </row>
    <row r="720">
      <c r="A720" s="115">
        <f>1+A719</f>
        <v/>
      </c>
      <c r="B720" s="42">
        <f>Pro_Forma!$S$21/12*(1+Pro_Forma!$S$22)^ROUNDDOWN((A720-1)/12,0)</f>
        <v/>
      </c>
    </row>
    <row r="721">
      <c r="A721" s="115">
        <f>1+A720</f>
        <v/>
      </c>
      <c r="B721" s="42">
        <f>Pro_Forma!$S$21/12*(1+Pro_Forma!$S$22)^ROUNDDOWN((A721-1)/12,0)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B2:C136"/>
  <sheetViews>
    <sheetView topLeftCell="A7" workbookViewId="0">
      <selection activeCell="E42" sqref="E42"/>
    </sheetView>
  </sheetViews>
  <sheetFormatPr baseColWidth="10" defaultColWidth="8.83203125" defaultRowHeight="15"/>
  <cols>
    <col width="38.6640625" customWidth="1" min="2" max="2"/>
    <col width="14.5" customWidth="1" min="3" max="3"/>
  </cols>
  <sheetData>
    <row r="2">
      <c r="C2" t="inlineStr">
        <is>
          <t>Pro_Forma</t>
        </is>
      </c>
    </row>
    <row r="4">
      <c r="B4" t="inlineStr">
        <is>
          <t>Project Name</t>
        </is>
      </c>
      <c r="C4">
        <f>+ADDRESS(ROW(Pro_Forma!B2),COLUMN(Pro_Forma!B2))</f>
        <v/>
      </c>
    </row>
    <row r="5">
      <c r="B5" t="inlineStr">
        <is>
          <t>County</t>
        </is>
      </c>
      <c r="C5">
        <f>+ADDRESS(ROW(Pro_Forma!C3),COLUMN(Pro_Forma!C3))</f>
        <v/>
      </c>
    </row>
    <row r="6">
      <c r="B6" t="inlineStr">
        <is>
          <t>Acres</t>
        </is>
      </c>
      <c r="C6">
        <f>+ADDRESS(ROW(Pro_Forma!D12),COLUMN(Pro_Forma!D12))</f>
        <v/>
      </c>
    </row>
    <row r="7">
      <c r="B7" t="inlineStr">
        <is>
          <t>DU/Ac</t>
        </is>
      </c>
      <c r="C7">
        <f>+ADDRESS(ROW(Pro_Forma!C13),COLUMN(Pro_Forma!C13))</f>
        <v/>
      </c>
    </row>
    <row r="8">
      <c r="B8" t="inlineStr">
        <is>
          <t>Unit Count</t>
        </is>
      </c>
      <c r="C8">
        <f>+ADDRESS(ROW(Pro_Forma!C14),COLUMN(Pro_Forma!C14))</f>
        <v/>
      </c>
    </row>
    <row r="9">
      <c r="B9" t="inlineStr">
        <is>
          <t>Rent Growth</t>
        </is>
      </c>
      <c r="C9">
        <f>+ADDRESS(ROW(Pro_Forma!C19),COLUMN(Pro_Forma!C19))</f>
        <v/>
      </c>
    </row>
    <row r="10">
      <c r="B10" t="inlineStr">
        <is>
          <t>Bond Test Limit</t>
        </is>
      </c>
      <c r="C10">
        <f>+ADDRESS(ROW(Pro_Forma!C21),COLUMN(Pro_Forma!C21))</f>
        <v/>
      </c>
    </row>
    <row r="12">
      <c r="B12" s="1" t="inlineStr">
        <is>
          <t>Return Summary</t>
        </is>
      </c>
      <c r="C12">
        <f>C13&amp;":"&amp;C18</f>
        <v/>
      </c>
    </row>
    <row r="13">
      <c r="B13" t="inlineStr">
        <is>
          <t>Equity Required</t>
        </is>
      </c>
      <c r="C13">
        <f>+ADDRESS(ROW(Pro_Forma!C24),COLUMN(Pro_Forma!C24))</f>
        <v/>
      </c>
    </row>
    <row r="14">
      <c r="B14" t="inlineStr">
        <is>
          <t>GP IRR (15-yr)</t>
        </is>
      </c>
      <c r="C14">
        <f>+ADDRESS(ROW(Pro_Forma!C25),COLUMN(Pro_Forma!C25))</f>
        <v/>
      </c>
    </row>
    <row r="15">
      <c r="B15" t="inlineStr">
        <is>
          <t>GP MOIC</t>
        </is>
      </c>
      <c r="C15">
        <f>+ADDRESS(ROW(Pro_Forma!C26),COLUMN(Pro_Forma!C26))</f>
        <v/>
      </c>
    </row>
    <row r="16">
      <c r="B16" t="inlineStr">
        <is>
          <t>GP Net Profit</t>
        </is>
      </c>
      <c r="C16">
        <f>+ADDRESS(ROW(Pro_Forma!C27),COLUMN(Pro_Forma!C27))</f>
        <v/>
      </c>
    </row>
    <row r="17">
      <c r="B17" t="inlineStr">
        <is>
          <t>Total IRR</t>
        </is>
      </c>
      <c r="C17">
        <f>+ADDRESS(ROW(Pro_Forma!C28),COLUMN(Pro_Forma!C28))</f>
        <v/>
      </c>
    </row>
    <row r="18">
      <c r="B18" t="inlineStr">
        <is>
          <t>Tiebreak Score</t>
        </is>
      </c>
      <c r="C18">
        <f>+ADDRESS(ROW(Pro_Forma!C30),COLUMN(Pro_Forma!C30))</f>
        <v/>
      </c>
    </row>
    <row r="20">
      <c r="B20" s="1" t="inlineStr">
        <is>
          <t>Uses</t>
        </is>
      </c>
      <c r="C20">
        <f>C21&amp;":"&amp;C40</f>
        <v/>
      </c>
    </row>
    <row r="21">
      <c r="B21" t="inlineStr">
        <is>
          <t>Acquisition Costs</t>
        </is>
      </c>
      <c r="C21">
        <f>+ADDRESS(ROW(Pro_Forma!D33),COLUMN(Pro_Forma!D33))</f>
        <v/>
      </c>
    </row>
    <row r="22">
      <c r="B22" t="inlineStr">
        <is>
          <t>Land Lease Reserve</t>
        </is>
      </c>
      <c r="C22">
        <f>+ADDRESS(ROW(Pro_Forma!D35),COLUMN(Pro_Forma!D35))</f>
        <v/>
      </c>
    </row>
    <row r="23">
      <c r="B23" t="inlineStr">
        <is>
          <t>Hard Costs</t>
        </is>
      </c>
      <c r="C23">
        <f>+ADDRESS(ROW(Pro_Forma!D36),COLUMN(Pro_Forma!D36))</f>
        <v/>
      </c>
    </row>
    <row r="24">
      <c r="B24" t="inlineStr">
        <is>
          <t>Due Diligence</t>
        </is>
      </c>
      <c r="C24">
        <f>+ADDRESS(ROW(Pro_Forma!D37),COLUMN(Pro_Forma!D37))</f>
        <v/>
      </c>
    </row>
    <row r="25">
      <c r="B25" t="inlineStr">
        <is>
          <t>Consultants</t>
        </is>
      </c>
      <c r="C25">
        <f>+ADDRESS(ROW(Pro_Forma!D38),COLUMN(Pro_Forma!D38))</f>
        <v/>
      </c>
    </row>
    <row r="26">
      <c r="B26" t="inlineStr">
        <is>
          <t>Muni Fees</t>
        </is>
      </c>
      <c r="C26">
        <f>+ADDRESS(ROW(Pro_Forma!D39),COLUMN(Pro_Forma!D39))</f>
        <v/>
      </c>
    </row>
    <row r="27">
      <c r="B27" t="inlineStr">
        <is>
          <t>Misc &amp; Carrying Costs</t>
        </is>
      </c>
      <c r="C27">
        <f>+ADDRESS(ROW(Pro_Forma!D40),COLUMN(Pro_Forma!D40))</f>
        <v/>
      </c>
    </row>
    <row r="28">
      <c r="B28" t="inlineStr">
        <is>
          <t>LIHTC &amp; Legal Consulting</t>
        </is>
      </c>
      <c r="C28">
        <f>+ADDRESS(ROW(Pro_Forma!D43),COLUMN(Pro_Forma!D43))</f>
        <v/>
      </c>
    </row>
    <row r="29">
      <c r="B29" t="inlineStr">
        <is>
          <t>Property Taxes</t>
        </is>
      </c>
      <c r="C29">
        <f>+ADDRESS(ROW(Pro_Forma!D46),COLUMN(Pro_Forma!D46))</f>
        <v/>
      </c>
    </row>
    <row r="30">
      <c r="B30" t="inlineStr">
        <is>
          <t>Developer Fee</t>
        </is>
      </c>
      <c r="C30">
        <f>+ADDRESS(ROW(Pro_Forma!D47),COLUMN(Pro_Forma!D47))</f>
        <v/>
      </c>
    </row>
    <row r="31">
      <c r="B31" t="inlineStr">
        <is>
          <t>Operating Reserves</t>
        </is>
      </c>
      <c r="C31">
        <f>+ADDRESS(ROW(Pro_Forma!D48),COLUMN(Pro_Forma!D48))</f>
        <v/>
      </c>
    </row>
    <row r="32">
      <c r="B32" t="inlineStr">
        <is>
          <t>Hard Cost Contingency</t>
        </is>
      </c>
      <c r="C32">
        <f>+ADDRESS(ROW(Pro_Forma!D49),COLUMN(Pro_Forma!D49))</f>
        <v/>
      </c>
    </row>
    <row r="33">
      <c r="B33" t="inlineStr">
        <is>
          <t>Soft Cost Contingency</t>
        </is>
      </c>
      <c r="C33">
        <f>+ADDRESS(ROW(Pro_Forma!D50),COLUMN(Pro_Forma!D50))</f>
        <v/>
      </c>
    </row>
    <row r="34">
      <c r="B34" t="inlineStr">
        <is>
          <t>Perm Loan Costs</t>
        </is>
      </c>
      <c r="C34">
        <f>+ADDRESS(ROW(Pro_Forma!D51),COLUMN(Pro_Forma!D51))</f>
        <v/>
      </c>
    </row>
    <row r="35">
      <c r="B35" t="inlineStr">
        <is>
          <t>Pre-TCO Interest</t>
        </is>
      </c>
      <c r="C35">
        <f>+ADDRESS(ROW(Pro_Forma!D52),COLUMN(Pro_Forma!D52))</f>
        <v/>
      </c>
    </row>
    <row r="36">
      <c r="B36" t="inlineStr">
        <is>
          <t>Post-TCO Interest</t>
        </is>
      </c>
      <c r="C36">
        <f>+ADDRESS(ROW(Pro_Forma!D53),COLUMN(Pro_Forma!D53))</f>
        <v/>
      </c>
    </row>
    <row r="37">
      <c r="B37" t="inlineStr">
        <is>
          <t>Constr Loan Closing Costs</t>
        </is>
      </c>
      <c r="C37">
        <f>+ADDRESS(ROW(Pro_Forma!D54),COLUMN(Pro_Forma!D54))</f>
        <v/>
      </c>
    </row>
    <row r="38">
      <c r="B38" t="inlineStr">
        <is>
          <t>Total Uses</t>
        </is>
      </c>
      <c r="C38">
        <f>+ADDRESS(ROW(Pro_Forma!D55),COLUMN(Pro_Forma!D55))</f>
        <v/>
      </c>
    </row>
    <row r="39">
      <c r="B39" t="inlineStr">
        <is>
          <t>Eligible Basis</t>
        </is>
      </c>
      <c r="C39">
        <f>+ADDRESS(ROW(Pro_Forma!D56),COLUMN(Pro_Forma!D56))</f>
        <v/>
      </c>
    </row>
    <row r="40">
      <c r="B40" t="inlineStr">
        <is>
          <t>Depreciable Basis + Acq</t>
        </is>
      </c>
      <c r="C40">
        <f>+ADDRESS(ROW(Pro_Forma!D57),COLUMN(Pro_Forma!D57))</f>
        <v/>
      </c>
    </row>
    <row r="42">
      <c r="B42" s="1" t="inlineStr">
        <is>
          <t>Sources - Construction</t>
        </is>
      </c>
      <c r="C42">
        <f>C43&amp;":"&amp;C52</f>
        <v/>
      </c>
    </row>
    <row r="43">
      <c r="B43" t="inlineStr">
        <is>
          <t>Tax Exempt Construction Loan</t>
        </is>
      </c>
      <c r="C43">
        <f>+ADDRESS(ROW(Pro_Forma!D62),COLUMN(Pro_Forma!D62))</f>
        <v/>
      </c>
    </row>
    <row r="44">
      <c r="B44" t="inlineStr">
        <is>
          <t>Taxable Construction Loan</t>
        </is>
      </c>
      <c r="C44">
        <f>+ADDRESS(ROW(Pro_Forma!D63),COLUMN(Pro_Forma!D63))</f>
        <v/>
      </c>
    </row>
    <row r="45">
      <c r="B45" t="inlineStr">
        <is>
          <t>B-Bond</t>
        </is>
      </c>
      <c r="C45">
        <f>+ADDRESS(ROW(Pro_Forma!#REF!),COLUMN(Pro_Forma!#REF!))</f>
        <v/>
      </c>
    </row>
    <row r="46">
      <c r="B46" t="inlineStr">
        <is>
          <t>Land/Soft Costs Contributed - Dev</t>
        </is>
      </c>
      <c r="C46">
        <f>+ADDRESS(ROW(Pro_Forma!D65),COLUMN(Pro_Forma!D65))</f>
        <v/>
      </c>
    </row>
    <row r="47">
      <c r="B47" t="inlineStr">
        <is>
          <t>Developer Cash Contr. (Equity/Loan)</t>
        </is>
      </c>
      <c r="C47">
        <f>+ADDRESS(ROW(Pro_Forma!D66),COLUMN(Pro_Forma!D66))</f>
        <v/>
      </c>
    </row>
    <row r="48">
      <c r="B48" t="inlineStr">
        <is>
          <t>Ground Lessor</t>
        </is>
      </c>
      <c r="C48">
        <f>+ADDRESS(ROW(Pro_Forma!D67),COLUMN(Pro_Forma!D67))</f>
        <v/>
      </c>
    </row>
    <row r="49">
      <c r="B49" t="inlineStr">
        <is>
          <t>Tax Credit Equity</t>
        </is>
      </c>
      <c r="C49">
        <f>+ADDRESS(ROW(Pro_Forma!D69),COLUMN(Pro_Forma!D69))</f>
        <v/>
      </c>
    </row>
    <row r="50">
      <c r="B50" t="inlineStr">
        <is>
          <t>Costs Deferred:Conversion</t>
        </is>
      </c>
      <c r="C50">
        <f>+ADDRESS(ROW(Pro_Forma!D70),COLUMN(Pro_Forma!D70))</f>
        <v/>
      </c>
    </row>
    <row r="51">
      <c r="B51" t="inlineStr">
        <is>
          <t>Deferred Dev. Fee</t>
        </is>
      </c>
      <c r="C51">
        <f>+ADDRESS(ROW(Pro_Forma!D71),COLUMN(Pro_Forma!D71))</f>
        <v/>
      </c>
    </row>
    <row r="52">
      <c r="B52" t="inlineStr">
        <is>
          <t>Total Construction Sources</t>
        </is>
      </c>
      <c r="C52">
        <f>+ADDRESS(ROW(Pro_Forma!D72),COLUMN(Pro_Forma!D72))</f>
        <v/>
      </c>
    </row>
    <row r="54">
      <c r="B54" s="1" t="inlineStr">
        <is>
          <t>Sources - Permanent</t>
        </is>
      </c>
      <c r="C54">
        <f>C55&amp;":"&amp;C61</f>
        <v/>
      </c>
    </row>
    <row r="55">
      <c r="B55" t="inlineStr">
        <is>
          <t>Permanent Loan</t>
        </is>
      </c>
      <c r="C55">
        <f>+ADDRESS(ROW(Pro_Forma!D75),COLUMN(Pro_Forma!D75))</f>
        <v/>
      </c>
    </row>
    <row r="56">
      <c r="B56" t="inlineStr">
        <is>
          <t>B-Bond</t>
        </is>
      </c>
      <c r="C56">
        <f>+ADDRESS(ROW(Pro_Forma!D76),COLUMN(Pro_Forma!D76))</f>
        <v/>
      </c>
    </row>
    <row r="57">
      <c r="B57" t="inlineStr">
        <is>
          <t>Developer Equity/Loan</t>
        </is>
      </c>
      <c r="C57">
        <f>+ADDRESS(ROW(Pro_Forma!D77),COLUMN(Pro_Forma!D77))</f>
        <v/>
      </c>
    </row>
    <row r="58">
      <c r="B58" t="inlineStr">
        <is>
          <t>Ground Lessor</t>
        </is>
      </c>
      <c r="C58">
        <f>+ADDRESS(ROW(Pro_Forma!D78),COLUMN(Pro_Forma!D78))</f>
        <v/>
      </c>
    </row>
    <row r="59">
      <c r="B59" t="inlineStr">
        <is>
          <t>Tax Credit Equity</t>
        </is>
      </c>
      <c r="C59">
        <f>+ADDRESS(ROW(Pro_Forma!D80),COLUMN(Pro_Forma!D80))</f>
        <v/>
      </c>
    </row>
    <row r="60">
      <c r="B60" t="inlineStr">
        <is>
          <t>Deferred Dev. Fee</t>
        </is>
      </c>
      <c r="C60">
        <f>+ADDRESS(ROW(Pro_Forma!D81),COLUMN(Pro_Forma!D81))</f>
        <v/>
      </c>
    </row>
    <row r="61">
      <c r="B61" t="inlineStr">
        <is>
          <t>Total Permanent Sources</t>
        </is>
      </c>
      <c r="C61">
        <f>+ADDRESS(ROW(Pro_Forma!D82),COLUMN(Pro_Forma!D82))</f>
        <v/>
      </c>
    </row>
    <row r="63">
      <c r="B63" s="1" t="inlineStr">
        <is>
          <t>Tax Credit</t>
        </is>
      </c>
      <c r="C63">
        <f>C64&amp;":"&amp;C68</f>
        <v/>
      </c>
    </row>
    <row r="64">
      <c r="B64" t="inlineStr">
        <is>
          <t>Eligible Basis</t>
        </is>
      </c>
      <c r="C64">
        <f>+ADDRESS(ROW(Pro_Forma!D86),COLUMN(Pro_Forma!D86))</f>
        <v/>
      </c>
    </row>
    <row r="65">
      <c r="B65" t="inlineStr">
        <is>
          <t>High Cost Adjustment</t>
        </is>
      </c>
      <c r="C65">
        <f>+ADDRESS(ROW(Pro_Forma!D87),COLUMN(Pro_Forma!D87))</f>
        <v/>
      </c>
    </row>
    <row r="66">
      <c r="B66" t="inlineStr">
        <is>
          <t>Applicable Percentage</t>
        </is>
      </c>
      <c r="C66">
        <f>+ADDRESS(ROW(Pro_Forma!D88),COLUMN(Pro_Forma!D88))</f>
        <v/>
      </c>
    </row>
    <row r="67">
      <c r="B67" t="inlineStr">
        <is>
          <t>Tax Credit Factor</t>
        </is>
      </c>
      <c r="C67">
        <f>+ADDRESS(ROW(Pro_Forma!D89),COLUMN(Pro_Forma!D89))</f>
        <v/>
      </c>
    </row>
    <row r="68">
      <c r="B68" t="inlineStr">
        <is>
          <t>Equity:Project</t>
        </is>
      </c>
      <c r="C68">
        <f>+ADDRESS(ROW(Pro_Forma!D94),COLUMN(Pro_Forma!D94))</f>
        <v/>
      </c>
    </row>
    <row r="70">
      <c r="B70" s="1" t="inlineStr">
        <is>
          <t>Developer Fees</t>
        </is>
      </c>
      <c r="C70">
        <f>C71&amp;":"&amp;C73</f>
        <v/>
      </c>
    </row>
    <row r="71">
      <c r="B71" t="inlineStr">
        <is>
          <t>Capitalized Dev Fee</t>
        </is>
      </c>
      <c r="C71">
        <f>+ADDRESS(ROW(Pro_Forma!D97),COLUMN(Pro_Forma!D97))</f>
        <v/>
      </c>
    </row>
    <row r="72">
      <c r="B72" t="inlineStr">
        <is>
          <t>Deferred Dev Fee</t>
        </is>
      </c>
      <c r="C72">
        <f>+ADDRESS(ROW(Pro_Forma!D100),COLUMN(Pro_Forma!D100))</f>
        <v/>
      </c>
    </row>
    <row r="73">
      <c r="B73" t="inlineStr">
        <is>
          <t>Total Developer Fee</t>
        </is>
      </c>
      <c r="C73">
        <f>+ADDRESS(ROW(Pro_Forma!D101),COLUMN(Pro_Forma!D101))</f>
        <v/>
      </c>
    </row>
    <row r="75">
      <c r="B75" t="inlineStr">
        <is>
          <t>Startup Costs (At Risk)</t>
        </is>
      </c>
      <c r="C75">
        <f>C76&amp;":"&amp;C80</f>
        <v/>
      </c>
    </row>
    <row r="76">
      <c r="B76" t="inlineStr">
        <is>
          <t>Acq Deposit</t>
        </is>
      </c>
      <c r="C76">
        <f>+ADDRESS(ROW(Pro_Forma!D105),COLUMN(Pro_Forma!D105))</f>
        <v/>
      </c>
    </row>
    <row r="77">
      <c r="B77" t="inlineStr">
        <is>
          <t>Architect</t>
        </is>
      </c>
      <c r="C77">
        <f>+ADDRESS(ROW(Pro_Forma!D106),COLUMN(Pro_Forma!D106))</f>
        <v/>
      </c>
    </row>
    <row r="78">
      <c r="B78" t="inlineStr">
        <is>
          <t>Due Diligence Reports</t>
        </is>
      </c>
      <c r="C78">
        <f>+ADDRESS(ROW(Pro_Forma!D108),COLUMN(Pro_Forma!D108))</f>
        <v/>
      </c>
    </row>
    <row r="79">
      <c r="B79" t="inlineStr">
        <is>
          <t>CDLAC App Costs</t>
        </is>
      </c>
      <c r="C79">
        <f>+ADDRESS(ROW(Pro_Forma!D109),COLUMN(Pro_Forma!D109))</f>
        <v/>
      </c>
    </row>
    <row r="80">
      <c r="B80" t="inlineStr">
        <is>
          <t>Total Startup Costs</t>
        </is>
      </c>
      <c r="C80">
        <f>+ADDRESS(ROW(Pro_Forma!D110),COLUMN(Pro_Forma!D110))</f>
        <v/>
      </c>
    </row>
    <row r="82">
      <c r="B82" s="1" t="inlineStr">
        <is>
          <t>Dev Fee Calc</t>
        </is>
      </c>
      <c r="C82">
        <f>C83&amp;":"&amp;C89</f>
        <v/>
      </c>
    </row>
    <row r="83">
      <c r="B83" t="inlineStr">
        <is>
          <t>15% of unadjusted eligible basis</t>
        </is>
      </c>
      <c r="C83">
        <f>+ADDRESS(ROW(Pro_Forma!D121),COLUMN(Pro_Forma!D121))</f>
        <v/>
      </c>
    </row>
    <row r="84">
      <c r="B84" t="inlineStr">
        <is>
          <t>5% of unadjusted eligible acq basis</t>
        </is>
      </c>
      <c r="C84">
        <f>+ADDRESS(ROW(Pro_Forma!D122),COLUMN(Pro_Forma!D122))</f>
        <v/>
      </c>
    </row>
    <row r="85">
      <c r="B85" t="inlineStr">
        <is>
          <t>Max of 2,500,000</t>
        </is>
      </c>
      <c r="C85">
        <f>+ADDRESS(ROW(Pro_Forma!D123),COLUMN(Pro_Forma!D123))</f>
        <v/>
      </c>
    </row>
    <row r="86">
      <c r="B86" t="inlineStr">
        <is>
          <t>Unadjusted Eligible basis &gt;6,666,667</t>
        </is>
      </c>
      <c r="C86">
        <f>+ADDRESS(ROW(Pro_Forma!D124),COLUMN(Pro_Forma!D124))</f>
        <v/>
      </c>
    </row>
    <row r="87">
      <c r="B87" t="inlineStr">
        <is>
          <t>5% of above</t>
        </is>
      </c>
      <c r="C87">
        <f>+ADDRESS(ROW(Pro_Forma!D125),COLUMN(Pro_Forma!D125))</f>
        <v/>
      </c>
    </row>
    <row r="88">
      <c r="B88" t="inlineStr">
        <is>
          <t>Plus $1m</t>
        </is>
      </c>
      <c r="C88">
        <f>+ADDRESS(ROW(Pro_Forma!D126),COLUMN(Pro_Forma!D126))</f>
        <v/>
      </c>
    </row>
    <row r="89">
      <c r="B89" t="inlineStr">
        <is>
          <t>Maximum Capitalized Dev Fee</t>
        </is>
      </c>
      <c r="C89">
        <f>+ADDRESS(ROW(Pro_Forma!D127),COLUMN(Pro_Forma!D127))</f>
        <v/>
      </c>
    </row>
    <row r="91">
      <c r="B91" s="1" t="inlineStr">
        <is>
          <t>Dev Fee Helper Calcs</t>
        </is>
      </c>
      <c r="C91">
        <f>C92&amp;":"&amp;C98</f>
        <v/>
      </c>
    </row>
    <row r="92">
      <c r="B92" t="inlineStr">
        <is>
          <t>Gap before Dev Equity/Deferrals</t>
        </is>
      </c>
      <c r="C92">
        <f>+ADDRESS(ROW(Pro_Forma!D130),COLUMN(Pro_Forma!D130))</f>
        <v/>
      </c>
    </row>
    <row r="93">
      <c r="B93" t="inlineStr">
        <is>
          <t>Base Deferred Dev Fee</t>
        </is>
      </c>
      <c r="C93">
        <f>+ADDRESS(ROW(Pro_Forma!D131),COLUMN(Pro_Forma!D131))</f>
        <v/>
      </c>
    </row>
    <row r="94">
      <c r="B94" t="inlineStr">
        <is>
          <t>Excess Funding Adjustment</t>
        </is>
      </c>
      <c r="C94">
        <f>+ADDRESS(ROW(Pro_Forma!D132),COLUMN(Pro_Forma!D132))</f>
        <v/>
      </c>
    </row>
    <row r="95">
      <c r="B95" t="inlineStr">
        <is>
          <t>Residual need before Dev/Deferred (permanent)</t>
        </is>
      </c>
      <c r="C95">
        <f>+ADDRESS(ROW(Pro_Forma!D133),COLUMN(Pro_Forma!D133))</f>
        <v/>
      </c>
    </row>
    <row r="96">
      <c r="B96" t="inlineStr">
        <is>
          <t>Developer cash cap at permanent</t>
        </is>
      </c>
      <c r="C96">
        <f>+ADDRESS(ROW(Pro_Forma!D134),COLUMN(Pro_Forma!D134))</f>
        <v/>
      </c>
    </row>
    <row r="97">
      <c r="B97" t="inlineStr">
        <is>
          <t>Developer Equity/Loan (residual, capped)</t>
        </is>
      </c>
      <c r="C97">
        <f>+ADDRESS(ROW(Pro_Forma!D135),COLUMN(Pro_Forma!D135))</f>
        <v/>
      </c>
    </row>
    <row r="98">
      <c r="B98" t="inlineStr">
        <is>
          <t>Permanent Deferred Dev. Fee (bounded by construction DDF &amp; residual)</t>
        </is>
      </c>
      <c r="C98">
        <f>+ADDRESS(ROW(Pro_Forma!D136),COLUMN(Pro_Forma!D136))</f>
        <v/>
      </c>
    </row>
    <row r="100">
      <c r="B100" t="inlineStr">
        <is>
          <t>Unit Mix begin</t>
        </is>
      </c>
      <c r="C100">
        <f>+ADDRESS(ROW(Pro_Forma!H3),COLUMN(Pro_Forma!H3))</f>
        <v/>
      </c>
    </row>
    <row r="101">
      <c r="B101" t="inlineStr">
        <is>
          <t>Unit Mix end</t>
        </is>
      </c>
      <c r="C101">
        <f>+ADDRESS(ROW(Pro_Forma!H6),COLUMN(Pro_Forma!H6))</f>
        <v/>
      </c>
    </row>
    <row r="102">
      <c r="B102" t="inlineStr">
        <is>
          <t>Unit mix</t>
        </is>
      </c>
      <c r="C102">
        <f>C100&amp;":"&amp;C101</f>
        <v/>
      </c>
    </row>
    <row r="104">
      <c r="B104" t="inlineStr">
        <is>
          <t>0B utility allowance begin</t>
        </is>
      </c>
      <c r="C104">
        <f>+ADDRESS(ROW(Pro_Forma!L11),COLUMN(Pro_Forma!L11))</f>
        <v/>
      </c>
    </row>
    <row r="105">
      <c r="B105" t="inlineStr">
        <is>
          <t>0B utility allowance end</t>
        </is>
      </c>
      <c r="C105">
        <f>+ADDRESS(ROW(Pro_Forma!L13),COLUMN(Pro_Forma!L13))</f>
        <v/>
      </c>
    </row>
    <row r="106">
      <c r="B106" t="inlineStr">
        <is>
          <t>0B utility allowance</t>
        </is>
      </c>
      <c r="C106">
        <f>C104&amp;":"&amp;C105</f>
        <v/>
      </c>
    </row>
    <row r="107">
      <c r="B107" t="inlineStr">
        <is>
          <t>1B utility allowance begin</t>
        </is>
      </c>
      <c r="C107">
        <f>+ADDRESS(ROW(Pro_Forma!L14),COLUMN(Pro_Forma!L14))</f>
        <v/>
      </c>
    </row>
    <row r="108">
      <c r="B108" t="inlineStr">
        <is>
          <t>1B utility allowance end</t>
        </is>
      </c>
      <c r="C108">
        <f>+ADDRESS(ROW(Pro_Forma!L17),COLUMN(Pro_Forma!L17))</f>
        <v/>
      </c>
    </row>
    <row r="109">
      <c r="B109" t="inlineStr">
        <is>
          <t>1B utility allowance</t>
        </is>
      </c>
      <c r="C109">
        <f>C107&amp;":"&amp;C108</f>
        <v/>
      </c>
    </row>
    <row r="110">
      <c r="B110" t="inlineStr">
        <is>
          <t>2B utility allowance begin</t>
        </is>
      </c>
      <c r="C110">
        <f>+ADDRESS(ROW(Pro_Forma!L18),COLUMN(Pro_Forma!L18))</f>
        <v/>
      </c>
    </row>
    <row r="111">
      <c r="B111" t="inlineStr">
        <is>
          <t>2B utility allowance end</t>
        </is>
      </c>
      <c r="C111">
        <f>+ADDRESS(ROW(Pro_Forma!L21),COLUMN(Pro_Forma!L21))</f>
        <v/>
      </c>
    </row>
    <row r="112">
      <c r="B112" t="inlineStr">
        <is>
          <t>2B utility allowance</t>
        </is>
      </c>
      <c r="C112">
        <f>C110&amp;":"&amp;C111</f>
        <v/>
      </c>
    </row>
    <row r="113">
      <c r="B113" t="inlineStr">
        <is>
          <t>3B utility allowance begin</t>
        </is>
      </c>
      <c r="C113">
        <f>+ADDRESS(ROW(Pro_Forma!L22),COLUMN(Pro_Forma!L22))</f>
        <v/>
      </c>
    </row>
    <row r="114">
      <c r="B114" t="inlineStr">
        <is>
          <t>3B utility allowance end</t>
        </is>
      </c>
      <c r="C114">
        <f>+ADDRESS(ROW(Pro_Forma!L25),COLUMN(Pro_Forma!L25))</f>
        <v/>
      </c>
    </row>
    <row r="115">
      <c r="B115" t="inlineStr">
        <is>
          <t>3B utility allowance</t>
        </is>
      </c>
      <c r="C115">
        <f>C113&amp;":"&amp;C114</f>
        <v/>
      </c>
    </row>
    <row r="116">
      <c r="B116" t="inlineStr">
        <is>
          <t>manager's utility allowance</t>
        </is>
      </c>
      <c r="C116">
        <f>+ADDRESS(ROW(Pro_Forma!L26),COLUMN(Pro_Forma!L26))</f>
        <v/>
      </c>
    </row>
    <row r="118">
      <c r="B118" t="inlineStr">
        <is>
          <t>0B Rent roll units begin</t>
        </is>
      </c>
      <c r="C118">
        <f>+ADDRESS(ROW(Pro_Forma!I11),COLUMN(Pro_Forma!I11))</f>
        <v/>
      </c>
    </row>
    <row r="119">
      <c r="B119" t="inlineStr">
        <is>
          <t>0B Rent roll units end</t>
        </is>
      </c>
      <c r="C119">
        <f>+ADDRESS(ROW(Pro_Forma!I13),COLUMN(Pro_Forma!I13))</f>
        <v/>
      </c>
    </row>
    <row r="120">
      <c r="B120" t="inlineStr">
        <is>
          <t>0B Rent roll units</t>
        </is>
      </c>
      <c r="C120">
        <f>C118&amp;":"&amp;C119</f>
        <v/>
      </c>
    </row>
    <row r="121">
      <c r="B121" t="inlineStr">
        <is>
          <t>1B Rent roll units begin</t>
        </is>
      </c>
      <c r="C121">
        <f>+ADDRESS(ROW(Pro_Forma!I14),COLUMN(Pro_Forma!I14))</f>
        <v/>
      </c>
    </row>
    <row r="122">
      <c r="B122" t="inlineStr">
        <is>
          <t>1B Rent roll units end</t>
        </is>
      </c>
      <c r="C122">
        <f>+ADDRESS(ROW(Pro_Forma!I17),COLUMN(Pro_Forma!I17))</f>
        <v/>
      </c>
    </row>
    <row r="123">
      <c r="B123" t="inlineStr">
        <is>
          <t>1B Rent roll units</t>
        </is>
      </c>
      <c r="C123">
        <f>C121&amp;":"&amp;C122</f>
        <v/>
      </c>
    </row>
    <row r="124">
      <c r="B124" t="inlineStr">
        <is>
          <t>2B Rent roll units begin</t>
        </is>
      </c>
      <c r="C124">
        <f>+ADDRESS(ROW(Pro_Forma!I18),COLUMN(Pro_Forma!I18))</f>
        <v/>
      </c>
    </row>
    <row r="125">
      <c r="B125" t="inlineStr">
        <is>
          <t>2B Rent roll units end</t>
        </is>
      </c>
      <c r="C125">
        <f>+ADDRESS(ROW(Pro_Forma!I21),COLUMN(Pro_Forma!I21))</f>
        <v/>
      </c>
    </row>
    <row r="126">
      <c r="B126" t="inlineStr">
        <is>
          <t>2B Rent roll units</t>
        </is>
      </c>
      <c r="C126">
        <f>C124&amp;":"&amp;C125</f>
        <v/>
      </c>
    </row>
    <row r="127">
      <c r="B127" t="inlineStr">
        <is>
          <t>3B Rent roll units begin</t>
        </is>
      </c>
      <c r="C127">
        <f>+ADDRESS(ROW(Pro_Forma!I22),COLUMN(Pro_Forma!I22))</f>
        <v/>
      </c>
    </row>
    <row r="128">
      <c r="B128" t="inlineStr">
        <is>
          <t>3B Rent roll units end</t>
        </is>
      </c>
      <c r="C128">
        <f>+ADDRESS(ROW(Pro_Forma!I25),COLUMN(Pro_Forma!I25))</f>
        <v/>
      </c>
    </row>
    <row r="129">
      <c r="B129" t="inlineStr">
        <is>
          <t>3B Rent roll units</t>
        </is>
      </c>
      <c r="C129">
        <f>C127&amp;":"&amp;C128</f>
        <v/>
      </c>
    </row>
    <row r="130">
      <c r="B130" t="inlineStr">
        <is>
          <t>manager's unit</t>
        </is>
      </c>
      <c r="C130">
        <f>+ADDRESS(ROW(Pro_Forma!I26),COLUMN(Pro_Forma!I26))</f>
        <v/>
      </c>
    </row>
    <row r="136">
      <c r="B136" t="inlineStr">
        <is>
          <t>Land costs</t>
        </is>
      </c>
      <c r="C136">
        <f>ADDRESS(ROW(Pro_Forma!S16),COLUMN(Pro_Forma!S16))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R436"/>
  <sheetViews>
    <sheetView topLeftCell="A4" workbookViewId="0">
      <selection activeCell="A237" sqref="A237:XFD237"/>
    </sheetView>
  </sheetViews>
  <sheetFormatPr baseColWidth="10" defaultColWidth="8.83203125" defaultRowHeight="15"/>
  <cols>
    <col width="50.5" bestFit="1" customWidth="1" min="1" max="1"/>
    <col width="24.33203125" bestFit="1" customWidth="1" min="2" max="2"/>
    <col width="13.5" bestFit="1" customWidth="1" min="3" max="3"/>
    <col width="31.5" bestFit="1" customWidth="1" min="4" max="4"/>
    <col width="23.5" bestFit="1" customWidth="1" min="5" max="5"/>
    <col width="17.33203125" bestFit="1" customWidth="1" min="6" max="6"/>
    <col width="27.5" bestFit="1" customWidth="1" min="7" max="7"/>
    <col width="42.6640625" bestFit="1" customWidth="1" min="8" max="8"/>
  </cols>
  <sheetData>
    <row r="1">
      <c r="A1" s="189" t="inlineStr">
        <is>
          <t>PHA</t>
        </is>
      </c>
      <c r="B1" s="189" t="inlineStr">
        <is>
          <t>Jurisdiction/City</t>
        </is>
      </c>
      <c r="C1" s="189" t="inlineStr">
        <is>
          <t>Effective Date</t>
        </is>
      </c>
      <c r="D1" s="189" t="inlineStr">
        <is>
          <t>Unit Type</t>
        </is>
      </c>
      <c r="E1" s="189" t="inlineStr">
        <is>
          <t>Unit Type (Standardized)</t>
        </is>
      </c>
      <c r="F1" s="189" t="inlineStr">
        <is>
          <t>Utility</t>
        </is>
      </c>
      <c r="G1" s="189" t="inlineStr">
        <is>
          <t>Fuel/Notes</t>
        </is>
      </c>
      <c r="H1" s="189" t="inlineStr">
        <is>
          <t>Utility_Full</t>
        </is>
      </c>
      <c r="I1" s="189" t="inlineStr">
        <is>
          <t>0BR</t>
        </is>
      </c>
      <c r="J1" s="189" t="inlineStr">
        <is>
          <t>1BR</t>
        </is>
      </c>
      <c r="K1" s="189" t="inlineStr">
        <is>
          <t>2BR</t>
        </is>
      </c>
      <c r="L1" s="189" t="inlineStr">
        <is>
          <t>3BR</t>
        </is>
      </c>
      <c r="M1" s="189" t="inlineStr">
        <is>
          <t>4BR</t>
        </is>
      </c>
      <c r="N1" s="189" t="inlineStr">
        <is>
          <t>5BR</t>
        </is>
      </c>
      <c r="O1" s="189" t="inlineStr">
        <is>
          <t>6BR</t>
        </is>
      </c>
      <c r="P1" s="189" t="inlineStr">
        <is>
          <t>7BR</t>
        </is>
      </c>
      <c r="Q1" s="189" t="inlineStr">
        <is>
          <t>Source URL</t>
        </is>
      </c>
      <c r="R1" s="189" t="inlineStr">
        <is>
          <t>Status</t>
        </is>
      </c>
    </row>
    <row r="2">
      <c r="A2" t="inlineStr">
        <is>
          <t>Housing Authority of the City of Los Angeles (HACLA)</t>
        </is>
      </c>
      <c r="B2" t="inlineStr">
        <is>
          <t>Los Angeles</t>
        </is>
      </c>
      <c r="C2" t="inlineStr">
        <is>
          <t>2024-12-01</t>
        </is>
      </c>
      <c r="D2" t="inlineStr">
        <is>
          <t>Multi-Family</t>
        </is>
      </c>
      <c r="E2" t="inlineStr">
        <is>
          <t>Multifamily</t>
        </is>
      </c>
      <c r="F2" t="inlineStr">
        <is>
          <t>Air Conditioning</t>
        </is>
      </c>
      <c r="G2" t="inlineStr">
        <is>
          <t>Electric</t>
        </is>
      </c>
      <c r="H2" t="inlineStr">
        <is>
          <t>Air Conditioning - Electric</t>
        </is>
      </c>
      <c r="I2" t="n">
        <v>7</v>
      </c>
      <c r="J2" t="n">
        <v>10</v>
      </c>
      <c r="K2" t="n">
        <v>13</v>
      </c>
      <c r="L2" t="n">
        <v>15</v>
      </c>
      <c r="M2" t="n">
        <v>20</v>
      </c>
      <c r="N2" t="n">
        <v>22</v>
      </c>
      <c r="O2" t="n">
        <v>25</v>
      </c>
      <c r="P2" t="n">
        <v>28</v>
      </c>
      <c r="Q2" t="inlineStr">
        <is>
          <t>HACLA UA table (user screenshot, Dec 1 2024)</t>
        </is>
      </c>
      <c r="R2" t="inlineStr">
        <is>
          <t>Populated</t>
        </is>
      </c>
    </row>
    <row r="3">
      <c r="A3" t="inlineStr">
        <is>
          <t>Housing Authority of the City of Los Angeles (HACLA)</t>
        </is>
      </c>
      <c r="B3" t="inlineStr">
        <is>
          <t>Los Angeles</t>
        </is>
      </c>
      <c r="C3" t="inlineStr">
        <is>
          <t>2024-12-01</t>
        </is>
      </c>
      <c r="D3" t="inlineStr">
        <is>
          <t>Multi-Family</t>
        </is>
      </c>
      <c r="E3" t="inlineStr">
        <is>
          <t>Multifamily</t>
        </is>
      </c>
      <c r="F3" t="inlineStr">
        <is>
          <t>Air Conditioning</t>
        </is>
      </c>
      <c r="G3" t="inlineStr">
        <is>
          <t>Evaporative Cooler</t>
        </is>
      </c>
      <c r="H3" t="inlineStr">
        <is>
          <t>Air Conditioning - Evaporative Cooler</t>
        </is>
      </c>
      <c r="I3" t="n">
        <v>0</v>
      </c>
      <c r="J3" t="n">
        <v>0</v>
      </c>
      <c r="K3" t="n">
        <v>0</v>
      </c>
      <c r="L3" t="n">
        <v>0</v>
      </c>
      <c r="M3" t="n">
        <v>0</v>
      </c>
      <c r="N3" t="n">
        <v>0</v>
      </c>
      <c r="O3" t="n">
        <v>0</v>
      </c>
      <c r="P3" t="n">
        <v>0</v>
      </c>
      <c r="Q3" s="190" t="inlineStr">
        <is>
          <t>https://hacla.org/sites/default/files/Section%208/Utility%20Allowances/Utility%20Allowance%20Effective%202024-12-01.pdf</t>
        </is>
      </c>
      <c r="R3" t="inlineStr">
        <is>
          <t>Pending / Zero-fill</t>
        </is>
      </c>
    </row>
    <row r="4">
      <c r="A4" t="inlineStr">
        <is>
          <t>Housing Authority of the City of Los Angeles (HACLA)</t>
        </is>
      </c>
      <c r="B4" t="inlineStr">
        <is>
          <t>Los Angeles</t>
        </is>
      </c>
      <c r="C4" t="inlineStr">
        <is>
          <t>2024-12-01</t>
        </is>
      </c>
      <c r="D4" t="inlineStr">
        <is>
          <t>Multi-Family</t>
        </is>
      </c>
      <c r="E4" t="inlineStr">
        <is>
          <t>Multifamily</t>
        </is>
      </c>
      <c r="F4" t="inlineStr">
        <is>
          <t>Cooking</t>
        </is>
      </c>
      <c r="G4" t="inlineStr">
        <is>
          <t>Electric</t>
        </is>
      </c>
      <c r="H4" t="inlineStr">
        <is>
          <t>Cooking - Electric</t>
        </is>
      </c>
      <c r="I4" t="n">
        <v>2</v>
      </c>
      <c r="J4" t="n">
        <v>3</v>
      </c>
      <c r="K4" t="n">
        <v>4</v>
      </c>
      <c r="L4" t="n">
        <v>5</v>
      </c>
      <c r="M4" t="n">
        <v>7</v>
      </c>
      <c r="N4" t="n">
        <v>8</v>
      </c>
      <c r="O4" t="n">
        <v>9</v>
      </c>
      <c r="P4" t="n">
        <v>9</v>
      </c>
      <c r="Q4" t="inlineStr">
        <is>
          <t>HACLA UA table (user screenshot, Dec 1 2024)</t>
        </is>
      </c>
      <c r="R4" t="inlineStr">
        <is>
          <t>Populated</t>
        </is>
      </c>
    </row>
    <row r="5">
      <c r="A5" t="inlineStr">
        <is>
          <t>Housing Authority of the City of Los Angeles (HACLA)</t>
        </is>
      </c>
      <c r="B5" t="inlineStr">
        <is>
          <t>Los Angeles</t>
        </is>
      </c>
      <c r="C5" t="inlineStr">
        <is>
          <t>2024-12-01</t>
        </is>
      </c>
      <c r="D5" t="inlineStr">
        <is>
          <t>Multi-Family</t>
        </is>
      </c>
      <c r="E5" t="inlineStr">
        <is>
          <t>Multifamily</t>
        </is>
      </c>
      <c r="F5" t="inlineStr">
        <is>
          <t>Cooking</t>
        </is>
      </c>
      <c r="G5" t="inlineStr">
        <is>
          <t>Natural Gas</t>
        </is>
      </c>
      <c r="H5" t="inlineStr">
        <is>
          <t>Cooking - Natural Gas</t>
        </is>
      </c>
      <c r="I5" t="n">
        <v>2</v>
      </c>
      <c r="J5" t="n">
        <v>3</v>
      </c>
      <c r="K5" t="n">
        <v>4</v>
      </c>
      <c r="L5" t="n">
        <v>5</v>
      </c>
      <c r="M5" t="n">
        <v>7</v>
      </c>
      <c r="N5" t="n">
        <v>9</v>
      </c>
      <c r="O5" t="n">
        <v>10</v>
      </c>
      <c r="P5" t="n">
        <v>10</v>
      </c>
      <c r="Q5" t="inlineStr">
        <is>
          <t>HACLA UA table (user screenshot, Dec 1 2024)</t>
        </is>
      </c>
      <c r="R5" t="inlineStr">
        <is>
          <t>Populated</t>
        </is>
      </c>
    </row>
    <row r="6">
      <c r="A6" t="inlineStr">
        <is>
          <t>Housing Authority of the City of Los Angeles (HACLA)</t>
        </is>
      </c>
      <c r="B6" t="inlineStr">
        <is>
          <t>Los Angeles</t>
        </is>
      </c>
      <c r="C6" t="inlineStr">
        <is>
          <t>2024-12-01</t>
        </is>
      </c>
      <c r="D6" t="inlineStr">
        <is>
          <t>Multi-Family</t>
        </is>
      </c>
      <c r="E6" t="inlineStr">
        <is>
          <t>Multifamily</t>
        </is>
      </c>
      <c r="F6" t="inlineStr">
        <is>
          <t>Dishwasher</t>
        </is>
      </c>
      <c r="G6" t="inlineStr">
        <is>
          <t>Allowance</t>
        </is>
      </c>
      <c r="H6" t="inlineStr">
        <is>
          <t>Dishwasher - Allowance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s="190" t="inlineStr">
        <is>
          <t>https://hacla.org/sites/default/files/Section%208/Utility%20Allowances/Utility%20Allowance%20Effective%202024-12-01.pdf</t>
        </is>
      </c>
      <c r="R6" t="inlineStr">
        <is>
          <t>Pending / Zero-fill</t>
        </is>
      </c>
    </row>
    <row r="7">
      <c r="A7" t="inlineStr">
        <is>
          <t>Housing Authority of the City of Los Angeles (HACLA)</t>
        </is>
      </c>
      <c r="B7" t="inlineStr">
        <is>
          <t>Los Angeles</t>
        </is>
      </c>
      <c r="C7" t="inlineStr">
        <is>
          <t>2024-12-01</t>
        </is>
      </c>
      <c r="D7" t="inlineStr">
        <is>
          <t>Multi-Family</t>
        </is>
      </c>
      <c r="E7" t="inlineStr">
        <is>
          <t>Multifamily</t>
        </is>
      </c>
      <c r="F7" t="inlineStr">
        <is>
          <t>Dryer</t>
        </is>
      </c>
      <c r="G7" t="inlineStr">
        <is>
          <t>Allowance</t>
        </is>
      </c>
      <c r="H7" t="inlineStr">
        <is>
          <t>Dryer - Allowance</t>
        </is>
      </c>
      <c r="I7" t="n">
        <v>0</v>
      </c>
      <c r="J7" t="n">
        <v>0</v>
      </c>
      <c r="K7" t="n">
        <v>0</v>
      </c>
      <c r="L7" t="n">
        <v>0</v>
      </c>
      <c r="M7" t="n">
        <v>0</v>
      </c>
      <c r="N7" t="n">
        <v>0</v>
      </c>
      <c r="O7" t="n">
        <v>0</v>
      </c>
      <c r="P7" t="n">
        <v>0</v>
      </c>
      <c r="Q7" s="190" t="inlineStr">
        <is>
          <t>https://hacla.org/sites/default/files/Section%208/Utility%20Allowances/Utility%20Allowance%20Effective%202024-12-01.pdf</t>
        </is>
      </c>
      <c r="R7" t="inlineStr">
        <is>
          <t>Pending / Zero-fill</t>
        </is>
      </c>
    </row>
    <row r="8">
      <c r="A8" t="inlineStr">
        <is>
          <t>Housing Authority of the City of Los Angeles (HACLA)</t>
        </is>
      </c>
      <c r="B8" t="inlineStr">
        <is>
          <t>Los Angeles</t>
        </is>
      </c>
      <c r="C8" t="inlineStr">
        <is>
          <t>2024-12-01</t>
        </is>
      </c>
      <c r="D8" t="inlineStr">
        <is>
          <t>Multi-Family</t>
        </is>
      </c>
      <c r="E8" t="inlineStr">
        <is>
          <t>Multifamily</t>
        </is>
      </c>
      <c r="F8" t="inlineStr">
        <is>
          <t>Freezer</t>
        </is>
      </c>
      <c r="G8" t="inlineStr">
        <is>
          <t>Allowance</t>
        </is>
      </c>
      <c r="H8" t="inlineStr">
        <is>
          <t>Freezer - Allowance</t>
        </is>
      </c>
      <c r="I8" t="n">
        <v>0</v>
      </c>
      <c r="J8" t="n">
        <v>0</v>
      </c>
      <c r="K8" t="n">
        <v>0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s="190" t="inlineStr">
        <is>
          <t>https://hacla.org/sites/default/files/Section%208/Utility%20Allowances/Utility%20Allowance%20Effective%202024-12-01.pdf</t>
        </is>
      </c>
      <c r="R8" t="inlineStr">
        <is>
          <t>Pending / Zero-fill</t>
        </is>
      </c>
    </row>
    <row r="9">
      <c r="A9" t="inlineStr">
        <is>
          <t>Housing Authority of the City of Los Angeles (HACLA)</t>
        </is>
      </c>
      <c r="B9" t="inlineStr">
        <is>
          <t>Los Angeles</t>
        </is>
      </c>
      <c r="C9" t="inlineStr">
        <is>
          <t>2024-12-01</t>
        </is>
      </c>
      <c r="D9" t="inlineStr">
        <is>
          <t>Multi-Family</t>
        </is>
      </c>
      <c r="E9" t="inlineStr">
        <is>
          <t>Multifamily</t>
        </is>
      </c>
      <c r="F9" t="inlineStr">
        <is>
          <t>Other - Specify</t>
        </is>
      </c>
      <c r="G9" t="inlineStr">
        <is>
          <t>Lifeline / Baseline Credit</t>
        </is>
      </c>
      <c r="H9" t="inlineStr">
        <is>
          <t>Other - Specify - Lifeline / Baseline Credit</t>
        </is>
      </c>
      <c r="I9" t="n">
        <v>0</v>
      </c>
      <c r="J9" t="n">
        <v>0</v>
      </c>
      <c r="K9" t="n">
        <v>0</v>
      </c>
      <c r="L9" t="n">
        <v>0</v>
      </c>
      <c r="M9" t="n">
        <v>0</v>
      </c>
      <c r="N9" t="n">
        <v>0</v>
      </c>
      <c r="O9" t="n">
        <v>0</v>
      </c>
      <c r="P9" t="n">
        <v>0</v>
      </c>
      <c r="Q9" s="190" t="inlineStr">
        <is>
          <t>https://hacla.org/sites/default/files/Section%208/Utility%20Allowances/Utility%20Allowance%20Effective%202024-12-01.pdf</t>
        </is>
      </c>
      <c r="R9" t="inlineStr">
        <is>
          <t>Pending / Zero-fill</t>
        </is>
      </c>
    </row>
    <row r="10">
      <c r="A10" t="inlineStr">
        <is>
          <t>Housing Authority of the City of Los Angeles (HACLA)</t>
        </is>
      </c>
      <c r="B10" t="inlineStr">
        <is>
          <t>Los Angeles</t>
        </is>
      </c>
      <c r="C10" t="inlineStr">
        <is>
          <t>2024-12-01</t>
        </is>
      </c>
      <c r="D10" t="inlineStr">
        <is>
          <t>Multi-Family</t>
        </is>
      </c>
      <c r="E10" t="inlineStr">
        <is>
          <t>Multifamily</t>
        </is>
      </c>
      <c r="F10" t="inlineStr">
        <is>
          <t>Other - Specify</t>
        </is>
      </c>
      <c r="G10" t="inlineStr">
        <is>
          <t>Solar/PV Credit</t>
        </is>
      </c>
      <c r="H10" t="inlineStr">
        <is>
          <t>Other - Specify - Solar/PV Credit</t>
        </is>
      </c>
      <c r="I10" t="n">
        <v>0</v>
      </c>
      <c r="J10" t="n">
        <v>0</v>
      </c>
      <c r="K10" t="n">
        <v>0</v>
      </c>
      <c r="L10" t="n">
        <v>0</v>
      </c>
      <c r="M10" t="n">
        <v>0</v>
      </c>
      <c r="N10" t="n">
        <v>0</v>
      </c>
      <c r="O10" t="n">
        <v>0</v>
      </c>
      <c r="P10" t="n">
        <v>0</v>
      </c>
      <c r="Q10" s="190" t="inlineStr">
        <is>
          <t>https://hacla.org/sites/default/files/Section%208/Utility%20Allowances/Utility%20Allowance%20Effective%202024-12-01.pdf</t>
        </is>
      </c>
      <c r="R10" t="inlineStr">
        <is>
          <t>Pending / Zero-fill</t>
        </is>
      </c>
    </row>
    <row r="11">
      <c r="A11" t="inlineStr">
        <is>
          <t>Housing Authority of the City of Los Angeles (HACLA)</t>
        </is>
      </c>
      <c r="B11" t="inlineStr">
        <is>
          <t>Los Angeles</t>
        </is>
      </c>
      <c r="C11" t="inlineStr">
        <is>
          <t>2024-12-01</t>
        </is>
      </c>
      <c r="D11" t="inlineStr">
        <is>
          <t>Multi-Family</t>
        </is>
      </c>
      <c r="E11" t="inlineStr">
        <is>
          <t>Multifamily</t>
        </is>
      </c>
      <c r="F11" t="inlineStr">
        <is>
          <t>Other - Specify</t>
        </is>
      </c>
      <c r="G11" t="inlineStr">
        <is>
          <t>Utility Customer Charge / Fee</t>
        </is>
      </c>
      <c r="H11" t="inlineStr">
        <is>
          <t>Other - Specify - Utility Customer Charge / Fee</t>
        </is>
      </c>
      <c r="I11" t="n">
        <v>0</v>
      </c>
      <c r="J11" t="n">
        <v>0</v>
      </c>
      <c r="K11" t="n">
        <v>0</v>
      </c>
      <c r="L11" t="n">
        <v>0</v>
      </c>
      <c r="M11" t="n">
        <v>0</v>
      </c>
      <c r="N11" t="n">
        <v>0</v>
      </c>
      <c r="O11" t="n">
        <v>0</v>
      </c>
      <c r="P11" t="n">
        <v>0</v>
      </c>
      <c r="Q11" s="190" t="inlineStr">
        <is>
          <t>https://hacla.org/sites/default/files/Section%208/Utility%20Allowances/Utility%20Allowance%20Effective%202024-12-01.pdf</t>
        </is>
      </c>
      <c r="R11" t="inlineStr">
        <is>
          <t>Pending / Zero-fill</t>
        </is>
      </c>
    </row>
    <row r="12">
      <c r="A12" t="inlineStr">
        <is>
          <t>Housing Authority of the City of Los Angeles (HACLA)</t>
        </is>
      </c>
      <c r="B12" t="inlineStr">
        <is>
          <t>Los Angeles</t>
        </is>
      </c>
      <c r="C12" t="inlineStr">
        <is>
          <t>2024-12-01</t>
        </is>
      </c>
      <c r="D12" t="inlineStr">
        <is>
          <t>Multi-Family</t>
        </is>
      </c>
      <c r="E12" t="inlineStr">
        <is>
          <t>Multifamily</t>
        </is>
      </c>
      <c r="F12" t="inlineStr">
        <is>
          <t>Other Electric</t>
        </is>
      </c>
      <c r="G12" t="inlineStr">
        <is>
          <t>Electric (Lights/Plugs)</t>
        </is>
      </c>
      <c r="H12" t="inlineStr">
        <is>
          <t>Other Electric - Electric (Lights/Plugs)</t>
        </is>
      </c>
      <c r="I12" t="n">
        <v>16</v>
      </c>
      <c r="J12" t="n">
        <v>22</v>
      </c>
      <c r="K12" t="n">
        <v>28</v>
      </c>
      <c r="L12" t="n">
        <v>35</v>
      </c>
      <c r="M12" t="n">
        <v>44</v>
      </c>
      <c r="N12" t="n">
        <v>51</v>
      </c>
      <c r="O12" t="n">
        <v>57</v>
      </c>
      <c r="P12" t="n">
        <v>63</v>
      </c>
      <c r="Q12" t="inlineStr">
        <is>
          <t>HACLA UA table (user screenshot, Dec 1 2024)</t>
        </is>
      </c>
      <c r="R12" t="inlineStr">
        <is>
          <t>Populated</t>
        </is>
      </c>
    </row>
    <row r="13">
      <c r="A13" t="inlineStr">
        <is>
          <t>Housing Authority of the City of Los Angeles (HACLA)</t>
        </is>
      </c>
      <c r="B13" t="inlineStr">
        <is>
          <t>Los Angeles</t>
        </is>
      </c>
      <c r="C13" t="inlineStr">
        <is>
          <t>2024-12-01</t>
        </is>
      </c>
      <c r="D13" t="inlineStr">
        <is>
          <t>Multi-Family</t>
        </is>
      </c>
      <c r="E13" t="inlineStr">
        <is>
          <t>Multifamily</t>
        </is>
      </c>
      <c r="F13" t="inlineStr">
        <is>
          <t>Sewer</t>
        </is>
      </c>
      <c r="G13" t="inlineStr">
        <is>
          <t>—</t>
        </is>
      </c>
      <c r="H13" t="inlineStr">
        <is>
          <t>Sewer</t>
        </is>
      </c>
      <c r="I13" t="n">
        <v>0</v>
      </c>
      <c r="J13" t="n">
        <v>0</v>
      </c>
      <c r="K13" t="n">
        <v>0</v>
      </c>
      <c r="L13" t="n">
        <v>0</v>
      </c>
      <c r="M13" t="n">
        <v>0</v>
      </c>
      <c r="N13" t="n">
        <v>0</v>
      </c>
      <c r="O13" t="n">
        <v>0</v>
      </c>
      <c r="P13" t="n">
        <v>0</v>
      </c>
      <c r="Q13" s="190" t="inlineStr">
        <is>
          <t>https://hacla.org/sites/default/files/Section%208/Utility%20Allowances/Utility%20Allowance%20Effective%202024-12-01.pdf</t>
        </is>
      </c>
      <c r="R13" t="inlineStr">
        <is>
          <t>Pending / Zero-fill</t>
        </is>
      </c>
    </row>
    <row r="14">
      <c r="A14" t="inlineStr">
        <is>
          <t>Housing Authority of the City of Los Angeles (HACLA)</t>
        </is>
      </c>
      <c r="B14" t="inlineStr">
        <is>
          <t>Los Angeles</t>
        </is>
      </c>
      <c r="C14" t="inlineStr">
        <is>
          <t>2024-12-01</t>
        </is>
      </c>
      <c r="D14" t="inlineStr">
        <is>
          <t>Multi-Family</t>
        </is>
      </c>
      <c r="E14" t="inlineStr">
        <is>
          <t>Multifamily</t>
        </is>
      </c>
      <c r="F14" t="inlineStr">
        <is>
          <t>Space Heating</t>
        </is>
      </c>
      <c r="G14" t="inlineStr">
        <is>
          <t>Electric</t>
        </is>
      </c>
      <c r="H14" t="inlineStr">
        <is>
          <t>Space Heating - Electric</t>
        </is>
      </c>
      <c r="I14" t="n">
        <v>6</v>
      </c>
      <c r="J14" t="n">
        <v>9</v>
      </c>
      <c r="K14" t="n">
        <v>12</v>
      </c>
      <c r="L14" t="n">
        <v>15</v>
      </c>
      <c r="M14" t="n">
        <v>18</v>
      </c>
      <c r="N14" t="n">
        <v>19</v>
      </c>
      <c r="O14" t="n">
        <v>24</v>
      </c>
      <c r="P14" t="n">
        <v>24</v>
      </c>
      <c r="Q14" t="inlineStr">
        <is>
          <t>HACLA UA table (user screenshot, Dec 1 2024)</t>
        </is>
      </c>
      <c r="R14" t="inlineStr">
        <is>
          <t>Populated</t>
        </is>
      </c>
    </row>
    <row r="15">
      <c r="A15" t="inlineStr">
        <is>
          <t>Housing Authority of the City of Los Angeles (HACLA)</t>
        </is>
      </c>
      <c r="B15" t="inlineStr">
        <is>
          <t>Los Angeles</t>
        </is>
      </c>
      <c r="C15" t="inlineStr">
        <is>
          <t>2024-12-01</t>
        </is>
      </c>
      <c r="D15" t="inlineStr">
        <is>
          <t>Multi-Family</t>
        </is>
      </c>
      <c r="E15" t="inlineStr">
        <is>
          <t>Multifamily</t>
        </is>
      </c>
      <c r="F15" t="inlineStr">
        <is>
          <t>Space Heating</t>
        </is>
      </c>
      <c r="G15" t="inlineStr">
        <is>
          <t>Electric - Heat Pump</t>
        </is>
      </c>
      <c r="H15" t="inlineStr">
        <is>
          <t>Space Heating - Electric - Heat Pump</t>
        </is>
      </c>
      <c r="I15" t="n">
        <v>0</v>
      </c>
      <c r="J15" t="n">
        <v>0</v>
      </c>
      <c r="K15" t="n">
        <v>0</v>
      </c>
      <c r="L15" t="n">
        <v>0</v>
      </c>
      <c r="M15" t="n">
        <v>0</v>
      </c>
      <c r="N15" t="n">
        <v>0</v>
      </c>
      <c r="O15" t="n">
        <v>0</v>
      </c>
      <c r="P15" t="n">
        <v>0</v>
      </c>
      <c r="Q15" s="190" t="inlineStr">
        <is>
          <t>https://hacla.org/sites/default/files/Section%208/Utility%20Allowances/Utility%20Allowance%20Effective%202024-12-01.pdf</t>
        </is>
      </c>
      <c r="R15" t="inlineStr">
        <is>
          <t>Pending / Zero-fill</t>
        </is>
      </c>
    </row>
    <row r="16">
      <c r="A16" t="inlineStr">
        <is>
          <t>Housing Authority of the City of Los Angeles (HACLA)</t>
        </is>
      </c>
      <c r="B16" t="inlineStr">
        <is>
          <t>Los Angeles</t>
        </is>
      </c>
      <c r="C16" t="inlineStr">
        <is>
          <t>2024-12-01</t>
        </is>
      </c>
      <c r="D16" t="inlineStr">
        <is>
          <t>Multi-Family</t>
        </is>
      </c>
      <c r="E16" t="inlineStr">
        <is>
          <t>Multifamily</t>
        </is>
      </c>
      <c r="F16" t="inlineStr">
        <is>
          <t>Space Heating</t>
        </is>
      </c>
      <c r="G16" t="inlineStr">
        <is>
          <t>Natural Gas</t>
        </is>
      </c>
      <c r="H16" t="inlineStr">
        <is>
          <t>Space Heating - Natural Gas</t>
        </is>
      </c>
      <c r="I16" t="n">
        <v>5</v>
      </c>
      <c r="J16" t="n">
        <v>8</v>
      </c>
      <c r="K16" t="n">
        <v>11</v>
      </c>
      <c r="L16" t="n">
        <v>14</v>
      </c>
      <c r="M16" t="n">
        <v>17</v>
      </c>
      <c r="N16" t="n">
        <v>21</v>
      </c>
      <c r="O16" t="n">
        <v>25</v>
      </c>
      <c r="P16" t="n">
        <v>28</v>
      </c>
      <c r="Q16" t="inlineStr">
        <is>
          <t>HACLA UA table (user screenshot, Dec 1 2024)</t>
        </is>
      </c>
      <c r="R16" t="inlineStr">
        <is>
          <t>Populated</t>
        </is>
      </c>
    </row>
    <row r="17">
      <c r="A17" t="inlineStr">
        <is>
          <t>Housing Authority of the City of Los Angeles (HACLA)</t>
        </is>
      </c>
      <c r="B17" t="inlineStr">
        <is>
          <t>Los Angeles</t>
        </is>
      </c>
      <c r="C17" t="inlineStr">
        <is>
          <t>2024-12-01</t>
        </is>
      </c>
      <c r="D17" t="inlineStr">
        <is>
          <t>Multi-Family</t>
        </is>
      </c>
      <c r="E17" t="inlineStr">
        <is>
          <t>Multifamily</t>
        </is>
      </c>
      <c r="F17" t="inlineStr">
        <is>
          <t>Space Heating</t>
        </is>
      </c>
      <c r="G17" t="inlineStr">
        <is>
          <t>Oil/Propane</t>
        </is>
      </c>
      <c r="H17" t="inlineStr">
        <is>
          <t>Space Heating - Oil/Propane</t>
        </is>
      </c>
      <c r="I17" t="n">
        <v>0</v>
      </c>
      <c r="J17" t="n">
        <v>0</v>
      </c>
      <c r="K17" t="n">
        <v>0</v>
      </c>
      <c r="L17" t="n">
        <v>0</v>
      </c>
      <c r="M17" t="n">
        <v>0</v>
      </c>
      <c r="N17" t="n">
        <v>0</v>
      </c>
      <c r="O17" t="n">
        <v>0</v>
      </c>
      <c r="P17" t="n">
        <v>0</v>
      </c>
      <c r="Q17" s="190" t="inlineStr">
        <is>
          <t>https://hacla.org/sites/default/files/Section%208/Utility%20Allowances/Utility%20Allowance%20Effective%202024-12-01.pdf</t>
        </is>
      </c>
      <c r="R17" t="inlineStr">
        <is>
          <t>Pending / Zero-fill</t>
        </is>
      </c>
    </row>
    <row r="18">
      <c r="A18" t="inlineStr">
        <is>
          <t>Housing Authority of the City of Los Angeles (HACLA)</t>
        </is>
      </c>
      <c r="B18" t="inlineStr">
        <is>
          <t>Los Angeles</t>
        </is>
      </c>
      <c r="C18" t="inlineStr">
        <is>
          <t>2024-12-01</t>
        </is>
      </c>
      <c r="D18" t="inlineStr">
        <is>
          <t>Multi-Family</t>
        </is>
      </c>
      <c r="E18" t="inlineStr">
        <is>
          <t>Multifamily</t>
        </is>
      </c>
      <c r="F18" t="inlineStr">
        <is>
          <t>Space Heating</t>
        </is>
      </c>
      <c r="G18" t="inlineStr">
        <is>
          <t>Other/Specify</t>
        </is>
      </c>
      <c r="H18" t="inlineStr">
        <is>
          <t>Space Heating - Other/Specify</t>
        </is>
      </c>
      <c r="I18" t="n">
        <v>0</v>
      </c>
      <c r="J18" t="n">
        <v>0</v>
      </c>
      <c r="K18" t="n">
        <v>0</v>
      </c>
      <c r="L18" t="n">
        <v>0</v>
      </c>
      <c r="M18" t="n">
        <v>0</v>
      </c>
      <c r="N18" t="n">
        <v>0</v>
      </c>
      <c r="O18" t="n">
        <v>0</v>
      </c>
      <c r="P18" t="n">
        <v>0</v>
      </c>
      <c r="Q18" s="190" t="inlineStr">
        <is>
          <t>https://hacla.org/sites/default/files/Section%208/Utility%20Allowances/Utility%20Allowance%20Effective%202024-12-01.pdf</t>
        </is>
      </c>
      <c r="R18" t="inlineStr">
        <is>
          <t>Pending / Zero-fill</t>
        </is>
      </c>
    </row>
    <row r="19">
      <c r="A19" t="inlineStr">
        <is>
          <t>Housing Authority of the City of Los Angeles (HACLA)</t>
        </is>
      </c>
      <c r="B19" t="inlineStr">
        <is>
          <t>Los Angeles</t>
        </is>
      </c>
      <c r="C19" t="inlineStr">
        <is>
          <t>2024-12-01</t>
        </is>
      </c>
      <c r="D19" t="inlineStr">
        <is>
          <t>Multi-Family</t>
        </is>
      </c>
      <c r="E19" t="inlineStr">
        <is>
          <t>Multifamily</t>
        </is>
      </c>
      <c r="F19" t="inlineStr">
        <is>
          <t>Trash Collection</t>
        </is>
      </c>
      <c r="G19" t="inlineStr">
        <is>
          <t>—</t>
        </is>
      </c>
      <c r="H19" t="inlineStr">
        <is>
          <t>Trash Collection</t>
        </is>
      </c>
      <c r="I19" t="n">
        <v>24</v>
      </c>
      <c r="J19" t="n">
        <v>24</v>
      </c>
      <c r="K19" t="n">
        <v>24</v>
      </c>
      <c r="L19" t="n">
        <v>24</v>
      </c>
      <c r="M19" t="n">
        <v>24</v>
      </c>
      <c r="N19" t="n">
        <v>24</v>
      </c>
      <c r="O19" t="n">
        <v>24</v>
      </c>
      <c r="P19" t="n">
        <v>24</v>
      </c>
      <c r="Q19" t="inlineStr">
        <is>
          <t>HACLA UA table (user screenshot, Dec 1 2024)</t>
        </is>
      </c>
      <c r="R19" t="inlineStr">
        <is>
          <t>Populated</t>
        </is>
      </c>
    </row>
    <row r="20">
      <c r="A20" t="inlineStr">
        <is>
          <t>Housing Authority of the City of Los Angeles (HACLA)</t>
        </is>
      </c>
      <c r="B20" t="inlineStr">
        <is>
          <t>Los Angeles</t>
        </is>
      </c>
      <c r="C20" t="inlineStr">
        <is>
          <t>2024-12-01</t>
        </is>
      </c>
      <c r="D20" t="inlineStr">
        <is>
          <t>Multi-Family</t>
        </is>
      </c>
      <c r="E20" t="inlineStr">
        <is>
          <t>Multifamily</t>
        </is>
      </c>
      <c r="F20" t="inlineStr">
        <is>
          <t>Washer</t>
        </is>
      </c>
      <c r="G20" t="inlineStr">
        <is>
          <t>Allowance</t>
        </is>
      </c>
      <c r="H20" t="inlineStr">
        <is>
          <t>Washer - Allowance</t>
        </is>
      </c>
      <c r="I20" t="n">
        <v>0</v>
      </c>
      <c r="J20" t="n">
        <v>0</v>
      </c>
      <c r="K20" t="n">
        <v>0</v>
      </c>
      <c r="L20" t="n">
        <v>0</v>
      </c>
      <c r="M20" t="n">
        <v>0</v>
      </c>
      <c r="N20" t="n">
        <v>0</v>
      </c>
      <c r="O20" t="n">
        <v>0</v>
      </c>
      <c r="P20" t="n">
        <v>0</v>
      </c>
      <c r="Q20" s="190" t="inlineStr">
        <is>
          <t>https://hacla.org/sites/default/files/Section%208/Utility%20Allowances/Utility%20Allowance%20Effective%202024-12-01.pdf</t>
        </is>
      </c>
      <c r="R20" t="inlineStr">
        <is>
          <t>Pending / Zero-fill</t>
        </is>
      </c>
    </row>
    <row r="21">
      <c r="A21" t="inlineStr">
        <is>
          <t>Housing Authority of the City of Los Angeles (HACLA)</t>
        </is>
      </c>
      <c r="B21" t="inlineStr">
        <is>
          <t>Los Angeles</t>
        </is>
      </c>
      <c r="C21" t="inlineStr">
        <is>
          <t>2024-12-01</t>
        </is>
      </c>
      <c r="D21" t="inlineStr">
        <is>
          <t>Multi-Family</t>
        </is>
      </c>
      <c r="E21" t="inlineStr">
        <is>
          <t>Multifamily</t>
        </is>
      </c>
      <c r="F21" t="inlineStr">
        <is>
          <t>Water</t>
        </is>
      </c>
      <c r="G21" t="inlineStr">
        <is>
          <t>—</t>
        </is>
      </c>
      <c r="H21" t="inlineStr">
        <is>
          <t>Water</t>
        </is>
      </c>
      <c r="I21" t="n">
        <v>50</v>
      </c>
      <c r="J21" t="n">
        <v>71</v>
      </c>
      <c r="K21" t="n">
        <v>91</v>
      </c>
      <c r="L21" t="n">
        <v>111</v>
      </c>
      <c r="M21" t="n">
        <v>141</v>
      </c>
      <c r="N21" t="n">
        <v>161</v>
      </c>
      <c r="O21" t="n">
        <v>181</v>
      </c>
      <c r="P21" t="n">
        <v>181</v>
      </c>
      <c r="Q21" t="inlineStr">
        <is>
          <t>HACLA UA table (user screenshot, Dec 1 2024)</t>
        </is>
      </c>
      <c r="R21" t="inlineStr">
        <is>
          <t>Populated</t>
        </is>
      </c>
    </row>
    <row r="22">
      <c r="A22" t="inlineStr">
        <is>
          <t>Housing Authority of the City of Los Angeles (HACLA)</t>
        </is>
      </c>
      <c r="B22" t="inlineStr">
        <is>
          <t>Los Angeles</t>
        </is>
      </c>
      <c r="C22" t="inlineStr">
        <is>
          <t>2024-12-01</t>
        </is>
      </c>
      <c r="D22" t="inlineStr">
        <is>
          <t>Multi-Family</t>
        </is>
      </c>
      <c r="E22" t="inlineStr">
        <is>
          <t>Multifamily</t>
        </is>
      </c>
      <c r="F22" t="inlineStr">
        <is>
          <t>Water Heating</t>
        </is>
      </c>
      <c r="G22" t="inlineStr">
        <is>
          <t>Electric</t>
        </is>
      </c>
      <c r="H22" t="inlineStr">
        <is>
          <t>Water Heating - Electric</t>
        </is>
      </c>
      <c r="I22" t="n">
        <v>7</v>
      </c>
      <c r="J22" t="n">
        <v>12</v>
      </c>
      <c r="K22" t="n">
        <v>16</v>
      </c>
      <c r="L22" t="n">
        <v>21</v>
      </c>
      <c r="M22" t="n">
        <v>26</v>
      </c>
      <c r="N22" t="n">
        <v>33</v>
      </c>
      <c r="O22" t="n">
        <v>37</v>
      </c>
      <c r="P22" t="n">
        <v>37</v>
      </c>
      <c r="Q22" t="inlineStr">
        <is>
          <t>HACLA UA table (user screenshot, Dec 1 2024)</t>
        </is>
      </c>
      <c r="R22" t="inlineStr">
        <is>
          <t>Populated</t>
        </is>
      </c>
    </row>
    <row r="23">
      <c r="A23" t="inlineStr">
        <is>
          <t>Housing Authority of the City of Los Angeles (HACLA)</t>
        </is>
      </c>
      <c r="B23" t="inlineStr">
        <is>
          <t>Los Angeles</t>
        </is>
      </c>
      <c r="C23" t="inlineStr">
        <is>
          <t>2024-12-01</t>
        </is>
      </c>
      <c r="D23" t="inlineStr">
        <is>
          <t>Multi-Family</t>
        </is>
      </c>
      <c r="E23" t="inlineStr">
        <is>
          <t>Multifamily</t>
        </is>
      </c>
      <c r="F23" t="inlineStr">
        <is>
          <t>Water Heating</t>
        </is>
      </c>
      <c r="G23" t="inlineStr">
        <is>
          <t>Natural Gas</t>
        </is>
      </c>
      <c r="H23" t="inlineStr">
        <is>
          <t>Water Heating - Natural Gas</t>
        </is>
      </c>
      <c r="I23" t="n">
        <v>8</v>
      </c>
      <c r="J23" t="n">
        <v>11</v>
      </c>
      <c r="K23" t="n">
        <v>15</v>
      </c>
      <c r="L23" t="n">
        <v>18</v>
      </c>
      <c r="M23" t="n">
        <v>23</v>
      </c>
      <c r="N23" t="n">
        <v>26</v>
      </c>
      <c r="O23" t="n">
        <v>29</v>
      </c>
      <c r="P23" t="n">
        <v>32</v>
      </c>
      <c r="Q23" t="inlineStr">
        <is>
          <t>HACLA UA table (user screenshot, Dec 1 2024)</t>
        </is>
      </c>
      <c r="R23" t="inlineStr">
        <is>
          <t>Populated</t>
        </is>
      </c>
    </row>
    <row r="24">
      <c r="A24" t="inlineStr">
        <is>
          <t>Housing Authority of the City of Los Angeles (HACLA)</t>
        </is>
      </c>
      <c r="B24" t="inlineStr">
        <is>
          <t>Los Angeles</t>
        </is>
      </c>
      <c r="C24" t="inlineStr">
        <is>
          <t>2024-12-01</t>
        </is>
      </c>
      <c r="D24" t="inlineStr">
        <is>
          <t>Multi-Family</t>
        </is>
      </c>
      <c r="E24" t="inlineStr">
        <is>
          <t>Multifamily</t>
        </is>
      </c>
      <c r="F24" t="inlineStr">
        <is>
          <t>Water Heating</t>
        </is>
      </c>
      <c r="G24" t="inlineStr">
        <is>
          <t>Oil/Propane</t>
        </is>
      </c>
      <c r="H24" t="inlineStr">
        <is>
          <t>Water Heating - Oil/Propane</t>
        </is>
      </c>
      <c r="I24" t="n">
        <v>0</v>
      </c>
      <c r="J24" t="n">
        <v>0</v>
      </c>
      <c r="K24" t="n">
        <v>0</v>
      </c>
      <c r="L24" t="n">
        <v>0</v>
      </c>
      <c r="M24" t="n">
        <v>0</v>
      </c>
      <c r="N24" t="n">
        <v>0</v>
      </c>
      <c r="O24" t="n">
        <v>0</v>
      </c>
      <c r="P24" t="n">
        <v>0</v>
      </c>
      <c r="Q24" s="190" t="inlineStr">
        <is>
          <t>https://hacla.org/sites/default/files/Section%208/Utility%20Allowances/Utility%20Allowance%20Effective%202024-12-01.pdf</t>
        </is>
      </c>
      <c r="R24" t="inlineStr">
        <is>
          <t>Pending / Zero-fill</t>
        </is>
      </c>
    </row>
    <row r="25">
      <c r="A25" t="inlineStr">
        <is>
          <t>Housing Authority of the City of Los Angeles (HACLA)</t>
        </is>
      </c>
      <c r="B25" t="inlineStr">
        <is>
          <t>Los Angeles</t>
        </is>
      </c>
      <c r="C25" t="inlineStr">
        <is>
          <t>2024-12-01</t>
        </is>
      </c>
      <c r="D25" t="inlineStr">
        <is>
          <t>Single-Family Detached</t>
        </is>
      </c>
      <c r="E25" t="inlineStr">
        <is>
          <t>Single-Family</t>
        </is>
      </c>
      <c r="F25" t="inlineStr">
        <is>
          <t>Air Conditioning</t>
        </is>
      </c>
      <c r="G25" t="inlineStr">
        <is>
          <t>Electric</t>
        </is>
      </c>
      <c r="H25" t="inlineStr">
        <is>
          <t>Air Conditioning - Electric</t>
        </is>
      </c>
      <c r="I25" t="n">
        <v>7</v>
      </c>
      <c r="J25" t="n">
        <v>10</v>
      </c>
      <c r="K25" t="n">
        <v>13</v>
      </c>
      <c r="L25" t="n">
        <v>15</v>
      </c>
      <c r="M25" t="n">
        <v>20</v>
      </c>
      <c r="N25" t="n">
        <v>22</v>
      </c>
      <c r="O25" t="n">
        <v>25</v>
      </c>
      <c r="P25" t="n">
        <v>28</v>
      </c>
      <c r="Q25" t="inlineStr">
        <is>
          <t>HACLA UA table (user screenshot, Dec 1 2024)</t>
        </is>
      </c>
      <c r="R25" t="inlineStr">
        <is>
          <t>Populated</t>
        </is>
      </c>
    </row>
    <row r="26">
      <c r="A26" t="inlineStr">
        <is>
          <t>Housing Authority of the City of Los Angeles (HACLA)</t>
        </is>
      </c>
      <c r="B26" t="inlineStr">
        <is>
          <t>Los Angeles</t>
        </is>
      </c>
      <c r="C26" t="inlineStr">
        <is>
          <t>2024-12-01</t>
        </is>
      </c>
      <c r="D26" t="inlineStr">
        <is>
          <t>Single-Family Detached</t>
        </is>
      </c>
      <c r="E26" t="inlineStr">
        <is>
          <t>Single-Family</t>
        </is>
      </c>
      <c r="F26" t="inlineStr">
        <is>
          <t>Air Conditioning</t>
        </is>
      </c>
      <c r="G26" t="inlineStr">
        <is>
          <t>Evaporative Cooler</t>
        </is>
      </c>
      <c r="H26" t="inlineStr">
        <is>
          <t>Air Conditioning - Evaporative Cooler</t>
        </is>
      </c>
      <c r="I26" t="n">
        <v>0</v>
      </c>
      <c r="J26" t="n">
        <v>0</v>
      </c>
      <c r="K26" t="n">
        <v>0</v>
      </c>
      <c r="L26" t="n">
        <v>0</v>
      </c>
      <c r="M26" t="n">
        <v>0</v>
      </c>
      <c r="N26" t="n">
        <v>0</v>
      </c>
      <c r="O26" t="n">
        <v>0</v>
      </c>
      <c r="P26" t="n">
        <v>0</v>
      </c>
      <c r="Q26" s="190" t="inlineStr">
        <is>
          <t>https://hacla.org/sites/default/files/Section%208/Utility%20Allowances/Utility%20Allowance%20Effective%202024-12-01.pdf</t>
        </is>
      </c>
      <c r="R26" t="inlineStr">
        <is>
          <t>Pending / Zero-fill</t>
        </is>
      </c>
    </row>
    <row r="27">
      <c r="A27" t="inlineStr">
        <is>
          <t>Housing Authority of the City of Los Angeles (HACLA)</t>
        </is>
      </c>
      <c r="B27" t="inlineStr">
        <is>
          <t>Los Angeles</t>
        </is>
      </c>
      <c r="C27" t="inlineStr">
        <is>
          <t>2024-12-01</t>
        </is>
      </c>
      <c r="D27" t="inlineStr">
        <is>
          <t>Single-Family Detached</t>
        </is>
      </c>
      <c r="E27" t="inlineStr">
        <is>
          <t>Single-Family</t>
        </is>
      </c>
      <c r="F27" t="inlineStr">
        <is>
          <t>Cooking</t>
        </is>
      </c>
      <c r="G27" t="inlineStr">
        <is>
          <t>Electric</t>
        </is>
      </c>
      <c r="H27" t="inlineStr">
        <is>
          <t>Cooking - Electric</t>
        </is>
      </c>
      <c r="I27" t="n">
        <v>4</v>
      </c>
      <c r="J27" t="n">
        <v>6</v>
      </c>
      <c r="K27" t="n">
        <v>7</v>
      </c>
      <c r="L27" t="n">
        <v>9</v>
      </c>
      <c r="M27" t="n">
        <v>11</v>
      </c>
      <c r="N27" t="n">
        <v>13</v>
      </c>
      <c r="O27" t="n">
        <v>14</v>
      </c>
      <c r="P27" t="n">
        <v>14</v>
      </c>
      <c r="Q27" t="inlineStr">
        <is>
          <t>HACLA UA table (user screenshot, Dec 1 2024)</t>
        </is>
      </c>
      <c r="R27" t="inlineStr">
        <is>
          <t>Populated</t>
        </is>
      </c>
    </row>
    <row r="28">
      <c r="A28" t="inlineStr">
        <is>
          <t>Housing Authority of the City of Los Angeles (HACLA)</t>
        </is>
      </c>
      <c r="B28" t="inlineStr">
        <is>
          <t>Los Angeles</t>
        </is>
      </c>
      <c r="C28" t="inlineStr">
        <is>
          <t>2024-12-01</t>
        </is>
      </c>
      <c r="D28" t="inlineStr">
        <is>
          <t>Single-Family Detached</t>
        </is>
      </c>
      <c r="E28" t="inlineStr">
        <is>
          <t>Single-Family</t>
        </is>
      </c>
      <c r="F28" t="inlineStr">
        <is>
          <t>Cooking</t>
        </is>
      </c>
      <c r="G28" t="inlineStr">
        <is>
          <t>Natural Gas</t>
        </is>
      </c>
      <c r="H28" t="inlineStr">
        <is>
          <t>Cooking - Natural Gas</t>
        </is>
      </c>
      <c r="I28" t="n">
        <v>2</v>
      </c>
      <c r="J28" t="n">
        <v>3</v>
      </c>
      <c r="K28" t="n">
        <v>4</v>
      </c>
      <c r="L28" t="n">
        <v>5</v>
      </c>
      <c r="M28" t="n">
        <v>7</v>
      </c>
      <c r="N28" t="n">
        <v>9</v>
      </c>
      <c r="O28" t="n">
        <v>10</v>
      </c>
      <c r="P28" t="n">
        <v>10</v>
      </c>
      <c r="Q28" t="inlineStr">
        <is>
          <t>HACLA UA table (user screenshot, Dec 1 2024)</t>
        </is>
      </c>
      <c r="R28" t="inlineStr">
        <is>
          <t>Populated</t>
        </is>
      </c>
    </row>
    <row r="29">
      <c r="A29" t="inlineStr">
        <is>
          <t>Housing Authority of the City of Los Angeles (HACLA)</t>
        </is>
      </c>
      <c r="B29" t="inlineStr">
        <is>
          <t>Los Angeles</t>
        </is>
      </c>
      <c r="C29" t="inlineStr">
        <is>
          <t>2024-12-01</t>
        </is>
      </c>
      <c r="D29" t="inlineStr">
        <is>
          <t>Single-Family Detached</t>
        </is>
      </c>
      <c r="E29" t="inlineStr">
        <is>
          <t>Single-Family</t>
        </is>
      </c>
      <c r="F29" t="inlineStr">
        <is>
          <t>Dishwasher</t>
        </is>
      </c>
      <c r="G29" t="inlineStr">
        <is>
          <t>Allowance</t>
        </is>
      </c>
      <c r="H29" t="inlineStr">
        <is>
          <t>Dishwasher - Allowance</t>
        </is>
      </c>
      <c r="I29" t="n">
        <v>0</v>
      </c>
      <c r="J29" t="n">
        <v>0</v>
      </c>
      <c r="K29" t="n">
        <v>0</v>
      </c>
      <c r="L29" t="n">
        <v>0</v>
      </c>
      <c r="M29" t="n">
        <v>0</v>
      </c>
      <c r="N29" t="n">
        <v>0</v>
      </c>
      <c r="O29" t="n">
        <v>0</v>
      </c>
      <c r="P29" t="n">
        <v>0</v>
      </c>
      <c r="Q29" s="190" t="inlineStr">
        <is>
          <t>https://hacla.org/sites/default/files/Section%208/Utility%20Allowances/Utility%20Allowance%20Effective%202024-12-01.pdf</t>
        </is>
      </c>
      <c r="R29" t="inlineStr">
        <is>
          <t>Pending / Zero-fill</t>
        </is>
      </c>
    </row>
    <row r="30">
      <c r="A30" t="inlineStr">
        <is>
          <t>Housing Authority of the City of Los Angeles (HACLA)</t>
        </is>
      </c>
      <c r="B30" t="inlineStr">
        <is>
          <t>Los Angeles</t>
        </is>
      </c>
      <c r="C30" t="inlineStr">
        <is>
          <t>2024-12-01</t>
        </is>
      </c>
      <c r="D30" t="inlineStr">
        <is>
          <t>Single-Family Detached</t>
        </is>
      </c>
      <c r="E30" t="inlineStr">
        <is>
          <t>Single-Family</t>
        </is>
      </c>
      <c r="F30" t="inlineStr">
        <is>
          <t>Dryer</t>
        </is>
      </c>
      <c r="G30" t="inlineStr">
        <is>
          <t>Allowance</t>
        </is>
      </c>
      <c r="H30" t="inlineStr">
        <is>
          <t>Dryer - Allowance</t>
        </is>
      </c>
      <c r="I30" t="n">
        <v>0</v>
      </c>
      <c r="J30" t="n">
        <v>0</v>
      </c>
      <c r="K30" t="n">
        <v>0</v>
      </c>
      <c r="L30" t="n">
        <v>0</v>
      </c>
      <c r="M30" t="n">
        <v>0</v>
      </c>
      <c r="N30" t="n">
        <v>0</v>
      </c>
      <c r="O30" t="n">
        <v>0</v>
      </c>
      <c r="P30" t="n">
        <v>0</v>
      </c>
      <c r="Q30" s="190" t="inlineStr">
        <is>
          <t>https://hacla.org/sites/default/files/Section%208/Utility%20Allowances/Utility%20Allowance%20Effective%202024-12-01.pdf</t>
        </is>
      </c>
      <c r="R30" t="inlineStr">
        <is>
          <t>Pending / Zero-fill</t>
        </is>
      </c>
    </row>
    <row r="31">
      <c r="A31" t="inlineStr">
        <is>
          <t>Housing Authority of the City of Los Angeles (HACLA)</t>
        </is>
      </c>
      <c r="B31" t="inlineStr">
        <is>
          <t>Los Angeles</t>
        </is>
      </c>
      <c r="C31" t="inlineStr">
        <is>
          <t>2024-12-01</t>
        </is>
      </c>
      <c r="D31" t="inlineStr">
        <is>
          <t>Single-Family Detached</t>
        </is>
      </c>
      <c r="E31" t="inlineStr">
        <is>
          <t>Single-Family</t>
        </is>
      </c>
      <c r="F31" t="inlineStr">
        <is>
          <t>Freezer</t>
        </is>
      </c>
      <c r="G31" t="inlineStr">
        <is>
          <t>Allowance</t>
        </is>
      </c>
      <c r="H31" t="inlineStr">
        <is>
          <t>Freezer - Allowance</t>
        </is>
      </c>
      <c r="I31" t="n">
        <v>0</v>
      </c>
      <c r="J31" t="n">
        <v>0</v>
      </c>
      <c r="K31" t="n">
        <v>0</v>
      </c>
      <c r="L31" t="n">
        <v>0</v>
      </c>
      <c r="M31" t="n">
        <v>0</v>
      </c>
      <c r="N31" t="n">
        <v>0</v>
      </c>
      <c r="O31" t="n">
        <v>0</v>
      </c>
      <c r="P31" t="n">
        <v>0</v>
      </c>
      <c r="Q31" s="190" t="inlineStr">
        <is>
          <t>https://hacla.org/sites/default/files/Section%208/Utility%20Allowances/Utility%20Allowance%20Effective%202024-12-01.pdf</t>
        </is>
      </c>
      <c r="R31" t="inlineStr">
        <is>
          <t>Pending / Zero-fill</t>
        </is>
      </c>
    </row>
    <row r="32">
      <c r="A32" t="inlineStr">
        <is>
          <t>Housing Authority of the City of Los Angeles (HACLA)</t>
        </is>
      </c>
      <c r="B32" t="inlineStr">
        <is>
          <t>Los Angeles</t>
        </is>
      </c>
      <c r="C32" t="inlineStr">
        <is>
          <t>2024-12-01</t>
        </is>
      </c>
      <c r="D32" t="inlineStr">
        <is>
          <t>Single-Family Detached</t>
        </is>
      </c>
      <c r="E32" t="inlineStr">
        <is>
          <t>Single-Family</t>
        </is>
      </c>
      <c r="F32" t="inlineStr">
        <is>
          <t>Other - Specify</t>
        </is>
      </c>
      <c r="G32" t="inlineStr">
        <is>
          <t>Lifeline / Baseline Credit</t>
        </is>
      </c>
      <c r="H32" t="inlineStr">
        <is>
          <t>Other - Specify - Lifeline / Baseline Credit</t>
        </is>
      </c>
      <c r="I32" t="n">
        <v>0</v>
      </c>
      <c r="J32" t="n">
        <v>0</v>
      </c>
      <c r="K32" t="n">
        <v>0</v>
      </c>
      <c r="L32" t="n">
        <v>0</v>
      </c>
      <c r="M32" t="n">
        <v>0</v>
      </c>
      <c r="N32" t="n">
        <v>0</v>
      </c>
      <c r="O32" t="n">
        <v>0</v>
      </c>
      <c r="P32" t="n">
        <v>0</v>
      </c>
      <c r="Q32" s="190" t="inlineStr">
        <is>
          <t>https://hacla.org/sites/default/files/Section%208/Utility%20Allowances/Utility%20Allowance%20Effective%202024-12-01.pdf</t>
        </is>
      </c>
      <c r="R32" t="inlineStr">
        <is>
          <t>Pending / Zero-fill</t>
        </is>
      </c>
    </row>
    <row r="33">
      <c r="A33" t="inlineStr">
        <is>
          <t>Housing Authority of the City of Los Angeles (HACLA)</t>
        </is>
      </c>
      <c r="B33" t="inlineStr">
        <is>
          <t>Los Angeles</t>
        </is>
      </c>
      <c r="C33" t="inlineStr">
        <is>
          <t>2024-12-01</t>
        </is>
      </c>
      <c r="D33" t="inlineStr">
        <is>
          <t>Single-Family Detached</t>
        </is>
      </c>
      <c r="E33" t="inlineStr">
        <is>
          <t>Single-Family</t>
        </is>
      </c>
      <c r="F33" t="inlineStr">
        <is>
          <t>Other - Specify</t>
        </is>
      </c>
      <c r="G33" t="inlineStr">
        <is>
          <t>Solar/PV Credit</t>
        </is>
      </c>
      <c r="H33" t="inlineStr">
        <is>
          <t>Other - Specify - Solar/PV Credit</t>
        </is>
      </c>
      <c r="I33" t="n">
        <v>0</v>
      </c>
      <c r="J33" t="n">
        <v>0</v>
      </c>
      <c r="K33" t="n">
        <v>0</v>
      </c>
      <c r="L33" t="n">
        <v>0</v>
      </c>
      <c r="M33" t="n">
        <v>0</v>
      </c>
      <c r="N33" t="n">
        <v>0</v>
      </c>
      <c r="O33" t="n">
        <v>0</v>
      </c>
      <c r="P33" t="n">
        <v>0</v>
      </c>
      <c r="Q33" s="190" t="inlineStr">
        <is>
          <t>https://hacla.org/sites/default/files/Section%208/Utility%20Allowances/Utility%20Allowance%20Effective%202024-12-01.pdf</t>
        </is>
      </c>
      <c r="R33" t="inlineStr">
        <is>
          <t>Pending / Zero-fill</t>
        </is>
      </c>
    </row>
    <row r="34">
      <c r="A34" t="inlineStr">
        <is>
          <t>Housing Authority of the City of Los Angeles (HACLA)</t>
        </is>
      </c>
      <c r="B34" t="inlineStr">
        <is>
          <t>Los Angeles</t>
        </is>
      </c>
      <c r="C34" t="inlineStr">
        <is>
          <t>2024-12-01</t>
        </is>
      </c>
      <c r="D34" t="inlineStr">
        <is>
          <t>Single-Family Detached</t>
        </is>
      </c>
      <c r="E34" t="inlineStr">
        <is>
          <t>Single-Family</t>
        </is>
      </c>
      <c r="F34" t="inlineStr">
        <is>
          <t>Other - Specify</t>
        </is>
      </c>
      <c r="G34" t="inlineStr">
        <is>
          <t>Utility Customer Charge / Fee</t>
        </is>
      </c>
      <c r="H34" t="inlineStr">
        <is>
          <t>Other - Specify - Utility Customer Charge / Fee</t>
        </is>
      </c>
      <c r="I34" t="n">
        <v>0</v>
      </c>
      <c r="J34" t="n">
        <v>0</v>
      </c>
      <c r="K34" t="n">
        <v>0</v>
      </c>
      <c r="L34" t="n">
        <v>0</v>
      </c>
      <c r="M34" t="n">
        <v>0</v>
      </c>
      <c r="N34" t="n">
        <v>0</v>
      </c>
      <c r="O34" t="n">
        <v>0</v>
      </c>
      <c r="P34" t="n">
        <v>0</v>
      </c>
      <c r="Q34" s="190" t="inlineStr">
        <is>
          <t>https://hacla.org/sites/default/files/Section%208/Utility%20Allowances/Utility%20Allowance%20Effective%202024-12-01.pdf</t>
        </is>
      </c>
      <c r="R34" t="inlineStr">
        <is>
          <t>Pending / Zero-fill</t>
        </is>
      </c>
    </row>
    <row r="35">
      <c r="A35" t="inlineStr">
        <is>
          <t>Housing Authority of the City of Los Angeles (HACLA)</t>
        </is>
      </c>
      <c r="B35" t="inlineStr">
        <is>
          <t>Los Angeles</t>
        </is>
      </c>
      <c r="C35" t="inlineStr">
        <is>
          <t>2024-12-01</t>
        </is>
      </c>
      <c r="D35" t="inlineStr">
        <is>
          <t>Single-Family Detached</t>
        </is>
      </c>
      <c r="E35" t="inlineStr">
        <is>
          <t>Single-Family</t>
        </is>
      </c>
      <c r="F35" t="inlineStr">
        <is>
          <t>Other Electric</t>
        </is>
      </c>
      <c r="G35" t="inlineStr">
        <is>
          <t>Electric (Lights/Plugs)</t>
        </is>
      </c>
      <c r="H35" t="inlineStr">
        <is>
          <t>Other Electric - Electric (Lights/Plugs)</t>
        </is>
      </c>
      <c r="I35" t="n">
        <v>16</v>
      </c>
      <c r="J35" t="n">
        <v>22</v>
      </c>
      <c r="K35" t="n">
        <v>28</v>
      </c>
      <c r="L35" t="n">
        <v>35</v>
      </c>
      <c r="M35" t="n">
        <v>44</v>
      </c>
      <c r="N35" t="n">
        <v>51</v>
      </c>
      <c r="O35" t="n">
        <v>57</v>
      </c>
      <c r="P35" t="n">
        <v>63</v>
      </c>
      <c r="Q35" t="inlineStr">
        <is>
          <t>HACLA UA table (user screenshot, Dec 1 2024)</t>
        </is>
      </c>
      <c r="R35" t="inlineStr">
        <is>
          <t>Populated</t>
        </is>
      </c>
    </row>
    <row r="36">
      <c r="A36" t="inlineStr">
        <is>
          <t>Housing Authority of the City of Los Angeles (HACLA)</t>
        </is>
      </c>
      <c r="B36" t="inlineStr">
        <is>
          <t>Los Angeles</t>
        </is>
      </c>
      <c r="C36" t="inlineStr">
        <is>
          <t>2024-12-01</t>
        </is>
      </c>
      <c r="D36" t="inlineStr">
        <is>
          <t>Single-Family Detached</t>
        </is>
      </c>
      <c r="E36" t="inlineStr">
        <is>
          <t>Single-Family</t>
        </is>
      </c>
      <c r="F36" t="inlineStr">
        <is>
          <t>Range/Microwave</t>
        </is>
      </c>
      <c r="G36" t="inlineStr">
        <is>
          <t>Allowance</t>
        </is>
      </c>
      <c r="H36" t="inlineStr">
        <is>
          <t>Range/Microwave - Allowance</t>
        </is>
      </c>
      <c r="I36" t="n">
        <v>12</v>
      </c>
      <c r="J36" t="n">
        <v>12</v>
      </c>
      <c r="K36" t="n">
        <v>12</v>
      </c>
      <c r="L36" t="n">
        <v>12</v>
      </c>
      <c r="M36" t="n">
        <v>12</v>
      </c>
      <c r="N36" t="n">
        <v>12</v>
      </c>
      <c r="O36" t="n">
        <v>12</v>
      </c>
      <c r="P36" t="n">
        <v>12</v>
      </c>
      <c r="Q36" t="inlineStr">
        <is>
          <t>HACLA UA table (user screenshot, Dec 1 2024)</t>
        </is>
      </c>
      <c r="R36" t="inlineStr">
        <is>
          <t>Populated</t>
        </is>
      </c>
    </row>
    <row r="37">
      <c r="A37" t="inlineStr">
        <is>
          <t>Housing Authority of the City of Los Angeles (HACLA)</t>
        </is>
      </c>
      <c r="B37" t="inlineStr">
        <is>
          <t>Los Angeles</t>
        </is>
      </c>
      <c r="C37" t="inlineStr">
        <is>
          <t>2024-12-01</t>
        </is>
      </c>
      <c r="D37" t="inlineStr">
        <is>
          <t>Single-Family Detached</t>
        </is>
      </c>
      <c r="E37" t="inlineStr">
        <is>
          <t>Single-Family</t>
        </is>
      </c>
      <c r="F37" t="inlineStr">
        <is>
          <t>Refrigerator</t>
        </is>
      </c>
      <c r="G37" t="inlineStr">
        <is>
          <t>Allowance</t>
        </is>
      </c>
      <c r="H37" t="inlineStr">
        <is>
          <t>Refrigerator - Allowance</t>
        </is>
      </c>
      <c r="I37" t="n">
        <v>12</v>
      </c>
      <c r="J37" t="n">
        <v>12</v>
      </c>
      <c r="K37" t="n">
        <v>12</v>
      </c>
      <c r="L37" t="n">
        <v>12</v>
      </c>
      <c r="M37" t="n">
        <v>12</v>
      </c>
      <c r="N37" t="n">
        <v>12</v>
      </c>
      <c r="O37" t="n">
        <v>12</v>
      </c>
      <c r="P37" t="n">
        <v>12</v>
      </c>
      <c r="Q37" t="inlineStr">
        <is>
          <t>HACLA UA table (user screenshot, Dec 1 2024)</t>
        </is>
      </c>
      <c r="R37" t="inlineStr">
        <is>
          <t>Populated</t>
        </is>
      </c>
    </row>
    <row r="38">
      <c r="A38" t="inlineStr">
        <is>
          <t>Housing Authority of the City of Los Angeles (HACLA)</t>
        </is>
      </c>
      <c r="B38" t="inlineStr">
        <is>
          <t>Los Angeles</t>
        </is>
      </c>
      <c r="C38" t="inlineStr">
        <is>
          <t>2024-12-01</t>
        </is>
      </c>
      <c r="D38" t="inlineStr">
        <is>
          <t>Single-Family Detached</t>
        </is>
      </c>
      <c r="E38" t="inlineStr">
        <is>
          <t>Single-Family</t>
        </is>
      </c>
      <c r="F38" t="inlineStr">
        <is>
          <t>Sewer</t>
        </is>
      </c>
      <c r="G38" t="inlineStr">
        <is>
          <t>—</t>
        </is>
      </c>
      <c r="H38" t="inlineStr">
        <is>
          <t>Sewer</t>
        </is>
      </c>
      <c r="I38" t="n">
        <v>0</v>
      </c>
      <c r="J38" t="n">
        <v>0</v>
      </c>
      <c r="K38" t="n">
        <v>0</v>
      </c>
      <c r="L38" t="n">
        <v>0</v>
      </c>
      <c r="M38" t="n">
        <v>0</v>
      </c>
      <c r="N38" t="n">
        <v>0</v>
      </c>
      <c r="O38" t="n">
        <v>0</v>
      </c>
      <c r="P38" t="n">
        <v>0</v>
      </c>
      <c r="Q38" s="190" t="inlineStr">
        <is>
          <t>https://hacla.org/sites/default/files/Section%208/Utility%20Allowances/Utility%20Allowance%20Effective%202024-12-01.pdf</t>
        </is>
      </c>
      <c r="R38" t="inlineStr">
        <is>
          <t>Pending / Zero-fill</t>
        </is>
      </c>
    </row>
    <row r="39">
      <c r="A39" t="inlineStr">
        <is>
          <t>Housing Authority of the City of Los Angeles (HACLA)</t>
        </is>
      </c>
      <c r="B39" t="inlineStr">
        <is>
          <t>Los Angeles</t>
        </is>
      </c>
      <c r="C39" t="inlineStr">
        <is>
          <t>2024-12-01</t>
        </is>
      </c>
      <c r="D39" t="inlineStr">
        <is>
          <t>Single-Family Detached</t>
        </is>
      </c>
      <c r="E39" t="inlineStr">
        <is>
          <t>Single-Family</t>
        </is>
      </c>
      <c r="F39" t="inlineStr">
        <is>
          <t>Space Heating</t>
        </is>
      </c>
      <c r="G39" t="inlineStr">
        <is>
          <t>Electric</t>
        </is>
      </c>
      <c r="H39" t="inlineStr">
        <is>
          <t>Space Heating - Electric</t>
        </is>
      </c>
      <c r="I39" t="n">
        <v>6</v>
      </c>
      <c r="J39" t="n">
        <v>9</v>
      </c>
      <c r="K39" t="n">
        <v>12</v>
      </c>
      <c r="L39" t="n">
        <v>15</v>
      </c>
      <c r="M39" t="n">
        <v>18</v>
      </c>
      <c r="N39" t="n">
        <v>19</v>
      </c>
      <c r="O39" t="n">
        <v>24</v>
      </c>
      <c r="P39" t="n">
        <v>24</v>
      </c>
      <c r="Q39" t="inlineStr">
        <is>
          <t>HACLA UA table (user screenshot, Dec 1 2024)</t>
        </is>
      </c>
      <c r="R39" t="inlineStr">
        <is>
          <t>Populated</t>
        </is>
      </c>
    </row>
    <row r="40">
      <c r="A40" t="inlineStr">
        <is>
          <t>Housing Authority of the City of Los Angeles (HACLA)</t>
        </is>
      </c>
      <c r="B40" t="inlineStr">
        <is>
          <t>Los Angeles</t>
        </is>
      </c>
      <c r="C40" t="inlineStr">
        <is>
          <t>2024-12-01</t>
        </is>
      </c>
      <c r="D40" t="inlineStr">
        <is>
          <t>Single-Family Detached</t>
        </is>
      </c>
      <c r="E40" t="inlineStr">
        <is>
          <t>Single-Family</t>
        </is>
      </c>
      <c r="F40" t="inlineStr">
        <is>
          <t>Space Heating</t>
        </is>
      </c>
      <c r="G40" t="inlineStr">
        <is>
          <t>Electric - Heat Pump</t>
        </is>
      </c>
      <c r="H40" t="inlineStr">
        <is>
          <t>Space Heating - Electric - Heat Pump</t>
        </is>
      </c>
      <c r="I40" t="n">
        <v>0</v>
      </c>
      <c r="J40" t="n">
        <v>0</v>
      </c>
      <c r="K40" t="n">
        <v>0</v>
      </c>
      <c r="L40" t="n">
        <v>0</v>
      </c>
      <c r="M40" t="n">
        <v>0</v>
      </c>
      <c r="N40" t="n">
        <v>0</v>
      </c>
      <c r="O40" t="n">
        <v>0</v>
      </c>
      <c r="P40" t="n">
        <v>0</v>
      </c>
      <c r="Q40" s="190" t="inlineStr">
        <is>
          <t>https://hacla.org/sites/default/files/Section%208/Utility%20Allowances/Utility%20Allowance%20Effective%202024-12-01.pdf</t>
        </is>
      </c>
      <c r="R40" t="inlineStr">
        <is>
          <t>Pending / Zero-fill</t>
        </is>
      </c>
    </row>
    <row r="41">
      <c r="A41" t="inlineStr">
        <is>
          <t>Housing Authority of the City of Los Angeles (HACLA)</t>
        </is>
      </c>
      <c r="B41" t="inlineStr">
        <is>
          <t>Los Angeles</t>
        </is>
      </c>
      <c r="C41" t="inlineStr">
        <is>
          <t>2024-12-01</t>
        </is>
      </c>
      <c r="D41" t="inlineStr">
        <is>
          <t>Single-Family Detached</t>
        </is>
      </c>
      <c r="E41" t="inlineStr">
        <is>
          <t>Single-Family</t>
        </is>
      </c>
      <c r="F41" t="inlineStr">
        <is>
          <t>Space Heating</t>
        </is>
      </c>
      <c r="G41" t="inlineStr">
        <is>
          <t>Natural Gas</t>
        </is>
      </c>
      <c r="H41" t="inlineStr">
        <is>
          <t>Space Heating - Natural Gas</t>
        </is>
      </c>
      <c r="I41" t="n">
        <v>5</v>
      </c>
      <c r="J41" t="n">
        <v>8</v>
      </c>
      <c r="K41" t="n">
        <v>11</v>
      </c>
      <c r="L41" t="n">
        <v>14</v>
      </c>
      <c r="M41" t="n">
        <v>17</v>
      </c>
      <c r="N41" t="n">
        <v>21</v>
      </c>
      <c r="O41" t="n">
        <v>25</v>
      </c>
      <c r="P41" t="n">
        <v>28</v>
      </c>
      <c r="Q41" t="inlineStr">
        <is>
          <t>HACLA UA table (user screenshot, Dec 1 2024)</t>
        </is>
      </c>
      <c r="R41" t="inlineStr">
        <is>
          <t>Populated</t>
        </is>
      </c>
    </row>
    <row r="42">
      <c r="A42" t="inlineStr">
        <is>
          <t>Housing Authority of the City of Los Angeles (HACLA)</t>
        </is>
      </c>
      <c r="B42" t="inlineStr">
        <is>
          <t>Los Angeles</t>
        </is>
      </c>
      <c r="C42" t="inlineStr">
        <is>
          <t>2024-12-01</t>
        </is>
      </c>
      <c r="D42" t="inlineStr">
        <is>
          <t>Single-Family Detached</t>
        </is>
      </c>
      <c r="E42" t="inlineStr">
        <is>
          <t>Single-Family</t>
        </is>
      </c>
      <c r="F42" t="inlineStr">
        <is>
          <t>Space Heating</t>
        </is>
      </c>
      <c r="G42" t="inlineStr">
        <is>
          <t>Oil/Propane</t>
        </is>
      </c>
      <c r="H42" t="inlineStr">
        <is>
          <t>Space Heating - Oil/Propane</t>
        </is>
      </c>
      <c r="I42" t="n">
        <v>0</v>
      </c>
      <c r="J42" t="n">
        <v>0</v>
      </c>
      <c r="K42" t="n">
        <v>0</v>
      </c>
      <c r="L42" t="n">
        <v>0</v>
      </c>
      <c r="M42" t="n">
        <v>0</v>
      </c>
      <c r="N42" t="n">
        <v>0</v>
      </c>
      <c r="O42" t="n">
        <v>0</v>
      </c>
      <c r="P42" t="n">
        <v>0</v>
      </c>
      <c r="Q42" s="190" t="inlineStr">
        <is>
          <t>https://hacla.org/sites/default/files/Section%208/Utility%20Allowances/Utility%20Allowance%20Effective%202024-12-01.pdf</t>
        </is>
      </c>
      <c r="R42" t="inlineStr">
        <is>
          <t>Pending / Zero-fill</t>
        </is>
      </c>
    </row>
    <row r="43">
      <c r="A43" t="inlineStr">
        <is>
          <t>Housing Authority of the City of Los Angeles (HACLA)</t>
        </is>
      </c>
      <c r="B43" t="inlineStr">
        <is>
          <t>Los Angeles</t>
        </is>
      </c>
      <c r="C43" t="inlineStr">
        <is>
          <t>2024-12-01</t>
        </is>
      </c>
      <c r="D43" t="inlineStr">
        <is>
          <t>Single-Family Detached</t>
        </is>
      </c>
      <c r="E43" t="inlineStr">
        <is>
          <t>Single-Family</t>
        </is>
      </c>
      <c r="F43" t="inlineStr">
        <is>
          <t>Space Heating</t>
        </is>
      </c>
      <c r="G43" t="inlineStr">
        <is>
          <t>Other/Specify</t>
        </is>
      </c>
      <c r="H43" t="inlineStr">
        <is>
          <t>Space Heating - Other/Specify</t>
        </is>
      </c>
      <c r="I43" t="n">
        <v>0</v>
      </c>
      <c r="J43" t="n">
        <v>0</v>
      </c>
      <c r="K43" t="n">
        <v>0</v>
      </c>
      <c r="L43" t="n">
        <v>0</v>
      </c>
      <c r="M43" t="n">
        <v>0</v>
      </c>
      <c r="N43" t="n">
        <v>0</v>
      </c>
      <c r="O43" t="n">
        <v>0</v>
      </c>
      <c r="P43" t="n">
        <v>0</v>
      </c>
      <c r="Q43" s="190" t="inlineStr">
        <is>
          <t>https://hacla.org/sites/default/files/Section%208/Utility%20Allowances/Utility%20Allowance%20Effective%202024-12-01.pdf</t>
        </is>
      </c>
      <c r="R43" t="inlineStr">
        <is>
          <t>Pending / Zero-fill</t>
        </is>
      </c>
    </row>
    <row r="44">
      <c r="A44" t="inlineStr">
        <is>
          <t>Housing Authority of the City of Los Angeles (HACLA)</t>
        </is>
      </c>
      <c r="B44" t="inlineStr">
        <is>
          <t>Los Angeles</t>
        </is>
      </c>
      <c r="C44" t="inlineStr">
        <is>
          <t>2024-12-01</t>
        </is>
      </c>
      <c r="D44" t="inlineStr">
        <is>
          <t>Single-Family Detached</t>
        </is>
      </c>
      <c r="E44" t="inlineStr">
        <is>
          <t>Single-Family</t>
        </is>
      </c>
      <c r="F44" t="inlineStr">
        <is>
          <t>Trash Collection</t>
        </is>
      </c>
      <c r="G44" t="inlineStr">
        <is>
          <t>—</t>
        </is>
      </c>
      <c r="H44" t="inlineStr">
        <is>
          <t>Trash Collection</t>
        </is>
      </c>
      <c r="I44" t="n">
        <v>24</v>
      </c>
      <c r="J44" t="n">
        <v>24</v>
      </c>
      <c r="K44" t="n">
        <v>24</v>
      </c>
      <c r="L44" t="n">
        <v>24</v>
      </c>
      <c r="M44" t="n">
        <v>24</v>
      </c>
      <c r="N44" t="n">
        <v>24</v>
      </c>
      <c r="O44" t="n">
        <v>24</v>
      </c>
      <c r="P44" t="n">
        <v>24</v>
      </c>
      <c r="Q44" t="inlineStr">
        <is>
          <t>HACLA UA table (user screenshot, Dec 1 2024)</t>
        </is>
      </c>
      <c r="R44" t="inlineStr">
        <is>
          <t>Populated</t>
        </is>
      </c>
    </row>
    <row r="45">
      <c r="A45" t="inlineStr">
        <is>
          <t>Housing Authority of the City of Los Angeles (HACLA)</t>
        </is>
      </c>
      <c r="B45" t="inlineStr">
        <is>
          <t>Los Angeles</t>
        </is>
      </c>
      <c r="C45" t="inlineStr">
        <is>
          <t>2024-12-01</t>
        </is>
      </c>
      <c r="D45" t="inlineStr">
        <is>
          <t>Single-Family Detached</t>
        </is>
      </c>
      <c r="E45" t="inlineStr">
        <is>
          <t>Single-Family</t>
        </is>
      </c>
      <c r="F45" t="inlineStr">
        <is>
          <t>Washer</t>
        </is>
      </c>
      <c r="G45" t="inlineStr">
        <is>
          <t>Allowance</t>
        </is>
      </c>
      <c r="H45" t="inlineStr">
        <is>
          <t>Washer - Allowance</t>
        </is>
      </c>
      <c r="I45" t="n">
        <v>0</v>
      </c>
      <c r="J45" t="n">
        <v>0</v>
      </c>
      <c r="K45" t="n">
        <v>0</v>
      </c>
      <c r="L45" t="n">
        <v>0</v>
      </c>
      <c r="M45" t="n">
        <v>0</v>
      </c>
      <c r="N45" t="n">
        <v>0</v>
      </c>
      <c r="O45" t="n">
        <v>0</v>
      </c>
      <c r="P45" t="n">
        <v>0</v>
      </c>
      <c r="Q45" s="190" t="inlineStr">
        <is>
          <t>https://hacla.org/sites/default/files/Section%208/Utility%20Allowances/Utility%20Allowance%20Effective%202024-12-01.pdf</t>
        </is>
      </c>
      <c r="R45" t="inlineStr">
        <is>
          <t>Pending / Zero-fill</t>
        </is>
      </c>
    </row>
    <row r="46">
      <c r="A46" t="inlineStr">
        <is>
          <t>Housing Authority of the City of Los Angeles (HACLA)</t>
        </is>
      </c>
      <c r="B46" t="inlineStr">
        <is>
          <t>Los Angeles</t>
        </is>
      </c>
      <c r="C46" t="inlineStr">
        <is>
          <t>2024-12-01</t>
        </is>
      </c>
      <c r="D46" t="inlineStr">
        <is>
          <t>Single-Family Detached</t>
        </is>
      </c>
      <c r="E46" t="inlineStr">
        <is>
          <t>Single-Family</t>
        </is>
      </c>
      <c r="F46" t="inlineStr">
        <is>
          <t>Water</t>
        </is>
      </c>
      <c r="G46" t="inlineStr">
        <is>
          <t>—</t>
        </is>
      </c>
      <c r="H46" t="inlineStr">
        <is>
          <t>Water</t>
        </is>
      </c>
      <c r="I46" t="n">
        <v>50</v>
      </c>
      <c r="J46" t="n">
        <v>71</v>
      </c>
      <c r="K46" t="n">
        <v>91</v>
      </c>
      <c r="L46" t="n">
        <v>111</v>
      </c>
      <c r="M46" t="n">
        <v>141</v>
      </c>
      <c r="N46" t="n">
        <v>161</v>
      </c>
      <c r="O46" t="n">
        <v>181</v>
      </c>
      <c r="P46" t="n">
        <v>181</v>
      </c>
      <c r="Q46" t="inlineStr">
        <is>
          <t>HACLA UA table (user screenshot, Dec 1 2024)</t>
        </is>
      </c>
      <c r="R46" t="inlineStr">
        <is>
          <t>Populated</t>
        </is>
      </c>
    </row>
    <row r="47">
      <c r="A47" t="inlineStr">
        <is>
          <t>Housing Authority of the City of Los Angeles (HACLA)</t>
        </is>
      </c>
      <c r="B47" t="inlineStr">
        <is>
          <t>Los Angeles</t>
        </is>
      </c>
      <c r="C47" t="inlineStr">
        <is>
          <t>2024-12-01</t>
        </is>
      </c>
      <c r="D47" t="inlineStr">
        <is>
          <t>Single-Family Detached</t>
        </is>
      </c>
      <c r="E47" t="inlineStr">
        <is>
          <t>Single-Family</t>
        </is>
      </c>
      <c r="F47" t="inlineStr">
        <is>
          <t>Water Heating</t>
        </is>
      </c>
      <c r="G47" t="inlineStr">
        <is>
          <t>Electric</t>
        </is>
      </c>
      <c r="H47" t="inlineStr">
        <is>
          <t>Water Heating - Electric</t>
        </is>
      </c>
      <c r="I47" t="n">
        <v>7</v>
      </c>
      <c r="J47" t="n">
        <v>12</v>
      </c>
      <c r="K47" t="n">
        <v>16</v>
      </c>
      <c r="L47" t="n">
        <v>21</v>
      </c>
      <c r="M47" t="n">
        <v>26</v>
      </c>
      <c r="N47" t="n">
        <v>33</v>
      </c>
      <c r="O47" t="n">
        <v>37</v>
      </c>
      <c r="P47" t="n">
        <v>37</v>
      </c>
      <c r="Q47" t="inlineStr">
        <is>
          <t>HACLA UA table (user screenshot, Dec 1 2024)</t>
        </is>
      </c>
      <c r="R47" t="inlineStr">
        <is>
          <t>Populated</t>
        </is>
      </c>
    </row>
    <row r="48">
      <c r="A48" t="inlineStr">
        <is>
          <t>Housing Authority of the City of Los Angeles (HACLA)</t>
        </is>
      </c>
      <c r="B48" t="inlineStr">
        <is>
          <t>Los Angeles</t>
        </is>
      </c>
      <c r="C48" t="inlineStr">
        <is>
          <t>2024-12-01</t>
        </is>
      </c>
      <c r="D48" t="inlineStr">
        <is>
          <t>Single-Family Detached</t>
        </is>
      </c>
      <c r="E48" t="inlineStr">
        <is>
          <t>Single-Family</t>
        </is>
      </c>
      <c r="F48" t="inlineStr">
        <is>
          <t>Water Heating</t>
        </is>
      </c>
      <c r="G48" t="inlineStr">
        <is>
          <t>Natural Gas</t>
        </is>
      </c>
      <c r="H48" t="inlineStr">
        <is>
          <t>Water Heating - Natural Gas</t>
        </is>
      </c>
      <c r="I48" t="n">
        <v>8</v>
      </c>
      <c r="J48" t="n">
        <v>11</v>
      </c>
      <c r="K48" t="n">
        <v>15</v>
      </c>
      <c r="L48" t="n">
        <v>18</v>
      </c>
      <c r="M48" t="n">
        <v>23</v>
      </c>
      <c r="N48" t="n">
        <v>26</v>
      </c>
      <c r="O48" t="n">
        <v>29</v>
      </c>
      <c r="P48" t="n">
        <v>32</v>
      </c>
      <c r="Q48" t="inlineStr">
        <is>
          <t>HACLA UA table (user screenshot, Dec 1 2024)</t>
        </is>
      </c>
      <c r="R48" t="inlineStr">
        <is>
          <t>Populated</t>
        </is>
      </c>
    </row>
    <row r="49">
      <c r="A49" t="inlineStr">
        <is>
          <t>Housing Authority of the City of Los Angeles (HACLA)</t>
        </is>
      </c>
      <c r="B49" t="inlineStr">
        <is>
          <t>Los Angeles</t>
        </is>
      </c>
      <c r="C49" t="inlineStr">
        <is>
          <t>2024-12-01</t>
        </is>
      </c>
      <c r="D49" t="inlineStr">
        <is>
          <t>Single-Family Detached</t>
        </is>
      </c>
      <c r="E49" t="inlineStr">
        <is>
          <t>Single-Family</t>
        </is>
      </c>
      <c r="F49" t="inlineStr">
        <is>
          <t>Water Heating</t>
        </is>
      </c>
      <c r="G49" t="inlineStr">
        <is>
          <t>Oil/Propane</t>
        </is>
      </c>
      <c r="H49" t="inlineStr">
        <is>
          <t>Water Heating - Oil/Propane</t>
        </is>
      </c>
      <c r="I49" t="n">
        <v>0</v>
      </c>
      <c r="J49" t="n">
        <v>0</v>
      </c>
      <c r="K49" t="n">
        <v>0</v>
      </c>
      <c r="L49" t="n">
        <v>0</v>
      </c>
      <c r="M49" t="n">
        <v>0</v>
      </c>
      <c r="N49" t="n">
        <v>0</v>
      </c>
      <c r="O49" t="n">
        <v>0</v>
      </c>
      <c r="P49" t="n">
        <v>0</v>
      </c>
      <c r="Q49" s="190" t="inlineStr">
        <is>
          <t>https://hacla.org/sites/default/files/Section%208/Utility%20Allowances/Utility%20Allowance%20Effective%202024-12-01.pdf</t>
        </is>
      </c>
      <c r="R49" t="inlineStr">
        <is>
          <t>Pending / Zero-fill</t>
        </is>
      </c>
    </row>
    <row r="50">
      <c r="A50" t="inlineStr">
        <is>
          <t>Housing Authority of the County of San Diego (HACSD)</t>
        </is>
      </c>
      <c r="B50" t="inlineStr">
        <is>
          <t>San Diego County</t>
        </is>
      </c>
      <c r="C50" t="inlineStr">
        <is>
          <t>2025-03-01</t>
        </is>
      </c>
      <c r="D50" t="inlineStr">
        <is>
          <t>Multi-Family</t>
        </is>
      </c>
      <c r="E50" t="inlineStr">
        <is>
          <t>Other</t>
        </is>
      </c>
      <c r="F50" t="inlineStr">
        <is>
          <t>Air Conditioning</t>
        </is>
      </c>
      <c r="G50" t="inlineStr">
        <is>
          <t>Electric</t>
        </is>
      </c>
      <c r="H50" t="inlineStr">
        <is>
          <t>Air Conditioning - Electric</t>
        </is>
      </c>
      <c r="I50" t="n">
        <v>24</v>
      </c>
      <c r="J50" t="n">
        <v>28</v>
      </c>
      <c r="K50" t="n">
        <v>36</v>
      </c>
      <c r="L50" t="n">
        <v>50</v>
      </c>
      <c r="M50" t="n">
        <v>66</v>
      </c>
      <c r="N50" t="n">
        <v>80</v>
      </c>
      <c r="O50" t="n">
        <v>0</v>
      </c>
      <c r="P50" t="n">
        <v>0</v>
      </c>
      <c r="Q50" s="190" t="inlineStr">
        <is>
          <t>https://www.sandiegocounty.gov/content/dam/sdc/sdhcd/new-docs/Rental_assistance/Utility_Allowance_Schedule_HUD_52667_03-2025.pdf</t>
        </is>
      </c>
      <c r="R50" t="inlineStr">
        <is>
          <t>Populated</t>
        </is>
      </c>
    </row>
    <row r="51">
      <c r="A51" t="inlineStr">
        <is>
          <t>Housing Authority of the County of San Diego (HACSD)</t>
        </is>
      </c>
      <c r="B51" t="inlineStr">
        <is>
          <t>San Diego County</t>
        </is>
      </c>
      <c r="C51" t="inlineStr">
        <is>
          <t>2025-03-01</t>
        </is>
      </c>
      <c r="D51" t="inlineStr">
        <is>
          <t>Multi-Family</t>
        </is>
      </c>
      <c r="E51" t="inlineStr">
        <is>
          <t>Other</t>
        </is>
      </c>
      <c r="F51" t="inlineStr">
        <is>
          <t>Air Conditioning</t>
        </is>
      </c>
      <c r="G51" t="inlineStr">
        <is>
          <t>Evaporative Cooler</t>
        </is>
      </c>
      <c r="H51" t="inlineStr">
        <is>
          <t>Air Conditioning - Evaporative Cooler</t>
        </is>
      </c>
      <c r="I51" t="n">
        <v>0</v>
      </c>
      <c r="J51" t="n">
        <v>0</v>
      </c>
      <c r="K51" t="n">
        <v>0</v>
      </c>
      <c r="L51" t="n">
        <v>0</v>
      </c>
      <c r="M51" t="n">
        <v>0</v>
      </c>
      <c r="N51" t="n">
        <v>0</v>
      </c>
      <c r="O51" t="n">
        <v>0</v>
      </c>
      <c r="P51" t="n">
        <v>0</v>
      </c>
      <c r="Q51" s="190" t="inlineStr">
        <is>
          <t>https://www.sandiegocounty.gov/content/dam/sdc/sdhcd/new-docs/Rental_assistance/Utility_Allowance_Schedule_HUD_52667_03-2025.pdf</t>
        </is>
      </c>
      <c r="R51" t="inlineStr">
        <is>
          <t>Pending / Zero-fill</t>
        </is>
      </c>
    </row>
    <row r="52">
      <c r="A52" t="inlineStr">
        <is>
          <t>Housing Authority of the County of San Diego (HACSD)</t>
        </is>
      </c>
      <c r="B52" t="inlineStr">
        <is>
          <t>San Diego County</t>
        </is>
      </c>
      <c r="C52" t="inlineStr">
        <is>
          <t>2025-03-01</t>
        </is>
      </c>
      <c r="D52" t="inlineStr">
        <is>
          <t>Multi-Family</t>
        </is>
      </c>
      <c r="E52" t="inlineStr">
        <is>
          <t>Other</t>
        </is>
      </c>
      <c r="F52" t="inlineStr">
        <is>
          <t>Cooking</t>
        </is>
      </c>
      <c r="G52" t="inlineStr">
        <is>
          <t>Electric</t>
        </is>
      </c>
      <c r="H52" t="inlineStr">
        <is>
          <t>Cooking - Electric</t>
        </is>
      </c>
      <c r="I52" t="n">
        <v>9</v>
      </c>
      <c r="J52" t="n">
        <v>11</v>
      </c>
      <c r="K52" t="n">
        <v>21</v>
      </c>
      <c r="L52" t="n">
        <v>27</v>
      </c>
      <c r="M52" t="n">
        <v>32</v>
      </c>
      <c r="N52" t="n">
        <v>38</v>
      </c>
      <c r="O52" t="n">
        <v>0</v>
      </c>
      <c r="P52" t="n">
        <v>0</v>
      </c>
      <c r="Q52" s="190" t="inlineStr">
        <is>
          <t>https://www.sandiegocounty.gov/content/dam/sdc/sdhcd/new-docs/Rental_assistance/Utility_Allowance_Schedule_HUD_52667_03-2025.pdf</t>
        </is>
      </c>
      <c r="R52" t="inlineStr">
        <is>
          <t>Populated</t>
        </is>
      </c>
    </row>
    <row r="53">
      <c r="A53" t="inlineStr">
        <is>
          <t>Housing Authority of the County of San Diego (HACSD)</t>
        </is>
      </c>
      <c r="B53" t="inlineStr">
        <is>
          <t>San Diego County</t>
        </is>
      </c>
      <c r="C53" t="inlineStr">
        <is>
          <t>2025-03-01</t>
        </is>
      </c>
      <c r="D53" t="inlineStr">
        <is>
          <t>Multi-Family</t>
        </is>
      </c>
      <c r="E53" t="inlineStr">
        <is>
          <t>Other</t>
        </is>
      </c>
      <c r="F53" t="inlineStr">
        <is>
          <t>Cooking</t>
        </is>
      </c>
      <c r="G53" t="inlineStr">
        <is>
          <t>Natural Gas</t>
        </is>
      </c>
      <c r="H53" t="inlineStr">
        <is>
          <t>Cooking - Natural Gas</t>
        </is>
      </c>
      <c r="I53" t="n">
        <v>0</v>
      </c>
      <c r="J53" t="n">
        <v>0</v>
      </c>
      <c r="K53" t="n">
        <v>0</v>
      </c>
      <c r="L53" t="n">
        <v>0</v>
      </c>
      <c r="M53" t="n">
        <v>0</v>
      </c>
      <c r="N53" t="n">
        <v>0</v>
      </c>
      <c r="O53" t="n">
        <v>0</v>
      </c>
      <c r="P53" t="n">
        <v>0</v>
      </c>
      <c r="Q53" s="190" t="inlineStr">
        <is>
          <t>https://www.sandiegocounty.gov/content/dam/sdc/sdhcd/new-docs/Rental_assistance/Utility_Allowance_Schedule_HUD_52667_03-2025.pdf</t>
        </is>
      </c>
      <c r="R53" t="inlineStr">
        <is>
          <t>Pending / Zero-fill</t>
        </is>
      </c>
    </row>
    <row r="54">
      <c r="A54" t="inlineStr">
        <is>
          <t>Housing Authority of the County of San Diego (HACSD)</t>
        </is>
      </c>
      <c r="B54" t="inlineStr">
        <is>
          <t>San Diego County</t>
        </is>
      </c>
      <c r="C54" t="inlineStr">
        <is>
          <t>2025-03-01</t>
        </is>
      </c>
      <c r="D54" t="inlineStr">
        <is>
          <t>Multi-Family</t>
        </is>
      </c>
      <c r="E54" t="inlineStr">
        <is>
          <t>Other</t>
        </is>
      </c>
      <c r="F54" t="inlineStr">
        <is>
          <t>Dishwasher</t>
        </is>
      </c>
      <c r="G54" t="inlineStr">
        <is>
          <t>Allowance</t>
        </is>
      </c>
      <c r="H54" t="inlineStr">
        <is>
          <t>Dishwasher - Allowance</t>
        </is>
      </c>
      <c r="I54" t="n">
        <v>0</v>
      </c>
      <c r="J54" t="n">
        <v>0</v>
      </c>
      <c r="K54" t="n">
        <v>0</v>
      </c>
      <c r="L54" t="n">
        <v>0</v>
      </c>
      <c r="M54" t="n">
        <v>0</v>
      </c>
      <c r="N54" t="n">
        <v>0</v>
      </c>
      <c r="O54" t="n">
        <v>0</v>
      </c>
      <c r="P54" t="n">
        <v>0</v>
      </c>
      <c r="Q54" s="190" t="inlineStr">
        <is>
          <t>https://www.sandiegocounty.gov/content/dam/sdc/sdhcd/new-docs/Rental_assistance/Utility_Allowance_Schedule_HUD_52667_03-2025.pdf</t>
        </is>
      </c>
      <c r="R54" t="inlineStr">
        <is>
          <t>Pending / Zero-fill</t>
        </is>
      </c>
    </row>
    <row r="55">
      <c r="A55" t="inlineStr">
        <is>
          <t>Housing Authority of the County of San Diego (HACSD)</t>
        </is>
      </c>
      <c r="B55" t="inlineStr">
        <is>
          <t>San Diego County</t>
        </is>
      </c>
      <c r="C55" t="inlineStr">
        <is>
          <t>2025-03-01</t>
        </is>
      </c>
      <c r="D55" t="inlineStr">
        <is>
          <t>Multi-Family</t>
        </is>
      </c>
      <c r="E55" t="inlineStr">
        <is>
          <t>Other</t>
        </is>
      </c>
      <c r="F55" t="inlineStr">
        <is>
          <t>Dryer</t>
        </is>
      </c>
      <c r="G55" t="inlineStr">
        <is>
          <t>Allowance</t>
        </is>
      </c>
      <c r="H55" t="inlineStr">
        <is>
          <t>Dryer - Allowance</t>
        </is>
      </c>
      <c r="I55" t="n">
        <v>0</v>
      </c>
      <c r="J55" t="n">
        <v>0</v>
      </c>
      <c r="K55" t="n">
        <v>0</v>
      </c>
      <c r="L55" t="n">
        <v>0</v>
      </c>
      <c r="M55" t="n">
        <v>0</v>
      </c>
      <c r="N55" t="n">
        <v>0</v>
      </c>
      <c r="O55" t="n">
        <v>0</v>
      </c>
      <c r="P55" t="n">
        <v>0</v>
      </c>
      <c r="Q55" s="190" t="inlineStr">
        <is>
          <t>https://www.sandiegocounty.gov/content/dam/sdc/sdhcd/new-docs/Rental_assistance/Utility_Allowance_Schedule_HUD_52667_03-2025.pdf</t>
        </is>
      </c>
      <c r="R55" t="inlineStr">
        <is>
          <t>Pending / Zero-fill</t>
        </is>
      </c>
    </row>
    <row r="56">
      <c r="A56" t="inlineStr">
        <is>
          <t>Housing Authority of the County of San Diego (HACSD)</t>
        </is>
      </c>
      <c r="B56" t="inlineStr">
        <is>
          <t>San Diego County</t>
        </is>
      </c>
      <c r="C56" t="inlineStr">
        <is>
          <t>2025-03-01</t>
        </is>
      </c>
      <c r="D56" t="inlineStr">
        <is>
          <t>Multi-Family</t>
        </is>
      </c>
      <c r="E56" t="inlineStr">
        <is>
          <t>Other</t>
        </is>
      </c>
      <c r="F56" t="inlineStr">
        <is>
          <t>Freezer</t>
        </is>
      </c>
      <c r="G56" t="inlineStr">
        <is>
          <t>Allowance</t>
        </is>
      </c>
      <c r="H56" t="inlineStr">
        <is>
          <t>Freezer - Allowance</t>
        </is>
      </c>
      <c r="I56" t="n">
        <v>0</v>
      </c>
      <c r="J56" t="n">
        <v>0</v>
      </c>
      <c r="K56" t="n">
        <v>0</v>
      </c>
      <c r="L56" t="n">
        <v>0</v>
      </c>
      <c r="M56" t="n">
        <v>0</v>
      </c>
      <c r="N56" t="n">
        <v>0</v>
      </c>
      <c r="O56" t="n">
        <v>0</v>
      </c>
      <c r="P56" t="n">
        <v>0</v>
      </c>
      <c r="Q56" s="190" t="inlineStr">
        <is>
          <t>https://www.sandiegocounty.gov/content/dam/sdc/sdhcd/new-docs/Rental_assistance/Utility_Allowance_Schedule_HUD_52667_03-2025.pdf</t>
        </is>
      </c>
      <c r="R56" t="inlineStr">
        <is>
          <t>Pending / Zero-fill</t>
        </is>
      </c>
    </row>
    <row r="57">
      <c r="A57" t="inlineStr">
        <is>
          <t>Housing Authority of the County of San Diego (HACSD)</t>
        </is>
      </c>
      <c r="B57" t="inlineStr">
        <is>
          <t>San Diego County</t>
        </is>
      </c>
      <c r="C57" t="inlineStr">
        <is>
          <t>2025-03-01</t>
        </is>
      </c>
      <c r="D57" t="inlineStr">
        <is>
          <t>Multi-Family</t>
        </is>
      </c>
      <c r="E57" t="inlineStr">
        <is>
          <t>Other</t>
        </is>
      </c>
      <c r="F57" t="inlineStr">
        <is>
          <t>Other - Specify</t>
        </is>
      </c>
      <c r="G57" t="inlineStr">
        <is>
          <t>Lifeline / Baseline Credit</t>
        </is>
      </c>
      <c r="H57" t="inlineStr">
        <is>
          <t>Other - Specify - Lifeline / Baseline Credit</t>
        </is>
      </c>
      <c r="I57" t="n">
        <v>0</v>
      </c>
      <c r="J57" t="n">
        <v>0</v>
      </c>
      <c r="K57" t="n">
        <v>0</v>
      </c>
      <c r="L57" t="n">
        <v>0</v>
      </c>
      <c r="M57" t="n">
        <v>0</v>
      </c>
      <c r="N57" t="n">
        <v>0</v>
      </c>
      <c r="O57" t="n">
        <v>0</v>
      </c>
      <c r="P57" t="n">
        <v>0</v>
      </c>
      <c r="Q57" s="190" t="inlineStr">
        <is>
          <t>https://www.sandiegocounty.gov/content/dam/sdc/sdhcd/new-docs/Rental_assistance/Utility_Allowance_Schedule_HUD_52667_03-2025.pdf</t>
        </is>
      </c>
      <c r="R57" t="inlineStr">
        <is>
          <t>Pending / Zero-fill</t>
        </is>
      </c>
    </row>
    <row r="58">
      <c r="A58" t="inlineStr">
        <is>
          <t>Housing Authority of the County of San Diego (HACSD)</t>
        </is>
      </c>
      <c r="B58" t="inlineStr">
        <is>
          <t>San Diego County</t>
        </is>
      </c>
      <c r="C58" t="inlineStr">
        <is>
          <t>2025-03-01</t>
        </is>
      </c>
      <c r="D58" t="inlineStr">
        <is>
          <t>Multi-Family</t>
        </is>
      </c>
      <c r="E58" t="inlineStr">
        <is>
          <t>Other</t>
        </is>
      </c>
      <c r="F58" t="inlineStr">
        <is>
          <t>Other - Specify</t>
        </is>
      </c>
      <c r="G58" t="inlineStr">
        <is>
          <t>Solar/PV Credit</t>
        </is>
      </c>
      <c r="H58" t="inlineStr">
        <is>
          <t>Other - Specify - Solar/PV Credit</t>
        </is>
      </c>
      <c r="I58" t="n">
        <v>0</v>
      </c>
      <c r="J58" t="n">
        <v>0</v>
      </c>
      <c r="K58" t="n">
        <v>0</v>
      </c>
      <c r="L58" t="n">
        <v>0</v>
      </c>
      <c r="M58" t="n">
        <v>0</v>
      </c>
      <c r="N58" t="n">
        <v>0</v>
      </c>
      <c r="O58" t="n">
        <v>0</v>
      </c>
      <c r="P58" t="n">
        <v>0</v>
      </c>
      <c r="Q58" s="190" t="inlineStr">
        <is>
          <t>https://www.sandiegocounty.gov/content/dam/sdc/sdhcd/new-docs/Rental_assistance/Utility_Allowance_Schedule_HUD_52667_03-2025.pdf</t>
        </is>
      </c>
      <c r="R58" t="inlineStr">
        <is>
          <t>Pending / Zero-fill</t>
        </is>
      </c>
    </row>
    <row r="59">
      <c r="A59" t="inlineStr">
        <is>
          <t>Housing Authority of the County of San Diego (HACSD)</t>
        </is>
      </c>
      <c r="B59" t="inlineStr">
        <is>
          <t>San Diego County</t>
        </is>
      </c>
      <c r="C59" t="inlineStr">
        <is>
          <t>2025-03-01</t>
        </is>
      </c>
      <c r="D59" t="inlineStr">
        <is>
          <t>Multi-Family</t>
        </is>
      </c>
      <c r="E59" t="inlineStr">
        <is>
          <t>Other</t>
        </is>
      </c>
      <c r="F59" t="inlineStr">
        <is>
          <t>Other - Specify</t>
        </is>
      </c>
      <c r="G59" t="inlineStr">
        <is>
          <t>Utility Customer Charge / Fee</t>
        </is>
      </c>
      <c r="H59" t="inlineStr">
        <is>
          <t>Other - Specify - Utility Customer Charge / Fee</t>
        </is>
      </c>
      <c r="I59" t="n">
        <v>0</v>
      </c>
      <c r="J59" t="n">
        <v>0</v>
      </c>
      <c r="K59" t="n">
        <v>0</v>
      </c>
      <c r="L59" t="n">
        <v>0</v>
      </c>
      <c r="M59" t="n">
        <v>0</v>
      </c>
      <c r="N59" t="n">
        <v>0</v>
      </c>
      <c r="O59" t="n">
        <v>0</v>
      </c>
      <c r="P59" t="n">
        <v>0</v>
      </c>
      <c r="Q59" s="190" t="inlineStr">
        <is>
          <t>https://www.sandiegocounty.gov/content/dam/sdc/sdhcd/new-docs/Rental_assistance/Utility_Allowance_Schedule_HUD_52667_03-2025.pdf</t>
        </is>
      </c>
      <c r="R59" t="inlineStr">
        <is>
          <t>Pending / Zero-fill</t>
        </is>
      </c>
    </row>
    <row r="60">
      <c r="A60" t="inlineStr">
        <is>
          <t>Housing Authority of the County of San Diego (HACSD)</t>
        </is>
      </c>
      <c r="B60" t="inlineStr">
        <is>
          <t>San Diego County</t>
        </is>
      </c>
      <c r="C60" t="inlineStr">
        <is>
          <t>2025-03-01</t>
        </is>
      </c>
      <c r="D60" t="inlineStr">
        <is>
          <t>Multi-Family</t>
        </is>
      </c>
      <c r="E60" t="inlineStr">
        <is>
          <t>Other</t>
        </is>
      </c>
      <c r="F60" t="inlineStr">
        <is>
          <t>Other Electric</t>
        </is>
      </c>
      <c r="G60" t="inlineStr">
        <is>
          <t>Electric (Lights/Plugs)</t>
        </is>
      </c>
      <c r="H60" t="inlineStr">
        <is>
          <t>Other Electric - Electric (Lights/Plugs)</t>
        </is>
      </c>
      <c r="I60" t="n">
        <v>41</v>
      </c>
      <c r="J60" t="n">
        <v>48</v>
      </c>
      <c r="K60" t="n">
        <v>67</v>
      </c>
      <c r="L60" t="n">
        <v>86</v>
      </c>
      <c r="M60" t="n">
        <v>105</v>
      </c>
      <c r="N60" t="n">
        <v>124</v>
      </c>
      <c r="O60" t="n">
        <v>0</v>
      </c>
      <c r="P60" t="n">
        <v>0</v>
      </c>
      <c r="Q60" s="190" t="inlineStr">
        <is>
          <t>https://www.sandiegocounty.gov/content/dam/sdc/sdhcd/new-docs/Rental_assistance/Utility_Allowance_Schedule_HUD_52667_03-2025.pdf</t>
        </is>
      </c>
      <c r="R60" t="inlineStr">
        <is>
          <t>Populated</t>
        </is>
      </c>
    </row>
    <row r="61">
      <c r="A61" t="inlineStr">
        <is>
          <t>Housing Authority of the County of San Diego (HACSD)</t>
        </is>
      </c>
      <c r="B61" t="inlineStr">
        <is>
          <t>San Diego County</t>
        </is>
      </c>
      <c r="C61" t="inlineStr">
        <is>
          <t>2025-03-01</t>
        </is>
      </c>
      <c r="D61" t="inlineStr">
        <is>
          <t>Multi-Family</t>
        </is>
      </c>
      <c r="E61" t="inlineStr">
        <is>
          <t>Other</t>
        </is>
      </c>
      <c r="F61" t="inlineStr">
        <is>
          <t>Range/Microwave</t>
        </is>
      </c>
      <c r="G61" t="inlineStr">
        <is>
          <t>Allowance</t>
        </is>
      </c>
      <c r="H61" t="inlineStr">
        <is>
          <t>Range/Microwave - Allowance</t>
        </is>
      </c>
      <c r="I61" t="n">
        <v>5</v>
      </c>
      <c r="J61" t="n">
        <v>5</v>
      </c>
      <c r="K61" t="n">
        <v>5</v>
      </c>
      <c r="L61" t="n">
        <v>5</v>
      </c>
      <c r="M61" t="n">
        <v>5</v>
      </c>
      <c r="N61" t="n">
        <v>5</v>
      </c>
      <c r="O61" t="n">
        <v>0</v>
      </c>
      <c r="P61" t="n">
        <v>0</v>
      </c>
      <c r="Q61" s="190" t="inlineStr">
        <is>
          <t>https://www.sandiegocounty.gov/content/dam/sdc/sdhcd/new-docs/Rental_assistance/Utility_Allowance_Schedule_HUD_52667_03-2025.pdf</t>
        </is>
      </c>
      <c r="R61" t="inlineStr">
        <is>
          <t>Populated</t>
        </is>
      </c>
    </row>
    <row r="62">
      <c r="A62" t="inlineStr">
        <is>
          <t>Housing Authority of the County of San Diego (HACSD)</t>
        </is>
      </c>
      <c r="B62" t="inlineStr">
        <is>
          <t>San Diego County</t>
        </is>
      </c>
      <c r="C62" t="inlineStr">
        <is>
          <t>2025-03-01</t>
        </is>
      </c>
      <c r="D62" t="inlineStr">
        <is>
          <t>Multi-Family</t>
        </is>
      </c>
      <c r="E62" t="inlineStr">
        <is>
          <t>Other</t>
        </is>
      </c>
      <c r="F62" t="inlineStr">
        <is>
          <t>Refrigerator</t>
        </is>
      </c>
      <c r="G62" t="inlineStr">
        <is>
          <t>Allowance</t>
        </is>
      </c>
      <c r="H62" t="inlineStr">
        <is>
          <t>Refrigerator - Allowance</t>
        </is>
      </c>
      <c r="I62" t="n">
        <v>35</v>
      </c>
      <c r="J62" t="n">
        <v>35</v>
      </c>
      <c r="K62" t="n">
        <v>35</v>
      </c>
      <c r="L62" t="n">
        <v>35</v>
      </c>
      <c r="M62" t="n">
        <v>35</v>
      </c>
      <c r="N62" t="n">
        <v>35</v>
      </c>
      <c r="O62" t="n">
        <v>0</v>
      </c>
      <c r="P62" t="n">
        <v>0</v>
      </c>
      <c r="Q62" s="190" t="inlineStr">
        <is>
          <t>https://www.sandiegocounty.gov/content/dam/sdc/sdhcd/new-docs/Rental_assistance/Utility_Allowance_Schedule_HUD_52667_03-2025.pdf</t>
        </is>
      </c>
      <c r="R62" t="inlineStr">
        <is>
          <t>Populated</t>
        </is>
      </c>
    </row>
    <row r="63">
      <c r="A63" t="inlineStr">
        <is>
          <t>Housing Authority of the County of San Diego (HACSD)</t>
        </is>
      </c>
      <c r="B63" t="inlineStr">
        <is>
          <t>San Diego County</t>
        </is>
      </c>
      <c r="C63" t="inlineStr">
        <is>
          <t>2025-03-01</t>
        </is>
      </c>
      <c r="D63" t="inlineStr">
        <is>
          <t>Multi-Family</t>
        </is>
      </c>
      <c r="E63" t="inlineStr">
        <is>
          <t>Other</t>
        </is>
      </c>
      <c r="F63" t="inlineStr">
        <is>
          <t>Sewer</t>
        </is>
      </c>
      <c r="G63" t="inlineStr">
        <is>
          <t>—</t>
        </is>
      </c>
      <c r="H63" t="inlineStr">
        <is>
          <t>Sewer</t>
        </is>
      </c>
      <c r="I63" t="n">
        <v>30</v>
      </c>
      <c r="J63" t="n">
        <v>30</v>
      </c>
      <c r="K63" t="n">
        <v>30</v>
      </c>
      <c r="L63" t="n">
        <v>30</v>
      </c>
      <c r="M63" t="n">
        <v>30</v>
      </c>
      <c r="N63" t="n">
        <v>30</v>
      </c>
      <c r="O63" t="n">
        <v>0</v>
      </c>
      <c r="P63" t="n">
        <v>0</v>
      </c>
      <c r="Q63" s="190" t="inlineStr">
        <is>
          <t>https://www.sandiegocounty.gov/content/dam/sdc/sdhcd/new-docs/Rental_assistance/Utility_Allowance_Schedule_HUD_52667_03-2025.pdf</t>
        </is>
      </c>
      <c r="R63" t="inlineStr">
        <is>
          <t>Populated</t>
        </is>
      </c>
    </row>
    <row r="64">
      <c r="A64" t="inlineStr">
        <is>
          <t>Housing Authority of the County of San Diego (HACSD)</t>
        </is>
      </c>
      <c r="B64" t="inlineStr">
        <is>
          <t>San Diego County</t>
        </is>
      </c>
      <c r="C64" t="inlineStr">
        <is>
          <t>2025-03-01</t>
        </is>
      </c>
      <c r="D64" t="inlineStr">
        <is>
          <t>Multi-Family</t>
        </is>
      </c>
      <c r="E64" t="inlineStr">
        <is>
          <t>Other</t>
        </is>
      </c>
      <c r="F64" t="inlineStr">
        <is>
          <t>Space Heating</t>
        </is>
      </c>
      <c r="G64" t="inlineStr">
        <is>
          <t>Electric</t>
        </is>
      </c>
      <c r="H64" t="inlineStr">
        <is>
          <t>Space Heating - Electric</t>
        </is>
      </c>
      <c r="I64" t="n">
        <v>0</v>
      </c>
      <c r="J64" t="n">
        <v>0</v>
      </c>
      <c r="K64" t="n">
        <v>0</v>
      </c>
      <c r="L64" t="n">
        <v>0</v>
      </c>
      <c r="M64" t="n">
        <v>0</v>
      </c>
      <c r="N64" t="n">
        <v>0</v>
      </c>
      <c r="O64" t="n">
        <v>0</v>
      </c>
      <c r="P64" t="n">
        <v>0</v>
      </c>
      <c r="Q64" s="190" t="inlineStr">
        <is>
          <t>https://www.sandiegocounty.gov/content/dam/sdc/sdhcd/new-docs/Rental_assistance/Utility_Allowance_Schedule_HUD_52667_03-2025.pdf</t>
        </is>
      </c>
      <c r="R64" t="inlineStr">
        <is>
          <t>Pending / Zero-fill</t>
        </is>
      </c>
    </row>
    <row r="65">
      <c r="A65" t="inlineStr">
        <is>
          <t>Housing Authority of the County of San Diego (HACSD)</t>
        </is>
      </c>
      <c r="B65" t="inlineStr">
        <is>
          <t>San Diego County</t>
        </is>
      </c>
      <c r="C65" t="inlineStr">
        <is>
          <t>2025-03-01</t>
        </is>
      </c>
      <c r="D65" t="inlineStr">
        <is>
          <t>Multi-Family</t>
        </is>
      </c>
      <c r="E65" t="inlineStr">
        <is>
          <t>Other</t>
        </is>
      </c>
      <c r="F65" t="inlineStr">
        <is>
          <t>Space Heating</t>
        </is>
      </c>
      <c r="G65" t="inlineStr">
        <is>
          <t>Electric - Heat Pump</t>
        </is>
      </c>
      <c r="H65" t="inlineStr">
        <is>
          <t>Space Heating - Electric - Heat Pump</t>
        </is>
      </c>
      <c r="I65" t="n">
        <v>0</v>
      </c>
      <c r="J65" t="n">
        <v>0</v>
      </c>
      <c r="K65" t="n">
        <v>0</v>
      </c>
      <c r="L65" t="n">
        <v>0</v>
      </c>
      <c r="M65" t="n">
        <v>0</v>
      </c>
      <c r="N65" t="n">
        <v>0</v>
      </c>
      <c r="O65" t="n">
        <v>0</v>
      </c>
      <c r="P65" t="n">
        <v>0</v>
      </c>
      <c r="Q65" s="190" t="inlineStr">
        <is>
          <t>https://www.sandiegocounty.gov/content/dam/sdc/sdhcd/new-docs/Rental_assistance/Utility_Allowance_Schedule_HUD_52667_03-2025.pdf</t>
        </is>
      </c>
      <c r="R65" t="inlineStr">
        <is>
          <t>Pending / Zero-fill</t>
        </is>
      </c>
    </row>
    <row r="66">
      <c r="A66" t="inlineStr">
        <is>
          <t>Housing Authority of the County of San Diego (HACSD)</t>
        </is>
      </c>
      <c r="B66" t="inlineStr">
        <is>
          <t>San Diego County</t>
        </is>
      </c>
      <c r="C66" t="inlineStr">
        <is>
          <t>2025-03-01</t>
        </is>
      </c>
      <c r="D66" t="inlineStr">
        <is>
          <t>Multi-Family</t>
        </is>
      </c>
      <c r="E66" t="inlineStr">
        <is>
          <t>Other</t>
        </is>
      </c>
      <c r="F66" t="inlineStr">
        <is>
          <t>Space Heating</t>
        </is>
      </c>
      <c r="G66" t="inlineStr">
        <is>
          <t>Natural Gas</t>
        </is>
      </c>
      <c r="H66" t="inlineStr">
        <is>
          <t>Space Heating - Natural Gas</t>
        </is>
      </c>
      <c r="I66" t="n">
        <v>0</v>
      </c>
      <c r="J66" t="n">
        <v>0</v>
      </c>
      <c r="K66" t="n">
        <v>0</v>
      </c>
      <c r="L66" t="n">
        <v>0</v>
      </c>
      <c r="M66" t="n">
        <v>0</v>
      </c>
      <c r="N66" t="n">
        <v>0</v>
      </c>
      <c r="O66" t="n">
        <v>0</v>
      </c>
      <c r="P66" t="n">
        <v>0</v>
      </c>
      <c r="Q66" s="190" t="inlineStr">
        <is>
          <t>https://www.sandiegocounty.gov/content/dam/sdc/sdhcd/new-docs/Rental_assistance/Utility_Allowance_Schedule_HUD_52667_03-2025.pdf</t>
        </is>
      </c>
      <c r="R66" t="inlineStr">
        <is>
          <t>Pending / Zero-fill</t>
        </is>
      </c>
    </row>
    <row r="67">
      <c r="A67" t="inlineStr">
        <is>
          <t>Housing Authority of the County of San Diego (HACSD)</t>
        </is>
      </c>
      <c r="B67" t="inlineStr">
        <is>
          <t>San Diego County</t>
        </is>
      </c>
      <c r="C67" t="inlineStr">
        <is>
          <t>2025-03-01</t>
        </is>
      </c>
      <c r="D67" t="inlineStr">
        <is>
          <t>Multi-Family</t>
        </is>
      </c>
      <c r="E67" t="inlineStr">
        <is>
          <t>Other</t>
        </is>
      </c>
      <c r="F67" t="inlineStr">
        <is>
          <t>Space Heating</t>
        </is>
      </c>
      <c r="G67" t="inlineStr">
        <is>
          <t>Oil/Propane</t>
        </is>
      </c>
      <c r="H67" t="inlineStr">
        <is>
          <t>Space Heating - Oil/Propane</t>
        </is>
      </c>
      <c r="I67" t="n">
        <v>0</v>
      </c>
      <c r="J67" t="n">
        <v>0</v>
      </c>
      <c r="K67" t="n">
        <v>0</v>
      </c>
      <c r="L67" t="n">
        <v>0</v>
      </c>
      <c r="M67" t="n">
        <v>0</v>
      </c>
      <c r="N67" t="n">
        <v>0</v>
      </c>
      <c r="O67" t="n">
        <v>0</v>
      </c>
      <c r="P67" t="n">
        <v>0</v>
      </c>
      <c r="Q67" s="190" t="inlineStr">
        <is>
          <t>https://www.sandiegocounty.gov/content/dam/sdc/sdhcd/new-docs/Rental_assistance/Utility_Allowance_Schedule_HUD_52667_03-2025.pdf</t>
        </is>
      </c>
      <c r="R67" t="inlineStr">
        <is>
          <t>Pending / Zero-fill</t>
        </is>
      </c>
    </row>
    <row r="68">
      <c r="A68" t="inlineStr">
        <is>
          <t>Housing Authority of the County of San Diego (HACSD)</t>
        </is>
      </c>
      <c r="B68" t="inlineStr">
        <is>
          <t>San Diego County</t>
        </is>
      </c>
      <c r="C68" t="inlineStr">
        <is>
          <t>2025-03-01</t>
        </is>
      </c>
      <c r="D68" t="inlineStr">
        <is>
          <t>Multi-Family</t>
        </is>
      </c>
      <c r="E68" t="inlineStr">
        <is>
          <t>Other</t>
        </is>
      </c>
      <c r="F68" t="inlineStr">
        <is>
          <t>Space Heating</t>
        </is>
      </c>
      <c r="G68" t="inlineStr">
        <is>
          <t>Other/Specify</t>
        </is>
      </c>
      <c r="H68" t="inlineStr">
        <is>
          <t>Space Heating - Other/Specify</t>
        </is>
      </c>
      <c r="I68" t="n">
        <v>0</v>
      </c>
      <c r="J68" t="n">
        <v>0</v>
      </c>
      <c r="K68" t="n">
        <v>0</v>
      </c>
      <c r="L68" t="n">
        <v>0</v>
      </c>
      <c r="M68" t="n">
        <v>0</v>
      </c>
      <c r="N68" t="n">
        <v>0</v>
      </c>
      <c r="O68" t="n">
        <v>0</v>
      </c>
      <c r="P68" t="n">
        <v>0</v>
      </c>
      <c r="Q68" s="190" t="inlineStr">
        <is>
          <t>https://www.sandiegocounty.gov/content/dam/sdc/sdhcd/new-docs/Rental_assistance/Utility_Allowance_Schedule_HUD_52667_03-2025.pdf</t>
        </is>
      </c>
      <c r="R68" t="inlineStr">
        <is>
          <t>Pending / Zero-fill</t>
        </is>
      </c>
    </row>
    <row r="69">
      <c r="A69" t="inlineStr">
        <is>
          <t>Housing Authority of the County of San Diego (HACSD)</t>
        </is>
      </c>
      <c r="B69" t="inlineStr">
        <is>
          <t>San Diego County</t>
        </is>
      </c>
      <c r="C69" t="inlineStr">
        <is>
          <t>2025-03-01</t>
        </is>
      </c>
      <c r="D69" t="inlineStr">
        <is>
          <t>Multi-Family</t>
        </is>
      </c>
      <c r="E69" t="inlineStr">
        <is>
          <t>Other</t>
        </is>
      </c>
      <c r="F69" t="inlineStr">
        <is>
          <t>Trash Collection</t>
        </is>
      </c>
      <c r="G69" t="inlineStr">
        <is>
          <t>—</t>
        </is>
      </c>
      <c r="H69" t="inlineStr">
        <is>
          <t>Trash Collection</t>
        </is>
      </c>
      <c r="I69" t="n">
        <v>0</v>
      </c>
      <c r="J69" t="n">
        <v>0</v>
      </c>
      <c r="K69" t="n">
        <v>0</v>
      </c>
      <c r="L69" t="n">
        <v>0</v>
      </c>
      <c r="M69" t="n">
        <v>0</v>
      </c>
      <c r="N69" t="n">
        <v>0</v>
      </c>
      <c r="O69" t="n">
        <v>0</v>
      </c>
      <c r="P69" t="n">
        <v>0</v>
      </c>
      <c r="Q69" s="190" t="inlineStr">
        <is>
          <t>https://www.sandiegocounty.gov/content/dam/sdc/sdhcd/new-docs/Rental_assistance/Utility_Allowance_Schedule_HUD_52667_03-2025.pdf</t>
        </is>
      </c>
      <c r="R69" t="inlineStr">
        <is>
          <t>Pending / Zero-fill</t>
        </is>
      </c>
    </row>
    <row r="70">
      <c r="A70" t="inlineStr">
        <is>
          <t>Housing Authority of the County of San Diego (HACSD)</t>
        </is>
      </c>
      <c r="B70" t="inlineStr">
        <is>
          <t>San Diego County</t>
        </is>
      </c>
      <c r="C70" t="inlineStr">
        <is>
          <t>2025-03-01</t>
        </is>
      </c>
      <c r="D70" t="inlineStr">
        <is>
          <t>Multi-Family</t>
        </is>
      </c>
      <c r="E70" t="inlineStr">
        <is>
          <t>Other</t>
        </is>
      </c>
      <c r="F70" t="inlineStr">
        <is>
          <t>Washer</t>
        </is>
      </c>
      <c r="G70" t="inlineStr">
        <is>
          <t>Allowance</t>
        </is>
      </c>
      <c r="H70" t="inlineStr">
        <is>
          <t>Washer - Allowance</t>
        </is>
      </c>
      <c r="I70" t="n">
        <v>0</v>
      </c>
      <c r="J70" t="n">
        <v>0</v>
      </c>
      <c r="K70" t="n">
        <v>0</v>
      </c>
      <c r="L70" t="n">
        <v>0</v>
      </c>
      <c r="M70" t="n">
        <v>0</v>
      </c>
      <c r="N70" t="n">
        <v>0</v>
      </c>
      <c r="O70" t="n">
        <v>0</v>
      </c>
      <c r="P70" t="n">
        <v>0</v>
      </c>
      <c r="Q70" s="190" t="inlineStr">
        <is>
          <t>https://www.sandiegocounty.gov/content/dam/sdc/sdhcd/new-docs/Rental_assistance/Utility_Allowance_Schedule_HUD_52667_03-2025.pdf</t>
        </is>
      </c>
      <c r="R70" t="inlineStr">
        <is>
          <t>Pending / Zero-fill</t>
        </is>
      </c>
    </row>
    <row r="71">
      <c r="A71" t="inlineStr">
        <is>
          <t>Housing Authority of the County of San Diego (HACSD)</t>
        </is>
      </c>
      <c r="B71" t="inlineStr">
        <is>
          <t>San Diego County</t>
        </is>
      </c>
      <c r="C71" t="inlineStr">
        <is>
          <t>2025-03-01</t>
        </is>
      </c>
      <c r="D71" t="inlineStr">
        <is>
          <t>Multi-Family</t>
        </is>
      </c>
      <c r="E71" t="inlineStr">
        <is>
          <t>Other</t>
        </is>
      </c>
      <c r="F71" t="inlineStr">
        <is>
          <t>Water</t>
        </is>
      </c>
      <c r="G71" t="inlineStr">
        <is>
          <t>—</t>
        </is>
      </c>
      <c r="H71" t="inlineStr">
        <is>
          <t>Water</t>
        </is>
      </c>
      <c r="I71" t="n">
        <v>99</v>
      </c>
      <c r="J71" t="n">
        <v>106</v>
      </c>
      <c r="K71" t="n">
        <v>157</v>
      </c>
      <c r="L71" t="n">
        <v>232</v>
      </c>
      <c r="M71" t="n">
        <v>317</v>
      </c>
      <c r="N71" t="n">
        <v>404</v>
      </c>
      <c r="O71" t="n">
        <v>0</v>
      </c>
      <c r="P71" t="n">
        <v>0</v>
      </c>
      <c r="Q71" s="190" t="inlineStr">
        <is>
          <t>https://www.sandiegocounty.gov/content/dam/sdc/sdhcd/new-docs/Rental_assistance/Utility_Allowance_Schedule_HUD_52667_03-2025.pdf</t>
        </is>
      </c>
      <c r="R71" t="inlineStr">
        <is>
          <t>Populated</t>
        </is>
      </c>
    </row>
    <row r="72">
      <c r="A72" t="inlineStr">
        <is>
          <t>Housing Authority of the County of San Diego (HACSD)</t>
        </is>
      </c>
      <c r="B72" t="inlineStr">
        <is>
          <t>San Diego County</t>
        </is>
      </c>
      <c r="C72" t="inlineStr">
        <is>
          <t>2025-03-01</t>
        </is>
      </c>
      <c r="D72" t="inlineStr">
        <is>
          <t>Multi-Family</t>
        </is>
      </c>
      <c r="E72" t="inlineStr">
        <is>
          <t>Other</t>
        </is>
      </c>
      <c r="F72" t="inlineStr">
        <is>
          <t>Water Heating</t>
        </is>
      </c>
      <c r="G72" t="inlineStr">
        <is>
          <t>Electric</t>
        </is>
      </c>
      <c r="H72" t="inlineStr">
        <is>
          <t>Water Heating - Electric</t>
        </is>
      </c>
      <c r="I72" t="n">
        <v>12</v>
      </c>
      <c r="J72" t="n">
        <v>17</v>
      </c>
      <c r="K72" t="n">
        <v>22</v>
      </c>
      <c r="L72" t="n">
        <v>27</v>
      </c>
      <c r="M72" t="n">
        <v>34</v>
      </c>
      <c r="N72" t="n">
        <v>39</v>
      </c>
      <c r="O72" t="n">
        <v>0</v>
      </c>
      <c r="P72" t="n">
        <v>0</v>
      </c>
      <c r="Q72" s="190" t="inlineStr">
        <is>
          <t>https://www.sandiegocounty.gov/content/dam/sdc/sdhcd/new-docs/Rental_assistance/Utility_Allowance_Schedule_HUD_52667_03-2025.pdf</t>
        </is>
      </c>
      <c r="R72" t="inlineStr">
        <is>
          <t>Populated</t>
        </is>
      </c>
    </row>
    <row r="73">
      <c r="A73" t="inlineStr">
        <is>
          <t>Housing Authority of the County of San Diego (HACSD)</t>
        </is>
      </c>
      <c r="B73" t="inlineStr">
        <is>
          <t>San Diego County</t>
        </is>
      </c>
      <c r="C73" t="inlineStr">
        <is>
          <t>2025-03-01</t>
        </is>
      </c>
      <c r="D73" t="inlineStr">
        <is>
          <t>Multi-Family</t>
        </is>
      </c>
      <c r="E73" t="inlineStr">
        <is>
          <t>Other</t>
        </is>
      </c>
      <c r="F73" t="inlineStr">
        <is>
          <t>Water Heating</t>
        </is>
      </c>
      <c r="G73" t="inlineStr">
        <is>
          <t>Natural Gas</t>
        </is>
      </c>
      <c r="H73" t="inlineStr">
        <is>
          <t>Water Heating - Natural Gas</t>
        </is>
      </c>
      <c r="I73" t="n">
        <v>9</v>
      </c>
      <c r="J73" t="n">
        <v>11</v>
      </c>
      <c r="K73" t="n">
        <v>16</v>
      </c>
      <c r="L73" t="n">
        <v>21</v>
      </c>
      <c r="M73" t="n">
        <v>26</v>
      </c>
      <c r="N73" t="n">
        <v>31</v>
      </c>
      <c r="O73" t="n">
        <v>0</v>
      </c>
      <c r="P73" t="n">
        <v>0</v>
      </c>
      <c r="Q73" s="190" t="inlineStr">
        <is>
          <t>https://www.sandiegocounty.gov/content/dam/sdc/sdhcd/new-docs/Rental_assistance/Utility_Allowance_Schedule_HUD_52667_03-2025.pdf</t>
        </is>
      </c>
      <c r="R73" t="inlineStr">
        <is>
          <t>Populated</t>
        </is>
      </c>
    </row>
    <row r="74">
      <c r="A74" t="inlineStr">
        <is>
          <t>Housing Authority of the County of San Diego (HACSD)</t>
        </is>
      </c>
      <c r="B74" t="inlineStr">
        <is>
          <t>San Diego County</t>
        </is>
      </c>
      <c r="C74" t="inlineStr">
        <is>
          <t>2025-03-01</t>
        </is>
      </c>
      <c r="D74" t="inlineStr">
        <is>
          <t>Multi-Family</t>
        </is>
      </c>
      <c r="E74" t="inlineStr">
        <is>
          <t>Other</t>
        </is>
      </c>
      <c r="F74" t="inlineStr">
        <is>
          <t>Water Heating</t>
        </is>
      </c>
      <c r="G74" t="inlineStr">
        <is>
          <t>Oil/Propane</t>
        </is>
      </c>
      <c r="H74" t="inlineStr">
        <is>
          <t>Water Heating - Oil/Propane</t>
        </is>
      </c>
      <c r="I74" t="n">
        <v>0</v>
      </c>
      <c r="J74" t="n">
        <v>0</v>
      </c>
      <c r="K74" t="n">
        <v>0</v>
      </c>
      <c r="L74" t="n">
        <v>0</v>
      </c>
      <c r="M74" t="n">
        <v>0</v>
      </c>
      <c r="N74" t="n">
        <v>0</v>
      </c>
      <c r="O74" t="n">
        <v>0</v>
      </c>
      <c r="P74" t="n">
        <v>0</v>
      </c>
      <c r="Q74" s="190" t="inlineStr">
        <is>
          <t>https://www.sandiegocounty.gov/content/dam/sdc/sdhcd/new-docs/Rental_assistance/Utility_Allowance_Schedule_HUD_52667_03-2025.pdf</t>
        </is>
      </c>
      <c r="R74" t="inlineStr">
        <is>
          <t>Pending / Zero-fill</t>
        </is>
      </c>
    </row>
    <row r="75">
      <c r="A75" t="inlineStr">
        <is>
          <t>Oakland Housing Authority (OHA)</t>
        </is>
      </c>
      <c r="B75" t="inlineStr">
        <is>
          <t>Oakland</t>
        </is>
      </c>
      <c r="C75" t="inlineStr">
        <is>
          <t>2025-09-01</t>
        </is>
      </c>
      <c r="D75" t="inlineStr">
        <is>
          <t>Multi-Family</t>
        </is>
      </c>
      <c r="E75" t="inlineStr">
        <is>
          <t>Multifamily</t>
        </is>
      </c>
      <c r="F75" t="inlineStr">
        <is>
          <t>Air Conditioning</t>
        </is>
      </c>
      <c r="G75" t="inlineStr">
        <is>
          <t>Electric</t>
        </is>
      </c>
      <c r="H75" t="inlineStr">
        <is>
          <t>Air Conditioning - Electric</t>
        </is>
      </c>
      <c r="I75" t="n">
        <v>0</v>
      </c>
      <c r="J75" t="n">
        <v>0</v>
      </c>
      <c r="K75" t="n">
        <v>0</v>
      </c>
      <c r="L75" t="n">
        <v>0</v>
      </c>
      <c r="M75" t="n">
        <v>0</v>
      </c>
      <c r="N75" t="n">
        <v>0</v>
      </c>
      <c r="O75" t="n">
        <v>0</v>
      </c>
      <c r="P75" t="n">
        <v>0</v>
      </c>
      <c r="Q75" s="190" t="inlineStr">
        <is>
          <t>https://www.oakha.org/propertyowners/paymentstandards/</t>
        </is>
      </c>
      <c r="R75" t="inlineStr">
        <is>
          <t>Pending / Zero-fill</t>
        </is>
      </c>
    </row>
    <row r="76">
      <c r="A76" t="inlineStr">
        <is>
          <t>Oakland Housing Authority (OHA)</t>
        </is>
      </c>
      <c r="B76" t="inlineStr">
        <is>
          <t>Oakland</t>
        </is>
      </c>
      <c r="C76" t="inlineStr">
        <is>
          <t>2025-09-01</t>
        </is>
      </c>
      <c r="D76" t="inlineStr">
        <is>
          <t>Multi-Family</t>
        </is>
      </c>
      <c r="E76" t="inlineStr">
        <is>
          <t>Multifamily</t>
        </is>
      </c>
      <c r="F76" t="inlineStr">
        <is>
          <t>Air Conditioning</t>
        </is>
      </c>
      <c r="G76" t="inlineStr">
        <is>
          <t>Evaporative Cooler</t>
        </is>
      </c>
      <c r="H76" t="inlineStr">
        <is>
          <t>Air Conditioning - Evaporative Cooler</t>
        </is>
      </c>
      <c r="I76" t="n">
        <v>0</v>
      </c>
      <c r="J76" t="n">
        <v>0</v>
      </c>
      <c r="K76" t="n">
        <v>0</v>
      </c>
      <c r="L76" t="n">
        <v>0</v>
      </c>
      <c r="M76" t="n">
        <v>0</v>
      </c>
      <c r="N76" t="n">
        <v>0</v>
      </c>
      <c r="O76" t="n">
        <v>0</v>
      </c>
      <c r="P76" t="n">
        <v>0</v>
      </c>
      <c r="Q76" s="190" t="inlineStr">
        <is>
          <t>https://www.oakha.org/propertyowners/paymentstandards/</t>
        </is>
      </c>
      <c r="R76" t="inlineStr">
        <is>
          <t>Pending / Zero-fill</t>
        </is>
      </c>
    </row>
    <row r="77">
      <c r="A77" t="inlineStr">
        <is>
          <t>Oakland Housing Authority (OHA)</t>
        </is>
      </c>
      <c r="B77" t="inlineStr">
        <is>
          <t>Oakland</t>
        </is>
      </c>
      <c r="C77" t="inlineStr">
        <is>
          <t>2025-09-01</t>
        </is>
      </c>
      <c r="D77" t="inlineStr">
        <is>
          <t>Multi-Family</t>
        </is>
      </c>
      <c r="E77" t="inlineStr">
        <is>
          <t>Multifamily</t>
        </is>
      </c>
      <c r="F77" t="inlineStr">
        <is>
          <t>Cooking</t>
        </is>
      </c>
      <c r="G77" t="inlineStr">
        <is>
          <t>Electric</t>
        </is>
      </c>
      <c r="H77" t="inlineStr">
        <is>
          <t>Cooking - Electric</t>
        </is>
      </c>
      <c r="I77" t="n">
        <v>11</v>
      </c>
      <c r="J77" t="n">
        <v>15</v>
      </c>
      <c r="K77" t="n">
        <v>23</v>
      </c>
      <c r="L77" t="n">
        <v>30</v>
      </c>
      <c r="M77" t="n">
        <v>37</v>
      </c>
      <c r="N77" t="n">
        <v>44</v>
      </c>
      <c r="O77" t="n">
        <v>51</v>
      </c>
      <c r="P77" t="n">
        <v>0</v>
      </c>
      <c r="Q77" t="inlineStr">
        <is>
          <t>OHA Section 8 Utility &amp; Appliance Allowances (effective 2025-09-01)</t>
        </is>
      </c>
      <c r="R77" t="inlineStr">
        <is>
          <t>Populated</t>
        </is>
      </c>
    </row>
    <row r="78">
      <c r="A78" t="inlineStr">
        <is>
          <t>Oakland Housing Authority (OHA)</t>
        </is>
      </c>
      <c r="B78" t="inlineStr">
        <is>
          <t>Oakland</t>
        </is>
      </c>
      <c r="C78" t="inlineStr">
        <is>
          <t>2025-09-01</t>
        </is>
      </c>
      <c r="D78" t="inlineStr">
        <is>
          <t>Multi-Family</t>
        </is>
      </c>
      <c r="E78" t="inlineStr">
        <is>
          <t>Multifamily</t>
        </is>
      </c>
      <c r="F78" t="inlineStr">
        <is>
          <t>Cooking</t>
        </is>
      </c>
      <c r="G78" t="inlineStr">
        <is>
          <t>Natural Gas</t>
        </is>
      </c>
      <c r="H78" t="inlineStr">
        <is>
          <t>Cooking - Natural Gas</t>
        </is>
      </c>
      <c r="I78" t="n">
        <v>6</v>
      </c>
      <c r="J78" t="n">
        <v>7</v>
      </c>
      <c r="K78" t="n">
        <v>10</v>
      </c>
      <c r="L78" t="n">
        <v>13</v>
      </c>
      <c r="M78" t="n">
        <v>16</v>
      </c>
      <c r="N78" t="n">
        <v>19</v>
      </c>
      <c r="O78" t="n">
        <v>22</v>
      </c>
      <c r="P78" t="n">
        <v>0</v>
      </c>
      <c r="Q78" t="inlineStr">
        <is>
          <t>OHA Section 8 Utility &amp; Appliance Allowances (effective 2025-09-01)</t>
        </is>
      </c>
      <c r="R78" t="inlineStr">
        <is>
          <t>Populated</t>
        </is>
      </c>
    </row>
    <row r="79">
      <c r="A79" t="inlineStr">
        <is>
          <t>Oakland Housing Authority (OHA)</t>
        </is>
      </c>
      <c r="B79" t="inlineStr">
        <is>
          <t>Oakland</t>
        </is>
      </c>
      <c r="C79" t="inlineStr">
        <is>
          <t>2025-09-01</t>
        </is>
      </c>
      <c r="D79" t="inlineStr">
        <is>
          <t>Multi-Family</t>
        </is>
      </c>
      <c r="E79" t="inlineStr">
        <is>
          <t>Multifamily</t>
        </is>
      </c>
      <c r="F79" t="inlineStr">
        <is>
          <t>Dishwasher</t>
        </is>
      </c>
      <c r="G79" t="inlineStr">
        <is>
          <t>Allowance</t>
        </is>
      </c>
      <c r="H79" t="inlineStr">
        <is>
          <t>Dishwasher - Allowance</t>
        </is>
      </c>
      <c r="I79" t="n">
        <v>0</v>
      </c>
      <c r="J79" t="n">
        <v>0</v>
      </c>
      <c r="K79" t="n">
        <v>0</v>
      </c>
      <c r="L79" t="n">
        <v>0</v>
      </c>
      <c r="M79" t="n">
        <v>0</v>
      </c>
      <c r="N79" t="n">
        <v>0</v>
      </c>
      <c r="O79" t="n">
        <v>0</v>
      </c>
      <c r="P79" t="n">
        <v>0</v>
      </c>
      <c r="Q79" s="190" t="inlineStr">
        <is>
          <t>https://www.oakha.org/propertyowners/paymentstandards/</t>
        </is>
      </c>
      <c r="R79" t="inlineStr">
        <is>
          <t>Pending / Zero-fill</t>
        </is>
      </c>
    </row>
    <row r="80">
      <c r="A80" t="inlineStr">
        <is>
          <t>Oakland Housing Authority (OHA)</t>
        </is>
      </c>
      <c r="B80" t="inlineStr">
        <is>
          <t>Oakland</t>
        </is>
      </c>
      <c r="C80" t="inlineStr">
        <is>
          <t>2025-09-01</t>
        </is>
      </c>
      <c r="D80" t="inlineStr">
        <is>
          <t>Multi-Family</t>
        </is>
      </c>
      <c r="E80" t="inlineStr">
        <is>
          <t>Multifamily</t>
        </is>
      </c>
      <c r="F80" t="inlineStr">
        <is>
          <t>Dryer</t>
        </is>
      </c>
      <c r="G80" t="inlineStr">
        <is>
          <t>Allowance</t>
        </is>
      </c>
      <c r="H80" t="inlineStr">
        <is>
          <t>Dryer - Allowance</t>
        </is>
      </c>
      <c r="I80" t="n">
        <v>0</v>
      </c>
      <c r="J80" t="n">
        <v>0</v>
      </c>
      <c r="K80" t="n">
        <v>0</v>
      </c>
      <c r="L80" t="n">
        <v>0</v>
      </c>
      <c r="M80" t="n">
        <v>0</v>
      </c>
      <c r="N80" t="n">
        <v>0</v>
      </c>
      <c r="O80" t="n">
        <v>0</v>
      </c>
      <c r="P80" t="n">
        <v>0</v>
      </c>
      <c r="Q80" s="190" t="inlineStr">
        <is>
          <t>https://www.oakha.org/propertyowners/paymentstandards/</t>
        </is>
      </c>
      <c r="R80" t="inlineStr">
        <is>
          <t>Pending / Zero-fill</t>
        </is>
      </c>
    </row>
    <row r="81">
      <c r="A81" t="inlineStr">
        <is>
          <t>Oakland Housing Authority (OHA)</t>
        </is>
      </c>
      <c r="B81" t="inlineStr">
        <is>
          <t>Oakland</t>
        </is>
      </c>
      <c r="C81" t="inlineStr">
        <is>
          <t>2025-09-01</t>
        </is>
      </c>
      <c r="D81" t="inlineStr">
        <is>
          <t>Multi-Family</t>
        </is>
      </c>
      <c r="E81" t="inlineStr">
        <is>
          <t>Multifamily</t>
        </is>
      </c>
      <c r="F81" t="inlineStr">
        <is>
          <t>Freezer</t>
        </is>
      </c>
      <c r="G81" t="inlineStr">
        <is>
          <t>Allowance</t>
        </is>
      </c>
      <c r="H81" t="inlineStr">
        <is>
          <t>Freezer - Allowance</t>
        </is>
      </c>
      <c r="I81" t="n">
        <v>0</v>
      </c>
      <c r="J81" t="n">
        <v>0</v>
      </c>
      <c r="K81" t="n">
        <v>0</v>
      </c>
      <c r="L81" t="n">
        <v>0</v>
      </c>
      <c r="M81" t="n">
        <v>0</v>
      </c>
      <c r="N81" t="n">
        <v>0</v>
      </c>
      <c r="O81" t="n">
        <v>0</v>
      </c>
      <c r="P81" t="n">
        <v>0</v>
      </c>
      <c r="Q81" s="190" t="inlineStr">
        <is>
          <t>https://www.oakha.org/propertyowners/paymentstandards/</t>
        </is>
      </c>
      <c r="R81" t="inlineStr">
        <is>
          <t>Pending / Zero-fill</t>
        </is>
      </c>
    </row>
    <row r="82">
      <c r="A82" t="inlineStr">
        <is>
          <t>Oakland Housing Authority (OHA)</t>
        </is>
      </c>
      <c r="B82" t="inlineStr">
        <is>
          <t>Oakland</t>
        </is>
      </c>
      <c r="C82" t="inlineStr">
        <is>
          <t>2025-09-01</t>
        </is>
      </c>
      <c r="D82" t="inlineStr">
        <is>
          <t>Multi-Family</t>
        </is>
      </c>
      <c r="E82" t="inlineStr">
        <is>
          <t>Multifamily</t>
        </is>
      </c>
      <c r="F82" t="inlineStr">
        <is>
          <t>Other - Specify</t>
        </is>
      </c>
      <c r="G82" t="inlineStr">
        <is>
          <t>Lifeline / Baseline Credit</t>
        </is>
      </c>
      <c r="H82" t="inlineStr">
        <is>
          <t>Other - Specify - Lifeline / Baseline Credit</t>
        </is>
      </c>
      <c r="I82" t="n">
        <v>0</v>
      </c>
      <c r="J82" t="n">
        <v>0</v>
      </c>
      <c r="K82" t="n">
        <v>0</v>
      </c>
      <c r="L82" t="n">
        <v>0</v>
      </c>
      <c r="M82" t="n">
        <v>0</v>
      </c>
      <c r="N82" t="n">
        <v>0</v>
      </c>
      <c r="O82" t="n">
        <v>0</v>
      </c>
      <c r="P82" t="n">
        <v>0</v>
      </c>
      <c r="Q82" s="190" t="inlineStr">
        <is>
          <t>https://www.oakha.org/propertyowners/paymentstandards/</t>
        </is>
      </c>
      <c r="R82" t="inlineStr">
        <is>
          <t>Pending / Zero-fill</t>
        </is>
      </c>
    </row>
    <row r="83">
      <c r="A83" t="inlineStr">
        <is>
          <t>Oakland Housing Authority (OHA)</t>
        </is>
      </c>
      <c r="B83" t="inlineStr">
        <is>
          <t>Oakland</t>
        </is>
      </c>
      <c r="C83" t="inlineStr">
        <is>
          <t>2025-09-01</t>
        </is>
      </c>
      <c r="D83" t="inlineStr">
        <is>
          <t>Multi-Family</t>
        </is>
      </c>
      <c r="E83" t="inlineStr">
        <is>
          <t>Multifamily</t>
        </is>
      </c>
      <c r="F83" t="inlineStr">
        <is>
          <t>Other - Specify</t>
        </is>
      </c>
      <c r="G83" t="inlineStr">
        <is>
          <t>Solar/PV Credit</t>
        </is>
      </c>
      <c r="H83" t="inlineStr">
        <is>
          <t>Other - Specify - Solar/PV Credit</t>
        </is>
      </c>
      <c r="I83" t="n">
        <v>0</v>
      </c>
      <c r="J83" t="n">
        <v>0</v>
      </c>
      <c r="K83" t="n">
        <v>0</v>
      </c>
      <c r="L83" t="n">
        <v>0</v>
      </c>
      <c r="M83" t="n">
        <v>0</v>
      </c>
      <c r="N83" t="n">
        <v>0</v>
      </c>
      <c r="O83" t="n">
        <v>0</v>
      </c>
      <c r="P83" t="n">
        <v>0</v>
      </c>
      <c r="Q83" s="190" t="inlineStr">
        <is>
          <t>https://www.oakha.org/propertyowners/paymentstandards/</t>
        </is>
      </c>
      <c r="R83" t="inlineStr">
        <is>
          <t>Pending / Zero-fill</t>
        </is>
      </c>
    </row>
    <row r="84">
      <c r="A84" t="inlineStr">
        <is>
          <t>Oakland Housing Authority (OHA)</t>
        </is>
      </c>
      <c r="B84" t="inlineStr">
        <is>
          <t>Oakland</t>
        </is>
      </c>
      <c r="C84" t="inlineStr">
        <is>
          <t>2025-09-01</t>
        </is>
      </c>
      <c r="D84" t="inlineStr">
        <is>
          <t>Multi-Family</t>
        </is>
      </c>
      <c r="E84" t="inlineStr">
        <is>
          <t>Multifamily</t>
        </is>
      </c>
      <c r="F84" t="inlineStr">
        <is>
          <t>Other - Specify</t>
        </is>
      </c>
      <c r="G84" t="inlineStr">
        <is>
          <t>Utility Customer Charge / Fee</t>
        </is>
      </c>
      <c r="H84" t="inlineStr">
        <is>
          <t>Other - Specify - Utility Customer Charge / Fee</t>
        </is>
      </c>
      <c r="I84" t="n">
        <v>0</v>
      </c>
      <c r="J84" t="n">
        <v>0</v>
      </c>
      <c r="K84" t="n">
        <v>0</v>
      </c>
      <c r="L84" t="n">
        <v>0</v>
      </c>
      <c r="M84" t="n">
        <v>0</v>
      </c>
      <c r="N84" t="n">
        <v>0</v>
      </c>
      <c r="O84" t="n">
        <v>0</v>
      </c>
      <c r="P84" t="n">
        <v>0</v>
      </c>
      <c r="Q84" s="190" t="inlineStr">
        <is>
          <t>https://www.oakha.org/propertyowners/paymentstandards/</t>
        </is>
      </c>
      <c r="R84" t="inlineStr">
        <is>
          <t>Pending / Zero-fill</t>
        </is>
      </c>
    </row>
    <row r="85">
      <c r="A85" t="inlineStr">
        <is>
          <t>Oakland Housing Authority (OHA)</t>
        </is>
      </c>
      <c r="B85" t="inlineStr">
        <is>
          <t>Oakland</t>
        </is>
      </c>
      <c r="C85" t="inlineStr">
        <is>
          <t>2025-09-01</t>
        </is>
      </c>
      <c r="D85" t="inlineStr">
        <is>
          <t>Multi-Family</t>
        </is>
      </c>
      <c r="E85" t="inlineStr">
        <is>
          <t>Multifamily</t>
        </is>
      </c>
      <c r="F85" t="inlineStr">
        <is>
          <t>Other Electric</t>
        </is>
      </c>
      <c r="G85" t="inlineStr">
        <is>
          <t>Electric (Lights/Plugs)</t>
        </is>
      </c>
      <c r="H85" t="inlineStr">
        <is>
          <t>Other Electric - Electric (Lights/Plugs)</t>
        </is>
      </c>
      <c r="I85" t="n">
        <v>40</v>
      </c>
      <c r="J85" t="n">
        <v>50</v>
      </c>
      <c r="K85" t="n">
        <v>78</v>
      </c>
      <c r="L85" t="n">
        <v>106</v>
      </c>
      <c r="M85" t="n">
        <v>134</v>
      </c>
      <c r="N85" t="n">
        <v>163</v>
      </c>
      <c r="O85" t="n">
        <v>191</v>
      </c>
      <c r="P85" t="n">
        <v>0</v>
      </c>
      <c r="Q85" t="inlineStr">
        <is>
          <t>OHA Section 8 Utility &amp; Appliance Allowances (effective 2025-09-01)</t>
        </is>
      </c>
      <c r="R85" t="inlineStr">
        <is>
          <t>Populated</t>
        </is>
      </c>
    </row>
    <row r="86">
      <c r="A86" t="inlineStr">
        <is>
          <t>Oakland Housing Authority (OHA)</t>
        </is>
      </c>
      <c r="B86" t="inlineStr">
        <is>
          <t>Oakland</t>
        </is>
      </c>
      <c r="C86" t="inlineStr">
        <is>
          <t>2025-09-01</t>
        </is>
      </c>
      <c r="D86" t="inlineStr">
        <is>
          <t>Multi-Family</t>
        </is>
      </c>
      <c r="E86" t="inlineStr">
        <is>
          <t>Multifamily</t>
        </is>
      </c>
      <c r="F86" t="inlineStr">
        <is>
          <t>Range/Microwave</t>
        </is>
      </c>
      <c r="G86" t="inlineStr">
        <is>
          <t>Allowance</t>
        </is>
      </c>
      <c r="H86" t="inlineStr">
        <is>
          <t>Range/Microwave - Allowance</t>
        </is>
      </c>
      <c r="I86" t="n">
        <v>21</v>
      </c>
      <c r="J86" t="n">
        <v>21</v>
      </c>
      <c r="K86" t="n">
        <v>21</v>
      </c>
      <c r="L86" t="n">
        <v>21</v>
      </c>
      <c r="M86" t="n">
        <v>21</v>
      </c>
      <c r="N86" t="n">
        <v>21</v>
      </c>
      <c r="O86" t="n">
        <v>21</v>
      </c>
      <c r="P86" t="n">
        <v>0</v>
      </c>
      <c r="Q86" t="inlineStr">
        <is>
          <t>OHA Section 8 Utility &amp; Appliance Allowances (effective 2025-09-01)</t>
        </is>
      </c>
      <c r="R86" t="inlineStr">
        <is>
          <t>Populated</t>
        </is>
      </c>
    </row>
    <row r="87">
      <c r="A87" t="inlineStr">
        <is>
          <t>Oakland Housing Authority (OHA)</t>
        </is>
      </c>
      <c r="B87" t="inlineStr">
        <is>
          <t>Oakland</t>
        </is>
      </c>
      <c r="C87" t="inlineStr">
        <is>
          <t>2025-09-01</t>
        </is>
      </c>
      <c r="D87" t="inlineStr">
        <is>
          <t>Multi-Family</t>
        </is>
      </c>
      <c r="E87" t="inlineStr">
        <is>
          <t>Multifamily</t>
        </is>
      </c>
      <c r="F87" t="inlineStr">
        <is>
          <t>Refrigerator</t>
        </is>
      </c>
      <c r="G87" t="inlineStr">
        <is>
          <t>Allowance</t>
        </is>
      </c>
      <c r="H87" t="inlineStr">
        <is>
          <t>Refrigerator - Allowance</t>
        </is>
      </c>
      <c r="I87" t="n">
        <v>25</v>
      </c>
      <c r="J87" t="n">
        <v>25</v>
      </c>
      <c r="K87" t="n">
        <v>25</v>
      </c>
      <c r="L87" t="n">
        <v>25</v>
      </c>
      <c r="M87" t="n">
        <v>25</v>
      </c>
      <c r="N87" t="n">
        <v>25</v>
      </c>
      <c r="O87" t="n">
        <v>25</v>
      </c>
      <c r="P87" t="n">
        <v>0</v>
      </c>
      <c r="Q87" t="inlineStr">
        <is>
          <t>OHA Section 8 Utility &amp; Appliance Allowances (effective 2025-09-01)</t>
        </is>
      </c>
      <c r="R87" t="inlineStr">
        <is>
          <t>Populated</t>
        </is>
      </c>
    </row>
    <row r="88">
      <c r="A88" t="inlineStr">
        <is>
          <t>Oakland Housing Authority (OHA)</t>
        </is>
      </c>
      <c r="B88" t="inlineStr">
        <is>
          <t>Oakland</t>
        </is>
      </c>
      <c r="C88" t="inlineStr">
        <is>
          <t>2025-09-01</t>
        </is>
      </c>
      <c r="D88" t="inlineStr">
        <is>
          <t>Multi-Family</t>
        </is>
      </c>
      <c r="E88" t="inlineStr">
        <is>
          <t>Multifamily</t>
        </is>
      </c>
      <c r="F88" t="inlineStr">
        <is>
          <t>Sewer</t>
        </is>
      </c>
      <c r="G88" t="inlineStr">
        <is>
          <t>—</t>
        </is>
      </c>
      <c r="H88" t="inlineStr">
        <is>
          <t>Sewer</t>
        </is>
      </c>
      <c r="I88" t="n">
        <v>0</v>
      </c>
      <c r="J88" t="n">
        <v>0</v>
      </c>
      <c r="K88" t="n">
        <v>0</v>
      </c>
      <c r="L88" t="n">
        <v>0</v>
      </c>
      <c r="M88" t="n">
        <v>0</v>
      </c>
      <c r="N88" t="n">
        <v>0</v>
      </c>
      <c r="O88" t="n">
        <v>0</v>
      </c>
      <c r="P88" t="n">
        <v>0</v>
      </c>
      <c r="Q88" s="190" t="inlineStr">
        <is>
          <t>https://www.oakha.org/propertyowners/paymentstandards/</t>
        </is>
      </c>
      <c r="R88" t="inlineStr">
        <is>
          <t>Pending / Zero-fill</t>
        </is>
      </c>
    </row>
    <row r="89">
      <c r="A89" t="inlineStr">
        <is>
          <t>Oakland Housing Authority (OHA)</t>
        </is>
      </c>
      <c r="B89" t="inlineStr">
        <is>
          <t>Oakland</t>
        </is>
      </c>
      <c r="C89" t="inlineStr">
        <is>
          <t>2025-09-01</t>
        </is>
      </c>
      <c r="D89" t="inlineStr">
        <is>
          <t>Multi-Family</t>
        </is>
      </c>
      <c r="E89" t="inlineStr">
        <is>
          <t>Multifamily</t>
        </is>
      </c>
      <c r="F89" t="inlineStr">
        <is>
          <t>Space Heating</t>
        </is>
      </c>
      <c r="G89" t="inlineStr">
        <is>
          <t>Electric</t>
        </is>
      </c>
      <c r="H89" t="inlineStr">
        <is>
          <t>Space Heating - Electric</t>
        </is>
      </c>
      <c r="I89" t="n">
        <v>44</v>
      </c>
      <c r="J89" t="n">
        <v>52</v>
      </c>
      <c r="K89" t="n">
        <v>63</v>
      </c>
      <c r="L89" t="n">
        <v>74</v>
      </c>
      <c r="M89" t="n">
        <v>85</v>
      </c>
      <c r="N89" t="n">
        <v>97</v>
      </c>
      <c r="O89" t="n">
        <v>108</v>
      </c>
      <c r="P89" t="n">
        <v>0</v>
      </c>
      <c r="Q89" t="inlineStr">
        <is>
          <t>OHA Section 8 Utility &amp; Appliance Allowances (effective 2025-09-01)</t>
        </is>
      </c>
      <c r="R89" t="inlineStr">
        <is>
          <t>Populated</t>
        </is>
      </c>
    </row>
    <row r="90">
      <c r="A90" t="inlineStr">
        <is>
          <t>Oakland Housing Authority (OHA)</t>
        </is>
      </c>
      <c r="B90" t="inlineStr">
        <is>
          <t>Oakland</t>
        </is>
      </c>
      <c r="C90" t="inlineStr">
        <is>
          <t>2025-09-01</t>
        </is>
      </c>
      <c r="D90" t="inlineStr">
        <is>
          <t>Multi-Family</t>
        </is>
      </c>
      <c r="E90" t="inlineStr">
        <is>
          <t>Multifamily</t>
        </is>
      </c>
      <c r="F90" t="inlineStr">
        <is>
          <t>Space Heating</t>
        </is>
      </c>
      <c r="G90" t="inlineStr">
        <is>
          <t>Electric - Heat Pump</t>
        </is>
      </c>
      <c r="H90" t="inlineStr">
        <is>
          <t>Space Heating - Electric - Heat Pump</t>
        </is>
      </c>
      <c r="I90" t="n">
        <v>0</v>
      </c>
      <c r="J90" t="n">
        <v>0</v>
      </c>
      <c r="K90" t="n">
        <v>0</v>
      </c>
      <c r="L90" t="n">
        <v>0</v>
      </c>
      <c r="M90" t="n">
        <v>0</v>
      </c>
      <c r="N90" t="n">
        <v>0</v>
      </c>
      <c r="O90" t="n">
        <v>0</v>
      </c>
      <c r="P90" t="n">
        <v>0</v>
      </c>
      <c r="Q90" s="190" t="inlineStr">
        <is>
          <t>https://www.oakha.org/propertyowners/paymentstandards/</t>
        </is>
      </c>
      <c r="R90" t="inlineStr">
        <is>
          <t>Pending / Zero-fill</t>
        </is>
      </c>
    </row>
    <row r="91">
      <c r="A91" t="inlineStr">
        <is>
          <t>Oakland Housing Authority (OHA)</t>
        </is>
      </c>
      <c r="B91" t="inlineStr">
        <is>
          <t>Oakland</t>
        </is>
      </c>
      <c r="C91" t="inlineStr">
        <is>
          <t>2025-09-01</t>
        </is>
      </c>
      <c r="D91" t="inlineStr">
        <is>
          <t>Multi-Family</t>
        </is>
      </c>
      <c r="E91" t="inlineStr">
        <is>
          <t>Multifamily</t>
        </is>
      </c>
      <c r="F91" t="inlineStr">
        <is>
          <t>Space Heating</t>
        </is>
      </c>
      <c r="G91" t="inlineStr">
        <is>
          <t>Natural Gas</t>
        </is>
      </c>
      <c r="H91" t="inlineStr">
        <is>
          <t>Space Heating - Natural Gas</t>
        </is>
      </c>
      <c r="I91" t="n">
        <v>36</v>
      </c>
      <c r="J91" t="n">
        <v>45</v>
      </c>
      <c r="K91" t="n">
        <v>51</v>
      </c>
      <c r="L91" t="n">
        <v>55</v>
      </c>
      <c r="M91" t="n">
        <v>59</v>
      </c>
      <c r="N91" t="n">
        <v>64</v>
      </c>
      <c r="O91" t="n">
        <v>69</v>
      </c>
      <c r="P91" t="n">
        <v>0</v>
      </c>
      <c r="Q91" t="inlineStr">
        <is>
          <t>OHA Section 8 Utility &amp; Appliance Allowances (effective 2025-09-01)</t>
        </is>
      </c>
      <c r="R91" t="inlineStr">
        <is>
          <t>Populated</t>
        </is>
      </c>
    </row>
    <row r="92">
      <c r="A92" t="inlineStr">
        <is>
          <t>Oakland Housing Authority (OHA)</t>
        </is>
      </c>
      <c r="B92" t="inlineStr">
        <is>
          <t>Oakland</t>
        </is>
      </c>
      <c r="C92" t="inlineStr">
        <is>
          <t>2025-09-01</t>
        </is>
      </c>
      <c r="D92" t="inlineStr">
        <is>
          <t>Multi-Family</t>
        </is>
      </c>
      <c r="E92" t="inlineStr">
        <is>
          <t>Multifamily</t>
        </is>
      </c>
      <c r="F92" t="inlineStr">
        <is>
          <t>Space Heating</t>
        </is>
      </c>
      <c r="G92" t="inlineStr">
        <is>
          <t>Oil/Propane</t>
        </is>
      </c>
      <c r="H92" t="inlineStr">
        <is>
          <t>Space Heating - Oil/Propane</t>
        </is>
      </c>
      <c r="I92" t="n">
        <v>0</v>
      </c>
      <c r="J92" t="n">
        <v>0</v>
      </c>
      <c r="K92" t="n">
        <v>0</v>
      </c>
      <c r="L92" t="n">
        <v>0</v>
      </c>
      <c r="M92" t="n">
        <v>0</v>
      </c>
      <c r="N92" t="n">
        <v>0</v>
      </c>
      <c r="O92" t="n">
        <v>0</v>
      </c>
      <c r="P92" t="n">
        <v>0</v>
      </c>
      <c r="Q92" s="190" t="inlineStr">
        <is>
          <t>https://www.oakha.org/propertyowners/paymentstandards/</t>
        </is>
      </c>
      <c r="R92" t="inlineStr">
        <is>
          <t>Pending / Zero-fill</t>
        </is>
      </c>
    </row>
    <row r="93">
      <c r="A93" t="inlineStr">
        <is>
          <t>Oakland Housing Authority (OHA)</t>
        </is>
      </c>
      <c r="B93" t="inlineStr">
        <is>
          <t>Oakland</t>
        </is>
      </c>
      <c r="C93" t="inlineStr">
        <is>
          <t>2025-09-01</t>
        </is>
      </c>
      <c r="D93" t="inlineStr">
        <is>
          <t>Multi-Family</t>
        </is>
      </c>
      <c r="E93" t="inlineStr">
        <is>
          <t>Multifamily</t>
        </is>
      </c>
      <c r="F93" t="inlineStr">
        <is>
          <t>Space Heating</t>
        </is>
      </c>
      <c r="G93" t="inlineStr">
        <is>
          <t>Other/Specify</t>
        </is>
      </c>
      <c r="H93" t="inlineStr">
        <is>
          <t>Space Heating - Other/Specify</t>
        </is>
      </c>
      <c r="I93" t="n">
        <v>0</v>
      </c>
      <c r="J93" t="n">
        <v>0</v>
      </c>
      <c r="K93" t="n">
        <v>0</v>
      </c>
      <c r="L93" t="n">
        <v>0</v>
      </c>
      <c r="M93" t="n">
        <v>0</v>
      </c>
      <c r="N93" t="n">
        <v>0</v>
      </c>
      <c r="O93" t="n">
        <v>0</v>
      </c>
      <c r="P93" t="n">
        <v>0</v>
      </c>
      <c r="Q93" s="190" t="inlineStr">
        <is>
          <t>https://www.oakha.org/propertyowners/paymentstandards/</t>
        </is>
      </c>
      <c r="R93" t="inlineStr">
        <is>
          <t>Pending / Zero-fill</t>
        </is>
      </c>
    </row>
    <row r="94">
      <c r="A94" t="inlineStr">
        <is>
          <t>Oakland Housing Authority (OHA)</t>
        </is>
      </c>
      <c r="B94" t="inlineStr">
        <is>
          <t>Oakland</t>
        </is>
      </c>
      <c r="C94" t="inlineStr">
        <is>
          <t>2025-09-01</t>
        </is>
      </c>
      <c r="D94" t="inlineStr">
        <is>
          <t>Multi-Family</t>
        </is>
      </c>
      <c r="E94" t="inlineStr">
        <is>
          <t>Multifamily</t>
        </is>
      </c>
      <c r="F94" t="inlineStr">
        <is>
          <t>Trash Collection</t>
        </is>
      </c>
      <c r="G94" t="inlineStr">
        <is>
          <t>—</t>
        </is>
      </c>
      <c r="H94" t="inlineStr">
        <is>
          <t>Trash Collection</t>
        </is>
      </c>
      <c r="I94" t="n">
        <v>61</v>
      </c>
      <c r="J94" t="n">
        <v>61</v>
      </c>
      <c r="K94" t="n">
        <v>61</v>
      </c>
      <c r="L94" t="n">
        <v>107</v>
      </c>
      <c r="M94" t="n">
        <v>107</v>
      </c>
      <c r="N94" t="n">
        <v>107</v>
      </c>
      <c r="O94" t="n">
        <v>130</v>
      </c>
      <c r="P94" t="n">
        <v>0</v>
      </c>
      <c r="Q94" t="inlineStr">
        <is>
          <t>OHA Section 8 Utility &amp; Appliance Allowances (effective 2025-09-01)</t>
        </is>
      </c>
      <c r="R94" t="inlineStr">
        <is>
          <t>Populated</t>
        </is>
      </c>
    </row>
    <row r="95">
      <c r="A95" t="inlineStr">
        <is>
          <t>Oakland Housing Authority (OHA)</t>
        </is>
      </c>
      <c r="B95" t="inlineStr">
        <is>
          <t>Oakland</t>
        </is>
      </c>
      <c r="C95" t="inlineStr">
        <is>
          <t>2025-09-01</t>
        </is>
      </c>
      <c r="D95" t="inlineStr">
        <is>
          <t>Multi-Family</t>
        </is>
      </c>
      <c r="E95" t="inlineStr">
        <is>
          <t>Multifamily</t>
        </is>
      </c>
      <c r="F95" t="inlineStr">
        <is>
          <t>Washer</t>
        </is>
      </c>
      <c r="G95" t="inlineStr">
        <is>
          <t>Allowance</t>
        </is>
      </c>
      <c r="H95" t="inlineStr">
        <is>
          <t>Washer - Allowance</t>
        </is>
      </c>
      <c r="I95" t="n">
        <v>0</v>
      </c>
      <c r="J95" t="n">
        <v>0</v>
      </c>
      <c r="K95" t="n">
        <v>0</v>
      </c>
      <c r="L95" t="n">
        <v>0</v>
      </c>
      <c r="M95" t="n">
        <v>0</v>
      </c>
      <c r="N95" t="n">
        <v>0</v>
      </c>
      <c r="O95" t="n">
        <v>0</v>
      </c>
      <c r="P95" t="n">
        <v>0</v>
      </c>
      <c r="Q95" s="190" t="inlineStr">
        <is>
          <t>https://www.oakha.org/propertyowners/paymentstandards/</t>
        </is>
      </c>
      <c r="R95" t="inlineStr">
        <is>
          <t>Pending / Zero-fill</t>
        </is>
      </c>
    </row>
    <row r="96">
      <c r="A96" t="inlineStr">
        <is>
          <t>Oakland Housing Authority (OHA)</t>
        </is>
      </c>
      <c r="B96" t="inlineStr">
        <is>
          <t>Oakland</t>
        </is>
      </c>
      <c r="C96" t="inlineStr">
        <is>
          <t>2025-09-01</t>
        </is>
      </c>
      <c r="D96" t="inlineStr">
        <is>
          <t>Multi-Family</t>
        </is>
      </c>
      <c r="E96" t="inlineStr">
        <is>
          <t>Multifamily</t>
        </is>
      </c>
      <c r="F96" t="inlineStr">
        <is>
          <t>Water</t>
        </is>
      </c>
      <c r="G96" t="inlineStr">
        <is>
          <t>—</t>
        </is>
      </c>
      <c r="H96" t="inlineStr">
        <is>
          <t>Water</t>
        </is>
      </c>
      <c r="I96" t="n">
        <v>96</v>
      </c>
      <c r="J96" t="n">
        <v>101</v>
      </c>
      <c r="K96" t="n">
        <v>130</v>
      </c>
      <c r="L96" t="n">
        <v>161</v>
      </c>
      <c r="M96" t="n">
        <v>195</v>
      </c>
      <c r="N96" t="n">
        <v>236</v>
      </c>
      <c r="O96" t="n">
        <v>266</v>
      </c>
      <c r="P96" t="n">
        <v>0</v>
      </c>
      <c r="Q96" t="inlineStr">
        <is>
          <t>OHA Section 8 Utility &amp; Appliance Allowances (effective 2025-09-01)</t>
        </is>
      </c>
      <c r="R96" t="inlineStr">
        <is>
          <t>Populated</t>
        </is>
      </c>
    </row>
    <row r="97">
      <c r="A97" t="inlineStr">
        <is>
          <t>Oakland Housing Authority (OHA)</t>
        </is>
      </c>
      <c r="B97" t="inlineStr">
        <is>
          <t>Oakland</t>
        </is>
      </c>
      <c r="C97" t="inlineStr">
        <is>
          <t>2025-09-01</t>
        </is>
      </c>
      <c r="D97" t="inlineStr">
        <is>
          <t>Multi-Family</t>
        </is>
      </c>
      <c r="E97" t="inlineStr">
        <is>
          <t>Multifamily</t>
        </is>
      </c>
      <c r="F97" t="inlineStr">
        <is>
          <t>Water Heating</t>
        </is>
      </c>
      <c r="G97" t="inlineStr">
        <is>
          <t>Electric</t>
        </is>
      </c>
      <c r="H97" t="inlineStr">
        <is>
          <t>Water Heating - Electric</t>
        </is>
      </c>
      <c r="I97" t="n">
        <v>39</v>
      </c>
      <c r="J97" t="n">
        <v>46</v>
      </c>
      <c r="K97" t="n">
        <v>58</v>
      </c>
      <c r="L97" t="n">
        <v>71</v>
      </c>
      <c r="M97" t="n">
        <v>83</v>
      </c>
      <c r="N97" t="n">
        <v>96</v>
      </c>
      <c r="O97" t="n">
        <v>108</v>
      </c>
      <c r="P97" t="n">
        <v>0</v>
      </c>
      <c r="Q97" t="inlineStr">
        <is>
          <t>OHA Section 8 Utility &amp; Appliance Allowances (effective 2025-09-01)</t>
        </is>
      </c>
      <c r="R97" t="inlineStr">
        <is>
          <t>Populated</t>
        </is>
      </c>
    </row>
    <row r="98">
      <c r="A98" t="inlineStr">
        <is>
          <t>Oakland Housing Authority (OHA)</t>
        </is>
      </c>
      <c r="B98" t="inlineStr">
        <is>
          <t>Oakland</t>
        </is>
      </c>
      <c r="C98" t="inlineStr">
        <is>
          <t>2025-09-01</t>
        </is>
      </c>
      <c r="D98" t="inlineStr">
        <is>
          <t>Multi-Family</t>
        </is>
      </c>
      <c r="E98" t="inlineStr">
        <is>
          <t>Multifamily</t>
        </is>
      </c>
      <c r="F98" t="inlineStr">
        <is>
          <t>Water Heating</t>
        </is>
      </c>
      <c r="G98" t="inlineStr">
        <is>
          <t>Natural Gas</t>
        </is>
      </c>
      <c r="H98" t="inlineStr">
        <is>
          <t>Water Heating - Natural Gas</t>
        </is>
      </c>
      <c r="I98" t="n">
        <v>15</v>
      </c>
      <c r="J98" t="n">
        <v>18</v>
      </c>
      <c r="K98" t="n">
        <v>26</v>
      </c>
      <c r="L98" t="n">
        <v>36</v>
      </c>
      <c r="M98" t="n">
        <v>44</v>
      </c>
      <c r="N98" t="n">
        <v>55</v>
      </c>
      <c r="O98" t="n">
        <v>64</v>
      </c>
      <c r="P98" t="n">
        <v>0</v>
      </c>
      <c r="Q98" t="inlineStr">
        <is>
          <t>OHA Section 8 Utility &amp; Appliance Allowances (effective 2025-09-01)</t>
        </is>
      </c>
      <c r="R98" t="inlineStr">
        <is>
          <t>Populated</t>
        </is>
      </c>
    </row>
    <row r="99">
      <c r="A99" t="inlineStr">
        <is>
          <t>Oakland Housing Authority (OHA)</t>
        </is>
      </c>
      <c r="B99" t="inlineStr">
        <is>
          <t>Oakland</t>
        </is>
      </c>
      <c r="C99" t="inlineStr">
        <is>
          <t>2025-09-01</t>
        </is>
      </c>
      <c r="D99" t="inlineStr">
        <is>
          <t>Multi-Family</t>
        </is>
      </c>
      <c r="E99" t="inlineStr">
        <is>
          <t>Multifamily</t>
        </is>
      </c>
      <c r="F99" t="inlineStr">
        <is>
          <t>Water Heating</t>
        </is>
      </c>
      <c r="G99" t="inlineStr">
        <is>
          <t>Oil/Propane</t>
        </is>
      </c>
      <c r="H99" t="inlineStr">
        <is>
          <t>Water Heating - Oil/Propane</t>
        </is>
      </c>
      <c r="I99" t="n">
        <v>0</v>
      </c>
      <c r="J99" t="n">
        <v>0</v>
      </c>
      <c r="K99" t="n">
        <v>0</v>
      </c>
      <c r="L99" t="n">
        <v>0</v>
      </c>
      <c r="M99" t="n">
        <v>0</v>
      </c>
      <c r="N99" t="n">
        <v>0</v>
      </c>
      <c r="O99" t="n">
        <v>0</v>
      </c>
      <c r="P99" t="n">
        <v>0</v>
      </c>
      <c r="Q99" s="190" t="inlineStr">
        <is>
          <t>https://www.oakha.org/propertyowners/paymentstandards/</t>
        </is>
      </c>
      <c r="R99" t="inlineStr">
        <is>
          <t>Pending / Zero-fill</t>
        </is>
      </c>
    </row>
    <row r="100">
      <c r="A100" t="inlineStr">
        <is>
          <t>Oakland Housing Authority (OHA)</t>
        </is>
      </c>
      <c r="B100" t="inlineStr">
        <is>
          <t>Oakland</t>
        </is>
      </c>
      <c r="C100" t="inlineStr">
        <is>
          <t>2025-09-01</t>
        </is>
      </c>
      <c r="D100" t="inlineStr">
        <is>
          <t>SRO / Rooming</t>
        </is>
      </c>
      <c r="E100" t="inlineStr">
        <is>
          <t>SRO/Rooming</t>
        </is>
      </c>
      <c r="F100" t="inlineStr">
        <is>
          <t>Air Conditioning</t>
        </is>
      </c>
      <c r="G100" t="inlineStr">
        <is>
          <t>Electric</t>
        </is>
      </c>
      <c r="H100" t="inlineStr">
        <is>
          <t>Air Conditioning - Electric</t>
        </is>
      </c>
      <c r="I100" t="n">
        <v>0</v>
      </c>
      <c r="J100" t="n">
        <v>0</v>
      </c>
      <c r="K100" t="n">
        <v>0</v>
      </c>
      <c r="L100" t="n">
        <v>0</v>
      </c>
      <c r="M100" t="n">
        <v>0</v>
      </c>
      <c r="N100" t="n">
        <v>0</v>
      </c>
      <c r="O100" t="n">
        <v>0</v>
      </c>
      <c r="P100" t="n">
        <v>0</v>
      </c>
      <c r="Q100" s="190" t="inlineStr">
        <is>
          <t>https://www.oakha.org/propertyowners/paymentstandards/</t>
        </is>
      </c>
      <c r="R100" t="inlineStr">
        <is>
          <t>Pending / Zero-fill</t>
        </is>
      </c>
    </row>
    <row r="101">
      <c r="A101" t="inlineStr">
        <is>
          <t>Oakland Housing Authority (OHA)</t>
        </is>
      </c>
      <c r="B101" t="inlineStr">
        <is>
          <t>Oakland</t>
        </is>
      </c>
      <c r="C101" t="inlineStr">
        <is>
          <t>2025-09-01</t>
        </is>
      </c>
      <c r="D101" t="inlineStr">
        <is>
          <t>SRO / Rooming</t>
        </is>
      </c>
      <c r="E101" t="inlineStr">
        <is>
          <t>SRO/Rooming</t>
        </is>
      </c>
      <c r="F101" t="inlineStr">
        <is>
          <t>Air Conditioning</t>
        </is>
      </c>
      <c r="G101" t="inlineStr">
        <is>
          <t>Evaporative Cooler</t>
        </is>
      </c>
      <c r="H101" t="inlineStr">
        <is>
          <t>Air Conditioning - Evaporative Cooler</t>
        </is>
      </c>
      <c r="I101" t="n">
        <v>0</v>
      </c>
      <c r="J101" t="n">
        <v>0</v>
      </c>
      <c r="K101" t="n">
        <v>0</v>
      </c>
      <c r="L101" t="n">
        <v>0</v>
      </c>
      <c r="M101" t="n">
        <v>0</v>
      </c>
      <c r="N101" t="n">
        <v>0</v>
      </c>
      <c r="O101" t="n">
        <v>0</v>
      </c>
      <c r="P101" t="n">
        <v>0</v>
      </c>
      <c r="Q101" s="190" t="inlineStr">
        <is>
          <t>https://www.oakha.org/propertyowners/paymentstandards/</t>
        </is>
      </c>
      <c r="R101" t="inlineStr">
        <is>
          <t>Pending / Zero-fill</t>
        </is>
      </c>
    </row>
    <row r="102">
      <c r="A102" t="inlineStr">
        <is>
          <t>Oakland Housing Authority (OHA)</t>
        </is>
      </c>
      <c r="B102" t="inlineStr">
        <is>
          <t>Oakland</t>
        </is>
      </c>
      <c r="C102" t="inlineStr">
        <is>
          <t>2025-09-01</t>
        </is>
      </c>
      <c r="D102" t="inlineStr">
        <is>
          <t>SRO / Rooming</t>
        </is>
      </c>
      <c r="E102" t="inlineStr">
        <is>
          <t>SRO/Rooming</t>
        </is>
      </c>
      <c r="F102" t="inlineStr">
        <is>
          <t>Cooking</t>
        </is>
      </c>
      <c r="G102" t="inlineStr">
        <is>
          <t>Electric</t>
        </is>
      </c>
      <c r="H102" t="inlineStr">
        <is>
          <t>Cooking - Electric</t>
        </is>
      </c>
      <c r="I102" t="n">
        <v>8</v>
      </c>
      <c r="J102" t="n">
        <v>0</v>
      </c>
      <c r="K102" t="n">
        <v>0</v>
      </c>
      <c r="L102" t="n">
        <v>0</v>
      </c>
      <c r="M102" t="n">
        <v>0</v>
      </c>
      <c r="N102" t="n">
        <v>0</v>
      </c>
      <c r="O102" t="n">
        <v>0</v>
      </c>
      <c r="P102" t="n">
        <v>0</v>
      </c>
      <c r="Q102" t="inlineStr">
        <is>
          <t>OHA SRO Utility &amp; Appliance Allowances (effective 2025-09-01)</t>
        </is>
      </c>
      <c r="R102" t="inlineStr">
        <is>
          <t>Populated</t>
        </is>
      </c>
    </row>
    <row r="103">
      <c r="A103" t="inlineStr">
        <is>
          <t>Oakland Housing Authority (OHA)</t>
        </is>
      </c>
      <c r="B103" t="inlineStr">
        <is>
          <t>Oakland</t>
        </is>
      </c>
      <c r="C103" t="inlineStr">
        <is>
          <t>2025-09-01</t>
        </is>
      </c>
      <c r="D103" t="inlineStr">
        <is>
          <t>SRO / Rooming</t>
        </is>
      </c>
      <c r="E103" t="inlineStr">
        <is>
          <t>SRO/Rooming</t>
        </is>
      </c>
      <c r="F103" t="inlineStr">
        <is>
          <t>Cooking</t>
        </is>
      </c>
      <c r="G103" t="inlineStr">
        <is>
          <t>Natural Gas</t>
        </is>
      </c>
      <c r="H103" t="inlineStr">
        <is>
          <t>Cooking - Natural Gas</t>
        </is>
      </c>
      <c r="I103" t="n">
        <v>5</v>
      </c>
      <c r="J103" t="n">
        <v>0</v>
      </c>
      <c r="K103" t="n">
        <v>0</v>
      </c>
      <c r="L103" t="n">
        <v>0</v>
      </c>
      <c r="M103" t="n">
        <v>0</v>
      </c>
      <c r="N103" t="n">
        <v>0</v>
      </c>
      <c r="O103" t="n">
        <v>0</v>
      </c>
      <c r="P103" t="n">
        <v>0</v>
      </c>
      <c r="Q103" t="inlineStr">
        <is>
          <t>OHA SRO Utility &amp; Appliance Allowances (effective 2025-09-01)</t>
        </is>
      </c>
      <c r="R103" t="inlineStr">
        <is>
          <t>Populated</t>
        </is>
      </c>
    </row>
    <row r="104">
      <c r="A104" t="inlineStr">
        <is>
          <t>Oakland Housing Authority (OHA)</t>
        </is>
      </c>
      <c r="B104" t="inlineStr">
        <is>
          <t>Oakland</t>
        </is>
      </c>
      <c r="C104" t="inlineStr">
        <is>
          <t>2025-09-01</t>
        </is>
      </c>
      <c r="D104" t="inlineStr">
        <is>
          <t>SRO / Rooming</t>
        </is>
      </c>
      <c r="E104" t="inlineStr">
        <is>
          <t>SRO/Rooming</t>
        </is>
      </c>
      <c r="F104" t="inlineStr">
        <is>
          <t>Dishwasher</t>
        </is>
      </c>
      <c r="G104" t="inlineStr">
        <is>
          <t>Allowance</t>
        </is>
      </c>
      <c r="H104" t="inlineStr">
        <is>
          <t>Dishwasher - Allowance</t>
        </is>
      </c>
      <c r="I104" t="n">
        <v>0</v>
      </c>
      <c r="J104" t="n">
        <v>0</v>
      </c>
      <c r="K104" t="n">
        <v>0</v>
      </c>
      <c r="L104" t="n">
        <v>0</v>
      </c>
      <c r="M104" t="n">
        <v>0</v>
      </c>
      <c r="N104" t="n">
        <v>0</v>
      </c>
      <c r="O104" t="n">
        <v>0</v>
      </c>
      <c r="P104" t="n">
        <v>0</v>
      </c>
      <c r="Q104" s="190" t="inlineStr">
        <is>
          <t>https://www.oakha.org/propertyowners/paymentstandards/</t>
        </is>
      </c>
      <c r="R104" t="inlineStr">
        <is>
          <t>Pending / Zero-fill</t>
        </is>
      </c>
    </row>
    <row r="105">
      <c r="A105" t="inlineStr">
        <is>
          <t>Oakland Housing Authority (OHA)</t>
        </is>
      </c>
      <c r="B105" t="inlineStr">
        <is>
          <t>Oakland</t>
        </is>
      </c>
      <c r="C105" t="inlineStr">
        <is>
          <t>2025-09-01</t>
        </is>
      </c>
      <c r="D105" t="inlineStr">
        <is>
          <t>SRO / Rooming</t>
        </is>
      </c>
      <c r="E105" t="inlineStr">
        <is>
          <t>SRO/Rooming</t>
        </is>
      </c>
      <c r="F105" t="inlineStr">
        <is>
          <t>Dryer</t>
        </is>
      </c>
      <c r="G105" t="inlineStr">
        <is>
          <t>Allowance</t>
        </is>
      </c>
      <c r="H105" t="inlineStr">
        <is>
          <t>Dryer - Allowance</t>
        </is>
      </c>
      <c r="I105" t="n">
        <v>0</v>
      </c>
      <c r="J105" t="n">
        <v>0</v>
      </c>
      <c r="K105" t="n">
        <v>0</v>
      </c>
      <c r="L105" t="n">
        <v>0</v>
      </c>
      <c r="M105" t="n">
        <v>0</v>
      </c>
      <c r="N105" t="n">
        <v>0</v>
      </c>
      <c r="O105" t="n">
        <v>0</v>
      </c>
      <c r="P105" t="n">
        <v>0</v>
      </c>
      <c r="Q105" s="190" t="inlineStr">
        <is>
          <t>https://www.oakha.org/propertyowners/paymentstandards/</t>
        </is>
      </c>
      <c r="R105" t="inlineStr">
        <is>
          <t>Pending / Zero-fill</t>
        </is>
      </c>
    </row>
    <row r="106">
      <c r="A106" t="inlineStr">
        <is>
          <t>Oakland Housing Authority (OHA)</t>
        </is>
      </c>
      <c r="B106" t="inlineStr">
        <is>
          <t>Oakland</t>
        </is>
      </c>
      <c r="C106" t="inlineStr">
        <is>
          <t>2025-09-01</t>
        </is>
      </c>
      <c r="D106" t="inlineStr">
        <is>
          <t>SRO / Rooming</t>
        </is>
      </c>
      <c r="E106" t="inlineStr">
        <is>
          <t>SRO/Rooming</t>
        </is>
      </c>
      <c r="F106" t="inlineStr">
        <is>
          <t>Freezer</t>
        </is>
      </c>
      <c r="G106" t="inlineStr">
        <is>
          <t>Allowance</t>
        </is>
      </c>
      <c r="H106" t="inlineStr">
        <is>
          <t>Freezer - Allowance</t>
        </is>
      </c>
      <c r="I106" t="n">
        <v>0</v>
      </c>
      <c r="J106" t="n">
        <v>0</v>
      </c>
      <c r="K106" t="n">
        <v>0</v>
      </c>
      <c r="L106" t="n">
        <v>0</v>
      </c>
      <c r="M106" t="n">
        <v>0</v>
      </c>
      <c r="N106" t="n">
        <v>0</v>
      </c>
      <c r="O106" t="n">
        <v>0</v>
      </c>
      <c r="P106" t="n">
        <v>0</v>
      </c>
      <c r="Q106" s="190" t="inlineStr">
        <is>
          <t>https://www.oakha.org/propertyowners/paymentstandards/</t>
        </is>
      </c>
      <c r="R106" t="inlineStr">
        <is>
          <t>Pending / Zero-fill</t>
        </is>
      </c>
    </row>
    <row r="107">
      <c r="A107" t="inlineStr">
        <is>
          <t>Oakland Housing Authority (OHA)</t>
        </is>
      </c>
      <c r="B107" t="inlineStr">
        <is>
          <t>Oakland</t>
        </is>
      </c>
      <c r="C107" t="inlineStr">
        <is>
          <t>2025-09-01</t>
        </is>
      </c>
      <c r="D107" t="inlineStr">
        <is>
          <t>SRO / Rooming</t>
        </is>
      </c>
      <c r="E107" t="inlineStr">
        <is>
          <t>SRO/Rooming</t>
        </is>
      </c>
      <c r="F107" t="inlineStr">
        <is>
          <t>Other - Specify</t>
        </is>
      </c>
      <c r="G107" t="inlineStr">
        <is>
          <t>Lifeline / Baseline Credit</t>
        </is>
      </c>
      <c r="H107" t="inlineStr">
        <is>
          <t>Other - Specify - Lifeline / Baseline Credit</t>
        </is>
      </c>
      <c r="I107" t="n">
        <v>0</v>
      </c>
      <c r="J107" t="n">
        <v>0</v>
      </c>
      <c r="K107" t="n">
        <v>0</v>
      </c>
      <c r="L107" t="n">
        <v>0</v>
      </c>
      <c r="M107" t="n">
        <v>0</v>
      </c>
      <c r="N107" t="n">
        <v>0</v>
      </c>
      <c r="O107" t="n">
        <v>0</v>
      </c>
      <c r="P107" t="n">
        <v>0</v>
      </c>
      <c r="Q107" s="190" t="inlineStr">
        <is>
          <t>https://www.oakha.org/propertyowners/paymentstandards/</t>
        </is>
      </c>
      <c r="R107" t="inlineStr">
        <is>
          <t>Pending / Zero-fill</t>
        </is>
      </c>
    </row>
    <row r="108">
      <c r="A108" t="inlineStr">
        <is>
          <t>Oakland Housing Authority (OHA)</t>
        </is>
      </c>
      <c r="B108" t="inlineStr">
        <is>
          <t>Oakland</t>
        </is>
      </c>
      <c r="C108" t="inlineStr">
        <is>
          <t>2025-09-01</t>
        </is>
      </c>
      <c r="D108" t="inlineStr">
        <is>
          <t>SRO / Rooming</t>
        </is>
      </c>
      <c r="E108" t="inlineStr">
        <is>
          <t>SRO/Rooming</t>
        </is>
      </c>
      <c r="F108" t="inlineStr">
        <is>
          <t>Other - Specify</t>
        </is>
      </c>
      <c r="G108" t="inlineStr">
        <is>
          <t>Solar/PV Credit</t>
        </is>
      </c>
      <c r="H108" t="inlineStr">
        <is>
          <t>Other - Specify - Solar/PV Credit</t>
        </is>
      </c>
      <c r="I108" t="n">
        <v>0</v>
      </c>
      <c r="J108" t="n">
        <v>0</v>
      </c>
      <c r="K108" t="n">
        <v>0</v>
      </c>
      <c r="L108" t="n">
        <v>0</v>
      </c>
      <c r="M108" t="n">
        <v>0</v>
      </c>
      <c r="N108" t="n">
        <v>0</v>
      </c>
      <c r="O108" t="n">
        <v>0</v>
      </c>
      <c r="P108" t="n">
        <v>0</v>
      </c>
      <c r="Q108" s="190" t="inlineStr">
        <is>
          <t>https://www.oakha.org/propertyowners/paymentstandards/</t>
        </is>
      </c>
      <c r="R108" t="inlineStr">
        <is>
          <t>Pending / Zero-fill</t>
        </is>
      </c>
    </row>
    <row r="109">
      <c r="A109" t="inlineStr">
        <is>
          <t>Oakland Housing Authority (OHA)</t>
        </is>
      </c>
      <c r="B109" t="inlineStr">
        <is>
          <t>Oakland</t>
        </is>
      </c>
      <c r="C109" t="inlineStr">
        <is>
          <t>2025-09-01</t>
        </is>
      </c>
      <c r="D109" t="inlineStr">
        <is>
          <t>SRO / Rooming</t>
        </is>
      </c>
      <c r="E109" t="inlineStr">
        <is>
          <t>SRO/Rooming</t>
        </is>
      </c>
      <c r="F109" t="inlineStr">
        <is>
          <t>Other - Specify</t>
        </is>
      </c>
      <c r="G109" t="inlineStr">
        <is>
          <t>Utility Customer Charge / Fee</t>
        </is>
      </c>
      <c r="H109" t="inlineStr">
        <is>
          <t>Other - Specify - Utility Customer Charge / Fee</t>
        </is>
      </c>
      <c r="I109" t="n">
        <v>0</v>
      </c>
      <c r="J109" t="n">
        <v>0</v>
      </c>
      <c r="K109" t="n">
        <v>0</v>
      </c>
      <c r="L109" t="n">
        <v>0</v>
      </c>
      <c r="M109" t="n">
        <v>0</v>
      </c>
      <c r="N109" t="n">
        <v>0</v>
      </c>
      <c r="O109" t="n">
        <v>0</v>
      </c>
      <c r="P109" t="n">
        <v>0</v>
      </c>
      <c r="Q109" s="190" t="inlineStr">
        <is>
          <t>https://www.oakha.org/propertyowners/paymentstandards/</t>
        </is>
      </c>
      <c r="R109" t="inlineStr">
        <is>
          <t>Pending / Zero-fill</t>
        </is>
      </c>
    </row>
    <row r="110">
      <c r="A110" t="inlineStr">
        <is>
          <t>Oakland Housing Authority (OHA)</t>
        </is>
      </c>
      <c r="B110" t="inlineStr">
        <is>
          <t>Oakland</t>
        </is>
      </c>
      <c r="C110" t="inlineStr">
        <is>
          <t>2025-09-01</t>
        </is>
      </c>
      <c r="D110" t="inlineStr">
        <is>
          <t>SRO / Rooming</t>
        </is>
      </c>
      <c r="E110" t="inlineStr">
        <is>
          <t>SRO/Rooming</t>
        </is>
      </c>
      <c r="F110" t="inlineStr">
        <is>
          <t>Other Electric</t>
        </is>
      </c>
      <c r="G110" t="inlineStr">
        <is>
          <t>Electric (Lights/Plugs)</t>
        </is>
      </c>
      <c r="H110" t="inlineStr">
        <is>
          <t>Other Electric - Electric (Lights/Plugs)</t>
        </is>
      </c>
      <c r="I110" t="n">
        <v>30</v>
      </c>
      <c r="J110" t="n">
        <v>0</v>
      </c>
      <c r="K110" t="n">
        <v>0</v>
      </c>
      <c r="L110" t="n">
        <v>0</v>
      </c>
      <c r="M110" t="n">
        <v>0</v>
      </c>
      <c r="N110" t="n">
        <v>0</v>
      </c>
      <c r="O110" t="n">
        <v>0</v>
      </c>
      <c r="P110" t="n">
        <v>0</v>
      </c>
      <c r="Q110" t="inlineStr">
        <is>
          <t>OHA SRO Utility &amp; Appliance Allowances (effective 2025-09-01)</t>
        </is>
      </c>
      <c r="R110" t="inlineStr">
        <is>
          <t>Populated</t>
        </is>
      </c>
    </row>
    <row r="111">
      <c r="A111" t="inlineStr">
        <is>
          <t>Oakland Housing Authority (OHA)</t>
        </is>
      </c>
      <c r="B111" t="inlineStr">
        <is>
          <t>Oakland</t>
        </is>
      </c>
      <c r="C111" t="inlineStr">
        <is>
          <t>2025-09-01</t>
        </is>
      </c>
      <c r="D111" t="inlineStr">
        <is>
          <t>SRO / Rooming</t>
        </is>
      </c>
      <c r="E111" t="inlineStr">
        <is>
          <t>SRO/Rooming</t>
        </is>
      </c>
      <c r="F111" t="inlineStr">
        <is>
          <t>Range/Microwave</t>
        </is>
      </c>
      <c r="G111" t="inlineStr">
        <is>
          <t>Allowance</t>
        </is>
      </c>
      <c r="H111" t="inlineStr">
        <is>
          <t>Range/Microwave - Allowance</t>
        </is>
      </c>
      <c r="I111" t="n">
        <v>16</v>
      </c>
      <c r="J111" t="n">
        <v>0</v>
      </c>
      <c r="K111" t="n">
        <v>0</v>
      </c>
      <c r="L111" t="n">
        <v>0</v>
      </c>
      <c r="M111" t="n">
        <v>0</v>
      </c>
      <c r="N111" t="n">
        <v>0</v>
      </c>
      <c r="O111" t="n">
        <v>0</v>
      </c>
      <c r="P111" t="n">
        <v>0</v>
      </c>
      <c r="Q111" t="inlineStr">
        <is>
          <t>OHA SRO Utility &amp; Appliance Allowances (effective 2025-09-01)</t>
        </is>
      </c>
      <c r="R111" t="inlineStr">
        <is>
          <t>Populated</t>
        </is>
      </c>
    </row>
    <row r="112">
      <c r="A112" t="inlineStr">
        <is>
          <t>Oakland Housing Authority (OHA)</t>
        </is>
      </c>
      <c r="B112" t="inlineStr">
        <is>
          <t>Oakland</t>
        </is>
      </c>
      <c r="C112" t="inlineStr">
        <is>
          <t>2025-09-01</t>
        </is>
      </c>
      <c r="D112" t="inlineStr">
        <is>
          <t>SRO / Rooming</t>
        </is>
      </c>
      <c r="E112" t="inlineStr">
        <is>
          <t>SRO/Rooming</t>
        </is>
      </c>
      <c r="F112" t="inlineStr">
        <is>
          <t>Refrigerator</t>
        </is>
      </c>
      <c r="G112" t="inlineStr">
        <is>
          <t>Allowance</t>
        </is>
      </c>
      <c r="H112" t="inlineStr">
        <is>
          <t>Refrigerator - Allowance</t>
        </is>
      </c>
      <c r="I112" t="n">
        <v>19</v>
      </c>
      <c r="J112" t="n">
        <v>0</v>
      </c>
      <c r="K112" t="n">
        <v>0</v>
      </c>
      <c r="L112" t="n">
        <v>0</v>
      </c>
      <c r="M112" t="n">
        <v>0</v>
      </c>
      <c r="N112" t="n">
        <v>0</v>
      </c>
      <c r="O112" t="n">
        <v>0</v>
      </c>
      <c r="P112" t="n">
        <v>0</v>
      </c>
      <c r="Q112" t="inlineStr">
        <is>
          <t>OHA SRO Utility &amp; Appliance Allowances (effective 2025-09-01)</t>
        </is>
      </c>
      <c r="R112" t="inlineStr">
        <is>
          <t>Populated</t>
        </is>
      </c>
    </row>
    <row r="113">
      <c r="A113" t="inlineStr">
        <is>
          <t>Oakland Housing Authority (OHA)</t>
        </is>
      </c>
      <c r="B113" t="inlineStr">
        <is>
          <t>Oakland</t>
        </is>
      </c>
      <c r="C113" t="inlineStr">
        <is>
          <t>2025-09-01</t>
        </is>
      </c>
      <c r="D113" t="inlineStr">
        <is>
          <t>SRO / Rooming</t>
        </is>
      </c>
      <c r="E113" t="inlineStr">
        <is>
          <t>SRO/Rooming</t>
        </is>
      </c>
      <c r="F113" t="inlineStr">
        <is>
          <t>Sewer</t>
        </is>
      </c>
      <c r="G113" t="inlineStr">
        <is>
          <t>—</t>
        </is>
      </c>
      <c r="H113" t="inlineStr">
        <is>
          <t>Sewer</t>
        </is>
      </c>
      <c r="I113" t="n">
        <v>0</v>
      </c>
      <c r="J113" t="n">
        <v>0</v>
      </c>
      <c r="K113" t="n">
        <v>0</v>
      </c>
      <c r="L113" t="n">
        <v>0</v>
      </c>
      <c r="M113" t="n">
        <v>0</v>
      </c>
      <c r="N113" t="n">
        <v>0</v>
      </c>
      <c r="O113" t="n">
        <v>0</v>
      </c>
      <c r="P113" t="n">
        <v>0</v>
      </c>
      <c r="Q113" s="190" t="inlineStr">
        <is>
          <t>https://www.oakha.org/propertyowners/paymentstandards/</t>
        </is>
      </c>
      <c r="R113" t="inlineStr">
        <is>
          <t>Pending / Zero-fill</t>
        </is>
      </c>
    </row>
    <row r="114">
      <c r="A114" t="inlineStr">
        <is>
          <t>Oakland Housing Authority (OHA)</t>
        </is>
      </c>
      <c r="B114" t="inlineStr">
        <is>
          <t>Oakland</t>
        </is>
      </c>
      <c r="C114" t="inlineStr">
        <is>
          <t>2025-09-01</t>
        </is>
      </c>
      <c r="D114" t="inlineStr">
        <is>
          <t>SRO / Rooming</t>
        </is>
      </c>
      <c r="E114" t="inlineStr">
        <is>
          <t>SRO/Rooming</t>
        </is>
      </c>
      <c r="F114" t="inlineStr">
        <is>
          <t>Space Heating</t>
        </is>
      </c>
      <c r="G114" t="inlineStr">
        <is>
          <t>Electric</t>
        </is>
      </c>
      <c r="H114" t="inlineStr">
        <is>
          <t>Space Heating - Electric</t>
        </is>
      </c>
      <c r="I114" t="n">
        <v>33</v>
      </c>
      <c r="J114" t="n">
        <v>0</v>
      </c>
      <c r="K114" t="n">
        <v>0</v>
      </c>
      <c r="L114" t="n">
        <v>0</v>
      </c>
      <c r="M114" t="n">
        <v>0</v>
      </c>
      <c r="N114" t="n">
        <v>0</v>
      </c>
      <c r="O114" t="n">
        <v>0</v>
      </c>
      <c r="P114" t="n">
        <v>0</v>
      </c>
      <c r="Q114" t="inlineStr">
        <is>
          <t>OHA SRO Utility &amp; Appliance Allowances (effective 2025-09-01)</t>
        </is>
      </c>
      <c r="R114" t="inlineStr">
        <is>
          <t>Populated</t>
        </is>
      </c>
    </row>
    <row r="115">
      <c r="A115" t="inlineStr">
        <is>
          <t>Oakland Housing Authority (OHA)</t>
        </is>
      </c>
      <c r="B115" t="inlineStr">
        <is>
          <t>Oakland</t>
        </is>
      </c>
      <c r="C115" t="inlineStr">
        <is>
          <t>2025-09-01</t>
        </is>
      </c>
      <c r="D115" t="inlineStr">
        <is>
          <t>SRO / Rooming</t>
        </is>
      </c>
      <c r="E115" t="inlineStr">
        <is>
          <t>SRO/Rooming</t>
        </is>
      </c>
      <c r="F115" t="inlineStr">
        <is>
          <t>Space Heating</t>
        </is>
      </c>
      <c r="G115" t="inlineStr">
        <is>
          <t>Electric - Heat Pump</t>
        </is>
      </c>
      <c r="H115" t="inlineStr">
        <is>
          <t>Space Heating - Electric - Heat Pump</t>
        </is>
      </c>
      <c r="I115" t="n">
        <v>0</v>
      </c>
      <c r="J115" t="n">
        <v>0</v>
      </c>
      <c r="K115" t="n">
        <v>0</v>
      </c>
      <c r="L115" t="n">
        <v>0</v>
      </c>
      <c r="M115" t="n">
        <v>0</v>
      </c>
      <c r="N115" t="n">
        <v>0</v>
      </c>
      <c r="O115" t="n">
        <v>0</v>
      </c>
      <c r="P115" t="n">
        <v>0</v>
      </c>
      <c r="Q115" s="190" t="inlineStr">
        <is>
          <t>https://www.oakha.org/propertyowners/paymentstandards/</t>
        </is>
      </c>
      <c r="R115" t="inlineStr">
        <is>
          <t>Pending / Zero-fill</t>
        </is>
      </c>
    </row>
    <row r="116">
      <c r="A116" t="inlineStr">
        <is>
          <t>Oakland Housing Authority (OHA)</t>
        </is>
      </c>
      <c r="B116" t="inlineStr">
        <is>
          <t>Oakland</t>
        </is>
      </c>
      <c r="C116" t="inlineStr">
        <is>
          <t>2025-09-01</t>
        </is>
      </c>
      <c r="D116" t="inlineStr">
        <is>
          <t>SRO / Rooming</t>
        </is>
      </c>
      <c r="E116" t="inlineStr">
        <is>
          <t>SRO/Rooming</t>
        </is>
      </c>
      <c r="F116" t="inlineStr">
        <is>
          <t>Space Heating</t>
        </is>
      </c>
      <c r="G116" t="inlineStr">
        <is>
          <t>Natural Gas</t>
        </is>
      </c>
      <c r="H116" t="inlineStr">
        <is>
          <t>Space Heating - Natural Gas</t>
        </is>
      </c>
      <c r="I116" t="n">
        <v>27</v>
      </c>
      <c r="J116" t="n">
        <v>0</v>
      </c>
      <c r="K116" t="n">
        <v>0</v>
      </c>
      <c r="L116" t="n">
        <v>0</v>
      </c>
      <c r="M116" t="n">
        <v>0</v>
      </c>
      <c r="N116" t="n">
        <v>0</v>
      </c>
      <c r="O116" t="n">
        <v>0</v>
      </c>
      <c r="P116" t="n">
        <v>0</v>
      </c>
      <c r="Q116" t="inlineStr">
        <is>
          <t>OHA SRO Utility &amp; Appliance Allowances (effective 2025-09-01)</t>
        </is>
      </c>
      <c r="R116" t="inlineStr">
        <is>
          <t>Populated</t>
        </is>
      </c>
    </row>
    <row r="117">
      <c r="A117" t="inlineStr">
        <is>
          <t>Oakland Housing Authority (OHA)</t>
        </is>
      </c>
      <c r="B117" t="inlineStr">
        <is>
          <t>Oakland</t>
        </is>
      </c>
      <c r="C117" t="inlineStr">
        <is>
          <t>2025-09-01</t>
        </is>
      </c>
      <c r="D117" t="inlineStr">
        <is>
          <t>SRO / Rooming</t>
        </is>
      </c>
      <c r="E117" t="inlineStr">
        <is>
          <t>SRO/Rooming</t>
        </is>
      </c>
      <c r="F117" t="inlineStr">
        <is>
          <t>Space Heating</t>
        </is>
      </c>
      <c r="G117" t="inlineStr">
        <is>
          <t>Oil/Propane</t>
        </is>
      </c>
      <c r="H117" t="inlineStr">
        <is>
          <t>Space Heating - Oil/Propane</t>
        </is>
      </c>
      <c r="I117" t="n">
        <v>0</v>
      </c>
      <c r="J117" t="n">
        <v>0</v>
      </c>
      <c r="K117" t="n">
        <v>0</v>
      </c>
      <c r="L117" t="n">
        <v>0</v>
      </c>
      <c r="M117" t="n">
        <v>0</v>
      </c>
      <c r="N117" t="n">
        <v>0</v>
      </c>
      <c r="O117" t="n">
        <v>0</v>
      </c>
      <c r="P117" t="n">
        <v>0</v>
      </c>
      <c r="Q117" s="190" t="inlineStr">
        <is>
          <t>https://www.oakha.org/propertyowners/paymentstandards/</t>
        </is>
      </c>
      <c r="R117" t="inlineStr">
        <is>
          <t>Pending / Zero-fill</t>
        </is>
      </c>
    </row>
    <row r="118">
      <c r="A118" t="inlineStr">
        <is>
          <t>Oakland Housing Authority (OHA)</t>
        </is>
      </c>
      <c r="B118" t="inlineStr">
        <is>
          <t>Oakland</t>
        </is>
      </c>
      <c r="C118" t="inlineStr">
        <is>
          <t>2025-09-01</t>
        </is>
      </c>
      <c r="D118" t="inlineStr">
        <is>
          <t>SRO / Rooming</t>
        </is>
      </c>
      <c r="E118" t="inlineStr">
        <is>
          <t>SRO/Rooming</t>
        </is>
      </c>
      <c r="F118" t="inlineStr">
        <is>
          <t>Space Heating</t>
        </is>
      </c>
      <c r="G118" t="inlineStr">
        <is>
          <t>Other/Specify</t>
        </is>
      </c>
      <c r="H118" t="inlineStr">
        <is>
          <t>Space Heating - Other/Specify</t>
        </is>
      </c>
      <c r="I118" t="n">
        <v>0</v>
      </c>
      <c r="J118" t="n">
        <v>0</v>
      </c>
      <c r="K118" t="n">
        <v>0</v>
      </c>
      <c r="L118" t="n">
        <v>0</v>
      </c>
      <c r="M118" t="n">
        <v>0</v>
      </c>
      <c r="N118" t="n">
        <v>0</v>
      </c>
      <c r="O118" t="n">
        <v>0</v>
      </c>
      <c r="P118" t="n">
        <v>0</v>
      </c>
      <c r="Q118" s="190" t="inlineStr">
        <is>
          <t>https://www.oakha.org/propertyowners/paymentstandards/</t>
        </is>
      </c>
      <c r="R118" t="inlineStr">
        <is>
          <t>Pending / Zero-fill</t>
        </is>
      </c>
    </row>
    <row r="119">
      <c r="A119" t="inlineStr">
        <is>
          <t>Oakland Housing Authority (OHA)</t>
        </is>
      </c>
      <c r="B119" t="inlineStr">
        <is>
          <t>Oakland</t>
        </is>
      </c>
      <c r="C119" t="inlineStr">
        <is>
          <t>2025-09-01</t>
        </is>
      </c>
      <c r="D119" t="inlineStr">
        <is>
          <t>SRO / Rooming</t>
        </is>
      </c>
      <c r="E119" t="inlineStr">
        <is>
          <t>SRO/Rooming</t>
        </is>
      </c>
      <c r="F119" t="inlineStr">
        <is>
          <t>Trash Collection</t>
        </is>
      </c>
      <c r="G119" t="inlineStr">
        <is>
          <t>—</t>
        </is>
      </c>
      <c r="H119" t="inlineStr">
        <is>
          <t>Trash Collection</t>
        </is>
      </c>
      <c r="I119" t="n">
        <v>46</v>
      </c>
      <c r="J119" t="n">
        <v>0</v>
      </c>
      <c r="K119" t="n">
        <v>0</v>
      </c>
      <c r="L119" t="n">
        <v>0</v>
      </c>
      <c r="M119" t="n">
        <v>0</v>
      </c>
      <c r="N119" t="n">
        <v>0</v>
      </c>
      <c r="O119" t="n">
        <v>0</v>
      </c>
      <c r="P119" t="n">
        <v>0</v>
      </c>
      <c r="Q119" t="inlineStr">
        <is>
          <t>OHA SRO Utility &amp; Appliance Allowances (effective 2025-09-01)</t>
        </is>
      </c>
      <c r="R119" t="inlineStr">
        <is>
          <t>Populated</t>
        </is>
      </c>
    </row>
    <row r="120">
      <c r="A120" t="inlineStr">
        <is>
          <t>Oakland Housing Authority (OHA)</t>
        </is>
      </c>
      <c r="B120" t="inlineStr">
        <is>
          <t>Oakland</t>
        </is>
      </c>
      <c r="C120" t="inlineStr">
        <is>
          <t>2025-09-01</t>
        </is>
      </c>
      <c r="D120" t="inlineStr">
        <is>
          <t>SRO / Rooming</t>
        </is>
      </c>
      <c r="E120" t="inlineStr">
        <is>
          <t>SRO/Rooming</t>
        </is>
      </c>
      <c r="F120" t="inlineStr">
        <is>
          <t>Washer</t>
        </is>
      </c>
      <c r="G120" t="inlineStr">
        <is>
          <t>Allowance</t>
        </is>
      </c>
      <c r="H120" t="inlineStr">
        <is>
          <t>Washer - Allowance</t>
        </is>
      </c>
      <c r="I120" t="n">
        <v>0</v>
      </c>
      <c r="J120" t="n">
        <v>0</v>
      </c>
      <c r="K120" t="n">
        <v>0</v>
      </c>
      <c r="L120" t="n">
        <v>0</v>
      </c>
      <c r="M120" t="n">
        <v>0</v>
      </c>
      <c r="N120" t="n">
        <v>0</v>
      </c>
      <c r="O120" t="n">
        <v>0</v>
      </c>
      <c r="P120" t="n">
        <v>0</v>
      </c>
      <c r="Q120" s="190" t="inlineStr">
        <is>
          <t>https://www.oakha.org/propertyowners/paymentstandards/</t>
        </is>
      </c>
      <c r="R120" t="inlineStr">
        <is>
          <t>Pending / Zero-fill</t>
        </is>
      </c>
    </row>
    <row r="121">
      <c r="A121" t="inlineStr">
        <is>
          <t>Oakland Housing Authority (OHA)</t>
        </is>
      </c>
      <c r="B121" t="inlineStr">
        <is>
          <t>Oakland</t>
        </is>
      </c>
      <c r="C121" t="inlineStr">
        <is>
          <t>2025-09-01</t>
        </is>
      </c>
      <c r="D121" t="inlineStr">
        <is>
          <t>SRO / Rooming</t>
        </is>
      </c>
      <c r="E121" t="inlineStr">
        <is>
          <t>SRO/Rooming</t>
        </is>
      </c>
      <c r="F121" t="inlineStr">
        <is>
          <t>Water</t>
        </is>
      </c>
      <c r="G121" t="inlineStr">
        <is>
          <t>—</t>
        </is>
      </c>
      <c r="H121" t="inlineStr">
        <is>
          <t>Water</t>
        </is>
      </c>
      <c r="I121" t="n">
        <v>72</v>
      </c>
      <c r="J121" t="n">
        <v>0</v>
      </c>
      <c r="K121" t="n">
        <v>0</v>
      </c>
      <c r="L121" t="n">
        <v>0</v>
      </c>
      <c r="M121" t="n">
        <v>0</v>
      </c>
      <c r="N121" t="n">
        <v>0</v>
      </c>
      <c r="O121" t="n">
        <v>0</v>
      </c>
      <c r="P121" t="n">
        <v>0</v>
      </c>
      <c r="Q121" t="inlineStr">
        <is>
          <t>OHA SRO Utility &amp; Appliance Allowances (effective 2025-09-01)</t>
        </is>
      </c>
      <c r="R121" t="inlineStr">
        <is>
          <t>Populated</t>
        </is>
      </c>
    </row>
    <row r="122">
      <c r="A122" t="inlineStr">
        <is>
          <t>Oakland Housing Authority (OHA)</t>
        </is>
      </c>
      <c r="B122" t="inlineStr">
        <is>
          <t>Oakland</t>
        </is>
      </c>
      <c r="C122" t="inlineStr">
        <is>
          <t>2025-09-01</t>
        </is>
      </c>
      <c r="D122" t="inlineStr">
        <is>
          <t>SRO / Rooming</t>
        </is>
      </c>
      <c r="E122" t="inlineStr">
        <is>
          <t>SRO/Rooming</t>
        </is>
      </c>
      <c r="F122" t="inlineStr">
        <is>
          <t>Water Heating</t>
        </is>
      </c>
      <c r="G122" t="inlineStr">
        <is>
          <t>Electric</t>
        </is>
      </c>
      <c r="H122" t="inlineStr">
        <is>
          <t>Water Heating - Electric</t>
        </is>
      </c>
      <c r="I122" t="n">
        <v>29</v>
      </c>
      <c r="J122" t="n">
        <v>0</v>
      </c>
      <c r="K122" t="n">
        <v>0</v>
      </c>
      <c r="L122" t="n">
        <v>0</v>
      </c>
      <c r="M122" t="n">
        <v>0</v>
      </c>
      <c r="N122" t="n">
        <v>0</v>
      </c>
      <c r="O122" t="n">
        <v>0</v>
      </c>
      <c r="P122" t="n">
        <v>0</v>
      </c>
      <c r="Q122" t="inlineStr">
        <is>
          <t>OHA SRO Utility &amp; Appliance Allowances (effective 2025-09-01)</t>
        </is>
      </c>
      <c r="R122" t="inlineStr">
        <is>
          <t>Populated</t>
        </is>
      </c>
    </row>
    <row r="123">
      <c r="A123" t="inlineStr">
        <is>
          <t>Oakland Housing Authority (OHA)</t>
        </is>
      </c>
      <c r="B123" t="inlineStr">
        <is>
          <t>Oakland</t>
        </is>
      </c>
      <c r="C123" t="inlineStr">
        <is>
          <t>2025-09-01</t>
        </is>
      </c>
      <c r="D123" t="inlineStr">
        <is>
          <t>SRO / Rooming</t>
        </is>
      </c>
      <c r="E123" t="inlineStr">
        <is>
          <t>SRO/Rooming</t>
        </is>
      </c>
      <c r="F123" t="inlineStr">
        <is>
          <t>Water Heating</t>
        </is>
      </c>
      <c r="G123" t="inlineStr">
        <is>
          <t>Natural Gas</t>
        </is>
      </c>
      <c r="H123" t="inlineStr">
        <is>
          <t>Water Heating - Natural Gas</t>
        </is>
      </c>
      <c r="I123" t="n">
        <v>11</v>
      </c>
      <c r="J123" t="n">
        <v>0</v>
      </c>
      <c r="K123" t="n">
        <v>0</v>
      </c>
      <c r="L123" t="n">
        <v>0</v>
      </c>
      <c r="M123" t="n">
        <v>0</v>
      </c>
      <c r="N123" t="n">
        <v>0</v>
      </c>
      <c r="O123" t="n">
        <v>0</v>
      </c>
      <c r="P123" t="n">
        <v>0</v>
      </c>
      <c r="Q123" t="inlineStr">
        <is>
          <t>OHA SRO Utility &amp; Appliance Allowances (effective 2025-09-01)</t>
        </is>
      </c>
      <c r="R123" t="inlineStr">
        <is>
          <t>Populated</t>
        </is>
      </c>
    </row>
    <row r="124">
      <c r="A124" t="inlineStr">
        <is>
          <t>Oakland Housing Authority (OHA)</t>
        </is>
      </c>
      <c r="B124" t="inlineStr">
        <is>
          <t>Oakland</t>
        </is>
      </c>
      <c r="C124" t="inlineStr">
        <is>
          <t>2025-09-01</t>
        </is>
      </c>
      <c r="D124" t="inlineStr">
        <is>
          <t>SRO / Rooming</t>
        </is>
      </c>
      <c r="E124" t="inlineStr">
        <is>
          <t>SRO/Rooming</t>
        </is>
      </c>
      <c r="F124" t="inlineStr">
        <is>
          <t>Water Heating</t>
        </is>
      </c>
      <c r="G124" t="inlineStr">
        <is>
          <t>Oil/Propane</t>
        </is>
      </c>
      <c r="H124" t="inlineStr">
        <is>
          <t>Water Heating - Oil/Propane</t>
        </is>
      </c>
      <c r="I124" t="n">
        <v>0</v>
      </c>
      <c r="J124" t="n">
        <v>0</v>
      </c>
      <c r="K124" t="n">
        <v>0</v>
      </c>
      <c r="L124" t="n">
        <v>0</v>
      </c>
      <c r="M124" t="n">
        <v>0</v>
      </c>
      <c r="N124" t="n">
        <v>0</v>
      </c>
      <c r="O124" t="n">
        <v>0</v>
      </c>
      <c r="P124" t="n">
        <v>0</v>
      </c>
      <c r="Q124" s="190" t="inlineStr">
        <is>
          <t>https://www.oakha.org/propertyowners/paymentstandards/</t>
        </is>
      </c>
      <c r="R124" t="inlineStr">
        <is>
          <t>Pending / Zero-fill</t>
        </is>
      </c>
    </row>
    <row r="125">
      <c r="A125" t="inlineStr">
        <is>
          <t>Orange County Housing Authority (OCHA)</t>
        </is>
      </c>
      <c r="B125" t="inlineStr">
        <is>
          <t>Orange County</t>
        </is>
      </c>
      <c r="C125" t="inlineStr">
        <is>
          <t>2025-10-01</t>
        </is>
      </c>
      <c r="D125" t="inlineStr">
        <is>
          <t>Multi-Family</t>
        </is>
      </c>
      <c r="E125" t="inlineStr">
        <is>
          <t>Other</t>
        </is>
      </c>
      <c r="F125" t="inlineStr">
        <is>
          <t>Air Conditioning</t>
        </is>
      </c>
      <c r="G125" t="inlineStr">
        <is>
          <t>Electric</t>
        </is>
      </c>
      <c r="H125" t="inlineStr">
        <is>
          <t>Air Conditioning - Electric</t>
        </is>
      </c>
      <c r="I125" t="n">
        <v>13</v>
      </c>
      <c r="J125" t="n">
        <v>16</v>
      </c>
      <c r="K125" t="n">
        <v>22</v>
      </c>
      <c r="L125" t="n">
        <v>28</v>
      </c>
      <c r="M125" t="n">
        <v>34</v>
      </c>
      <c r="N125" t="n">
        <v>41</v>
      </c>
      <c r="O125" t="n">
        <v>0</v>
      </c>
      <c r="P125" t="n">
        <v>0</v>
      </c>
      <c r="Q125" s="190" t="inlineStr">
        <is>
          <t>https://www.ochousing.org/sites/ocha/files/2025-10/2026%20Utility%20Allowance%20Schedule%20-%20Public%20Use.pdf</t>
        </is>
      </c>
      <c r="R125" t="inlineStr">
        <is>
          <t>Populated</t>
        </is>
      </c>
    </row>
    <row r="126">
      <c r="A126" t="inlineStr">
        <is>
          <t>Orange County Housing Authority (OCHA)</t>
        </is>
      </c>
      <c r="B126" t="inlineStr">
        <is>
          <t>Orange County</t>
        </is>
      </c>
      <c r="C126" t="inlineStr">
        <is>
          <t>2025-10-01</t>
        </is>
      </c>
      <c r="D126" t="inlineStr">
        <is>
          <t>Multi-Family</t>
        </is>
      </c>
      <c r="E126" t="inlineStr">
        <is>
          <t>Other</t>
        </is>
      </c>
      <c r="F126" t="inlineStr">
        <is>
          <t>Air Conditioning</t>
        </is>
      </c>
      <c r="G126" t="inlineStr">
        <is>
          <t>Evaporative Cooler</t>
        </is>
      </c>
      <c r="H126" t="inlineStr">
        <is>
          <t>Air Conditioning - Evaporative Cooler</t>
        </is>
      </c>
      <c r="I126" t="n">
        <v>0</v>
      </c>
      <c r="J126" t="n">
        <v>0</v>
      </c>
      <c r="K126" t="n">
        <v>0</v>
      </c>
      <c r="L126" t="n">
        <v>0</v>
      </c>
      <c r="M126" t="n">
        <v>0</v>
      </c>
      <c r="N126" t="n">
        <v>0</v>
      </c>
      <c r="O126" t="n">
        <v>0</v>
      </c>
      <c r="P126" t="n">
        <v>0</v>
      </c>
      <c r="Q126" s="190" t="inlineStr">
        <is>
          <t>https://www.ochousing.org/sites/ocha/files/2025-10/2026%20Utility%20Allowance%20Schedule%20-%20Public%20Use.pdf</t>
        </is>
      </c>
      <c r="R126" t="inlineStr">
        <is>
          <t>Pending / Zero-fill</t>
        </is>
      </c>
    </row>
    <row r="127">
      <c r="A127" t="inlineStr">
        <is>
          <t>Orange County Housing Authority (OCHA)</t>
        </is>
      </c>
      <c r="B127" t="inlineStr">
        <is>
          <t>Orange County</t>
        </is>
      </c>
      <c r="C127" t="inlineStr">
        <is>
          <t>2025-10-01</t>
        </is>
      </c>
      <c r="D127" t="inlineStr">
        <is>
          <t>Multi-Family</t>
        </is>
      </c>
      <c r="E127" t="inlineStr">
        <is>
          <t>Other</t>
        </is>
      </c>
      <c r="F127" t="inlineStr">
        <is>
          <t>Cooking</t>
        </is>
      </c>
      <c r="G127" t="inlineStr">
        <is>
          <t>Electric</t>
        </is>
      </c>
      <c r="H127" t="inlineStr">
        <is>
          <t>Cooking - Electric</t>
        </is>
      </c>
      <c r="I127" t="n">
        <v>11</v>
      </c>
      <c r="J127" t="n">
        <v>13</v>
      </c>
      <c r="K127" t="n">
        <v>19</v>
      </c>
      <c r="L127" t="n">
        <v>25</v>
      </c>
      <c r="M127" t="n">
        <v>31</v>
      </c>
      <c r="N127" t="n">
        <v>37</v>
      </c>
      <c r="O127" t="n">
        <v>0</v>
      </c>
      <c r="P127" t="n">
        <v>0</v>
      </c>
      <c r="Q127" s="190" t="inlineStr">
        <is>
          <t>https://www.ochousing.org/sites/ocha/files/2025-10/2026%20Utility%20Allowance%20Schedule%20-%20Public%20Use.pdf</t>
        </is>
      </c>
      <c r="R127" t="inlineStr">
        <is>
          <t>Populated</t>
        </is>
      </c>
    </row>
    <row r="128">
      <c r="A128" t="inlineStr">
        <is>
          <t>Orange County Housing Authority (OCHA)</t>
        </is>
      </c>
      <c r="B128" t="inlineStr">
        <is>
          <t>Orange County</t>
        </is>
      </c>
      <c r="C128" t="inlineStr">
        <is>
          <t>2025-10-01</t>
        </is>
      </c>
      <c r="D128" t="inlineStr">
        <is>
          <t>Multi-Family</t>
        </is>
      </c>
      <c r="E128" t="inlineStr">
        <is>
          <t>Other</t>
        </is>
      </c>
      <c r="F128" t="inlineStr">
        <is>
          <t>Cooking</t>
        </is>
      </c>
      <c r="G128" t="inlineStr">
        <is>
          <t>Natural Gas</t>
        </is>
      </c>
      <c r="H128" t="inlineStr">
        <is>
          <t>Cooking - Natural Gas</t>
        </is>
      </c>
      <c r="I128" t="n">
        <v>4</v>
      </c>
      <c r="J128" t="n">
        <v>4</v>
      </c>
      <c r="K128" t="n">
        <v>7</v>
      </c>
      <c r="L128" t="n">
        <v>9</v>
      </c>
      <c r="M128" t="n">
        <v>12</v>
      </c>
      <c r="N128" t="n">
        <v>13</v>
      </c>
      <c r="O128" t="n">
        <v>0</v>
      </c>
      <c r="P128" t="n">
        <v>0</v>
      </c>
      <c r="Q128" s="190" t="inlineStr">
        <is>
          <t>https://www.ochousing.org/sites/ocha/files/2025-10/2026%20Utility%20Allowance%20Schedule%20-%20Public%20Use.pdf</t>
        </is>
      </c>
      <c r="R128" t="inlineStr">
        <is>
          <t>Populated</t>
        </is>
      </c>
    </row>
    <row r="129">
      <c r="A129" t="inlineStr">
        <is>
          <t>Orange County Housing Authority (OCHA)</t>
        </is>
      </c>
      <c r="B129" t="inlineStr">
        <is>
          <t>Orange County</t>
        </is>
      </c>
      <c r="C129" t="inlineStr">
        <is>
          <t>2025-10-01</t>
        </is>
      </c>
      <c r="D129" t="inlineStr">
        <is>
          <t>Multi-Family</t>
        </is>
      </c>
      <c r="E129" t="inlineStr">
        <is>
          <t>Other</t>
        </is>
      </c>
      <c r="F129" t="inlineStr">
        <is>
          <t>Dishwasher</t>
        </is>
      </c>
      <c r="G129" t="inlineStr">
        <is>
          <t>Allowance</t>
        </is>
      </c>
      <c r="H129" t="inlineStr">
        <is>
          <t>Dishwasher - Allowance</t>
        </is>
      </c>
      <c r="I129" t="n">
        <v>0</v>
      </c>
      <c r="J129" t="n">
        <v>0</v>
      </c>
      <c r="K129" t="n">
        <v>0</v>
      </c>
      <c r="L129" t="n">
        <v>0</v>
      </c>
      <c r="M129" t="n">
        <v>0</v>
      </c>
      <c r="N129" t="n">
        <v>0</v>
      </c>
      <c r="O129" t="n">
        <v>0</v>
      </c>
      <c r="P129" t="n">
        <v>0</v>
      </c>
      <c r="Q129" s="190" t="inlineStr">
        <is>
          <t>https://www.ochousing.org/sites/ocha/files/2025-10/2026%20Utility%20Allowance%20Schedule%20-%20Public%20Use.pdf</t>
        </is>
      </c>
      <c r="R129" t="inlineStr">
        <is>
          <t>Pending / Zero-fill</t>
        </is>
      </c>
    </row>
    <row r="130">
      <c r="A130" t="inlineStr">
        <is>
          <t>Orange County Housing Authority (OCHA)</t>
        </is>
      </c>
      <c r="B130" t="inlineStr">
        <is>
          <t>Orange County</t>
        </is>
      </c>
      <c r="C130" t="inlineStr">
        <is>
          <t>2025-10-01</t>
        </is>
      </c>
      <c r="D130" t="inlineStr">
        <is>
          <t>Multi-Family</t>
        </is>
      </c>
      <c r="E130" t="inlineStr">
        <is>
          <t>Other</t>
        </is>
      </c>
      <c r="F130" t="inlineStr">
        <is>
          <t>Dryer</t>
        </is>
      </c>
      <c r="G130" t="inlineStr">
        <is>
          <t>Allowance</t>
        </is>
      </c>
      <c r="H130" t="inlineStr">
        <is>
          <t>Dryer - Allowance</t>
        </is>
      </c>
      <c r="I130" t="n">
        <v>0</v>
      </c>
      <c r="J130" t="n">
        <v>0</v>
      </c>
      <c r="K130" t="n">
        <v>0</v>
      </c>
      <c r="L130" t="n">
        <v>0</v>
      </c>
      <c r="M130" t="n">
        <v>0</v>
      </c>
      <c r="N130" t="n">
        <v>0</v>
      </c>
      <c r="O130" t="n">
        <v>0</v>
      </c>
      <c r="P130" t="n">
        <v>0</v>
      </c>
      <c r="Q130" s="190" t="inlineStr">
        <is>
          <t>https://www.ochousing.org/sites/ocha/files/2025-10/2026%20Utility%20Allowance%20Schedule%20-%20Public%20Use.pdf</t>
        </is>
      </c>
      <c r="R130" t="inlineStr">
        <is>
          <t>Pending / Zero-fill</t>
        </is>
      </c>
    </row>
    <row r="131">
      <c r="A131" t="inlineStr">
        <is>
          <t>Orange County Housing Authority (OCHA)</t>
        </is>
      </c>
      <c r="B131" t="inlineStr">
        <is>
          <t>Orange County</t>
        </is>
      </c>
      <c r="C131" t="inlineStr">
        <is>
          <t>2025-10-01</t>
        </is>
      </c>
      <c r="D131" t="inlineStr">
        <is>
          <t>Multi-Family</t>
        </is>
      </c>
      <c r="E131" t="inlineStr">
        <is>
          <t>Other</t>
        </is>
      </c>
      <c r="F131" t="inlineStr">
        <is>
          <t>Freezer</t>
        </is>
      </c>
      <c r="G131" t="inlineStr">
        <is>
          <t>Allowance</t>
        </is>
      </c>
      <c r="H131" t="inlineStr">
        <is>
          <t>Freezer - Allowance</t>
        </is>
      </c>
      <c r="I131" t="n">
        <v>0</v>
      </c>
      <c r="J131" t="n">
        <v>0</v>
      </c>
      <c r="K131" t="n">
        <v>0</v>
      </c>
      <c r="L131" t="n">
        <v>0</v>
      </c>
      <c r="M131" t="n">
        <v>0</v>
      </c>
      <c r="N131" t="n">
        <v>0</v>
      </c>
      <c r="O131" t="n">
        <v>0</v>
      </c>
      <c r="P131" t="n">
        <v>0</v>
      </c>
      <c r="Q131" s="190" t="inlineStr">
        <is>
          <t>https://www.ochousing.org/sites/ocha/files/2025-10/2026%20Utility%20Allowance%20Schedule%20-%20Public%20Use.pdf</t>
        </is>
      </c>
      <c r="R131" t="inlineStr">
        <is>
          <t>Pending / Zero-fill</t>
        </is>
      </c>
    </row>
    <row r="132">
      <c r="A132" t="inlineStr">
        <is>
          <t>Orange County Housing Authority (OCHA)</t>
        </is>
      </c>
      <c r="B132" t="inlineStr">
        <is>
          <t>Orange County</t>
        </is>
      </c>
      <c r="C132" t="inlineStr">
        <is>
          <t>2025-10-01</t>
        </is>
      </c>
      <c r="D132" t="inlineStr">
        <is>
          <t>Multi-Family</t>
        </is>
      </c>
      <c r="E132" t="inlineStr">
        <is>
          <t>Other</t>
        </is>
      </c>
      <c r="F132" t="inlineStr">
        <is>
          <t>Other - Specify</t>
        </is>
      </c>
      <c r="G132" t="inlineStr">
        <is>
          <t>Lifeline / Baseline Credit</t>
        </is>
      </c>
      <c r="H132" t="inlineStr">
        <is>
          <t>Other - Specify - Lifeline / Baseline Credit</t>
        </is>
      </c>
      <c r="I132" t="n">
        <v>0</v>
      </c>
      <c r="J132" t="n">
        <v>0</v>
      </c>
      <c r="K132" t="n">
        <v>0</v>
      </c>
      <c r="L132" t="n">
        <v>0</v>
      </c>
      <c r="M132" t="n">
        <v>0</v>
      </c>
      <c r="N132" t="n">
        <v>0</v>
      </c>
      <c r="O132" t="n">
        <v>0</v>
      </c>
      <c r="P132" t="n">
        <v>0</v>
      </c>
      <c r="Q132" s="190" t="inlineStr">
        <is>
          <t>https://www.ochousing.org/sites/ocha/files/2025-10/2026%20Utility%20Allowance%20Schedule%20-%20Public%20Use.pdf</t>
        </is>
      </c>
      <c r="R132" t="inlineStr">
        <is>
          <t>Pending / Zero-fill</t>
        </is>
      </c>
    </row>
    <row r="133">
      <c r="A133" t="inlineStr">
        <is>
          <t>Orange County Housing Authority (OCHA)</t>
        </is>
      </c>
      <c r="B133" t="inlineStr">
        <is>
          <t>Orange County</t>
        </is>
      </c>
      <c r="C133" t="inlineStr">
        <is>
          <t>2025-10-01</t>
        </is>
      </c>
      <c r="D133" t="inlineStr">
        <is>
          <t>Multi-Family</t>
        </is>
      </c>
      <c r="E133" t="inlineStr">
        <is>
          <t>Other</t>
        </is>
      </c>
      <c r="F133" t="inlineStr">
        <is>
          <t>Other - Specify</t>
        </is>
      </c>
      <c r="G133" t="inlineStr">
        <is>
          <t>Solar/PV Credit</t>
        </is>
      </c>
      <c r="H133" t="inlineStr">
        <is>
          <t>Other - Specify - Solar/PV Credit</t>
        </is>
      </c>
      <c r="I133" t="n">
        <v>0</v>
      </c>
      <c r="J133" t="n">
        <v>0</v>
      </c>
      <c r="K133" t="n">
        <v>0</v>
      </c>
      <c r="L133" t="n">
        <v>0</v>
      </c>
      <c r="M133" t="n">
        <v>0</v>
      </c>
      <c r="N133" t="n">
        <v>0</v>
      </c>
      <c r="O133" t="n">
        <v>0</v>
      </c>
      <c r="P133" t="n">
        <v>0</v>
      </c>
      <c r="Q133" s="190" t="inlineStr">
        <is>
          <t>https://www.ochousing.org/sites/ocha/files/2025-10/2026%20Utility%20Allowance%20Schedule%20-%20Public%20Use.pdf</t>
        </is>
      </c>
      <c r="R133" t="inlineStr">
        <is>
          <t>Pending / Zero-fill</t>
        </is>
      </c>
    </row>
    <row r="134">
      <c r="A134" t="inlineStr">
        <is>
          <t>Orange County Housing Authority (OCHA)</t>
        </is>
      </c>
      <c r="B134" t="inlineStr">
        <is>
          <t>Orange County</t>
        </is>
      </c>
      <c r="C134" t="inlineStr">
        <is>
          <t>2025-10-01</t>
        </is>
      </c>
      <c r="D134" t="inlineStr">
        <is>
          <t>Multi-Family</t>
        </is>
      </c>
      <c r="E134" t="inlineStr">
        <is>
          <t>Other</t>
        </is>
      </c>
      <c r="F134" t="inlineStr">
        <is>
          <t>Other - Specify</t>
        </is>
      </c>
      <c r="G134" t="inlineStr">
        <is>
          <t>Utility Customer Charge / Fee</t>
        </is>
      </c>
      <c r="H134" t="inlineStr">
        <is>
          <t>Other - Specify - Utility Customer Charge / Fee</t>
        </is>
      </c>
      <c r="I134" t="n">
        <v>0</v>
      </c>
      <c r="J134" t="n">
        <v>0</v>
      </c>
      <c r="K134" t="n">
        <v>0</v>
      </c>
      <c r="L134" t="n">
        <v>0</v>
      </c>
      <c r="M134" t="n">
        <v>0</v>
      </c>
      <c r="N134" t="n">
        <v>0</v>
      </c>
      <c r="O134" t="n">
        <v>0</v>
      </c>
      <c r="P134" t="n">
        <v>0</v>
      </c>
      <c r="Q134" s="190" t="inlineStr">
        <is>
          <t>https://www.ochousing.org/sites/ocha/files/2025-10/2026%20Utility%20Allowance%20Schedule%20-%20Public%20Use.pdf</t>
        </is>
      </c>
      <c r="R134" t="inlineStr">
        <is>
          <t>Pending / Zero-fill</t>
        </is>
      </c>
    </row>
    <row r="135">
      <c r="A135" t="inlineStr">
        <is>
          <t>Orange County Housing Authority (OCHA)</t>
        </is>
      </c>
      <c r="B135" t="inlineStr">
        <is>
          <t>Orange County</t>
        </is>
      </c>
      <c r="C135" t="inlineStr">
        <is>
          <t>2025-10-01</t>
        </is>
      </c>
      <c r="D135" t="inlineStr">
        <is>
          <t>Multi-Family</t>
        </is>
      </c>
      <c r="E135" t="inlineStr">
        <is>
          <t>Other</t>
        </is>
      </c>
      <c r="F135" t="inlineStr">
        <is>
          <t>Other Electric</t>
        </is>
      </c>
      <c r="G135" t="inlineStr">
        <is>
          <t>Electric (Lights/Plugs)</t>
        </is>
      </c>
      <c r="H135" t="inlineStr">
        <is>
          <t>Other Electric - Electric (Lights/Plugs)</t>
        </is>
      </c>
      <c r="I135" t="n">
        <v>30</v>
      </c>
      <c r="J135" t="n">
        <v>35</v>
      </c>
      <c r="K135" t="n">
        <v>57</v>
      </c>
      <c r="L135" t="n">
        <v>76</v>
      </c>
      <c r="M135" t="n">
        <v>100</v>
      </c>
      <c r="N135" t="n">
        <v>124</v>
      </c>
      <c r="O135" t="n">
        <v>0</v>
      </c>
      <c r="P135" t="n">
        <v>0</v>
      </c>
      <c r="Q135" s="190" t="inlineStr">
        <is>
          <t>https://www.ochousing.org/sites/ocha/files/2025-10/2026%20Utility%20Allowance%20Schedule%20-%20Public%20Use.pdf</t>
        </is>
      </c>
      <c r="R135" t="inlineStr">
        <is>
          <t>Populated</t>
        </is>
      </c>
    </row>
    <row r="136">
      <c r="A136" t="inlineStr">
        <is>
          <t>Orange County Housing Authority (OCHA)</t>
        </is>
      </c>
      <c r="B136" t="inlineStr">
        <is>
          <t>Orange County</t>
        </is>
      </c>
      <c r="C136" t="inlineStr">
        <is>
          <t>2025-10-01</t>
        </is>
      </c>
      <c r="D136" t="inlineStr">
        <is>
          <t>Multi-Family</t>
        </is>
      </c>
      <c r="E136" t="inlineStr">
        <is>
          <t>Other</t>
        </is>
      </c>
      <c r="F136" t="inlineStr">
        <is>
          <t>Range/Microwave</t>
        </is>
      </c>
      <c r="G136" t="inlineStr">
        <is>
          <t>Allowance</t>
        </is>
      </c>
      <c r="H136" t="inlineStr">
        <is>
          <t>Range/Microwave - Allowance</t>
        </is>
      </c>
      <c r="I136" t="n">
        <v>11</v>
      </c>
      <c r="J136" t="n">
        <v>11</v>
      </c>
      <c r="K136" t="n">
        <v>11</v>
      </c>
      <c r="L136" t="n">
        <v>11</v>
      </c>
      <c r="M136" t="n">
        <v>11</v>
      </c>
      <c r="N136" t="n">
        <v>11</v>
      </c>
      <c r="O136" t="n">
        <v>11</v>
      </c>
      <c r="P136" t="n">
        <v>0</v>
      </c>
      <c r="Q136" s="190" t="inlineStr">
        <is>
          <t>https://www.ochousing.org/sites/ocha/files/2025-10/2026%20Utility%20Allowance%20Schedule%20-%20Public%20Use.pdf</t>
        </is>
      </c>
      <c r="R136" t="inlineStr">
        <is>
          <t>Populated</t>
        </is>
      </c>
    </row>
    <row r="137">
      <c r="A137" t="inlineStr">
        <is>
          <t>Orange County Housing Authority (OCHA)</t>
        </is>
      </c>
      <c r="B137" t="inlineStr">
        <is>
          <t>Orange County</t>
        </is>
      </c>
      <c r="C137" t="inlineStr">
        <is>
          <t>2025-10-01</t>
        </is>
      </c>
      <c r="D137" t="inlineStr">
        <is>
          <t>Multi-Family</t>
        </is>
      </c>
      <c r="E137" t="inlineStr">
        <is>
          <t>Other</t>
        </is>
      </c>
      <c r="F137" t="inlineStr">
        <is>
          <t>Refrigerator</t>
        </is>
      </c>
      <c r="G137" t="inlineStr">
        <is>
          <t>Allowance</t>
        </is>
      </c>
      <c r="H137" t="inlineStr">
        <is>
          <t>Refrigerator - Allowance</t>
        </is>
      </c>
      <c r="I137" t="n">
        <v>12</v>
      </c>
      <c r="J137" t="n">
        <v>12</v>
      </c>
      <c r="K137" t="n">
        <v>12</v>
      </c>
      <c r="L137" t="n">
        <v>12</v>
      </c>
      <c r="M137" t="n">
        <v>12</v>
      </c>
      <c r="N137" t="n">
        <v>12</v>
      </c>
      <c r="O137" t="n">
        <v>12</v>
      </c>
      <c r="P137" t="n">
        <v>0</v>
      </c>
      <c r="Q137" s="190" t="inlineStr">
        <is>
          <t>https://www.ochousing.org/sites/ocha/files/2025-10/2026%20Utility%20Allowance%20Schedule%20-%20Public%20Use.pdf</t>
        </is>
      </c>
      <c r="R137" t="inlineStr">
        <is>
          <t>Populated</t>
        </is>
      </c>
    </row>
    <row r="138">
      <c r="A138" t="inlineStr">
        <is>
          <t>Orange County Housing Authority (OCHA)</t>
        </is>
      </c>
      <c r="B138" t="inlineStr">
        <is>
          <t>Orange County</t>
        </is>
      </c>
      <c r="C138" t="inlineStr">
        <is>
          <t>2025-10-01</t>
        </is>
      </c>
      <c r="D138" t="inlineStr">
        <is>
          <t>Multi-Family</t>
        </is>
      </c>
      <c r="E138" t="inlineStr">
        <is>
          <t>Other</t>
        </is>
      </c>
      <c r="F138" t="inlineStr">
        <is>
          <t>Sewer</t>
        </is>
      </c>
      <c r="G138" t="inlineStr">
        <is>
          <t>—</t>
        </is>
      </c>
      <c r="H138" t="inlineStr">
        <is>
          <t>Sewer</t>
        </is>
      </c>
      <c r="I138" t="n">
        <v>8</v>
      </c>
      <c r="J138" t="n">
        <v>8</v>
      </c>
      <c r="K138" t="n">
        <v>8</v>
      </c>
      <c r="L138" t="n">
        <v>8</v>
      </c>
      <c r="M138" t="n">
        <v>8</v>
      </c>
      <c r="N138" t="n">
        <v>8</v>
      </c>
      <c r="O138" t="n">
        <v>0</v>
      </c>
      <c r="P138" t="n">
        <v>0</v>
      </c>
      <c r="Q138" s="190" t="inlineStr">
        <is>
          <t>https://www.ochousing.org/sites/ocha/files/2025-10/2026%20Utility%20Allowance%20Schedule%20-%20Public%20Use.pdf</t>
        </is>
      </c>
      <c r="R138" t="inlineStr">
        <is>
          <t>Populated</t>
        </is>
      </c>
    </row>
    <row r="139">
      <c r="A139" t="inlineStr">
        <is>
          <t>Orange County Housing Authority (OCHA)</t>
        </is>
      </c>
      <c r="B139" t="inlineStr">
        <is>
          <t>Orange County</t>
        </is>
      </c>
      <c r="C139" t="inlineStr">
        <is>
          <t>2025-10-01</t>
        </is>
      </c>
      <c r="D139" t="inlineStr">
        <is>
          <t>Multi-Family</t>
        </is>
      </c>
      <c r="E139" t="inlineStr">
        <is>
          <t>Other</t>
        </is>
      </c>
      <c r="F139" t="inlineStr">
        <is>
          <t>Space Heating</t>
        </is>
      </c>
      <c r="G139" t="inlineStr">
        <is>
          <t>Electric</t>
        </is>
      </c>
      <c r="H139" t="inlineStr">
        <is>
          <t>Space Heating - Electric</t>
        </is>
      </c>
      <c r="I139" t="n">
        <v>19</v>
      </c>
      <c r="J139" t="n">
        <v>22</v>
      </c>
      <c r="K139" t="n">
        <v>25</v>
      </c>
      <c r="L139" t="n">
        <v>28</v>
      </c>
      <c r="M139" t="n">
        <v>30</v>
      </c>
      <c r="N139" t="n">
        <v>35</v>
      </c>
      <c r="O139" t="n">
        <v>0</v>
      </c>
      <c r="P139" t="n">
        <v>0</v>
      </c>
      <c r="Q139" s="190" t="inlineStr">
        <is>
          <t>https://www.ochousing.org/sites/ocha/files/2025-10/2026%20Utility%20Allowance%20Schedule%20-%20Public%20Use.pdf</t>
        </is>
      </c>
      <c r="R139" t="inlineStr">
        <is>
          <t>Populated</t>
        </is>
      </c>
    </row>
    <row r="140">
      <c r="A140" t="inlineStr">
        <is>
          <t>Orange County Housing Authority (OCHA)</t>
        </is>
      </c>
      <c r="B140" t="inlineStr">
        <is>
          <t>Orange County</t>
        </is>
      </c>
      <c r="C140" t="inlineStr">
        <is>
          <t>2025-10-01</t>
        </is>
      </c>
      <c r="D140" t="inlineStr">
        <is>
          <t>Multi-Family</t>
        </is>
      </c>
      <c r="E140" t="inlineStr">
        <is>
          <t>Other</t>
        </is>
      </c>
      <c r="F140" t="inlineStr">
        <is>
          <t>Space Heating</t>
        </is>
      </c>
      <c r="G140" t="inlineStr">
        <is>
          <t>Electric - Heat Pump</t>
        </is>
      </c>
      <c r="H140" t="inlineStr">
        <is>
          <t>Space Heating - Electric - Heat Pump</t>
        </is>
      </c>
      <c r="I140" t="n">
        <v>0</v>
      </c>
      <c r="J140" t="n">
        <v>0</v>
      </c>
      <c r="K140" t="n">
        <v>0</v>
      </c>
      <c r="L140" t="n">
        <v>0</v>
      </c>
      <c r="M140" t="n">
        <v>0</v>
      </c>
      <c r="N140" t="n">
        <v>0</v>
      </c>
      <c r="O140" t="n">
        <v>0</v>
      </c>
      <c r="P140" t="n">
        <v>0</v>
      </c>
      <c r="Q140" s="190" t="inlineStr">
        <is>
          <t>https://www.ochousing.org/sites/ocha/files/2025-10/2026%20Utility%20Allowance%20Schedule%20-%20Public%20Use.pdf</t>
        </is>
      </c>
      <c r="R140" t="inlineStr">
        <is>
          <t>Pending / Zero-fill</t>
        </is>
      </c>
    </row>
    <row r="141">
      <c r="A141" t="inlineStr">
        <is>
          <t>Orange County Housing Authority (OCHA)</t>
        </is>
      </c>
      <c r="B141" t="inlineStr">
        <is>
          <t>Orange County</t>
        </is>
      </c>
      <c r="C141" t="inlineStr">
        <is>
          <t>2025-10-01</t>
        </is>
      </c>
      <c r="D141" t="inlineStr">
        <is>
          <t>Multi-Family</t>
        </is>
      </c>
      <c r="E141" t="inlineStr">
        <is>
          <t>Other</t>
        </is>
      </c>
      <c r="F141" t="inlineStr">
        <is>
          <t>Space Heating</t>
        </is>
      </c>
      <c r="G141" t="inlineStr">
        <is>
          <t>Natural Gas</t>
        </is>
      </c>
      <c r="H141" t="inlineStr">
        <is>
          <t>Space Heating - Natural Gas</t>
        </is>
      </c>
      <c r="I141" t="n">
        <v>16</v>
      </c>
      <c r="J141" t="n">
        <v>18</v>
      </c>
      <c r="K141" t="n">
        <v>21</v>
      </c>
      <c r="L141" t="n">
        <v>22</v>
      </c>
      <c r="M141" t="n">
        <v>25</v>
      </c>
      <c r="N141" t="n">
        <v>27</v>
      </c>
      <c r="O141" t="n">
        <v>0</v>
      </c>
      <c r="P141" t="n">
        <v>0</v>
      </c>
      <c r="Q141" s="190" t="inlineStr">
        <is>
          <t>https://www.ochousing.org/sites/ocha/files/2025-10/2026%20Utility%20Allowance%20Schedule%20-%20Public%20Use.pdf</t>
        </is>
      </c>
      <c r="R141" t="inlineStr">
        <is>
          <t>Populated</t>
        </is>
      </c>
    </row>
    <row r="142">
      <c r="A142" t="inlineStr">
        <is>
          <t>Orange County Housing Authority (OCHA)</t>
        </is>
      </c>
      <c r="B142" t="inlineStr">
        <is>
          <t>Orange County</t>
        </is>
      </c>
      <c r="C142" t="inlineStr">
        <is>
          <t>2025-10-01</t>
        </is>
      </c>
      <c r="D142" t="inlineStr">
        <is>
          <t>Multi-Family</t>
        </is>
      </c>
      <c r="E142" t="inlineStr">
        <is>
          <t>Other</t>
        </is>
      </c>
      <c r="F142" t="inlineStr">
        <is>
          <t>Space Heating</t>
        </is>
      </c>
      <c r="G142" t="inlineStr">
        <is>
          <t>Oil/Propane</t>
        </is>
      </c>
      <c r="H142" t="inlineStr">
        <is>
          <t>Space Heating - Oil/Propane</t>
        </is>
      </c>
      <c r="I142" t="n">
        <v>0</v>
      </c>
      <c r="J142" t="n">
        <v>0</v>
      </c>
      <c r="K142" t="n">
        <v>0</v>
      </c>
      <c r="L142" t="n">
        <v>0</v>
      </c>
      <c r="M142" t="n">
        <v>0</v>
      </c>
      <c r="N142" t="n">
        <v>0</v>
      </c>
      <c r="O142" t="n">
        <v>0</v>
      </c>
      <c r="P142" t="n">
        <v>0</v>
      </c>
      <c r="Q142" s="190" t="inlineStr">
        <is>
          <t>https://www.ochousing.org/sites/ocha/files/2025-10/2026%20Utility%20Allowance%20Schedule%20-%20Public%20Use.pdf</t>
        </is>
      </c>
      <c r="R142" t="inlineStr">
        <is>
          <t>Pending / Zero-fill</t>
        </is>
      </c>
    </row>
    <row r="143">
      <c r="A143" t="inlineStr">
        <is>
          <t>Orange County Housing Authority (OCHA)</t>
        </is>
      </c>
      <c r="B143" t="inlineStr">
        <is>
          <t>Orange County</t>
        </is>
      </c>
      <c r="C143" t="inlineStr">
        <is>
          <t>2025-10-01</t>
        </is>
      </c>
      <c r="D143" t="inlineStr">
        <is>
          <t>Multi-Family</t>
        </is>
      </c>
      <c r="E143" t="inlineStr">
        <is>
          <t>Other</t>
        </is>
      </c>
      <c r="F143" t="inlineStr">
        <is>
          <t>Space Heating</t>
        </is>
      </c>
      <c r="G143" t="inlineStr">
        <is>
          <t>Other/Specify</t>
        </is>
      </c>
      <c r="H143" t="inlineStr">
        <is>
          <t>Space Heating - Other/Specify</t>
        </is>
      </c>
      <c r="I143" t="n">
        <v>0</v>
      </c>
      <c r="J143" t="n">
        <v>0</v>
      </c>
      <c r="K143" t="n">
        <v>0</v>
      </c>
      <c r="L143" t="n">
        <v>0</v>
      </c>
      <c r="M143" t="n">
        <v>0</v>
      </c>
      <c r="N143" t="n">
        <v>0</v>
      </c>
      <c r="O143" t="n">
        <v>0</v>
      </c>
      <c r="P143" t="n">
        <v>0</v>
      </c>
      <c r="Q143" s="190" t="inlineStr">
        <is>
          <t>https://www.ochousing.org/sites/ocha/files/2025-10/2026%20Utility%20Allowance%20Schedule%20-%20Public%20Use.pdf</t>
        </is>
      </c>
      <c r="R143" t="inlineStr">
        <is>
          <t>Pending / Zero-fill</t>
        </is>
      </c>
    </row>
    <row r="144">
      <c r="A144" t="inlineStr">
        <is>
          <t>Orange County Housing Authority (OCHA)</t>
        </is>
      </c>
      <c r="B144" t="inlineStr">
        <is>
          <t>Orange County</t>
        </is>
      </c>
      <c r="C144" t="inlineStr">
        <is>
          <t>2025-10-01</t>
        </is>
      </c>
      <c r="D144" t="inlineStr">
        <is>
          <t>Multi-Family</t>
        </is>
      </c>
      <c r="E144" t="inlineStr">
        <is>
          <t>Other</t>
        </is>
      </c>
      <c r="F144" t="inlineStr">
        <is>
          <t>Trash Collection</t>
        </is>
      </c>
      <c r="G144" t="inlineStr">
        <is>
          <t>—</t>
        </is>
      </c>
      <c r="H144" t="inlineStr">
        <is>
          <t>Trash Collection</t>
        </is>
      </c>
      <c r="I144" t="n">
        <v>43</v>
      </c>
      <c r="J144" t="n">
        <v>43</v>
      </c>
      <c r="K144" t="n">
        <v>43</v>
      </c>
      <c r="L144" t="n">
        <v>43</v>
      </c>
      <c r="M144" t="n">
        <v>43</v>
      </c>
      <c r="N144" t="n">
        <v>43</v>
      </c>
      <c r="O144" t="n">
        <v>43</v>
      </c>
      <c r="P144" t="n">
        <v>0</v>
      </c>
      <c r="Q144" s="190" t="inlineStr">
        <is>
          <t>https://www.ochousing.org/sites/ocha/files/2025-10/2026%20Utility%20Allowance%20Schedule%20-%20Public%20Use.pdf</t>
        </is>
      </c>
      <c r="R144" t="inlineStr">
        <is>
          <t>Populated</t>
        </is>
      </c>
    </row>
    <row r="145">
      <c r="A145" t="inlineStr">
        <is>
          <t>Orange County Housing Authority (OCHA)</t>
        </is>
      </c>
      <c r="B145" t="inlineStr">
        <is>
          <t>Orange County</t>
        </is>
      </c>
      <c r="C145" t="inlineStr">
        <is>
          <t>2025-10-01</t>
        </is>
      </c>
      <c r="D145" t="inlineStr">
        <is>
          <t>Multi-Family</t>
        </is>
      </c>
      <c r="E145" t="inlineStr">
        <is>
          <t>Other</t>
        </is>
      </c>
      <c r="F145" t="inlineStr">
        <is>
          <t>Washer</t>
        </is>
      </c>
      <c r="G145" t="inlineStr">
        <is>
          <t>Allowance</t>
        </is>
      </c>
      <c r="H145" t="inlineStr">
        <is>
          <t>Washer - Allowance</t>
        </is>
      </c>
      <c r="I145" t="n">
        <v>0</v>
      </c>
      <c r="J145" t="n">
        <v>0</v>
      </c>
      <c r="K145" t="n">
        <v>0</v>
      </c>
      <c r="L145" t="n">
        <v>0</v>
      </c>
      <c r="M145" t="n">
        <v>0</v>
      </c>
      <c r="N145" t="n">
        <v>0</v>
      </c>
      <c r="O145" t="n">
        <v>0</v>
      </c>
      <c r="P145" t="n">
        <v>0</v>
      </c>
      <c r="Q145" s="190" t="inlineStr">
        <is>
          <t>https://www.ochousing.org/sites/ocha/files/2025-10/2026%20Utility%20Allowance%20Schedule%20-%20Public%20Use.pdf</t>
        </is>
      </c>
      <c r="R145" t="inlineStr">
        <is>
          <t>Pending / Zero-fill</t>
        </is>
      </c>
    </row>
    <row r="146">
      <c r="A146" t="inlineStr">
        <is>
          <t>Orange County Housing Authority (OCHA)</t>
        </is>
      </c>
      <c r="B146" t="inlineStr">
        <is>
          <t>Orange County</t>
        </is>
      </c>
      <c r="C146" t="inlineStr">
        <is>
          <t>2025-10-01</t>
        </is>
      </c>
      <c r="D146" t="inlineStr">
        <is>
          <t>Multi-Family</t>
        </is>
      </c>
      <c r="E146" t="inlineStr">
        <is>
          <t>Other</t>
        </is>
      </c>
      <c r="F146" t="inlineStr">
        <is>
          <t>Water</t>
        </is>
      </c>
      <c r="G146" t="inlineStr">
        <is>
          <t>—</t>
        </is>
      </c>
      <c r="H146" t="inlineStr">
        <is>
          <t>Water</t>
        </is>
      </c>
      <c r="I146" t="n">
        <v>45</v>
      </c>
      <c r="J146" t="n">
        <v>49</v>
      </c>
      <c r="K146" t="n">
        <v>71</v>
      </c>
      <c r="L146" t="n">
        <v>104</v>
      </c>
      <c r="M146" t="n">
        <v>138</v>
      </c>
      <c r="N146" t="n">
        <v>171</v>
      </c>
      <c r="O146" t="n">
        <v>0</v>
      </c>
      <c r="P146" t="n">
        <v>0</v>
      </c>
      <c r="Q146" s="190" t="inlineStr">
        <is>
          <t>https://www.ochousing.org/sites/ocha/files/2025-10/2026%20Utility%20Allowance%20Schedule%20-%20Public%20Use.pdf</t>
        </is>
      </c>
      <c r="R146" t="inlineStr">
        <is>
          <t>Populated</t>
        </is>
      </c>
    </row>
    <row r="147">
      <c r="A147" t="inlineStr">
        <is>
          <t>Orange County Housing Authority (OCHA)</t>
        </is>
      </c>
      <c r="B147" t="inlineStr">
        <is>
          <t>Orange County</t>
        </is>
      </c>
      <c r="C147" t="inlineStr">
        <is>
          <t>2025-10-01</t>
        </is>
      </c>
      <c r="D147" t="inlineStr">
        <is>
          <t>Multi-Family</t>
        </is>
      </c>
      <c r="E147" t="inlineStr">
        <is>
          <t>Other</t>
        </is>
      </c>
      <c r="F147" t="inlineStr">
        <is>
          <t>Water Heating</t>
        </is>
      </c>
      <c r="G147" t="inlineStr">
        <is>
          <t>Electric</t>
        </is>
      </c>
      <c r="H147" t="inlineStr">
        <is>
          <t>Water Heating - Electric</t>
        </is>
      </c>
      <c r="I147" t="n">
        <v>25</v>
      </c>
      <c r="J147" t="n">
        <v>30</v>
      </c>
      <c r="K147" t="n">
        <v>38</v>
      </c>
      <c r="L147" t="n">
        <v>46</v>
      </c>
      <c r="M147" t="n">
        <v>55</v>
      </c>
      <c r="N147" t="n">
        <v>63</v>
      </c>
      <c r="O147" t="n">
        <v>0</v>
      </c>
      <c r="P147" t="n">
        <v>0</v>
      </c>
      <c r="Q147" s="190" t="inlineStr">
        <is>
          <t>https://www.ochousing.org/sites/ocha/files/2025-10/2026%20Utility%20Allowance%20Schedule%20-%20Public%20Use.pdf</t>
        </is>
      </c>
      <c r="R147" t="inlineStr">
        <is>
          <t>Populated</t>
        </is>
      </c>
    </row>
    <row r="148">
      <c r="A148" t="inlineStr">
        <is>
          <t>Orange County Housing Authority (OCHA)</t>
        </is>
      </c>
      <c r="B148" t="inlineStr">
        <is>
          <t>Orange County</t>
        </is>
      </c>
      <c r="C148" t="inlineStr">
        <is>
          <t>2025-10-01</t>
        </is>
      </c>
      <c r="D148" t="inlineStr">
        <is>
          <t>Multi-Family</t>
        </is>
      </c>
      <c r="E148" t="inlineStr">
        <is>
          <t>Other</t>
        </is>
      </c>
      <c r="F148" t="inlineStr">
        <is>
          <t>Water Heating</t>
        </is>
      </c>
      <c r="G148" t="inlineStr">
        <is>
          <t>Natural Gas</t>
        </is>
      </c>
      <c r="H148" t="inlineStr">
        <is>
          <t>Water Heating - Natural Gas</t>
        </is>
      </c>
      <c r="I148" t="n">
        <v>9</v>
      </c>
      <c r="J148" t="n">
        <v>10</v>
      </c>
      <c r="K148" t="n">
        <v>14</v>
      </c>
      <c r="L148" t="n">
        <v>20</v>
      </c>
      <c r="M148" t="n">
        <v>26</v>
      </c>
      <c r="N148" t="n">
        <v>31</v>
      </c>
      <c r="O148" t="n">
        <v>0</v>
      </c>
      <c r="P148" t="n">
        <v>0</v>
      </c>
      <c r="Q148" s="190" t="inlineStr">
        <is>
          <t>https://www.ochousing.org/sites/ocha/files/2025-10/2026%20Utility%20Allowance%20Schedule%20-%20Public%20Use.pdf</t>
        </is>
      </c>
      <c r="R148" t="inlineStr">
        <is>
          <t>Populated</t>
        </is>
      </c>
    </row>
    <row r="149">
      <c r="A149" t="inlineStr">
        <is>
          <t>Orange County Housing Authority (OCHA)</t>
        </is>
      </c>
      <c r="B149" t="inlineStr">
        <is>
          <t>Orange County</t>
        </is>
      </c>
      <c r="C149" t="inlineStr">
        <is>
          <t>2025-10-01</t>
        </is>
      </c>
      <c r="D149" t="inlineStr">
        <is>
          <t>Multi-Family</t>
        </is>
      </c>
      <c r="E149" t="inlineStr">
        <is>
          <t>Other</t>
        </is>
      </c>
      <c r="F149" t="inlineStr">
        <is>
          <t>Water Heating</t>
        </is>
      </c>
      <c r="G149" t="inlineStr">
        <is>
          <t>Oil/Propane</t>
        </is>
      </c>
      <c r="H149" t="inlineStr">
        <is>
          <t>Water Heating - Oil/Propane</t>
        </is>
      </c>
      <c r="I149" t="n">
        <v>0</v>
      </c>
      <c r="J149" t="n">
        <v>0</v>
      </c>
      <c r="K149" t="n">
        <v>0</v>
      </c>
      <c r="L149" t="n">
        <v>0</v>
      </c>
      <c r="M149" t="n">
        <v>0</v>
      </c>
      <c r="N149" t="n">
        <v>0</v>
      </c>
      <c r="O149" t="n">
        <v>0</v>
      </c>
      <c r="P149" t="n">
        <v>0</v>
      </c>
      <c r="Q149" s="190" t="inlineStr">
        <is>
          <t>https://www.ochousing.org/sites/ocha/files/2025-10/2026%20Utility%20Allowance%20Schedule%20-%20Public%20Use.pdf</t>
        </is>
      </c>
      <c r="R149" t="inlineStr">
        <is>
          <t>Pending / Zero-fill</t>
        </is>
      </c>
    </row>
    <row r="150">
      <c r="A150" t="inlineStr">
        <is>
          <t>Sacramento Housing &amp; Redevelopment Agency (SHRA)</t>
        </is>
      </c>
      <c r="B150" t="inlineStr">
        <is>
          <t>Sacramento (City/County)</t>
        </is>
      </c>
      <c r="C150" t="inlineStr">
        <is>
          <t>2025-04-01</t>
        </is>
      </c>
      <c r="D150" t="inlineStr">
        <is>
          <t>Apartment Walk-Up</t>
        </is>
      </c>
      <c r="E150" t="inlineStr">
        <is>
          <t>Multifamily</t>
        </is>
      </c>
      <c r="F150" t="inlineStr">
        <is>
          <t>Air Conditioning</t>
        </is>
      </c>
      <c r="G150" t="inlineStr">
        <is>
          <t>Electric</t>
        </is>
      </c>
      <c r="H150" t="inlineStr">
        <is>
          <t>Air Conditioning - Electric</t>
        </is>
      </c>
      <c r="I150" t="n">
        <v>0</v>
      </c>
      <c r="J150" t="n">
        <v>0</v>
      </c>
      <c r="K150" t="n">
        <v>0</v>
      </c>
      <c r="L150" t="n">
        <v>0</v>
      </c>
      <c r="M150" t="n">
        <v>0</v>
      </c>
      <c r="N150" t="n">
        <v>0</v>
      </c>
      <c r="O150" t="n">
        <v>0</v>
      </c>
      <c r="P150" t="n">
        <v>0</v>
      </c>
      <c r="Q150" s="190" t="inlineStr">
        <is>
          <t>https://www.shra.org/housing-choice-voucher-program/</t>
        </is>
      </c>
      <c r="R150" t="inlineStr">
        <is>
          <t>Pending / Zero-fill</t>
        </is>
      </c>
    </row>
    <row r="151">
      <c r="A151" t="inlineStr">
        <is>
          <t>Sacramento Housing &amp; Redevelopment Agency (SHRA)</t>
        </is>
      </c>
      <c r="B151" t="inlineStr">
        <is>
          <t>Sacramento (City/County)</t>
        </is>
      </c>
      <c r="C151" t="inlineStr">
        <is>
          <t>2025-04-01</t>
        </is>
      </c>
      <c r="D151" t="inlineStr">
        <is>
          <t>Apartment Walk-Up</t>
        </is>
      </c>
      <c r="E151" t="inlineStr">
        <is>
          <t>Multifamily</t>
        </is>
      </c>
      <c r="F151" t="inlineStr">
        <is>
          <t>Air Conditioning</t>
        </is>
      </c>
      <c r="G151" t="inlineStr">
        <is>
          <t>Evaporative Cooler</t>
        </is>
      </c>
      <c r="H151" t="inlineStr">
        <is>
          <t>Air Conditioning - Evaporative Cooler</t>
        </is>
      </c>
      <c r="I151" t="n">
        <v>0</v>
      </c>
      <c r="J151" t="n">
        <v>0</v>
      </c>
      <c r="K151" t="n">
        <v>0</v>
      </c>
      <c r="L151" t="n">
        <v>0</v>
      </c>
      <c r="M151" t="n">
        <v>0</v>
      </c>
      <c r="N151" t="n">
        <v>0</v>
      </c>
      <c r="O151" t="n">
        <v>0</v>
      </c>
      <c r="P151" t="n">
        <v>0</v>
      </c>
      <c r="Q151" s="190" t="inlineStr">
        <is>
          <t>https://www.shra.org/housing-choice-voucher-program/</t>
        </is>
      </c>
      <c r="R151" t="inlineStr">
        <is>
          <t>Pending / Zero-fill</t>
        </is>
      </c>
    </row>
    <row r="152">
      <c r="A152" t="inlineStr">
        <is>
          <t>Sacramento Housing &amp; Redevelopment Agency (SHRA)</t>
        </is>
      </c>
      <c r="B152" t="inlineStr">
        <is>
          <t>Sacramento (City/County)</t>
        </is>
      </c>
      <c r="C152" t="inlineStr">
        <is>
          <t>2025-04-01</t>
        </is>
      </c>
      <c r="D152" t="inlineStr">
        <is>
          <t>Apartment Walk-Up</t>
        </is>
      </c>
      <c r="E152" t="inlineStr">
        <is>
          <t>Multifamily</t>
        </is>
      </c>
      <c r="F152" t="inlineStr">
        <is>
          <t>Cooking</t>
        </is>
      </c>
      <c r="G152" t="inlineStr">
        <is>
          <t>Electric</t>
        </is>
      </c>
      <c r="H152" t="inlineStr">
        <is>
          <t>Cooking - Electric</t>
        </is>
      </c>
      <c r="I152" t="n">
        <v>0</v>
      </c>
      <c r="J152" t="n">
        <v>0</v>
      </c>
      <c r="K152" t="n">
        <v>0</v>
      </c>
      <c r="L152" t="n">
        <v>0</v>
      </c>
      <c r="M152" t="n">
        <v>0</v>
      </c>
      <c r="N152" t="n">
        <v>0</v>
      </c>
      <c r="O152" t="n">
        <v>0</v>
      </c>
      <c r="P152" t="n">
        <v>0</v>
      </c>
      <c r="Q152" s="190" t="inlineStr">
        <is>
          <t>https://www.shra.org/housing-choice-voucher-program/</t>
        </is>
      </c>
      <c r="R152" t="inlineStr">
        <is>
          <t>Pending / Zero-fill</t>
        </is>
      </c>
    </row>
    <row r="153">
      <c r="A153" t="inlineStr">
        <is>
          <t>Sacramento Housing &amp; Redevelopment Agency (SHRA)</t>
        </is>
      </c>
      <c r="B153" t="inlineStr">
        <is>
          <t>Sacramento (City/County)</t>
        </is>
      </c>
      <c r="C153" t="inlineStr">
        <is>
          <t>2025-04-01</t>
        </is>
      </c>
      <c r="D153" t="inlineStr">
        <is>
          <t>Apartment Walk-Up</t>
        </is>
      </c>
      <c r="E153" t="inlineStr">
        <is>
          <t>Multifamily</t>
        </is>
      </c>
      <c r="F153" t="inlineStr">
        <is>
          <t>Cooking</t>
        </is>
      </c>
      <c r="G153" t="inlineStr">
        <is>
          <t>Natural Gas</t>
        </is>
      </c>
      <c r="H153" t="inlineStr">
        <is>
          <t>Cooking - Natural Gas</t>
        </is>
      </c>
      <c r="I153" t="n">
        <v>0</v>
      </c>
      <c r="J153" t="n">
        <v>0</v>
      </c>
      <c r="K153" t="n">
        <v>0</v>
      </c>
      <c r="L153" t="n">
        <v>0</v>
      </c>
      <c r="M153" t="n">
        <v>0</v>
      </c>
      <c r="N153" t="n">
        <v>0</v>
      </c>
      <c r="O153" t="n">
        <v>0</v>
      </c>
      <c r="P153" t="n">
        <v>0</v>
      </c>
      <c r="Q153" s="190" t="inlineStr">
        <is>
          <t>https://www.shra.org/housing-choice-voucher-program/</t>
        </is>
      </c>
      <c r="R153" t="inlineStr">
        <is>
          <t>Pending / Zero-fill</t>
        </is>
      </c>
    </row>
    <row r="154">
      <c r="A154" t="inlineStr">
        <is>
          <t>Sacramento Housing &amp; Redevelopment Agency (SHRA)</t>
        </is>
      </c>
      <c r="B154" t="inlineStr">
        <is>
          <t>Sacramento (City/County)</t>
        </is>
      </c>
      <c r="C154" t="inlineStr">
        <is>
          <t>2025-04-01</t>
        </is>
      </c>
      <c r="D154" t="inlineStr">
        <is>
          <t>Apartment Walk-Up</t>
        </is>
      </c>
      <c r="E154" t="inlineStr">
        <is>
          <t>Multifamily</t>
        </is>
      </c>
      <c r="F154" t="inlineStr">
        <is>
          <t>Dishwasher</t>
        </is>
      </c>
      <c r="G154" t="inlineStr">
        <is>
          <t>Allowance</t>
        </is>
      </c>
      <c r="H154" t="inlineStr">
        <is>
          <t>Dishwasher - Allowance</t>
        </is>
      </c>
      <c r="I154" t="n">
        <v>0</v>
      </c>
      <c r="J154" t="n">
        <v>0</v>
      </c>
      <c r="K154" t="n">
        <v>0</v>
      </c>
      <c r="L154" t="n">
        <v>0</v>
      </c>
      <c r="M154" t="n">
        <v>0</v>
      </c>
      <c r="N154" t="n">
        <v>0</v>
      </c>
      <c r="O154" t="n">
        <v>0</v>
      </c>
      <c r="P154" t="n">
        <v>0</v>
      </c>
      <c r="Q154" s="190" t="inlineStr">
        <is>
          <t>https://www.shra.org/housing-choice-voucher-program/</t>
        </is>
      </c>
      <c r="R154" t="inlineStr">
        <is>
          <t>Pending / Zero-fill</t>
        </is>
      </c>
    </row>
    <row r="155">
      <c r="A155" t="inlineStr">
        <is>
          <t>Sacramento Housing &amp; Redevelopment Agency (SHRA)</t>
        </is>
      </c>
      <c r="B155" t="inlineStr">
        <is>
          <t>Sacramento (City/County)</t>
        </is>
      </c>
      <c r="C155" t="inlineStr">
        <is>
          <t>2025-04-01</t>
        </is>
      </c>
      <c r="D155" t="inlineStr">
        <is>
          <t>Apartment Walk-Up</t>
        </is>
      </c>
      <c r="E155" t="inlineStr">
        <is>
          <t>Multifamily</t>
        </is>
      </c>
      <c r="F155" t="inlineStr">
        <is>
          <t>Dryer</t>
        </is>
      </c>
      <c r="G155" t="inlineStr">
        <is>
          <t>Allowance</t>
        </is>
      </c>
      <c r="H155" t="inlineStr">
        <is>
          <t>Dryer - Allowance</t>
        </is>
      </c>
      <c r="I155" t="n">
        <v>0</v>
      </c>
      <c r="J155" t="n">
        <v>0</v>
      </c>
      <c r="K155" t="n">
        <v>0</v>
      </c>
      <c r="L155" t="n">
        <v>0</v>
      </c>
      <c r="M155" t="n">
        <v>0</v>
      </c>
      <c r="N155" t="n">
        <v>0</v>
      </c>
      <c r="O155" t="n">
        <v>0</v>
      </c>
      <c r="P155" t="n">
        <v>0</v>
      </c>
      <c r="Q155" s="190" t="inlineStr">
        <is>
          <t>https://www.shra.org/housing-choice-voucher-program/</t>
        </is>
      </c>
      <c r="R155" t="inlineStr">
        <is>
          <t>Pending / Zero-fill</t>
        </is>
      </c>
    </row>
    <row r="156">
      <c r="A156" t="inlineStr">
        <is>
          <t>Sacramento Housing &amp; Redevelopment Agency (SHRA)</t>
        </is>
      </c>
      <c r="B156" t="inlineStr">
        <is>
          <t>Sacramento (City/County)</t>
        </is>
      </c>
      <c r="C156" t="inlineStr">
        <is>
          <t>2025-04-01</t>
        </is>
      </c>
      <c r="D156" t="inlineStr">
        <is>
          <t>Apartment Walk-Up</t>
        </is>
      </c>
      <c r="E156" t="inlineStr">
        <is>
          <t>Multifamily</t>
        </is>
      </c>
      <c r="F156" t="inlineStr">
        <is>
          <t>Freezer</t>
        </is>
      </c>
      <c r="G156" t="inlineStr">
        <is>
          <t>Allowance</t>
        </is>
      </c>
      <c r="H156" t="inlineStr">
        <is>
          <t>Freezer - Allowance</t>
        </is>
      </c>
      <c r="I156" t="n">
        <v>0</v>
      </c>
      <c r="J156" t="n">
        <v>0</v>
      </c>
      <c r="K156" t="n">
        <v>0</v>
      </c>
      <c r="L156" t="n">
        <v>0</v>
      </c>
      <c r="M156" t="n">
        <v>0</v>
      </c>
      <c r="N156" t="n">
        <v>0</v>
      </c>
      <c r="O156" t="n">
        <v>0</v>
      </c>
      <c r="P156" t="n">
        <v>0</v>
      </c>
      <c r="Q156" s="190" t="inlineStr">
        <is>
          <t>https://www.shra.org/housing-choice-voucher-program/</t>
        </is>
      </c>
      <c r="R156" t="inlineStr">
        <is>
          <t>Pending / Zero-fill</t>
        </is>
      </c>
    </row>
    <row r="157">
      <c r="A157" t="inlineStr">
        <is>
          <t>Sacramento Housing &amp; Redevelopment Agency (SHRA)</t>
        </is>
      </c>
      <c r="B157" t="inlineStr">
        <is>
          <t>Sacramento (City/County)</t>
        </is>
      </c>
      <c r="C157" t="inlineStr">
        <is>
          <t>2025-04-01</t>
        </is>
      </c>
      <c r="D157" t="inlineStr">
        <is>
          <t>Apartment Walk-Up</t>
        </is>
      </c>
      <c r="E157" t="inlineStr">
        <is>
          <t>Multifamily</t>
        </is>
      </c>
      <c r="F157" t="inlineStr">
        <is>
          <t>Other - Specify</t>
        </is>
      </c>
      <c r="G157" t="inlineStr">
        <is>
          <t>Lifeline / Baseline Credit</t>
        </is>
      </c>
      <c r="H157" t="inlineStr">
        <is>
          <t>Other - Specify - Lifeline / Baseline Credit</t>
        </is>
      </c>
      <c r="I157" t="n">
        <v>0</v>
      </c>
      <c r="J157" t="n">
        <v>0</v>
      </c>
      <c r="K157" t="n">
        <v>0</v>
      </c>
      <c r="L157" t="n">
        <v>0</v>
      </c>
      <c r="M157" t="n">
        <v>0</v>
      </c>
      <c r="N157" t="n">
        <v>0</v>
      </c>
      <c r="O157" t="n">
        <v>0</v>
      </c>
      <c r="P157" t="n">
        <v>0</v>
      </c>
      <c r="Q157" s="190" t="inlineStr">
        <is>
          <t>https://www.shra.org/housing-choice-voucher-program/</t>
        </is>
      </c>
      <c r="R157" t="inlineStr">
        <is>
          <t>Pending / Zero-fill</t>
        </is>
      </c>
    </row>
    <row r="158">
      <c r="A158" t="inlineStr">
        <is>
          <t>Sacramento Housing &amp; Redevelopment Agency (SHRA)</t>
        </is>
      </c>
      <c r="B158" t="inlineStr">
        <is>
          <t>Sacramento (City/County)</t>
        </is>
      </c>
      <c r="C158" t="inlineStr">
        <is>
          <t>2025-04-01</t>
        </is>
      </c>
      <c r="D158" t="inlineStr">
        <is>
          <t>Apartment Walk-Up</t>
        </is>
      </c>
      <c r="E158" t="inlineStr">
        <is>
          <t>Multifamily</t>
        </is>
      </c>
      <c r="F158" t="inlineStr">
        <is>
          <t>Other - Specify</t>
        </is>
      </c>
      <c r="G158" t="inlineStr">
        <is>
          <t>Solar/PV Credit</t>
        </is>
      </c>
      <c r="H158" t="inlineStr">
        <is>
          <t>Other - Specify - Solar/PV Credit</t>
        </is>
      </c>
      <c r="I158" t="n">
        <v>0</v>
      </c>
      <c r="J158" t="n">
        <v>0</v>
      </c>
      <c r="K158" t="n">
        <v>0</v>
      </c>
      <c r="L158" t="n">
        <v>0</v>
      </c>
      <c r="M158" t="n">
        <v>0</v>
      </c>
      <c r="N158" t="n">
        <v>0</v>
      </c>
      <c r="O158" t="n">
        <v>0</v>
      </c>
      <c r="P158" t="n">
        <v>0</v>
      </c>
      <c r="Q158" s="190" t="inlineStr">
        <is>
          <t>https://www.shra.org/housing-choice-voucher-program/</t>
        </is>
      </c>
      <c r="R158" t="inlineStr">
        <is>
          <t>Pending / Zero-fill</t>
        </is>
      </c>
    </row>
    <row r="159">
      <c r="A159" t="inlineStr">
        <is>
          <t>Sacramento Housing &amp; Redevelopment Agency (SHRA)</t>
        </is>
      </c>
      <c r="B159" t="inlineStr">
        <is>
          <t>Sacramento (City/County)</t>
        </is>
      </c>
      <c r="C159" t="inlineStr">
        <is>
          <t>2025-04-01</t>
        </is>
      </c>
      <c r="D159" t="inlineStr">
        <is>
          <t>Apartment Walk-Up</t>
        </is>
      </c>
      <c r="E159" t="inlineStr">
        <is>
          <t>Multifamily</t>
        </is>
      </c>
      <c r="F159" t="inlineStr">
        <is>
          <t>Other - Specify</t>
        </is>
      </c>
      <c r="G159" t="inlineStr">
        <is>
          <t>Utility Customer Charge / Fee</t>
        </is>
      </c>
      <c r="H159" t="inlineStr">
        <is>
          <t>Other - Specify - Utility Customer Charge / Fee</t>
        </is>
      </c>
      <c r="I159" t="n">
        <v>0</v>
      </c>
      <c r="J159" t="n">
        <v>0</v>
      </c>
      <c r="K159" t="n">
        <v>0</v>
      </c>
      <c r="L159" t="n">
        <v>0</v>
      </c>
      <c r="M159" t="n">
        <v>0</v>
      </c>
      <c r="N159" t="n">
        <v>0</v>
      </c>
      <c r="O159" t="n">
        <v>0</v>
      </c>
      <c r="P159" t="n">
        <v>0</v>
      </c>
      <c r="Q159" s="190" t="inlineStr">
        <is>
          <t>https://www.shra.org/housing-choice-voucher-program/</t>
        </is>
      </c>
      <c r="R159" t="inlineStr">
        <is>
          <t>Pending / Zero-fill</t>
        </is>
      </c>
    </row>
    <row r="160">
      <c r="A160" t="inlineStr">
        <is>
          <t>Sacramento Housing &amp; Redevelopment Agency (SHRA)</t>
        </is>
      </c>
      <c r="B160" t="inlineStr">
        <is>
          <t>Sacramento (City/County)</t>
        </is>
      </c>
      <c r="C160" t="inlineStr">
        <is>
          <t>2025-04-01</t>
        </is>
      </c>
      <c r="D160" t="inlineStr">
        <is>
          <t>Apartment Walk-Up</t>
        </is>
      </c>
      <c r="E160" t="inlineStr">
        <is>
          <t>Multifamily</t>
        </is>
      </c>
      <c r="F160" t="inlineStr">
        <is>
          <t>Other Electric</t>
        </is>
      </c>
      <c r="G160" t="inlineStr">
        <is>
          <t>Electric (Lights/Plugs)</t>
        </is>
      </c>
      <c r="H160" t="inlineStr">
        <is>
          <t>Other Electric - Electric (Lights/Plugs)</t>
        </is>
      </c>
      <c r="I160" t="n">
        <v>0</v>
      </c>
      <c r="J160" t="n">
        <v>0</v>
      </c>
      <c r="K160" t="n">
        <v>0</v>
      </c>
      <c r="L160" t="n">
        <v>0</v>
      </c>
      <c r="M160" t="n">
        <v>0</v>
      </c>
      <c r="N160" t="n">
        <v>0</v>
      </c>
      <c r="O160" t="n">
        <v>0</v>
      </c>
      <c r="P160" t="n">
        <v>0</v>
      </c>
      <c r="Q160" s="190" t="inlineStr">
        <is>
          <t>https://www.shra.org/housing-choice-voucher-program/</t>
        </is>
      </c>
      <c r="R160" t="inlineStr">
        <is>
          <t>Pending / Zero-fill</t>
        </is>
      </c>
    </row>
    <row r="161">
      <c r="A161" t="inlineStr">
        <is>
          <t>Sacramento Housing &amp; Redevelopment Agency (SHRA)</t>
        </is>
      </c>
      <c r="B161" t="inlineStr">
        <is>
          <t>Sacramento (City/County)</t>
        </is>
      </c>
      <c r="C161" t="inlineStr">
        <is>
          <t>2025-04-01</t>
        </is>
      </c>
      <c r="D161" t="inlineStr">
        <is>
          <t>Apartment Walk-Up</t>
        </is>
      </c>
      <c r="E161" t="inlineStr">
        <is>
          <t>Multifamily</t>
        </is>
      </c>
      <c r="F161" t="inlineStr">
        <is>
          <t>Range/Microwave</t>
        </is>
      </c>
      <c r="G161" t="inlineStr">
        <is>
          <t>Allowance</t>
        </is>
      </c>
      <c r="H161" t="inlineStr">
        <is>
          <t>Range/Microwave - Allowance</t>
        </is>
      </c>
      <c r="I161" t="n">
        <v>0</v>
      </c>
      <c r="J161" t="n">
        <v>0</v>
      </c>
      <c r="K161" t="n">
        <v>0</v>
      </c>
      <c r="L161" t="n">
        <v>0</v>
      </c>
      <c r="M161" t="n">
        <v>0</v>
      </c>
      <c r="N161" t="n">
        <v>0</v>
      </c>
      <c r="O161" t="n">
        <v>0</v>
      </c>
      <c r="P161" t="n">
        <v>0</v>
      </c>
      <c r="Q161" s="190" t="inlineStr">
        <is>
          <t>https://www.shra.org/housing-choice-voucher-program/</t>
        </is>
      </c>
      <c r="R161" t="inlineStr">
        <is>
          <t>Pending / Zero-fill</t>
        </is>
      </c>
    </row>
    <row r="162">
      <c r="A162" t="inlineStr">
        <is>
          <t>Sacramento Housing &amp; Redevelopment Agency (SHRA)</t>
        </is>
      </c>
      <c r="B162" t="inlineStr">
        <is>
          <t>Sacramento (City/County)</t>
        </is>
      </c>
      <c r="C162" t="inlineStr">
        <is>
          <t>2025-04-01</t>
        </is>
      </c>
      <c r="D162" t="inlineStr">
        <is>
          <t>Apartment Walk-Up</t>
        </is>
      </c>
      <c r="E162" t="inlineStr">
        <is>
          <t>Multifamily</t>
        </is>
      </c>
      <c r="F162" t="inlineStr">
        <is>
          <t>Refrigerator</t>
        </is>
      </c>
      <c r="G162" t="inlineStr">
        <is>
          <t>Allowance</t>
        </is>
      </c>
      <c r="H162" t="inlineStr">
        <is>
          <t>Refrigerator - Allowance</t>
        </is>
      </c>
      <c r="I162" t="n">
        <v>0</v>
      </c>
      <c r="J162" t="n">
        <v>0</v>
      </c>
      <c r="K162" t="n">
        <v>0</v>
      </c>
      <c r="L162" t="n">
        <v>0</v>
      </c>
      <c r="M162" t="n">
        <v>0</v>
      </c>
      <c r="N162" t="n">
        <v>0</v>
      </c>
      <c r="O162" t="n">
        <v>0</v>
      </c>
      <c r="P162" t="n">
        <v>0</v>
      </c>
      <c r="Q162" s="190" t="inlineStr">
        <is>
          <t>https://www.shra.org/housing-choice-voucher-program/</t>
        </is>
      </c>
      <c r="R162" t="inlineStr">
        <is>
          <t>Pending / Zero-fill</t>
        </is>
      </c>
    </row>
    <row r="163">
      <c r="A163" t="inlineStr">
        <is>
          <t>Sacramento Housing &amp; Redevelopment Agency (SHRA)</t>
        </is>
      </c>
      <c r="B163" t="inlineStr">
        <is>
          <t>Sacramento (City/County)</t>
        </is>
      </c>
      <c r="C163" t="inlineStr">
        <is>
          <t>2025-04-01</t>
        </is>
      </c>
      <c r="D163" t="inlineStr">
        <is>
          <t>Apartment Walk-Up</t>
        </is>
      </c>
      <c r="E163" t="inlineStr">
        <is>
          <t>Multifamily</t>
        </is>
      </c>
      <c r="F163" t="inlineStr">
        <is>
          <t>Sewer</t>
        </is>
      </c>
      <c r="G163" t="inlineStr">
        <is>
          <t>—</t>
        </is>
      </c>
      <c r="H163" t="inlineStr">
        <is>
          <t>Sewer</t>
        </is>
      </c>
      <c r="I163" t="n">
        <v>0</v>
      </c>
      <c r="J163" t="n">
        <v>0</v>
      </c>
      <c r="K163" t="n">
        <v>0</v>
      </c>
      <c r="L163" t="n">
        <v>0</v>
      </c>
      <c r="M163" t="n">
        <v>0</v>
      </c>
      <c r="N163" t="n">
        <v>0</v>
      </c>
      <c r="O163" t="n">
        <v>0</v>
      </c>
      <c r="P163" t="n">
        <v>0</v>
      </c>
      <c r="Q163" s="190" t="inlineStr">
        <is>
          <t>https://www.shra.org/housing-choice-voucher-program/</t>
        </is>
      </c>
      <c r="R163" t="inlineStr">
        <is>
          <t>Pending / Zero-fill</t>
        </is>
      </c>
    </row>
    <row r="164">
      <c r="A164" t="inlineStr">
        <is>
          <t>Sacramento Housing &amp; Redevelopment Agency (SHRA)</t>
        </is>
      </c>
      <c r="B164" t="inlineStr">
        <is>
          <t>Sacramento (City/County)</t>
        </is>
      </c>
      <c r="C164" t="inlineStr">
        <is>
          <t>2025-04-01</t>
        </is>
      </c>
      <c r="D164" t="inlineStr">
        <is>
          <t>Apartment Walk-Up</t>
        </is>
      </c>
      <c r="E164" t="inlineStr">
        <is>
          <t>Multifamily</t>
        </is>
      </c>
      <c r="F164" t="inlineStr">
        <is>
          <t>Space Heating</t>
        </is>
      </c>
      <c r="G164" t="inlineStr">
        <is>
          <t>Electric</t>
        </is>
      </c>
      <c r="H164" t="inlineStr">
        <is>
          <t>Space Heating - Electric</t>
        </is>
      </c>
      <c r="I164" t="n">
        <v>0</v>
      </c>
      <c r="J164" t="n">
        <v>0</v>
      </c>
      <c r="K164" t="n">
        <v>0</v>
      </c>
      <c r="L164" t="n">
        <v>0</v>
      </c>
      <c r="M164" t="n">
        <v>0</v>
      </c>
      <c r="N164" t="n">
        <v>0</v>
      </c>
      <c r="O164" t="n">
        <v>0</v>
      </c>
      <c r="P164" t="n">
        <v>0</v>
      </c>
      <c r="Q164" s="190" t="inlineStr">
        <is>
          <t>https://www.shra.org/housing-choice-voucher-program/</t>
        </is>
      </c>
      <c r="R164" t="inlineStr">
        <is>
          <t>Pending / Zero-fill</t>
        </is>
      </c>
    </row>
    <row r="165">
      <c r="A165" t="inlineStr">
        <is>
          <t>Sacramento Housing &amp; Redevelopment Agency (SHRA)</t>
        </is>
      </c>
      <c r="B165" t="inlineStr">
        <is>
          <t>Sacramento (City/County)</t>
        </is>
      </c>
      <c r="C165" t="inlineStr">
        <is>
          <t>2025-04-01</t>
        </is>
      </c>
      <c r="D165" t="inlineStr">
        <is>
          <t>Apartment Walk-Up</t>
        </is>
      </c>
      <c r="E165" t="inlineStr">
        <is>
          <t>Multifamily</t>
        </is>
      </c>
      <c r="F165" t="inlineStr">
        <is>
          <t>Space Heating</t>
        </is>
      </c>
      <c r="G165" t="inlineStr">
        <is>
          <t>Electric - Heat Pump</t>
        </is>
      </c>
      <c r="H165" t="inlineStr">
        <is>
          <t>Space Heating - Electric - Heat Pump</t>
        </is>
      </c>
      <c r="I165" t="n">
        <v>0</v>
      </c>
      <c r="J165" t="n">
        <v>0</v>
      </c>
      <c r="K165" t="n">
        <v>0</v>
      </c>
      <c r="L165" t="n">
        <v>0</v>
      </c>
      <c r="M165" t="n">
        <v>0</v>
      </c>
      <c r="N165" t="n">
        <v>0</v>
      </c>
      <c r="O165" t="n">
        <v>0</v>
      </c>
      <c r="P165" t="n">
        <v>0</v>
      </c>
      <c r="Q165" s="190" t="inlineStr">
        <is>
          <t>https://www.shra.org/housing-choice-voucher-program/</t>
        </is>
      </c>
      <c r="R165" t="inlineStr">
        <is>
          <t>Pending / Zero-fill</t>
        </is>
      </c>
    </row>
    <row r="166">
      <c r="A166" t="inlineStr">
        <is>
          <t>Sacramento Housing &amp; Redevelopment Agency (SHRA)</t>
        </is>
      </c>
      <c r="B166" t="inlineStr">
        <is>
          <t>Sacramento (City/County)</t>
        </is>
      </c>
      <c r="C166" t="inlineStr">
        <is>
          <t>2025-04-01</t>
        </is>
      </c>
      <c r="D166" t="inlineStr">
        <is>
          <t>Apartment Walk-Up</t>
        </is>
      </c>
      <c r="E166" t="inlineStr">
        <is>
          <t>Multifamily</t>
        </is>
      </c>
      <c r="F166" t="inlineStr">
        <is>
          <t>Space Heating</t>
        </is>
      </c>
      <c r="G166" t="inlineStr">
        <is>
          <t>Natural Gas</t>
        </is>
      </c>
      <c r="H166" t="inlineStr">
        <is>
          <t>Space Heating - Natural Gas</t>
        </is>
      </c>
      <c r="I166" t="n">
        <v>0</v>
      </c>
      <c r="J166" t="n">
        <v>0</v>
      </c>
      <c r="K166" t="n">
        <v>0</v>
      </c>
      <c r="L166" t="n">
        <v>0</v>
      </c>
      <c r="M166" t="n">
        <v>0</v>
      </c>
      <c r="N166" t="n">
        <v>0</v>
      </c>
      <c r="O166" t="n">
        <v>0</v>
      </c>
      <c r="P166" t="n">
        <v>0</v>
      </c>
      <c r="Q166" s="190" t="inlineStr">
        <is>
          <t>https://www.shra.org/housing-choice-voucher-program/</t>
        </is>
      </c>
      <c r="R166" t="inlineStr">
        <is>
          <t>Pending / Zero-fill</t>
        </is>
      </c>
    </row>
    <row r="167">
      <c r="A167" t="inlineStr">
        <is>
          <t>Sacramento Housing &amp; Redevelopment Agency (SHRA)</t>
        </is>
      </c>
      <c r="B167" t="inlineStr">
        <is>
          <t>Sacramento (City/County)</t>
        </is>
      </c>
      <c r="C167" t="inlineStr">
        <is>
          <t>2025-04-01</t>
        </is>
      </c>
      <c r="D167" t="inlineStr">
        <is>
          <t>Apartment Walk-Up</t>
        </is>
      </c>
      <c r="E167" t="inlineStr">
        <is>
          <t>Multifamily</t>
        </is>
      </c>
      <c r="F167" t="inlineStr">
        <is>
          <t>Space Heating</t>
        </is>
      </c>
      <c r="G167" t="inlineStr">
        <is>
          <t>Oil/Propane</t>
        </is>
      </c>
      <c r="H167" t="inlineStr">
        <is>
          <t>Space Heating - Oil/Propane</t>
        </is>
      </c>
      <c r="I167" t="n">
        <v>0</v>
      </c>
      <c r="J167" t="n">
        <v>0</v>
      </c>
      <c r="K167" t="n">
        <v>0</v>
      </c>
      <c r="L167" t="n">
        <v>0</v>
      </c>
      <c r="M167" t="n">
        <v>0</v>
      </c>
      <c r="N167" t="n">
        <v>0</v>
      </c>
      <c r="O167" t="n">
        <v>0</v>
      </c>
      <c r="P167" t="n">
        <v>0</v>
      </c>
      <c r="Q167" s="190" t="inlineStr">
        <is>
          <t>https://www.shra.org/housing-choice-voucher-program/</t>
        </is>
      </c>
      <c r="R167" t="inlineStr">
        <is>
          <t>Pending / Zero-fill</t>
        </is>
      </c>
    </row>
    <row r="168">
      <c r="A168" t="inlineStr">
        <is>
          <t>Sacramento Housing &amp; Redevelopment Agency (SHRA)</t>
        </is>
      </c>
      <c r="B168" t="inlineStr">
        <is>
          <t>Sacramento (City/County)</t>
        </is>
      </c>
      <c r="C168" t="inlineStr">
        <is>
          <t>2025-04-01</t>
        </is>
      </c>
      <c r="D168" t="inlineStr">
        <is>
          <t>Apartment Walk-Up</t>
        </is>
      </c>
      <c r="E168" t="inlineStr">
        <is>
          <t>Multifamily</t>
        </is>
      </c>
      <c r="F168" t="inlineStr">
        <is>
          <t>Space Heating</t>
        </is>
      </c>
      <c r="G168" t="inlineStr">
        <is>
          <t>Other/Specify</t>
        </is>
      </c>
      <c r="H168" t="inlineStr">
        <is>
          <t>Space Heating - Other/Specify</t>
        </is>
      </c>
      <c r="I168" t="n">
        <v>0</v>
      </c>
      <c r="J168" t="n">
        <v>0</v>
      </c>
      <c r="K168" t="n">
        <v>0</v>
      </c>
      <c r="L168" t="n">
        <v>0</v>
      </c>
      <c r="M168" t="n">
        <v>0</v>
      </c>
      <c r="N168" t="n">
        <v>0</v>
      </c>
      <c r="O168" t="n">
        <v>0</v>
      </c>
      <c r="P168" t="n">
        <v>0</v>
      </c>
      <c r="Q168" s="190" t="inlineStr">
        <is>
          <t>https://www.shra.org/housing-choice-voucher-program/</t>
        </is>
      </c>
      <c r="R168" t="inlineStr">
        <is>
          <t>Pending / Zero-fill</t>
        </is>
      </c>
    </row>
    <row r="169">
      <c r="A169" t="inlineStr">
        <is>
          <t>Sacramento Housing &amp; Redevelopment Agency (SHRA)</t>
        </is>
      </c>
      <c r="B169" t="inlineStr">
        <is>
          <t>Sacramento (City/County)</t>
        </is>
      </c>
      <c r="C169" t="inlineStr">
        <is>
          <t>2025-04-01</t>
        </is>
      </c>
      <c r="D169" t="inlineStr">
        <is>
          <t>Apartment Walk-Up</t>
        </is>
      </c>
      <c r="E169" t="inlineStr">
        <is>
          <t>Multifamily</t>
        </is>
      </c>
      <c r="F169" t="inlineStr">
        <is>
          <t>Trash Collection</t>
        </is>
      </c>
      <c r="G169" t="inlineStr">
        <is>
          <t>—</t>
        </is>
      </c>
      <c r="H169" t="inlineStr">
        <is>
          <t>Trash Collection</t>
        </is>
      </c>
      <c r="I169" t="n">
        <v>0</v>
      </c>
      <c r="J169" t="n">
        <v>0</v>
      </c>
      <c r="K169" t="n">
        <v>0</v>
      </c>
      <c r="L169" t="n">
        <v>0</v>
      </c>
      <c r="M169" t="n">
        <v>0</v>
      </c>
      <c r="N169" t="n">
        <v>0</v>
      </c>
      <c r="O169" t="n">
        <v>0</v>
      </c>
      <c r="P169" t="n">
        <v>0</v>
      </c>
      <c r="Q169" s="190" t="inlineStr">
        <is>
          <t>https://www.shra.org/housing-choice-voucher-program/</t>
        </is>
      </c>
      <c r="R169" t="inlineStr">
        <is>
          <t>Pending / Zero-fill</t>
        </is>
      </c>
    </row>
    <row r="170">
      <c r="A170" t="inlineStr">
        <is>
          <t>Sacramento Housing &amp; Redevelopment Agency (SHRA)</t>
        </is>
      </c>
      <c r="B170" t="inlineStr">
        <is>
          <t>Sacramento (City/County)</t>
        </is>
      </c>
      <c r="C170" t="inlineStr">
        <is>
          <t>2025-04-01</t>
        </is>
      </c>
      <c r="D170" t="inlineStr">
        <is>
          <t>Apartment Walk-Up</t>
        </is>
      </c>
      <c r="E170" t="inlineStr">
        <is>
          <t>Multifamily</t>
        </is>
      </c>
      <c r="F170" t="inlineStr">
        <is>
          <t>Washer</t>
        </is>
      </c>
      <c r="G170" t="inlineStr">
        <is>
          <t>Allowance</t>
        </is>
      </c>
      <c r="H170" t="inlineStr">
        <is>
          <t>Washer - Allowance</t>
        </is>
      </c>
      <c r="I170" t="n">
        <v>0</v>
      </c>
      <c r="J170" t="n">
        <v>0</v>
      </c>
      <c r="K170" t="n">
        <v>0</v>
      </c>
      <c r="L170" t="n">
        <v>0</v>
      </c>
      <c r="M170" t="n">
        <v>0</v>
      </c>
      <c r="N170" t="n">
        <v>0</v>
      </c>
      <c r="O170" t="n">
        <v>0</v>
      </c>
      <c r="P170" t="n">
        <v>0</v>
      </c>
      <c r="Q170" s="190" t="inlineStr">
        <is>
          <t>https://www.shra.org/housing-choice-voucher-program/</t>
        </is>
      </c>
      <c r="R170" t="inlineStr">
        <is>
          <t>Pending / Zero-fill</t>
        </is>
      </c>
    </row>
    <row r="171">
      <c r="A171" t="inlineStr">
        <is>
          <t>Sacramento Housing &amp; Redevelopment Agency (SHRA)</t>
        </is>
      </c>
      <c r="B171" t="inlineStr">
        <is>
          <t>Sacramento (City/County)</t>
        </is>
      </c>
      <c r="C171" t="inlineStr">
        <is>
          <t>2025-04-01</t>
        </is>
      </c>
      <c r="D171" t="inlineStr">
        <is>
          <t>Apartment Walk-Up</t>
        </is>
      </c>
      <c r="E171" t="inlineStr">
        <is>
          <t>Multifamily</t>
        </is>
      </c>
      <c r="F171" t="inlineStr">
        <is>
          <t>Water</t>
        </is>
      </c>
      <c r="G171" t="inlineStr">
        <is>
          <t>—</t>
        </is>
      </c>
      <c r="H171" t="inlineStr">
        <is>
          <t>Water</t>
        </is>
      </c>
      <c r="I171" t="n">
        <v>0</v>
      </c>
      <c r="J171" t="n">
        <v>0</v>
      </c>
      <c r="K171" t="n">
        <v>0</v>
      </c>
      <c r="L171" t="n">
        <v>0</v>
      </c>
      <c r="M171" t="n">
        <v>0</v>
      </c>
      <c r="N171" t="n">
        <v>0</v>
      </c>
      <c r="O171" t="n">
        <v>0</v>
      </c>
      <c r="P171" t="n">
        <v>0</v>
      </c>
      <c r="Q171" s="190" t="inlineStr">
        <is>
          <t>https://www.shra.org/housing-choice-voucher-program/</t>
        </is>
      </c>
      <c r="R171" t="inlineStr">
        <is>
          <t>Pending / Zero-fill</t>
        </is>
      </c>
    </row>
    <row r="172">
      <c r="A172" t="inlineStr">
        <is>
          <t>Sacramento Housing &amp; Redevelopment Agency (SHRA)</t>
        </is>
      </c>
      <c r="B172" t="inlineStr">
        <is>
          <t>Sacramento (City/County)</t>
        </is>
      </c>
      <c r="C172" t="inlineStr">
        <is>
          <t>2025-04-01</t>
        </is>
      </c>
      <c r="D172" t="inlineStr">
        <is>
          <t>Apartment Walk-Up</t>
        </is>
      </c>
      <c r="E172" t="inlineStr">
        <is>
          <t>Multifamily</t>
        </is>
      </c>
      <c r="F172" t="inlineStr">
        <is>
          <t>Water Heating</t>
        </is>
      </c>
      <c r="G172" t="inlineStr">
        <is>
          <t>Electric</t>
        </is>
      </c>
      <c r="H172" t="inlineStr">
        <is>
          <t>Water Heating - Electric</t>
        </is>
      </c>
      <c r="I172" t="n">
        <v>0</v>
      </c>
      <c r="J172" t="n">
        <v>0</v>
      </c>
      <c r="K172" t="n">
        <v>0</v>
      </c>
      <c r="L172" t="n">
        <v>0</v>
      </c>
      <c r="M172" t="n">
        <v>0</v>
      </c>
      <c r="N172" t="n">
        <v>0</v>
      </c>
      <c r="O172" t="n">
        <v>0</v>
      </c>
      <c r="P172" t="n">
        <v>0</v>
      </c>
      <c r="Q172" s="190" t="inlineStr">
        <is>
          <t>https://www.shra.org/housing-choice-voucher-program/</t>
        </is>
      </c>
      <c r="R172" t="inlineStr">
        <is>
          <t>Pending / Zero-fill</t>
        </is>
      </c>
    </row>
    <row r="173">
      <c r="A173" t="inlineStr">
        <is>
          <t>Sacramento Housing &amp; Redevelopment Agency (SHRA)</t>
        </is>
      </c>
      <c r="B173" t="inlineStr">
        <is>
          <t>Sacramento (City/County)</t>
        </is>
      </c>
      <c r="C173" t="inlineStr">
        <is>
          <t>2025-04-01</t>
        </is>
      </c>
      <c r="D173" t="inlineStr">
        <is>
          <t>Apartment Walk-Up</t>
        </is>
      </c>
      <c r="E173" t="inlineStr">
        <is>
          <t>Multifamily</t>
        </is>
      </c>
      <c r="F173" t="inlineStr">
        <is>
          <t>Water Heating</t>
        </is>
      </c>
      <c r="G173" t="inlineStr">
        <is>
          <t>Natural Gas</t>
        </is>
      </c>
      <c r="H173" t="inlineStr">
        <is>
          <t>Water Heating - Natural Gas</t>
        </is>
      </c>
      <c r="I173" t="n">
        <v>0</v>
      </c>
      <c r="J173" t="n">
        <v>0</v>
      </c>
      <c r="K173" t="n">
        <v>0</v>
      </c>
      <c r="L173" t="n">
        <v>0</v>
      </c>
      <c r="M173" t="n">
        <v>0</v>
      </c>
      <c r="N173" t="n">
        <v>0</v>
      </c>
      <c r="O173" t="n">
        <v>0</v>
      </c>
      <c r="P173" t="n">
        <v>0</v>
      </c>
      <c r="Q173" s="190" t="inlineStr">
        <is>
          <t>https://www.shra.org/housing-choice-voucher-program/</t>
        </is>
      </c>
      <c r="R173" t="inlineStr">
        <is>
          <t>Pending / Zero-fill</t>
        </is>
      </c>
    </row>
    <row r="174">
      <c r="A174" t="inlineStr">
        <is>
          <t>Sacramento Housing &amp; Redevelopment Agency (SHRA)</t>
        </is>
      </c>
      <c r="B174" t="inlineStr">
        <is>
          <t>Sacramento (City/County)</t>
        </is>
      </c>
      <c r="C174" t="inlineStr">
        <is>
          <t>2025-04-01</t>
        </is>
      </c>
      <c r="D174" t="inlineStr">
        <is>
          <t>Apartment Walk-Up</t>
        </is>
      </c>
      <c r="E174" t="inlineStr">
        <is>
          <t>Multifamily</t>
        </is>
      </c>
      <c r="F174" t="inlineStr">
        <is>
          <t>Water Heating</t>
        </is>
      </c>
      <c r="G174" t="inlineStr">
        <is>
          <t>Oil/Propane</t>
        </is>
      </c>
      <c r="H174" t="inlineStr">
        <is>
          <t>Water Heating - Oil/Propane</t>
        </is>
      </c>
      <c r="I174" t="n">
        <v>0</v>
      </c>
      <c r="J174" t="n">
        <v>0</v>
      </c>
      <c r="K174" t="n">
        <v>0</v>
      </c>
      <c r="L174" t="n">
        <v>0</v>
      </c>
      <c r="M174" t="n">
        <v>0</v>
      </c>
      <c r="N174" t="n">
        <v>0</v>
      </c>
      <c r="O174" t="n">
        <v>0</v>
      </c>
      <c r="P174" t="n">
        <v>0</v>
      </c>
      <c r="Q174" s="190" t="inlineStr">
        <is>
          <t>https://www.shra.org/housing-choice-voucher-program/</t>
        </is>
      </c>
      <c r="R174" t="inlineStr">
        <is>
          <t>Pending / Zero-fill</t>
        </is>
      </c>
    </row>
    <row r="175">
      <c r="A175" t="inlineStr">
        <is>
          <t>Sacramento Housing &amp; Redevelopment Agency (SHRA)</t>
        </is>
      </c>
      <c r="B175" t="inlineStr">
        <is>
          <t>Sacramento (City/County)</t>
        </is>
      </c>
      <c r="C175" t="inlineStr">
        <is>
          <t>2025-04-01</t>
        </is>
      </c>
      <c r="D175" t="inlineStr">
        <is>
          <t>Multi-Family</t>
        </is>
      </c>
      <c r="E175" t="inlineStr">
        <is>
          <t>Multifamily</t>
        </is>
      </c>
      <c r="F175" t="inlineStr">
        <is>
          <t>Air Conditioning</t>
        </is>
      </c>
      <c r="G175" t="inlineStr">
        <is>
          <t>Electric</t>
        </is>
      </c>
      <c r="H175" t="inlineStr">
        <is>
          <t>Air Conditioning - Electric</t>
        </is>
      </c>
      <c r="I175" t="n">
        <v>15</v>
      </c>
      <c r="J175" t="n">
        <v>17</v>
      </c>
      <c r="K175" t="n">
        <v>24</v>
      </c>
      <c r="L175" t="n">
        <v>30</v>
      </c>
      <c r="M175" t="n">
        <v>37</v>
      </c>
      <c r="N175" t="n">
        <v>43</v>
      </c>
      <c r="O175" t="n">
        <v>0</v>
      </c>
      <c r="P175" t="n">
        <v>0</v>
      </c>
      <c r="Q175" t="inlineStr">
        <is>
          <t>SHRA Energy Efficient Multi-Family (Apt/Townhouse/Duplex) — user screenshot, 2025-04-01</t>
        </is>
      </c>
      <c r="R175" t="inlineStr">
        <is>
          <t>Populated</t>
        </is>
      </c>
    </row>
    <row r="176">
      <c r="A176" t="inlineStr">
        <is>
          <t>Sacramento Housing &amp; Redevelopment Agency (SHRA)</t>
        </is>
      </c>
      <c r="B176" t="inlineStr">
        <is>
          <t>Sacramento (City/County)</t>
        </is>
      </c>
      <c r="C176" t="inlineStr">
        <is>
          <t>2025-04-01</t>
        </is>
      </c>
      <c r="D176" t="inlineStr">
        <is>
          <t>Multi-Family</t>
        </is>
      </c>
      <c r="E176" t="inlineStr">
        <is>
          <t>Multifamily</t>
        </is>
      </c>
      <c r="F176" t="inlineStr">
        <is>
          <t>Air Conditioning</t>
        </is>
      </c>
      <c r="G176" t="inlineStr">
        <is>
          <t>Evaporative Cooler</t>
        </is>
      </c>
      <c r="H176" t="inlineStr">
        <is>
          <t>Air Conditioning - Evaporative Cooler</t>
        </is>
      </c>
      <c r="I176" t="n">
        <v>0</v>
      </c>
      <c r="J176" t="n">
        <v>0</v>
      </c>
      <c r="K176" t="n">
        <v>0</v>
      </c>
      <c r="L176" t="n">
        <v>0</v>
      </c>
      <c r="M176" t="n">
        <v>0</v>
      </c>
      <c r="N176" t="n">
        <v>0</v>
      </c>
      <c r="O176" t="n">
        <v>0</v>
      </c>
      <c r="P176" t="n">
        <v>0</v>
      </c>
      <c r="Q176" s="190" t="inlineStr">
        <is>
          <t>https://www.shra.org/housing-choice-voucher-program/</t>
        </is>
      </c>
      <c r="R176" t="inlineStr">
        <is>
          <t>Pending / Zero-fill</t>
        </is>
      </c>
    </row>
    <row r="177">
      <c r="A177" t="inlineStr">
        <is>
          <t>Sacramento Housing &amp; Redevelopment Agency (SHRA)</t>
        </is>
      </c>
      <c r="B177" t="inlineStr">
        <is>
          <t>Sacramento (City/County)</t>
        </is>
      </c>
      <c r="C177" t="inlineStr">
        <is>
          <t>2025-04-01</t>
        </is>
      </c>
      <c r="D177" t="inlineStr">
        <is>
          <t>Multi-Family</t>
        </is>
      </c>
      <c r="E177" t="inlineStr">
        <is>
          <t>Multifamily</t>
        </is>
      </c>
      <c r="F177" t="inlineStr">
        <is>
          <t>Cooking</t>
        </is>
      </c>
      <c r="G177" t="inlineStr">
        <is>
          <t>Electric</t>
        </is>
      </c>
      <c r="H177" t="inlineStr">
        <is>
          <t>Cooking - Electric</t>
        </is>
      </c>
      <c r="I177" t="n">
        <v>9</v>
      </c>
      <c r="J177" t="n">
        <v>11</v>
      </c>
      <c r="K177" t="n">
        <v>16</v>
      </c>
      <c r="L177" t="n">
        <v>21</v>
      </c>
      <c r="M177" t="n">
        <v>26</v>
      </c>
      <c r="N177" t="n">
        <v>31</v>
      </c>
      <c r="O177" t="n">
        <v>0</v>
      </c>
      <c r="P177" t="n">
        <v>0</v>
      </c>
      <c r="Q177" t="inlineStr">
        <is>
          <t>SHRA Energy Efficient Multi-Family (Apt/Townhouse/Duplex) — user screenshot, 2025-04-01</t>
        </is>
      </c>
      <c r="R177" t="inlineStr">
        <is>
          <t>Populated</t>
        </is>
      </c>
    </row>
    <row r="178">
      <c r="A178" t="inlineStr">
        <is>
          <t>Sacramento Housing &amp; Redevelopment Agency (SHRA)</t>
        </is>
      </c>
      <c r="B178" t="inlineStr">
        <is>
          <t>Sacramento (City/County)</t>
        </is>
      </c>
      <c r="C178" t="inlineStr">
        <is>
          <t>2025-04-01</t>
        </is>
      </c>
      <c r="D178" t="inlineStr">
        <is>
          <t>Multi-Family</t>
        </is>
      </c>
      <c r="E178" t="inlineStr">
        <is>
          <t>Multifamily</t>
        </is>
      </c>
      <c r="F178" t="inlineStr">
        <is>
          <t>Cooking</t>
        </is>
      </c>
      <c r="G178" t="inlineStr">
        <is>
          <t>Natural Gas</t>
        </is>
      </c>
      <c r="H178" t="inlineStr">
        <is>
          <t>Cooking - Natural Gas</t>
        </is>
      </c>
      <c r="I178" t="n">
        <v>4</v>
      </c>
      <c r="J178" t="n">
        <v>6</v>
      </c>
      <c r="K178" t="n">
        <v>8</v>
      </c>
      <c r="L178" t="n">
        <v>10</v>
      </c>
      <c r="M178" t="n">
        <v>12</v>
      </c>
      <c r="N178" t="n">
        <v>16</v>
      </c>
      <c r="O178" t="n">
        <v>0</v>
      </c>
      <c r="P178" t="n">
        <v>0</v>
      </c>
      <c r="Q178" t="inlineStr">
        <is>
          <t>SHRA Energy Efficient Multi-Family (Apt/Townhouse/Duplex) — user screenshot, 2025-04-01</t>
        </is>
      </c>
      <c r="R178" t="inlineStr">
        <is>
          <t>Populated</t>
        </is>
      </c>
    </row>
    <row r="179">
      <c r="A179" t="inlineStr">
        <is>
          <t>Sacramento Housing &amp; Redevelopment Agency (SHRA)</t>
        </is>
      </c>
      <c r="B179" t="inlineStr">
        <is>
          <t>Sacramento (City/County)</t>
        </is>
      </c>
      <c r="C179" t="inlineStr">
        <is>
          <t>2025-04-01</t>
        </is>
      </c>
      <c r="D179" t="inlineStr">
        <is>
          <t>Multi-Family</t>
        </is>
      </c>
      <c r="E179" t="inlineStr">
        <is>
          <t>Multifamily</t>
        </is>
      </c>
      <c r="F179" t="inlineStr">
        <is>
          <t>Dishwasher</t>
        </is>
      </c>
      <c r="G179" t="inlineStr">
        <is>
          <t>Allowance</t>
        </is>
      </c>
      <c r="H179" t="inlineStr">
        <is>
          <t>Dishwasher - Allowance</t>
        </is>
      </c>
      <c r="I179" t="n">
        <v>0</v>
      </c>
      <c r="J179" t="n">
        <v>0</v>
      </c>
      <c r="K179" t="n">
        <v>0</v>
      </c>
      <c r="L179" t="n">
        <v>0</v>
      </c>
      <c r="M179" t="n">
        <v>0</v>
      </c>
      <c r="N179" t="n">
        <v>0</v>
      </c>
      <c r="O179" t="n">
        <v>0</v>
      </c>
      <c r="P179" t="n">
        <v>0</v>
      </c>
      <c r="Q179" s="190" t="inlineStr">
        <is>
          <t>https://www.shra.org/housing-choice-voucher-program/</t>
        </is>
      </c>
      <c r="R179" t="inlineStr">
        <is>
          <t>Pending / Zero-fill</t>
        </is>
      </c>
    </row>
    <row r="180">
      <c r="A180" t="inlineStr">
        <is>
          <t>Sacramento Housing &amp; Redevelopment Agency (SHRA)</t>
        </is>
      </c>
      <c r="B180" t="inlineStr">
        <is>
          <t>Sacramento (City/County)</t>
        </is>
      </c>
      <c r="C180" t="inlineStr">
        <is>
          <t>2025-04-01</t>
        </is>
      </c>
      <c r="D180" t="inlineStr">
        <is>
          <t>Multi-Family</t>
        </is>
      </c>
      <c r="E180" t="inlineStr">
        <is>
          <t>Multifamily</t>
        </is>
      </c>
      <c r="F180" t="inlineStr">
        <is>
          <t>Dryer</t>
        </is>
      </c>
      <c r="G180" t="inlineStr">
        <is>
          <t>Allowance</t>
        </is>
      </c>
      <c r="H180" t="inlineStr">
        <is>
          <t>Dryer - Allowance</t>
        </is>
      </c>
      <c r="I180" t="n">
        <v>0</v>
      </c>
      <c r="J180" t="n">
        <v>0</v>
      </c>
      <c r="K180" t="n">
        <v>0</v>
      </c>
      <c r="L180" t="n">
        <v>0</v>
      </c>
      <c r="M180" t="n">
        <v>0</v>
      </c>
      <c r="N180" t="n">
        <v>0</v>
      </c>
      <c r="O180" t="n">
        <v>0</v>
      </c>
      <c r="P180" t="n">
        <v>0</v>
      </c>
      <c r="Q180" s="190" t="inlineStr">
        <is>
          <t>https://www.shra.org/housing-choice-voucher-program/</t>
        </is>
      </c>
      <c r="R180" t="inlineStr">
        <is>
          <t>Pending / Zero-fill</t>
        </is>
      </c>
    </row>
    <row r="181">
      <c r="A181" t="inlineStr">
        <is>
          <t>Sacramento Housing &amp; Redevelopment Agency (SHRA)</t>
        </is>
      </c>
      <c r="B181" t="inlineStr">
        <is>
          <t>Sacramento (City/County)</t>
        </is>
      </c>
      <c r="C181" t="inlineStr">
        <is>
          <t>2025-04-01</t>
        </is>
      </c>
      <c r="D181" t="inlineStr">
        <is>
          <t>Multi-Family</t>
        </is>
      </c>
      <c r="E181" t="inlineStr">
        <is>
          <t>Multifamily</t>
        </is>
      </c>
      <c r="F181" t="inlineStr">
        <is>
          <t>Freezer</t>
        </is>
      </c>
      <c r="G181" t="inlineStr">
        <is>
          <t>Allowance</t>
        </is>
      </c>
      <c r="H181" t="inlineStr">
        <is>
          <t>Freezer - Allowance</t>
        </is>
      </c>
      <c r="I181" t="n">
        <v>0</v>
      </c>
      <c r="J181" t="n">
        <v>0</v>
      </c>
      <c r="K181" t="n">
        <v>0</v>
      </c>
      <c r="L181" t="n">
        <v>0</v>
      </c>
      <c r="M181" t="n">
        <v>0</v>
      </c>
      <c r="N181" t="n">
        <v>0</v>
      </c>
      <c r="O181" t="n">
        <v>0</v>
      </c>
      <c r="P181" t="n">
        <v>0</v>
      </c>
      <c r="Q181" s="190" t="inlineStr">
        <is>
          <t>https://www.shra.org/housing-choice-voucher-program/</t>
        </is>
      </c>
      <c r="R181" t="inlineStr">
        <is>
          <t>Pending / Zero-fill</t>
        </is>
      </c>
    </row>
    <row r="182">
      <c r="A182" t="inlineStr">
        <is>
          <t>Sacramento Housing &amp; Redevelopment Agency (SHRA)</t>
        </is>
      </c>
      <c r="B182" t="inlineStr">
        <is>
          <t>Sacramento (City/County)</t>
        </is>
      </c>
      <c r="C182" t="inlineStr">
        <is>
          <t>2025-04-01</t>
        </is>
      </c>
      <c r="D182" t="inlineStr">
        <is>
          <t>Multi-Family</t>
        </is>
      </c>
      <c r="E182" t="inlineStr">
        <is>
          <t>Multifamily</t>
        </is>
      </c>
      <c r="F182" t="inlineStr">
        <is>
          <t>Other - Specify</t>
        </is>
      </c>
      <c r="G182" t="inlineStr">
        <is>
          <t>Lifeline / Baseline Credit</t>
        </is>
      </c>
      <c r="H182" t="inlineStr">
        <is>
          <t>Other - Specify - Lifeline / Baseline Credit</t>
        </is>
      </c>
      <c r="I182" t="n">
        <v>0</v>
      </c>
      <c r="J182" t="n">
        <v>0</v>
      </c>
      <c r="K182" t="n">
        <v>0</v>
      </c>
      <c r="L182" t="n">
        <v>0</v>
      </c>
      <c r="M182" t="n">
        <v>0</v>
      </c>
      <c r="N182" t="n">
        <v>0</v>
      </c>
      <c r="O182" t="n">
        <v>0</v>
      </c>
      <c r="P182" t="n">
        <v>0</v>
      </c>
      <c r="Q182" s="190" t="inlineStr">
        <is>
          <t>https://www.shra.org/housing-choice-voucher-program/</t>
        </is>
      </c>
      <c r="R182" t="inlineStr">
        <is>
          <t>Pending / Zero-fill</t>
        </is>
      </c>
    </row>
    <row r="183">
      <c r="A183" t="inlineStr">
        <is>
          <t>Sacramento Housing &amp; Redevelopment Agency (SHRA)</t>
        </is>
      </c>
      <c r="B183" t="inlineStr">
        <is>
          <t>Sacramento (City/County)</t>
        </is>
      </c>
      <c r="C183" t="inlineStr">
        <is>
          <t>2025-04-01</t>
        </is>
      </c>
      <c r="D183" t="inlineStr">
        <is>
          <t>Multi-Family</t>
        </is>
      </c>
      <c r="E183" t="inlineStr">
        <is>
          <t>Multifamily</t>
        </is>
      </c>
      <c r="F183" t="inlineStr">
        <is>
          <t>Other - Specify</t>
        </is>
      </c>
      <c r="G183" t="inlineStr">
        <is>
          <t>Solar/PV Credit</t>
        </is>
      </c>
      <c r="H183" t="inlineStr">
        <is>
          <t>Other - Specify - Solar/PV Credit</t>
        </is>
      </c>
      <c r="I183" t="n">
        <v>0</v>
      </c>
      <c r="J183" t="n">
        <v>0</v>
      </c>
      <c r="K183" t="n">
        <v>0</v>
      </c>
      <c r="L183" t="n">
        <v>0</v>
      </c>
      <c r="M183" t="n">
        <v>0</v>
      </c>
      <c r="N183" t="n">
        <v>0</v>
      </c>
      <c r="O183" t="n">
        <v>0</v>
      </c>
      <c r="P183" t="n">
        <v>0</v>
      </c>
      <c r="Q183" s="190" t="inlineStr">
        <is>
          <t>https://www.shra.org/housing-choice-voucher-program/</t>
        </is>
      </c>
      <c r="R183" t="inlineStr">
        <is>
          <t>Pending / Zero-fill</t>
        </is>
      </c>
    </row>
    <row r="184">
      <c r="A184" t="inlineStr">
        <is>
          <t>Sacramento Housing &amp; Redevelopment Agency (SHRA)</t>
        </is>
      </c>
      <c r="B184" t="inlineStr">
        <is>
          <t>Sacramento (City/County)</t>
        </is>
      </c>
      <c r="C184" t="inlineStr">
        <is>
          <t>2025-04-01</t>
        </is>
      </c>
      <c r="D184" t="inlineStr">
        <is>
          <t>Multi-Family</t>
        </is>
      </c>
      <c r="E184" t="inlineStr">
        <is>
          <t>Multifamily</t>
        </is>
      </c>
      <c r="F184" t="inlineStr">
        <is>
          <t>Other - Specify</t>
        </is>
      </c>
      <c r="G184" t="inlineStr">
        <is>
          <t>Utility Customer Charge / Fee</t>
        </is>
      </c>
      <c r="H184" t="inlineStr">
        <is>
          <t>Other - Specify - Utility Customer Charge / Fee</t>
        </is>
      </c>
      <c r="I184" t="n">
        <v>26</v>
      </c>
      <c r="J184" t="n">
        <v>26</v>
      </c>
      <c r="K184" t="n">
        <v>26</v>
      </c>
      <c r="L184" t="n">
        <v>26</v>
      </c>
      <c r="M184" t="n">
        <v>26</v>
      </c>
      <c r="N184" t="n">
        <v>26</v>
      </c>
      <c r="O184" t="n">
        <v>0</v>
      </c>
      <c r="P184" t="n">
        <v>0</v>
      </c>
      <c r="Q184" t="inlineStr">
        <is>
          <t>SHRA Energy Efficient Multi-Family (Apt/Townhouse/Duplex) — user screenshot, 2025-04-01</t>
        </is>
      </c>
      <c r="R184" t="inlineStr">
        <is>
          <t>Populated</t>
        </is>
      </c>
    </row>
    <row r="185">
      <c r="A185" t="inlineStr">
        <is>
          <t>Sacramento Housing &amp; Redevelopment Agency (SHRA)</t>
        </is>
      </c>
      <c r="B185" t="inlineStr">
        <is>
          <t>Sacramento (City/County)</t>
        </is>
      </c>
      <c r="C185" t="inlineStr">
        <is>
          <t>2025-04-01</t>
        </is>
      </c>
      <c r="D185" t="inlineStr">
        <is>
          <t>Multi-Family</t>
        </is>
      </c>
      <c r="E185" t="inlineStr">
        <is>
          <t>Multifamily</t>
        </is>
      </c>
      <c r="F185" t="inlineStr">
        <is>
          <t>Other Electric</t>
        </is>
      </c>
      <c r="G185" t="inlineStr">
        <is>
          <t>Electric (Lights/Plugs)</t>
        </is>
      </c>
      <c r="H185" t="inlineStr">
        <is>
          <t>Other Electric - Electric (Lights/Plugs)</t>
        </is>
      </c>
      <c r="I185" t="n">
        <v>25</v>
      </c>
      <c r="J185" t="n">
        <v>29</v>
      </c>
      <c r="K185" t="n">
        <v>40</v>
      </c>
      <c r="L185" t="n">
        <v>51</v>
      </c>
      <c r="M185" t="n">
        <v>62</v>
      </c>
      <c r="N185" t="n">
        <v>73</v>
      </c>
      <c r="O185" t="n">
        <v>0</v>
      </c>
      <c r="P185" t="n">
        <v>0</v>
      </c>
      <c r="Q185" t="inlineStr">
        <is>
          <t>SHRA Energy Efficient Multi-Family (Apt/Townhouse/Duplex) — user screenshot, 2025-04-01</t>
        </is>
      </c>
      <c r="R185" t="inlineStr">
        <is>
          <t>Populated</t>
        </is>
      </c>
    </row>
    <row r="186">
      <c r="A186" t="inlineStr">
        <is>
          <t>Sacramento Housing &amp; Redevelopment Agency (SHRA)</t>
        </is>
      </c>
      <c r="B186" t="inlineStr">
        <is>
          <t>Sacramento (City/County)</t>
        </is>
      </c>
      <c r="C186" t="inlineStr">
        <is>
          <t>2025-04-01</t>
        </is>
      </c>
      <c r="D186" t="inlineStr">
        <is>
          <t>Multi-Family</t>
        </is>
      </c>
      <c r="E186" t="inlineStr">
        <is>
          <t>Multifamily</t>
        </is>
      </c>
      <c r="F186" t="inlineStr">
        <is>
          <t>Range/Microwave</t>
        </is>
      </c>
      <c r="G186" t="inlineStr">
        <is>
          <t>Allowance</t>
        </is>
      </c>
      <c r="H186" t="inlineStr">
        <is>
          <t>Range/Microwave - Allowance</t>
        </is>
      </c>
      <c r="I186" t="n">
        <v>11</v>
      </c>
      <c r="J186" t="n">
        <v>11</v>
      </c>
      <c r="K186" t="n">
        <v>11</v>
      </c>
      <c r="L186" t="n">
        <v>11</v>
      </c>
      <c r="M186" t="n">
        <v>11</v>
      </c>
      <c r="N186" t="n">
        <v>11</v>
      </c>
      <c r="O186" t="n">
        <v>0</v>
      </c>
      <c r="P186" t="n">
        <v>0</v>
      </c>
      <c r="Q186" t="inlineStr">
        <is>
          <t>SHRA Energy Efficient Multi-Family (Apt/Townhouse/Duplex) — user screenshot, 2025-04-01</t>
        </is>
      </c>
      <c r="R186" t="inlineStr">
        <is>
          <t>Populated</t>
        </is>
      </c>
    </row>
    <row r="187">
      <c r="A187" t="inlineStr">
        <is>
          <t>Sacramento Housing &amp; Redevelopment Agency (SHRA)</t>
        </is>
      </c>
      <c r="B187" t="inlineStr">
        <is>
          <t>Sacramento (City/County)</t>
        </is>
      </c>
      <c r="C187" t="inlineStr">
        <is>
          <t>2025-04-01</t>
        </is>
      </c>
      <c r="D187" t="inlineStr">
        <is>
          <t>Multi-Family</t>
        </is>
      </c>
      <c r="E187" t="inlineStr">
        <is>
          <t>Multifamily</t>
        </is>
      </c>
      <c r="F187" t="inlineStr">
        <is>
          <t>Refrigerator</t>
        </is>
      </c>
      <c r="G187" t="inlineStr">
        <is>
          <t>Allowance</t>
        </is>
      </c>
      <c r="H187" t="inlineStr">
        <is>
          <t>Refrigerator - Allowance</t>
        </is>
      </c>
      <c r="I187" t="n">
        <v>12</v>
      </c>
      <c r="J187" t="n">
        <v>12</v>
      </c>
      <c r="K187" t="n">
        <v>12</v>
      </c>
      <c r="L187" t="n">
        <v>12</v>
      </c>
      <c r="M187" t="n">
        <v>12</v>
      </c>
      <c r="N187" t="n">
        <v>12</v>
      </c>
      <c r="O187" t="n">
        <v>0</v>
      </c>
      <c r="P187" t="n">
        <v>0</v>
      </c>
      <c r="Q187" t="inlineStr">
        <is>
          <t>SHRA Energy Efficient Multi-Family (Apt/Townhouse/Duplex) — user screenshot, 2025-04-01</t>
        </is>
      </c>
      <c r="R187" t="inlineStr">
        <is>
          <t>Populated</t>
        </is>
      </c>
    </row>
    <row r="188">
      <c r="A188" t="inlineStr">
        <is>
          <t>Sacramento Housing &amp; Redevelopment Agency (SHRA)</t>
        </is>
      </c>
      <c r="B188" t="inlineStr">
        <is>
          <t>Sacramento (City/County)</t>
        </is>
      </c>
      <c r="C188" t="inlineStr">
        <is>
          <t>2025-04-01</t>
        </is>
      </c>
      <c r="D188" t="inlineStr">
        <is>
          <t>Multi-Family</t>
        </is>
      </c>
      <c r="E188" t="inlineStr">
        <is>
          <t>Multifamily</t>
        </is>
      </c>
      <c r="F188" t="inlineStr">
        <is>
          <t>Sewer</t>
        </is>
      </c>
      <c r="G188" t="inlineStr">
        <is>
          <t>—</t>
        </is>
      </c>
      <c r="H188" t="inlineStr">
        <is>
          <t>Sewer</t>
        </is>
      </c>
      <c r="I188" t="n">
        <v>23</v>
      </c>
      <c r="J188" t="n">
        <v>23</v>
      </c>
      <c r="K188" t="n">
        <v>23</v>
      </c>
      <c r="L188" t="n">
        <v>23</v>
      </c>
      <c r="M188" t="n">
        <v>25</v>
      </c>
      <c r="N188" t="n">
        <v>26</v>
      </c>
      <c r="O188" t="n">
        <v>0</v>
      </c>
      <c r="P188" t="n">
        <v>0</v>
      </c>
      <c r="Q188" t="inlineStr">
        <is>
          <t>SHRA Energy Efficient Multi-Family (Apt/Townhouse/Duplex) — user screenshot, 2025-04-01</t>
        </is>
      </c>
      <c r="R188" t="inlineStr">
        <is>
          <t>Populated</t>
        </is>
      </c>
    </row>
    <row r="189">
      <c r="A189" t="inlineStr">
        <is>
          <t>Sacramento Housing &amp; Redevelopment Agency (SHRA)</t>
        </is>
      </c>
      <c r="B189" t="inlineStr">
        <is>
          <t>Sacramento (City/County)</t>
        </is>
      </c>
      <c r="C189" t="inlineStr">
        <is>
          <t>2025-04-01</t>
        </is>
      </c>
      <c r="D189" t="inlineStr">
        <is>
          <t>Multi-Family</t>
        </is>
      </c>
      <c r="E189" t="inlineStr">
        <is>
          <t>Multifamily</t>
        </is>
      </c>
      <c r="F189" t="inlineStr">
        <is>
          <t>Space Heating</t>
        </is>
      </c>
      <c r="G189" t="inlineStr">
        <is>
          <t>Electric</t>
        </is>
      </c>
      <c r="H189" t="inlineStr">
        <is>
          <t>Space Heating - Electric</t>
        </is>
      </c>
      <c r="I189" t="n">
        <v>19</v>
      </c>
      <c r="J189" t="n">
        <v>23</v>
      </c>
      <c r="K189" t="n">
        <v>29</v>
      </c>
      <c r="L189" t="n">
        <v>35</v>
      </c>
      <c r="M189" t="n">
        <v>41</v>
      </c>
      <c r="N189" t="n">
        <v>47</v>
      </c>
      <c r="O189" t="n">
        <v>0</v>
      </c>
      <c r="P189" t="n">
        <v>0</v>
      </c>
      <c r="Q189" t="inlineStr">
        <is>
          <t>SHRA Energy Efficient Multi-Family (Apt/Townhouse/Duplex) — user screenshot, 2025-04-01</t>
        </is>
      </c>
      <c r="R189" t="inlineStr">
        <is>
          <t>Populated</t>
        </is>
      </c>
    </row>
    <row r="190">
      <c r="A190" t="inlineStr">
        <is>
          <t>Sacramento Housing &amp; Redevelopment Agency (SHRA)</t>
        </is>
      </c>
      <c r="B190" t="inlineStr">
        <is>
          <t>Sacramento (City/County)</t>
        </is>
      </c>
      <c r="C190" t="inlineStr">
        <is>
          <t>2025-04-01</t>
        </is>
      </c>
      <c r="D190" t="inlineStr">
        <is>
          <t>Multi-Family</t>
        </is>
      </c>
      <c r="E190" t="inlineStr">
        <is>
          <t>Multifamily</t>
        </is>
      </c>
      <c r="F190" t="inlineStr">
        <is>
          <t>Space Heating</t>
        </is>
      </c>
      <c r="G190" t="inlineStr">
        <is>
          <t>Electric - Heat Pump</t>
        </is>
      </c>
      <c r="H190" t="inlineStr">
        <is>
          <t>Space Heating - Electric - Heat Pump</t>
        </is>
      </c>
      <c r="I190" t="n">
        <v>17</v>
      </c>
      <c r="J190" t="n">
        <v>20</v>
      </c>
      <c r="K190" t="n">
        <v>24</v>
      </c>
      <c r="L190" t="n">
        <v>27</v>
      </c>
      <c r="M190" t="n">
        <v>29</v>
      </c>
      <c r="N190" t="n">
        <v>32</v>
      </c>
      <c r="O190" t="n">
        <v>0</v>
      </c>
      <c r="P190" t="n">
        <v>0</v>
      </c>
      <c r="Q190" t="inlineStr">
        <is>
          <t>SHRA Energy Efficient Multi-Family (Apt/Townhouse/Duplex) — user screenshot, 2025-04-01</t>
        </is>
      </c>
      <c r="R190" t="inlineStr">
        <is>
          <t>Populated</t>
        </is>
      </c>
    </row>
    <row r="191">
      <c r="A191" t="inlineStr">
        <is>
          <t>Sacramento Housing &amp; Redevelopment Agency (SHRA)</t>
        </is>
      </c>
      <c r="B191" t="inlineStr">
        <is>
          <t>Sacramento (City/County)</t>
        </is>
      </c>
      <c r="C191" t="inlineStr">
        <is>
          <t>2025-04-01</t>
        </is>
      </c>
      <c r="D191" t="inlineStr">
        <is>
          <t>Multi-Family</t>
        </is>
      </c>
      <c r="E191" t="inlineStr">
        <is>
          <t>Multifamily</t>
        </is>
      </c>
      <c r="F191" t="inlineStr">
        <is>
          <t>Space Heating</t>
        </is>
      </c>
      <c r="G191" t="inlineStr">
        <is>
          <t>Natural Gas</t>
        </is>
      </c>
      <c r="H191" t="inlineStr">
        <is>
          <t>Space Heating - Natural Gas</t>
        </is>
      </c>
      <c r="I191" t="n">
        <v>15</v>
      </c>
      <c r="J191" t="n">
        <v>19</v>
      </c>
      <c r="K191" t="n">
        <v>23</v>
      </c>
      <c r="L191" t="n">
        <v>25</v>
      </c>
      <c r="M191" t="n">
        <v>29</v>
      </c>
      <c r="N191" t="n">
        <v>31</v>
      </c>
      <c r="O191" t="n">
        <v>0</v>
      </c>
      <c r="P191" t="n">
        <v>0</v>
      </c>
      <c r="Q191" t="inlineStr">
        <is>
          <t>SHRA Energy Efficient Multi-Family (Apt/Townhouse/Duplex) — user screenshot, 2025-04-01</t>
        </is>
      </c>
      <c r="R191" t="inlineStr">
        <is>
          <t>Populated</t>
        </is>
      </c>
    </row>
    <row r="192">
      <c r="A192" t="inlineStr">
        <is>
          <t>Sacramento Housing &amp; Redevelopment Agency (SHRA)</t>
        </is>
      </c>
      <c r="B192" t="inlineStr">
        <is>
          <t>Sacramento (City/County)</t>
        </is>
      </c>
      <c r="C192" t="inlineStr">
        <is>
          <t>2025-04-01</t>
        </is>
      </c>
      <c r="D192" t="inlineStr">
        <is>
          <t>Multi-Family</t>
        </is>
      </c>
      <c r="E192" t="inlineStr">
        <is>
          <t>Multifamily</t>
        </is>
      </c>
      <c r="F192" t="inlineStr">
        <is>
          <t>Space Heating</t>
        </is>
      </c>
      <c r="G192" t="inlineStr">
        <is>
          <t>Oil/Propane</t>
        </is>
      </c>
      <c r="H192" t="inlineStr">
        <is>
          <t>Space Heating - Oil/Propane</t>
        </is>
      </c>
      <c r="I192" t="n">
        <v>0</v>
      </c>
      <c r="J192" t="n">
        <v>0</v>
      </c>
      <c r="K192" t="n">
        <v>0</v>
      </c>
      <c r="L192" t="n">
        <v>0</v>
      </c>
      <c r="M192" t="n">
        <v>0</v>
      </c>
      <c r="N192" t="n">
        <v>0</v>
      </c>
      <c r="O192" t="n">
        <v>0</v>
      </c>
      <c r="P192" t="n">
        <v>0</v>
      </c>
      <c r="Q192" t="inlineStr">
        <is>
          <t>SHRA Energy Efficient Multi-Family (Apt/Townhouse/Duplex) — user screenshot, 2025-04-01</t>
        </is>
      </c>
      <c r="R192" t="inlineStr">
        <is>
          <t>Populated</t>
        </is>
      </c>
    </row>
    <row r="193">
      <c r="A193" t="inlineStr">
        <is>
          <t>Sacramento Housing &amp; Redevelopment Agency (SHRA)</t>
        </is>
      </c>
      <c r="B193" t="inlineStr">
        <is>
          <t>Sacramento (City/County)</t>
        </is>
      </c>
      <c r="C193" t="inlineStr">
        <is>
          <t>2025-04-01</t>
        </is>
      </c>
      <c r="D193" t="inlineStr">
        <is>
          <t>Multi-Family</t>
        </is>
      </c>
      <c r="E193" t="inlineStr">
        <is>
          <t>Multifamily</t>
        </is>
      </c>
      <c r="F193" t="inlineStr">
        <is>
          <t>Space Heating</t>
        </is>
      </c>
      <c r="G193" t="inlineStr">
        <is>
          <t>Other/Specify</t>
        </is>
      </c>
      <c r="H193" t="inlineStr">
        <is>
          <t>Space Heating - Other/Specify</t>
        </is>
      </c>
      <c r="I193" t="n">
        <v>0</v>
      </c>
      <c r="J193" t="n">
        <v>0</v>
      </c>
      <c r="K193" t="n">
        <v>0</v>
      </c>
      <c r="L193" t="n">
        <v>0</v>
      </c>
      <c r="M193" t="n">
        <v>0</v>
      </c>
      <c r="N193" t="n">
        <v>0</v>
      </c>
      <c r="O193" t="n">
        <v>0</v>
      </c>
      <c r="P193" t="n">
        <v>0</v>
      </c>
      <c r="Q193" t="inlineStr">
        <is>
          <t>SHRA Energy Efficient Multi-Family (Apt/Townhouse/Duplex) — user screenshot, 2025-04-01</t>
        </is>
      </c>
      <c r="R193" t="inlineStr">
        <is>
          <t>Populated</t>
        </is>
      </c>
    </row>
    <row r="194">
      <c r="A194" t="inlineStr">
        <is>
          <t>Sacramento Housing &amp; Redevelopment Agency (SHRA)</t>
        </is>
      </c>
      <c r="B194" t="inlineStr">
        <is>
          <t>Sacramento (City/County)</t>
        </is>
      </c>
      <c r="C194" t="inlineStr">
        <is>
          <t>2025-04-01</t>
        </is>
      </c>
      <c r="D194" t="inlineStr">
        <is>
          <t>Multi-Family</t>
        </is>
      </c>
      <c r="E194" t="inlineStr">
        <is>
          <t>Multifamily</t>
        </is>
      </c>
      <c r="F194" t="inlineStr">
        <is>
          <t>Trash Collection</t>
        </is>
      </c>
      <c r="G194" t="inlineStr">
        <is>
          <t>—</t>
        </is>
      </c>
      <c r="H194" t="inlineStr">
        <is>
          <t>Trash Collection</t>
        </is>
      </c>
      <c r="I194" t="n">
        <v>54</v>
      </c>
      <c r="J194" t="n">
        <v>54</v>
      </c>
      <c r="K194" t="n">
        <v>54</v>
      </c>
      <c r="L194" t="n">
        <v>54</v>
      </c>
      <c r="M194" t="n">
        <v>54</v>
      </c>
      <c r="N194" t="n">
        <v>54</v>
      </c>
      <c r="O194" t="n">
        <v>0</v>
      </c>
      <c r="P194" t="n">
        <v>0</v>
      </c>
      <c r="Q194" t="inlineStr">
        <is>
          <t>SHRA Energy Efficient Multi-Family (Apt/Townhouse/Duplex) — user screenshot, 2025-04-01</t>
        </is>
      </c>
      <c r="R194" t="inlineStr">
        <is>
          <t>Populated</t>
        </is>
      </c>
    </row>
    <row r="195">
      <c r="A195" t="inlineStr">
        <is>
          <t>Sacramento Housing &amp; Redevelopment Agency (SHRA)</t>
        </is>
      </c>
      <c r="B195" t="inlineStr">
        <is>
          <t>Sacramento (City/County)</t>
        </is>
      </c>
      <c r="C195" t="inlineStr">
        <is>
          <t>2025-04-01</t>
        </is>
      </c>
      <c r="D195" t="inlineStr">
        <is>
          <t>Multi-Family</t>
        </is>
      </c>
      <c r="E195" t="inlineStr">
        <is>
          <t>Multifamily</t>
        </is>
      </c>
      <c r="F195" t="inlineStr">
        <is>
          <t>Washer</t>
        </is>
      </c>
      <c r="G195" t="inlineStr">
        <is>
          <t>Allowance</t>
        </is>
      </c>
      <c r="H195" t="inlineStr">
        <is>
          <t>Washer - Allowance</t>
        </is>
      </c>
      <c r="I195" t="n">
        <v>0</v>
      </c>
      <c r="J195" t="n">
        <v>0</v>
      </c>
      <c r="K195" t="n">
        <v>0</v>
      </c>
      <c r="L195" t="n">
        <v>0</v>
      </c>
      <c r="M195" t="n">
        <v>0</v>
      </c>
      <c r="N195" t="n">
        <v>0</v>
      </c>
      <c r="O195" t="n">
        <v>0</v>
      </c>
      <c r="P195" t="n">
        <v>0</v>
      </c>
      <c r="Q195" s="190" t="inlineStr">
        <is>
          <t>https://www.shra.org/housing-choice-voucher-program/</t>
        </is>
      </c>
      <c r="R195" t="inlineStr">
        <is>
          <t>Pending / Zero-fill</t>
        </is>
      </c>
    </row>
    <row r="196">
      <c r="A196" t="inlineStr">
        <is>
          <t>Sacramento Housing &amp; Redevelopment Agency (SHRA)</t>
        </is>
      </c>
      <c r="B196" t="inlineStr">
        <is>
          <t>Sacramento (City/County)</t>
        </is>
      </c>
      <c r="C196" t="inlineStr">
        <is>
          <t>2025-04-01</t>
        </is>
      </c>
      <c r="D196" t="inlineStr">
        <is>
          <t>Multi-Family</t>
        </is>
      </c>
      <c r="E196" t="inlineStr">
        <is>
          <t>Multifamily</t>
        </is>
      </c>
      <c r="F196" t="inlineStr">
        <is>
          <t>Water</t>
        </is>
      </c>
      <c r="G196" t="inlineStr">
        <is>
          <t>—</t>
        </is>
      </c>
      <c r="H196" t="inlineStr">
        <is>
          <t>Water</t>
        </is>
      </c>
      <c r="I196" t="n">
        <v>42</v>
      </c>
      <c r="J196" t="n">
        <v>43</v>
      </c>
      <c r="K196" t="n">
        <v>46</v>
      </c>
      <c r="L196" t="n">
        <v>49</v>
      </c>
      <c r="M196" t="n">
        <v>51</v>
      </c>
      <c r="N196" t="n">
        <v>54</v>
      </c>
      <c r="O196" t="n">
        <v>0</v>
      </c>
      <c r="P196" t="n">
        <v>0</v>
      </c>
      <c r="Q196" t="inlineStr">
        <is>
          <t>SHRA Energy Efficient Multi-Family (Apt/Townhouse/Duplex) — user screenshot, 2025-04-01</t>
        </is>
      </c>
      <c r="R196" t="inlineStr">
        <is>
          <t>Populated</t>
        </is>
      </c>
    </row>
    <row r="197">
      <c r="A197" t="inlineStr">
        <is>
          <t>Sacramento Housing &amp; Redevelopment Agency (SHRA)</t>
        </is>
      </c>
      <c r="B197" t="inlineStr">
        <is>
          <t>Sacramento (City/County)</t>
        </is>
      </c>
      <c r="C197" t="inlineStr">
        <is>
          <t>2025-04-01</t>
        </is>
      </c>
      <c r="D197" t="inlineStr">
        <is>
          <t>Multi-Family</t>
        </is>
      </c>
      <c r="E197" t="inlineStr">
        <is>
          <t>Multifamily</t>
        </is>
      </c>
      <c r="F197" t="inlineStr">
        <is>
          <t>Water Heating</t>
        </is>
      </c>
      <c r="G197" t="inlineStr">
        <is>
          <t>Electric</t>
        </is>
      </c>
      <c r="H197" t="inlineStr">
        <is>
          <t>Water Heating - Electric</t>
        </is>
      </c>
      <c r="I197" t="n">
        <v>21</v>
      </c>
      <c r="J197" t="n">
        <v>25</v>
      </c>
      <c r="K197" t="n">
        <v>32</v>
      </c>
      <c r="L197" t="n">
        <v>39</v>
      </c>
      <c r="M197" t="n">
        <v>46</v>
      </c>
      <c r="N197" t="n">
        <v>53</v>
      </c>
      <c r="O197" t="n">
        <v>0</v>
      </c>
      <c r="P197" t="n">
        <v>0</v>
      </c>
      <c r="Q197" t="inlineStr">
        <is>
          <t>SHRA Energy Efficient Multi-Family (Apt/Townhouse/Duplex) — user screenshot, 2025-04-01</t>
        </is>
      </c>
      <c r="R197" t="inlineStr">
        <is>
          <t>Populated</t>
        </is>
      </c>
    </row>
    <row r="198">
      <c r="A198" t="inlineStr">
        <is>
          <t>Sacramento Housing &amp; Redevelopment Agency (SHRA)</t>
        </is>
      </c>
      <c r="B198" t="inlineStr">
        <is>
          <t>Sacramento (City/County)</t>
        </is>
      </c>
      <c r="C198" t="inlineStr">
        <is>
          <t>2025-04-01</t>
        </is>
      </c>
      <c r="D198" t="inlineStr">
        <is>
          <t>Multi-Family</t>
        </is>
      </c>
      <c r="E198" t="inlineStr">
        <is>
          <t>Multifamily</t>
        </is>
      </c>
      <c r="F198" t="inlineStr">
        <is>
          <t>Water Heating</t>
        </is>
      </c>
      <c r="G198" t="inlineStr">
        <is>
          <t>Natural Gas</t>
        </is>
      </c>
      <c r="H198" t="inlineStr">
        <is>
          <t>Water Heating - Natural Gas</t>
        </is>
      </c>
      <c r="I198" t="n">
        <v>10</v>
      </c>
      <c r="J198" t="n">
        <v>12</v>
      </c>
      <c r="K198" t="n">
        <v>16</v>
      </c>
      <c r="L198" t="n">
        <v>22</v>
      </c>
      <c r="M198" t="n">
        <v>28</v>
      </c>
      <c r="N198" t="n">
        <v>32</v>
      </c>
      <c r="O198" t="n">
        <v>0</v>
      </c>
      <c r="P198" t="n">
        <v>0</v>
      </c>
      <c r="Q198" t="inlineStr">
        <is>
          <t>SHRA Energy Efficient Multi-Family (Apt/Townhouse/Duplex) — user screenshot, 2025-04-01</t>
        </is>
      </c>
      <c r="R198" t="inlineStr">
        <is>
          <t>Populated</t>
        </is>
      </c>
    </row>
    <row r="199">
      <c r="A199" t="inlineStr">
        <is>
          <t>Sacramento Housing &amp; Redevelopment Agency (SHRA)</t>
        </is>
      </c>
      <c r="B199" t="inlineStr">
        <is>
          <t>Sacramento (City/County)</t>
        </is>
      </c>
      <c r="C199" t="inlineStr">
        <is>
          <t>2025-04-01</t>
        </is>
      </c>
      <c r="D199" t="inlineStr">
        <is>
          <t>Multi-Family</t>
        </is>
      </c>
      <c r="E199" t="inlineStr">
        <is>
          <t>Multifamily</t>
        </is>
      </c>
      <c r="F199" t="inlineStr">
        <is>
          <t>Water Heating</t>
        </is>
      </c>
      <c r="G199" t="inlineStr">
        <is>
          <t>Oil/Propane</t>
        </is>
      </c>
      <c r="H199" t="inlineStr">
        <is>
          <t>Water Heating - Oil/Propane</t>
        </is>
      </c>
      <c r="I199" t="n">
        <v>0</v>
      </c>
      <c r="J199" t="n">
        <v>0</v>
      </c>
      <c r="K199" t="n">
        <v>0</v>
      </c>
      <c r="L199" t="n">
        <v>0</v>
      </c>
      <c r="M199" t="n">
        <v>0</v>
      </c>
      <c r="N199" t="n">
        <v>0</v>
      </c>
      <c r="O199" t="n">
        <v>0</v>
      </c>
      <c r="P199" t="n">
        <v>0</v>
      </c>
      <c r="Q199" s="190" t="inlineStr">
        <is>
          <t>https://www.shra.org/housing-choice-voucher-program/</t>
        </is>
      </c>
      <c r="R199" t="inlineStr">
        <is>
          <t>Pending / Zero-fill</t>
        </is>
      </c>
    </row>
    <row r="200">
      <c r="A200" t="inlineStr">
        <is>
          <t>Sacramento Housing &amp; Redevelopment Agency (SHRA)</t>
        </is>
      </c>
      <c r="B200" t="inlineStr">
        <is>
          <t>Sacramento (City/County)</t>
        </is>
      </c>
      <c r="C200" t="inlineStr">
        <is>
          <t>2025-04-01</t>
        </is>
      </c>
      <c r="D200" t="inlineStr">
        <is>
          <t>Single-Family</t>
        </is>
      </c>
      <c r="E200" t="inlineStr">
        <is>
          <t>Single-Family</t>
        </is>
      </c>
      <c r="F200" t="inlineStr">
        <is>
          <t>Air Conditioning</t>
        </is>
      </c>
      <c r="G200" t="inlineStr">
        <is>
          <t>Electric</t>
        </is>
      </c>
      <c r="H200" t="inlineStr">
        <is>
          <t>Air Conditioning - Electric</t>
        </is>
      </c>
      <c r="I200" t="n">
        <v>0</v>
      </c>
      <c r="J200" t="n">
        <v>0</v>
      </c>
      <c r="K200" t="n">
        <v>0</v>
      </c>
      <c r="L200" t="n">
        <v>0</v>
      </c>
      <c r="M200" t="n">
        <v>0</v>
      </c>
      <c r="N200" t="n">
        <v>0</v>
      </c>
      <c r="O200" t="n">
        <v>0</v>
      </c>
      <c r="P200" t="n">
        <v>0</v>
      </c>
      <c r="Q200" s="190" t="inlineStr">
        <is>
          <t>https://www.shra.org/housing-choice-voucher-program/</t>
        </is>
      </c>
      <c r="R200" t="inlineStr">
        <is>
          <t>Pending / Zero-fill</t>
        </is>
      </c>
    </row>
    <row r="201">
      <c r="A201" t="inlineStr">
        <is>
          <t>Sacramento Housing &amp; Redevelopment Agency (SHRA)</t>
        </is>
      </c>
      <c r="B201" t="inlineStr">
        <is>
          <t>Sacramento (City/County)</t>
        </is>
      </c>
      <c r="C201" t="inlineStr">
        <is>
          <t>2025-04-01</t>
        </is>
      </c>
      <c r="D201" t="inlineStr">
        <is>
          <t>Single-Family</t>
        </is>
      </c>
      <c r="E201" t="inlineStr">
        <is>
          <t>Single-Family</t>
        </is>
      </c>
      <c r="F201" t="inlineStr">
        <is>
          <t>Air Conditioning</t>
        </is>
      </c>
      <c r="G201" t="inlineStr">
        <is>
          <t>Evaporative Cooler</t>
        </is>
      </c>
      <c r="H201" t="inlineStr">
        <is>
          <t>Air Conditioning - Evaporative Cooler</t>
        </is>
      </c>
      <c r="I201" t="n">
        <v>0</v>
      </c>
      <c r="J201" t="n">
        <v>0</v>
      </c>
      <c r="K201" t="n">
        <v>0</v>
      </c>
      <c r="L201" t="n">
        <v>0</v>
      </c>
      <c r="M201" t="n">
        <v>0</v>
      </c>
      <c r="N201" t="n">
        <v>0</v>
      </c>
      <c r="O201" t="n">
        <v>0</v>
      </c>
      <c r="P201" t="n">
        <v>0</v>
      </c>
      <c r="Q201" s="190" t="inlineStr">
        <is>
          <t>https://www.shra.org/housing-choice-voucher-program/</t>
        </is>
      </c>
      <c r="R201" t="inlineStr">
        <is>
          <t>Pending / Zero-fill</t>
        </is>
      </c>
    </row>
    <row r="202">
      <c r="A202" t="inlineStr">
        <is>
          <t>Sacramento Housing &amp; Redevelopment Agency (SHRA)</t>
        </is>
      </c>
      <c r="B202" t="inlineStr">
        <is>
          <t>Sacramento (City/County)</t>
        </is>
      </c>
      <c r="C202" t="inlineStr">
        <is>
          <t>2025-04-01</t>
        </is>
      </c>
      <c r="D202" t="inlineStr">
        <is>
          <t>Single-Family</t>
        </is>
      </c>
      <c r="E202" t="inlineStr">
        <is>
          <t>Single-Family</t>
        </is>
      </c>
      <c r="F202" t="inlineStr">
        <is>
          <t>Cooking</t>
        </is>
      </c>
      <c r="G202" t="inlineStr">
        <is>
          <t>Electric</t>
        </is>
      </c>
      <c r="H202" t="inlineStr">
        <is>
          <t>Cooking - Electric</t>
        </is>
      </c>
      <c r="I202" t="n">
        <v>0</v>
      </c>
      <c r="J202" t="n">
        <v>0</v>
      </c>
      <c r="K202" t="n">
        <v>0</v>
      </c>
      <c r="L202" t="n">
        <v>0</v>
      </c>
      <c r="M202" t="n">
        <v>0</v>
      </c>
      <c r="N202" t="n">
        <v>0</v>
      </c>
      <c r="O202" t="n">
        <v>0</v>
      </c>
      <c r="P202" t="n">
        <v>0</v>
      </c>
      <c r="Q202" s="190" t="inlineStr">
        <is>
          <t>https://www.shra.org/housing-choice-voucher-program/</t>
        </is>
      </c>
      <c r="R202" t="inlineStr">
        <is>
          <t>Pending / Zero-fill</t>
        </is>
      </c>
    </row>
    <row r="203">
      <c r="A203" t="inlineStr">
        <is>
          <t>Sacramento Housing &amp; Redevelopment Agency (SHRA)</t>
        </is>
      </c>
      <c r="B203" t="inlineStr">
        <is>
          <t>Sacramento (City/County)</t>
        </is>
      </c>
      <c r="C203" t="inlineStr">
        <is>
          <t>2025-04-01</t>
        </is>
      </c>
      <c r="D203" t="inlineStr">
        <is>
          <t>Single-Family</t>
        </is>
      </c>
      <c r="E203" t="inlineStr">
        <is>
          <t>Single-Family</t>
        </is>
      </c>
      <c r="F203" t="inlineStr">
        <is>
          <t>Cooking</t>
        </is>
      </c>
      <c r="G203" t="inlineStr">
        <is>
          <t>Natural Gas</t>
        </is>
      </c>
      <c r="H203" t="inlineStr">
        <is>
          <t>Cooking - Natural Gas</t>
        </is>
      </c>
      <c r="I203" t="n">
        <v>0</v>
      </c>
      <c r="J203" t="n">
        <v>0</v>
      </c>
      <c r="K203" t="n">
        <v>0</v>
      </c>
      <c r="L203" t="n">
        <v>0</v>
      </c>
      <c r="M203" t="n">
        <v>0</v>
      </c>
      <c r="N203" t="n">
        <v>0</v>
      </c>
      <c r="O203" t="n">
        <v>0</v>
      </c>
      <c r="P203" t="n">
        <v>0</v>
      </c>
      <c r="Q203" s="190" t="inlineStr">
        <is>
          <t>https://www.shra.org/housing-choice-voucher-program/</t>
        </is>
      </c>
      <c r="R203" t="inlineStr">
        <is>
          <t>Pending / Zero-fill</t>
        </is>
      </c>
    </row>
    <row r="204">
      <c r="A204" t="inlineStr">
        <is>
          <t>Sacramento Housing &amp; Redevelopment Agency (SHRA)</t>
        </is>
      </c>
      <c r="B204" t="inlineStr">
        <is>
          <t>Sacramento (City/County)</t>
        </is>
      </c>
      <c r="C204" t="inlineStr">
        <is>
          <t>2025-04-01</t>
        </is>
      </c>
      <c r="D204" t="inlineStr">
        <is>
          <t>Single-Family</t>
        </is>
      </c>
      <c r="E204" t="inlineStr">
        <is>
          <t>Single-Family</t>
        </is>
      </c>
      <c r="F204" t="inlineStr">
        <is>
          <t>Dishwasher</t>
        </is>
      </c>
      <c r="G204" t="inlineStr">
        <is>
          <t>Allowance</t>
        </is>
      </c>
      <c r="H204" t="inlineStr">
        <is>
          <t>Dishwasher - Allowance</t>
        </is>
      </c>
      <c r="I204" t="n">
        <v>0</v>
      </c>
      <c r="J204" t="n">
        <v>0</v>
      </c>
      <c r="K204" t="n">
        <v>0</v>
      </c>
      <c r="L204" t="n">
        <v>0</v>
      </c>
      <c r="M204" t="n">
        <v>0</v>
      </c>
      <c r="N204" t="n">
        <v>0</v>
      </c>
      <c r="O204" t="n">
        <v>0</v>
      </c>
      <c r="P204" t="n">
        <v>0</v>
      </c>
      <c r="Q204" s="190" t="inlineStr">
        <is>
          <t>https://www.shra.org/housing-choice-voucher-program/</t>
        </is>
      </c>
      <c r="R204" t="inlineStr">
        <is>
          <t>Pending / Zero-fill</t>
        </is>
      </c>
    </row>
    <row r="205">
      <c r="A205" t="inlineStr">
        <is>
          <t>Sacramento Housing &amp; Redevelopment Agency (SHRA)</t>
        </is>
      </c>
      <c r="B205" t="inlineStr">
        <is>
          <t>Sacramento (City/County)</t>
        </is>
      </c>
      <c r="C205" t="inlineStr">
        <is>
          <t>2025-04-01</t>
        </is>
      </c>
      <c r="D205" t="inlineStr">
        <is>
          <t>Single-Family</t>
        </is>
      </c>
      <c r="E205" t="inlineStr">
        <is>
          <t>Single-Family</t>
        </is>
      </c>
      <c r="F205" t="inlineStr">
        <is>
          <t>Dryer</t>
        </is>
      </c>
      <c r="G205" t="inlineStr">
        <is>
          <t>Allowance</t>
        </is>
      </c>
      <c r="H205" t="inlineStr">
        <is>
          <t>Dryer - Allowance</t>
        </is>
      </c>
      <c r="I205" t="n">
        <v>0</v>
      </c>
      <c r="J205" t="n">
        <v>0</v>
      </c>
      <c r="K205" t="n">
        <v>0</v>
      </c>
      <c r="L205" t="n">
        <v>0</v>
      </c>
      <c r="M205" t="n">
        <v>0</v>
      </c>
      <c r="N205" t="n">
        <v>0</v>
      </c>
      <c r="O205" t="n">
        <v>0</v>
      </c>
      <c r="P205" t="n">
        <v>0</v>
      </c>
      <c r="Q205" s="190" t="inlineStr">
        <is>
          <t>https://www.shra.org/housing-choice-voucher-program/</t>
        </is>
      </c>
      <c r="R205" t="inlineStr">
        <is>
          <t>Pending / Zero-fill</t>
        </is>
      </c>
    </row>
    <row r="206">
      <c r="A206" t="inlineStr">
        <is>
          <t>Sacramento Housing &amp; Redevelopment Agency (SHRA)</t>
        </is>
      </c>
      <c r="B206" t="inlineStr">
        <is>
          <t>Sacramento (City/County)</t>
        </is>
      </c>
      <c r="C206" t="inlineStr">
        <is>
          <t>2025-04-01</t>
        </is>
      </c>
      <c r="D206" t="inlineStr">
        <is>
          <t>Single-Family</t>
        </is>
      </c>
      <c r="E206" t="inlineStr">
        <is>
          <t>Single-Family</t>
        </is>
      </c>
      <c r="F206" t="inlineStr">
        <is>
          <t>Freezer</t>
        </is>
      </c>
      <c r="G206" t="inlineStr">
        <is>
          <t>Allowance</t>
        </is>
      </c>
      <c r="H206" t="inlineStr">
        <is>
          <t>Freezer - Allowance</t>
        </is>
      </c>
      <c r="I206" t="n">
        <v>0</v>
      </c>
      <c r="J206" t="n">
        <v>0</v>
      </c>
      <c r="K206" t="n">
        <v>0</v>
      </c>
      <c r="L206" t="n">
        <v>0</v>
      </c>
      <c r="M206" t="n">
        <v>0</v>
      </c>
      <c r="N206" t="n">
        <v>0</v>
      </c>
      <c r="O206" t="n">
        <v>0</v>
      </c>
      <c r="P206" t="n">
        <v>0</v>
      </c>
      <c r="Q206" s="190" t="inlineStr">
        <is>
          <t>https://www.shra.org/housing-choice-voucher-program/</t>
        </is>
      </c>
      <c r="R206" t="inlineStr">
        <is>
          <t>Pending / Zero-fill</t>
        </is>
      </c>
    </row>
    <row r="207">
      <c r="A207" t="inlineStr">
        <is>
          <t>Sacramento Housing &amp; Redevelopment Agency (SHRA)</t>
        </is>
      </c>
      <c r="B207" t="inlineStr">
        <is>
          <t>Sacramento (City/County)</t>
        </is>
      </c>
      <c r="C207" t="inlineStr">
        <is>
          <t>2025-04-01</t>
        </is>
      </c>
      <c r="D207" t="inlineStr">
        <is>
          <t>Single-Family</t>
        </is>
      </c>
      <c r="E207" t="inlineStr">
        <is>
          <t>Single-Family</t>
        </is>
      </c>
      <c r="F207" t="inlineStr">
        <is>
          <t>Other - Specify</t>
        </is>
      </c>
      <c r="G207" t="inlineStr">
        <is>
          <t>Lifeline / Baseline Credit</t>
        </is>
      </c>
      <c r="H207" t="inlineStr">
        <is>
          <t>Other - Specify - Lifeline / Baseline Credit</t>
        </is>
      </c>
      <c r="I207" t="n">
        <v>0</v>
      </c>
      <c r="J207" t="n">
        <v>0</v>
      </c>
      <c r="K207" t="n">
        <v>0</v>
      </c>
      <c r="L207" t="n">
        <v>0</v>
      </c>
      <c r="M207" t="n">
        <v>0</v>
      </c>
      <c r="N207" t="n">
        <v>0</v>
      </c>
      <c r="O207" t="n">
        <v>0</v>
      </c>
      <c r="P207" t="n">
        <v>0</v>
      </c>
      <c r="Q207" s="190" t="inlineStr">
        <is>
          <t>https://www.shra.org/housing-choice-voucher-program/</t>
        </is>
      </c>
      <c r="R207" t="inlineStr">
        <is>
          <t>Pending / Zero-fill</t>
        </is>
      </c>
    </row>
    <row r="208">
      <c r="A208" t="inlineStr">
        <is>
          <t>Sacramento Housing &amp; Redevelopment Agency (SHRA)</t>
        </is>
      </c>
      <c r="B208" t="inlineStr">
        <is>
          <t>Sacramento (City/County)</t>
        </is>
      </c>
      <c r="C208" t="inlineStr">
        <is>
          <t>2025-04-01</t>
        </is>
      </c>
      <c r="D208" t="inlineStr">
        <is>
          <t>Single-Family</t>
        </is>
      </c>
      <c r="E208" t="inlineStr">
        <is>
          <t>Single-Family</t>
        </is>
      </c>
      <c r="F208" t="inlineStr">
        <is>
          <t>Other - Specify</t>
        </is>
      </c>
      <c r="G208" t="inlineStr">
        <is>
          <t>Solar/PV Credit</t>
        </is>
      </c>
      <c r="H208" t="inlineStr">
        <is>
          <t>Other - Specify - Solar/PV Credit</t>
        </is>
      </c>
      <c r="I208" t="n">
        <v>0</v>
      </c>
      <c r="J208" t="n">
        <v>0</v>
      </c>
      <c r="K208" t="n">
        <v>0</v>
      </c>
      <c r="L208" t="n">
        <v>0</v>
      </c>
      <c r="M208" t="n">
        <v>0</v>
      </c>
      <c r="N208" t="n">
        <v>0</v>
      </c>
      <c r="O208" t="n">
        <v>0</v>
      </c>
      <c r="P208" t="n">
        <v>0</v>
      </c>
      <c r="Q208" s="190" t="inlineStr">
        <is>
          <t>https://www.shra.org/housing-choice-voucher-program/</t>
        </is>
      </c>
      <c r="R208" t="inlineStr">
        <is>
          <t>Pending / Zero-fill</t>
        </is>
      </c>
    </row>
    <row r="209">
      <c r="A209" t="inlineStr">
        <is>
          <t>Sacramento Housing &amp; Redevelopment Agency (SHRA)</t>
        </is>
      </c>
      <c r="B209" t="inlineStr">
        <is>
          <t>Sacramento (City/County)</t>
        </is>
      </c>
      <c r="C209" t="inlineStr">
        <is>
          <t>2025-04-01</t>
        </is>
      </c>
      <c r="D209" t="inlineStr">
        <is>
          <t>Single-Family</t>
        </is>
      </c>
      <c r="E209" t="inlineStr">
        <is>
          <t>Single-Family</t>
        </is>
      </c>
      <c r="F209" t="inlineStr">
        <is>
          <t>Other - Specify</t>
        </is>
      </c>
      <c r="G209" t="inlineStr">
        <is>
          <t>Utility Customer Charge / Fee</t>
        </is>
      </c>
      <c r="H209" t="inlineStr">
        <is>
          <t>Other - Specify - Utility Customer Charge / Fee</t>
        </is>
      </c>
      <c r="I209" t="n">
        <v>0</v>
      </c>
      <c r="J209" t="n">
        <v>0</v>
      </c>
      <c r="K209" t="n">
        <v>0</v>
      </c>
      <c r="L209" t="n">
        <v>0</v>
      </c>
      <c r="M209" t="n">
        <v>0</v>
      </c>
      <c r="N209" t="n">
        <v>0</v>
      </c>
      <c r="O209" t="n">
        <v>0</v>
      </c>
      <c r="P209" t="n">
        <v>0</v>
      </c>
      <c r="Q209" s="190" t="inlineStr">
        <is>
          <t>https://www.shra.org/housing-choice-voucher-program/</t>
        </is>
      </c>
      <c r="R209" t="inlineStr">
        <is>
          <t>Pending / Zero-fill</t>
        </is>
      </c>
    </row>
    <row r="210">
      <c r="A210" t="inlineStr">
        <is>
          <t>Sacramento Housing &amp; Redevelopment Agency (SHRA)</t>
        </is>
      </c>
      <c r="B210" t="inlineStr">
        <is>
          <t>Sacramento (City/County)</t>
        </is>
      </c>
      <c r="C210" t="inlineStr">
        <is>
          <t>2025-04-01</t>
        </is>
      </c>
      <c r="D210" t="inlineStr">
        <is>
          <t>Single-Family</t>
        </is>
      </c>
      <c r="E210" t="inlineStr">
        <is>
          <t>Single-Family</t>
        </is>
      </c>
      <c r="F210" t="inlineStr">
        <is>
          <t>Other Electric</t>
        </is>
      </c>
      <c r="G210" t="inlineStr">
        <is>
          <t>Electric (Lights/Plugs)</t>
        </is>
      </c>
      <c r="H210" t="inlineStr">
        <is>
          <t>Other Electric - Electric (Lights/Plugs)</t>
        </is>
      </c>
      <c r="I210" t="n">
        <v>0</v>
      </c>
      <c r="J210" t="n">
        <v>0</v>
      </c>
      <c r="K210" t="n">
        <v>0</v>
      </c>
      <c r="L210" t="n">
        <v>0</v>
      </c>
      <c r="M210" t="n">
        <v>0</v>
      </c>
      <c r="N210" t="n">
        <v>0</v>
      </c>
      <c r="O210" t="n">
        <v>0</v>
      </c>
      <c r="P210" t="n">
        <v>0</v>
      </c>
      <c r="Q210" s="190" t="inlineStr">
        <is>
          <t>https://www.shra.org/housing-choice-voucher-program/</t>
        </is>
      </c>
      <c r="R210" t="inlineStr">
        <is>
          <t>Pending / Zero-fill</t>
        </is>
      </c>
    </row>
    <row r="211">
      <c r="A211" t="inlineStr">
        <is>
          <t>Sacramento Housing &amp; Redevelopment Agency (SHRA)</t>
        </is>
      </c>
      <c r="B211" t="inlineStr">
        <is>
          <t>Sacramento (City/County)</t>
        </is>
      </c>
      <c r="C211" t="inlineStr">
        <is>
          <t>2025-04-01</t>
        </is>
      </c>
      <c r="D211" t="inlineStr">
        <is>
          <t>Single-Family</t>
        </is>
      </c>
      <c r="E211" t="inlineStr">
        <is>
          <t>Single-Family</t>
        </is>
      </c>
      <c r="F211" t="inlineStr">
        <is>
          <t>Range/Microwave</t>
        </is>
      </c>
      <c r="G211" t="inlineStr">
        <is>
          <t>Allowance</t>
        </is>
      </c>
      <c r="H211" t="inlineStr">
        <is>
          <t>Range/Microwave - Allowance</t>
        </is>
      </c>
      <c r="I211" t="n">
        <v>0</v>
      </c>
      <c r="J211" t="n">
        <v>0</v>
      </c>
      <c r="K211" t="n">
        <v>0</v>
      </c>
      <c r="L211" t="n">
        <v>0</v>
      </c>
      <c r="M211" t="n">
        <v>0</v>
      </c>
      <c r="N211" t="n">
        <v>0</v>
      </c>
      <c r="O211" t="n">
        <v>0</v>
      </c>
      <c r="P211" t="n">
        <v>0</v>
      </c>
      <c r="Q211" s="190" t="inlineStr">
        <is>
          <t>https://www.shra.org/housing-choice-voucher-program/</t>
        </is>
      </c>
      <c r="R211" t="inlineStr">
        <is>
          <t>Pending / Zero-fill</t>
        </is>
      </c>
    </row>
    <row r="212">
      <c r="A212" t="inlineStr">
        <is>
          <t>Sacramento Housing &amp; Redevelopment Agency (SHRA)</t>
        </is>
      </c>
      <c r="B212" t="inlineStr">
        <is>
          <t>Sacramento (City/County)</t>
        </is>
      </c>
      <c r="C212" t="inlineStr">
        <is>
          <t>2025-04-01</t>
        </is>
      </c>
      <c r="D212" t="inlineStr">
        <is>
          <t>Single-Family</t>
        </is>
      </c>
      <c r="E212" t="inlineStr">
        <is>
          <t>Single-Family</t>
        </is>
      </c>
      <c r="F212" t="inlineStr">
        <is>
          <t>Refrigerator</t>
        </is>
      </c>
      <c r="G212" t="inlineStr">
        <is>
          <t>Allowance</t>
        </is>
      </c>
      <c r="H212" t="inlineStr">
        <is>
          <t>Refrigerator - Allowance</t>
        </is>
      </c>
      <c r="I212" t="n">
        <v>0</v>
      </c>
      <c r="J212" t="n">
        <v>0</v>
      </c>
      <c r="K212" t="n">
        <v>0</v>
      </c>
      <c r="L212" t="n">
        <v>0</v>
      </c>
      <c r="M212" t="n">
        <v>0</v>
      </c>
      <c r="N212" t="n">
        <v>0</v>
      </c>
      <c r="O212" t="n">
        <v>0</v>
      </c>
      <c r="P212" t="n">
        <v>0</v>
      </c>
      <c r="Q212" s="190" t="inlineStr">
        <is>
          <t>https://www.shra.org/housing-choice-voucher-program/</t>
        </is>
      </c>
      <c r="R212" t="inlineStr">
        <is>
          <t>Pending / Zero-fill</t>
        </is>
      </c>
    </row>
    <row r="213">
      <c r="A213" t="inlineStr">
        <is>
          <t>Sacramento Housing &amp; Redevelopment Agency (SHRA)</t>
        </is>
      </c>
      <c r="B213" t="inlineStr">
        <is>
          <t>Sacramento (City/County)</t>
        </is>
      </c>
      <c r="C213" t="inlineStr">
        <is>
          <t>2025-04-01</t>
        </is>
      </c>
      <c r="D213" t="inlineStr">
        <is>
          <t>Single-Family</t>
        </is>
      </c>
      <c r="E213" t="inlineStr">
        <is>
          <t>Single-Family</t>
        </is>
      </c>
      <c r="F213" t="inlineStr">
        <is>
          <t>Sewer</t>
        </is>
      </c>
      <c r="G213" t="inlineStr">
        <is>
          <t>—</t>
        </is>
      </c>
      <c r="H213" t="inlineStr">
        <is>
          <t>Sewer</t>
        </is>
      </c>
      <c r="I213" t="n">
        <v>0</v>
      </c>
      <c r="J213" t="n">
        <v>0</v>
      </c>
      <c r="K213" t="n">
        <v>0</v>
      </c>
      <c r="L213" t="n">
        <v>0</v>
      </c>
      <c r="M213" t="n">
        <v>0</v>
      </c>
      <c r="N213" t="n">
        <v>0</v>
      </c>
      <c r="O213" t="n">
        <v>0</v>
      </c>
      <c r="P213" t="n">
        <v>0</v>
      </c>
      <c r="Q213" s="190" t="inlineStr">
        <is>
          <t>https://www.shra.org/housing-choice-voucher-program/</t>
        </is>
      </c>
      <c r="R213" t="inlineStr">
        <is>
          <t>Pending / Zero-fill</t>
        </is>
      </c>
    </row>
    <row r="214">
      <c r="A214" t="inlineStr">
        <is>
          <t>Sacramento Housing &amp; Redevelopment Agency (SHRA)</t>
        </is>
      </c>
      <c r="B214" t="inlineStr">
        <is>
          <t>Sacramento (City/County)</t>
        </is>
      </c>
      <c r="C214" t="inlineStr">
        <is>
          <t>2025-04-01</t>
        </is>
      </c>
      <c r="D214" t="inlineStr">
        <is>
          <t>Single-Family</t>
        </is>
      </c>
      <c r="E214" t="inlineStr">
        <is>
          <t>Single-Family</t>
        </is>
      </c>
      <c r="F214" t="inlineStr">
        <is>
          <t>Space Heating</t>
        </is>
      </c>
      <c r="G214" t="inlineStr">
        <is>
          <t>Electric</t>
        </is>
      </c>
      <c r="H214" t="inlineStr">
        <is>
          <t>Space Heating - Electric</t>
        </is>
      </c>
      <c r="I214" t="n">
        <v>0</v>
      </c>
      <c r="J214" t="n">
        <v>0</v>
      </c>
      <c r="K214" t="n">
        <v>0</v>
      </c>
      <c r="L214" t="n">
        <v>0</v>
      </c>
      <c r="M214" t="n">
        <v>0</v>
      </c>
      <c r="N214" t="n">
        <v>0</v>
      </c>
      <c r="O214" t="n">
        <v>0</v>
      </c>
      <c r="P214" t="n">
        <v>0</v>
      </c>
      <c r="Q214" s="190" t="inlineStr">
        <is>
          <t>https://www.shra.org/housing-choice-voucher-program/</t>
        </is>
      </c>
      <c r="R214" t="inlineStr">
        <is>
          <t>Pending / Zero-fill</t>
        </is>
      </c>
    </row>
    <row r="215">
      <c r="A215" t="inlineStr">
        <is>
          <t>Sacramento Housing &amp; Redevelopment Agency (SHRA)</t>
        </is>
      </c>
      <c r="B215" t="inlineStr">
        <is>
          <t>Sacramento (City/County)</t>
        </is>
      </c>
      <c r="C215" t="inlineStr">
        <is>
          <t>2025-04-01</t>
        </is>
      </c>
      <c r="D215" t="inlineStr">
        <is>
          <t>Single-Family</t>
        </is>
      </c>
      <c r="E215" t="inlineStr">
        <is>
          <t>Single-Family</t>
        </is>
      </c>
      <c r="F215" t="inlineStr">
        <is>
          <t>Space Heating</t>
        </is>
      </c>
      <c r="G215" t="inlineStr">
        <is>
          <t>Electric - Heat Pump</t>
        </is>
      </c>
      <c r="H215" t="inlineStr">
        <is>
          <t>Space Heating - Electric - Heat Pump</t>
        </is>
      </c>
      <c r="I215" t="n">
        <v>0</v>
      </c>
      <c r="J215" t="n">
        <v>0</v>
      </c>
      <c r="K215" t="n">
        <v>0</v>
      </c>
      <c r="L215" t="n">
        <v>0</v>
      </c>
      <c r="M215" t="n">
        <v>0</v>
      </c>
      <c r="N215" t="n">
        <v>0</v>
      </c>
      <c r="O215" t="n">
        <v>0</v>
      </c>
      <c r="P215" t="n">
        <v>0</v>
      </c>
      <c r="Q215" s="190" t="inlineStr">
        <is>
          <t>https://www.shra.org/housing-choice-voucher-program/</t>
        </is>
      </c>
      <c r="R215" t="inlineStr">
        <is>
          <t>Pending / Zero-fill</t>
        </is>
      </c>
    </row>
    <row r="216">
      <c r="A216" t="inlineStr">
        <is>
          <t>Sacramento Housing &amp; Redevelopment Agency (SHRA)</t>
        </is>
      </c>
      <c r="B216" t="inlineStr">
        <is>
          <t>Sacramento (City/County)</t>
        </is>
      </c>
      <c r="C216" t="inlineStr">
        <is>
          <t>2025-04-01</t>
        </is>
      </c>
      <c r="D216" t="inlineStr">
        <is>
          <t>Single-Family</t>
        </is>
      </c>
      <c r="E216" t="inlineStr">
        <is>
          <t>Single-Family</t>
        </is>
      </c>
      <c r="F216" t="inlineStr">
        <is>
          <t>Space Heating</t>
        </is>
      </c>
      <c r="G216" t="inlineStr">
        <is>
          <t>Natural Gas</t>
        </is>
      </c>
      <c r="H216" t="inlineStr">
        <is>
          <t>Space Heating - Natural Gas</t>
        </is>
      </c>
      <c r="I216" t="n">
        <v>0</v>
      </c>
      <c r="J216" t="n">
        <v>0</v>
      </c>
      <c r="K216" t="n">
        <v>0</v>
      </c>
      <c r="L216" t="n">
        <v>0</v>
      </c>
      <c r="M216" t="n">
        <v>0</v>
      </c>
      <c r="N216" t="n">
        <v>0</v>
      </c>
      <c r="O216" t="n">
        <v>0</v>
      </c>
      <c r="P216" t="n">
        <v>0</v>
      </c>
      <c r="Q216" s="190" t="inlineStr">
        <is>
          <t>https://www.shra.org/housing-choice-voucher-program/</t>
        </is>
      </c>
      <c r="R216" t="inlineStr">
        <is>
          <t>Pending / Zero-fill</t>
        </is>
      </c>
    </row>
    <row r="217">
      <c r="A217" t="inlineStr">
        <is>
          <t>Sacramento Housing &amp; Redevelopment Agency (SHRA)</t>
        </is>
      </c>
      <c r="B217" t="inlineStr">
        <is>
          <t>Sacramento (City/County)</t>
        </is>
      </c>
      <c r="C217" t="inlineStr">
        <is>
          <t>2025-04-01</t>
        </is>
      </c>
      <c r="D217" t="inlineStr">
        <is>
          <t>Single-Family</t>
        </is>
      </c>
      <c r="E217" t="inlineStr">
        <is>
          <t>Single-Family</t>
        </is>
      </c>
      <c r="F217" t="inlineStr">
        <is>
          <t>Space Heating</t>
        </is>
      </c>
      <c r="G217" t="inlineStr">
        <is>
          <t>Oil/Propane</t>
        </is>
      </c>
      <c r="H217" t="inlineStr">
        <is>
          <t>Space Heating - Oil/Propane</t>
        </is>
      </c>
      <c r="I217" t="n">
        <v>0</v>
      </c>
      <c r="J217" t="n">
        <v>0</v>
      </c>
      <c r="K217" t="n">
        <v>0</v>
      </c>
      <c r="L217" t="n">
        <v>0</v>
      </c>
      <c r="M217" t="n">
        <v>0</v>
      </c>
      <c r="N217" t="n">
        <v>0</v>
      </c>
      <c r="O217" t="n">
        <v>0</v>
      </c>
      <c r="P217" t="n">
        <v>0</v>
      </c>
      <c r="Q217" s="190" t="inlineStr">
        <is>
          <t>https://www.shra.org/housing-choice-voucher-program/</t>
        </is>
      </c>
      <c r="R217" t="inlineStr">
        <is>
          <t>Pending / Zero-fill</t>
        </is>
      </c>
    </row>
    <row r="218">
      <c r="A218" t="inlineStr">
        <is>
          <t>Sacramento Housing &amp; Redevelopment Agency (SHRA)</t>
        </is>
      </c>
      <c r="B218" t="inlineStr">
        <is>
          <t>Sacramento (City/County)</t>
        </is>
      </c>
      <c r="C218" t="inlineStr">
        <is>
          <t>2025-04-01</t>
        </is>
      </c>
      <c r="D218" t="inlineStr">
        <is>
          <t>Single-Family</t>
        </is>
      </c>
      <c r="E218" t="inlineStr">
        <is>
          <t>Single-Family</t>
        </is>
      </c>
      <c r="F218" t="inlineStr">
        <is>
          <t>Space Heating</t>
        </is>
      </c>
      <c r="G218" t="inlineStr">
        <is>
          <t>Other/Specify</t>
        </is>
      </c>
      <c r="H218" t="inlineStr">
        <is>
          <t>Space Heating - Other/Specify</t>
        </is>
      </c>
      <c r="I218" t="n">
        <v>0</v>
      </c>
      <c r="J218" t="n">
        <v>0</v>
      </c>
      <c r="K218" t="n">
        <v>0</v>
      </c>
      <c r="L218" t="n">
        <v>0</v>
      </c>
      <c r="M218" t="n">
        <v>0</v>
      </c>
      <c r="N218" t="n">
        <v>0</v>
      </c>
      <c r="O218" t="n">
        <v>0</v>
      </c>
      <c r="P218" t="n">
        <v>0</v>
      </c>
      <c r="Q218" s="190" t="inlineStr">
        <is>
          <t>https://www.shra.org/housing-choice-voucher-program/</t>
        </is>
      </c>
      <c r="R218" t="inlineStr">
        <is>
          <t>Pending / Zero-fill</t>
        </is>
      </c>
    </row>
    <row r="219">
      <c r="A219" t="inlineStr">
        <is>
          <t>Sacramento Housing &amp; Redevelopment Agency (SHRA)</t>
        </is>
      </c>
      <c r="B219" t="inlineStr">
        <is>
          <t>Sacramento (City/County)</t>
        </is>
      </c>
      <c r="C219" t="inlineStr">
        <is>
          <t>2025-04-01</t>
        </is>
      </c>
      <c r="D219" t="inlineStr">
        <is>
          <t>Single-Family</t>
        </is>
      </c>
      <c r="E219" t="inlineStr">
        <is>
          <t>Single-Family</t>
        </is>
      </c>
      <c r="F219" t="inlineStr">
        <is>
          <t>Trash Collection</t>
        </is>
      </c>
      <c r="G219" t="inlineStr">
        <is>
          <t>—</t>
        </is>
      </c>
      <c r="H219" t="inlineStr">
        <is>
          <t>Trash Collection</t>
        </is>
      </c>
      <c r="I219" t="n">
        <v>0</v>
      </c>
      <c r="J219" t="n">
        <v>0</v>
      </c>
      <c r="K219" t="n">
        <v>0</v>
      </c>
      <c r="L219" t="n">
        <v>0</v>
      </c>
      <c r="M219" t="n">
        <v>0</v>
      </c>
      <c r="N219" t="n">
        <v>0</v>
      </c>
      <c r="O219" t="n">
        <v>0</v>
      </c>
      <c r="P219" t="n">
        <v>0</v>
      </c>
      <c r="Q219" s="190" t="inlineStr">
        <is>
          <t>https://www.shra.org/housing-choice-voucher-program/</t>
        </is>
      </c>
      <c r="R219" t="inlineStr">
        <is>
          <t>Pending / Zero-fill</t>
        </is>
      </c>
    </row>
    <row r="220">
      <c r="A220" t="inlineStr">
        <is>
          <t>Sacramento Housing &amp; Redevelopment Agency (SHRA)</t>
        </is>
      </c>
      <c r="B220" t="inlineStr">
        <is>
          <t>Sacramento (City/County)</t>
        </is>
      </c>
      <c r="C220" t="inlineStr">
        <is>
          <t>2025-04-01</t>
        </is>
      </c>
      <c r="D220" t="inlineStr">
        <is>
          <t>Single-Family</t>
        </is>
      </c>
      <c r="E220" t="inlineStr">
        <is>
          <t>Single-Family</t>
        </is>
      </c>
      <c r="F220" t="inlineStr">
        <is>
          <t>Washer</t>
        </is>
      </c>
      <c r="G220" t="inlineStr">
        <is>
          <t>Allowance</t>
        </is>
      </c>
      <c r="H220" t="inlineStr">
        <is>
          <t>Washer - Allowance</t>
        </is>
      </c>
      <c r="I220" t="n">
        <v>0</v>
      </c>
      <c r="J220" t="n">
        <v>0</v>
      </c>
      <c r="K220" t="n">
        <v>0</v>
      </c>
      <c r="L220" t="n">
        <v>0</v>
      </c>
      <c r="M220" t="n">
        <v>0</v>
      </c>
      <c r="N220" t="n">
        <v>0</v>
      </c>
      <c r="O220" t="n">
        <v>0</v>
      </c>
      <c r="P220" t="n">
        <v>0</v>
      </c>
      <c r="Q220" s="190" t="inlineStr">
        <is>
          <t>https://www.shra.org/housing-choice-voucher-program/</t>
        </is>
      </c>
      <c r="R220" t="inlineStr">
        <is>
          <t>Pending / Zero-fill</t>
        </is>
      </c>
    </row>
    <row r="221">
      <c r="A221" t="inlineStr">
        <is>
          <t>Sacramento Housing &amp; Redevelopment Agency (SHRA)</t>
        </is>
      </c>
      <c r="B221" t="inlineStr">
        <is>
          <t>Sacramento (City/County)</t>
        </is>
      </c>
      <c r="C221" t="inlineStr">
        <is>
          <t>2025-04-01</t>
        </is>
      </c>
      <c r="D221" t="inlineStr">
        <is>
          <t>Single-Family</t>
        </is>
      </c>
      <c r="E221" t="inlineStr">
        <is>
          <t>Single-Family</t>
        </is>
      </c>
      <c r="F221" t="inlineStr">
        <is>
          <t>Water</t>
        </is>
      </c>
      <c r="G221" t="inlineStr">
        <is>
          <t>—</t>
        </is>
      </c>
      <c r="H221" t="inlineStr">
        <is>
          <t>Water</t>
        </is>
      </c>
      <c r="I221" t="n">
        <v>0</v>
      </c>
      <c r="J221" t="n">
        <v>0</v>
      </c>
      <c r="K221" t="n">
        <v>0</v>
      </c>
      <c r="L221" t="n">
        <v>0</v>
      </c>
      <c r="M221" t="n">
        <v>0</v>
      </c>
      <c r="N221" t="n">
        <v>0</v>
      </c>
      <c r="O221" t="n">
        <v>0</v>
      </c>
      <c r="P221" t="n">
        <v>0</v>
      </c>
      <c r="Q221" s="190" t="inlineStr">
        <is>
          <t>https://www.shra.org/housing-choice-voucher-program/</t>
        </is>
      </c>
      <c r="R221" t="inlineStr">
        <is>
          <t>Pending / Zero-fill</t>
        </is>
      </c>
    </row>
    <row r="222">
      <c r="A222" t="inlineStr">
        <is>
          <t>Sacramento Housing &amp; Redevelopment Agency (SHRA)</t>
        </is>
      </c>
      <c r="B222" t="inlineStr">
        <is>
          <t>Sacramento (City/County)</t>
        </is>
      </c>
      <c r="C222" t="inlineStr">
        <is>
          <t>2025-04-01</t>
        </is>
      </c>
      <c r="D222" t="inlineStr">
        <is>
          <t>Single-Family</t>
        </is>
      </c>
      <c r="E222" t="inlineStr">
        <is>
          <t>Single-Family</t>
        </is>
      </c>
      <c r="F222" t="inlineStr">
        <is>
          <t>Water Heating</t>
        </is>
      </c>
      <c r="G222" t="inlineStr">
        <is>
          <t>Electric</t>
        </is>
      </c>
      <c r="H222" t="inlineStr">
        <is>
          <t>Water Heating - Electric</t>
        </is>
      </c>
      <c r="I222" t="n">
        <v>0</v>
      </c>
      <c r="J222" t="n">
        <v>0</v>
      </c>
      <c r="K222" t="n">
        <v>0</v>
      </c>
      <c r="L222" t="n">
        <v>0</v>
      </c>
      <c r="M222" t="n">
        <v>0</v>
      </c>
      <c r="N222" t="n">
        <v>0</v>
      </c>
      <c r="O222" t="n">
        <v>0</v>
      </c>
      <c r="P222" t="n">
        <v>0</v>
      </c>
      <c r="Q222" s="190" t="inlineStr">
        <is>
          <t>https://www.shra.org/housing-choice-voucher-program/</t>
        </is>
      </c>
      <c r="R222" t="inlineStr">
        <is>
          <t>Pending / Zero-fill</t>
        </is>
      </c>
    </row>
    <row r="223">
      <c r="A223" t="inlineStr">
        <is>
          <t>Sacramento Housing &amp; Redevelopment Agency (SHRA)</t>
        </is>
      </c>
      <c r="B223" t="inlineStr">
        <is>
          <t>Sacramento (City/County)</t>
        </is>
      </c>
      <c r="C223" t="inlineStr">
        <is>
          <t>2025-04-01</t>
        </is>
      </c>
      <c r="D223" t="inlineStr">
        <is>
          <t>Single-Family</t>
        </is>
      </c>
      <c r="E223" t="inlineStr">
        <is>
          <t>Single-Family</t>
        </is>
      </c>
      <c r="F223" t="inlineStr">
        <is>
          <t>Water Heating</t>
        </is>
      </c>
      <c r="G223" t="inlineStr">
        <is>
          <t>Natural Gas</t>
        </is>
      </c>
      <c r="H223" t="inlineStr">
        <is>
          <t>Water Heating - Natural Gas</t>
        </is>
      </c>
      <c r="I223" t="n">
        <v>0</v>
      </c>
      <c r="J223" t="n">
        <v>0</v>
      </c>
      <c r="K223" t="n">
        <v>0</v>
      </c>
      <c r="L223" t="n">
        <v>0</v>
      </c>
      <c r="M223" t="n">
        <v>0</v>
      </c>
      <c r="N223" t="n">
        <v>0</v>
      </c>
      <c r="O223" t="n">
        <v>0</v>
      </c>
      <c r="P223" t="n">
        <v>0</v>
      </c>
      <c r="Q223" s="190" t="inlineStr">
        <is>
          <t>https://www.shra.org/housing-choice-voucher-program/</t>
        </is>
      </c>
      <c r="R223" t="inlineStr">
        <is>
          <t>Pending / Zero-fill</t>
        </is>
      </c>
    </row>
    <row r="224">
      <c r="A224" t="inlineStr">
        <is>
          <t>Sacramento Housing &amp; Redevelopment Agency (SHRA)</t>
        </is>
      </c>
      <c r="B224" t="inlineStr">
        <is>
          <t>Sacramento (City/County)</t>
        </is>
      </c>
      <c r="C224" t="inlineStr">
        <is>
          <t>2025-04-01</t>
        </is>
      </c>
      <c r="D224" t="inlineStr">
        <is>
          <t>Single-Family</t>
        </is>
      </c>
      <c r="E224" t="inlineStr">
        <is>
          <t>Single-Family</t>
        </is>
      </c>
      <c r="F224" t="inlineStr">
        <is>
          <t>Water Heating</t>
        </is>
      </c>
      <c r="G224" t="inlineStr">
        <is>
          <t>Oil/Propane</t>
        </is>
      </c>
      <c r="H224" t="inlineStr">
        <is>
          <t>Water Heating - Oil/Propane</t>
        </is>
      </c>
      <c r="I224" t="n">
        <v>0</v>
      </c>
      <c r="J224" t="n">
        <v>0</v>
      </c>
      <c r="K224" t="n">
        <v>0</v>
      </c>
      <c r="L224" t="n">
        <v>0</v>
      </c>
      <c r="M224" t="n">
        <v>0</v>
      </c>
      <c r="N224" t="n">
        <v>0</v>
      </c>
      <c r="O224" t="n">
        <v>0</v>
      </c>
      <c r="P224" t="n">
        <v>0</v>
      </c>
      <c r="Q224" s="190" t="inlineStr">
        <is>
          <t>https://www.shra.org/housing-choice-voucher-program/</t>
        </is>
      </c>
      <c r="R224" t="inlineStr">
        <is>
          <t>Pending / Zero-fill</t>
        </is>
      </c>
    </row>
    <row r="225">
      <c r="A225" t="inlineStr">
        <is>
          <t>San Diego Housing Commission (SDHC)</t>
        </is>
      </c>
      <c r="B225" t="inlineStr">
        <is>
          <t>San Diego</t>
        </is>
      </c>
      <c r="C225" t="inlineStr">
        <is>
          <t>2025-04-01</t>
        </is>
      </c>
      <c r="D225" t="inlineStr">
        <is>
          <t>Multi-Family</t>
        </is>
      </c>
      <c r="E225" t="inlineStr">
        <is>
          <t>Multifamily</t>
        </is>
      </c>
      <c r="F225" t="inlineStr">
        <is>
          <t>Air Conditioning</t>
        </is>
      </c>
      <c r="G225" t="inlineStr">
        <is>
          <t>Electric</t>
        </is>
      </c>
      <c r="H225" t="inlineStr">
        <is>
          <t>Air Conditioning - Electric</t>
        </is>
      </c>
      <c r="I225" t="n">
        <v>0</v>
      </c>
      <c r="J225" t="n">
        <v>0</v>
      </c>
      <c r="K225" t="n">
        <v>0</v>
      </c>
      <c r="L225" t="n">
        <v>0</v>
      </c>
      <c r="M225" t="n">
        <v>0</v>
      </c>
      <c r="N225" t="n">
        <v>0</v>
      </c>
      <c r="O225" t="n">
        <v>0</v>
      </c>
      <c r="P225" t="n">
        <v>0</v>
      </c>
      <c r="Q225" s="190" t="inlineStr">
        <is>
          <t>https://sdhc.org/wp-content/uploads/2022/Utility-Allowance-Chart.pdf</t>
        </is>
      </c>
      <c r="R225" t="inlineStr">
        <is>
          <t>Pending / Zero-fill</t>
        </is>
      </c>
    </row>
    <row r="226">
      <c r="A226" t="inlineStr">
        <is>
          <t>San Diego Housing Commission (SDHC)</t>
        </is>
      </c>
      <c r="B226" t="inlineStr">
        <is>
          <t>San Diego</t>
        </is>
      </c>
      <c r="C226" t="inlineStr">
        <is>
          <t>2025-04-01</t>
        </is>
      </c>
      <c r="D226" t="inlineStr">
        <is>
          <t>Multi-Family</t>
        </is>
      </c>
      <c r="E226" t="inlineStr">
        <is>
          <t>Multifamily</t>
        </is>
      </c>
      <c r="F226" t="inlineStr">
        <is>
          <t>Air Conditioning</t>
        </is>
      </c>
      <c r="G226" t="inlineStr">
        <is>
          <t>Evaporative Cooler</t>
        </is>
      </c>
      <c r="H226" t="inlineStr">
        <is>
          <t>Air Conditioning - Evaporative Cooler</t>
        </is>
      </c>
      <c r="I226" t="n">
        <v>0</v>
      </c>
      <c r="J226" t="n">
        <v>0</v>
      </c>
      <c r="K226" t="n">
        <v>0</v>
      </c>
      <c r="L226" t="n">
        <v>0</v>
      </c>
      <c r="M226" t="n">
        <v>0</v>
      </c>
      <c r="N226" t="n">
        <v>0</v>
      </c>
      <c r="O226" t="n">
        <v>0</v>
      </c>
      <c r="P226" t="n">
        <v>0</v>
      </c>
      <c r="Q226" s="190" t="inlineStr">
        <is>
          <t>https://sdhc.org/wp-content/uploads/2022/Utility-Allowance-Chart.pdf</t>
        </is>
      </c>
      <c r="R226" t="inlineStr">
        <is>
          <t>Pending / Zero-fill</t>
        </is>
      </c>
    </row>
    <row r="227">
      <c r="A227" t="inlineStr">
        <is>
          <t>San Diego Housing Commission (SDHC)</t>
        </is>
      </c>
      <c r="B227" t="inlineStr">
        <is>
          <t>San Diego</t>
        </is>
      </c>
      <c r="C227" t="inlineStr">
        <is>
          <t>2025-04-01</t>
        </is>
      </c>
      <c r="D227" t="inlineStr">
        <is>
          <t>Multi-Family</t>
        </is>
      </c>
      <c r="E227" t="inlineStr">
        <is>
          <t>Multifamily</t>
        </is>
      </c>
      <c r="F227" t="inlineStr">
        <is>
          <t>Cooking</t>
        </is>
      </c>
      <c r="G227" t="inlineStr">
        <is>
          <t>Electric</t>
        </is>
      </c>
      <c r="H227" t="inlineStr">
        <is>
          <t>Cooking - Electric</t>
        </is>
      </c>
      <c r="I227" t="n">
        <v>10</v>
      </c>
      <c r="J227" t="n">
        <v>12</v>
      </c>
      <c r="K227" t="n">
        <v>18</v>
      </c>
      <c r="L227" t="n">
        <v>28</v>
      </c>
      <c r="M227" t="n">
        <v>36</v>
      </c>
      <c r="N227" t="n">
        <v>43</v>
      </c>
      <c r="O227" t="n">
        <v>0</v>
      </c>
      <c r="P227" t="n">
        <v>0</v>
      </c>
      <c r="Q227" s="190" t="inlineStr">
        <is>
          <t>https://sdhc.org/wp-content/uploads/2022/Utility-Allowance-Chart.pdf</t>
        </is>
      </c>
      <c r="R227" t="inlineStr">
        <is>
          <t>Populated</t>
        </is>
      </c>
    </row>
    <row r="228">
      <c r="A228" t="inlineStr">
        <is>
          <t>San Diego Housing Commission (SDHC)</t>
        </is>
      </c>
      <c r="B228" t="inlineStr">
        <is>
          <t>San Diego</t>
        </is>
      </c>
      <c r="C228" t="inlineStr">
        <is>
          <t>2025-04-01</t>
        </is>
      </c>
      <c r="D228" t="inlineStr">
        <is>
          <t>Multi-Family</t>
        </is>
      </c>
      <c r="E228" t="inlineStr">
        <is>
          <t>Multifamily</t>
        </is>
      </c>
      <c r="F228" t="inlineStr">
        <is>
          <t>Cooking</t>
        </is>
      </c>
      <c r="G228" t="inlineStr">
        <is>
          <t>Natural Gas</t>
        </is>
      </c>
      <c r="H228" t="inlineStr">
        <is>
          <t>Cooking - Natural Gas</t>
        </is>
      </c>
      <c r="I228" t="n">
        <v>9</v>
      </c>
      <c r="J228" t="n">
        <v>10</v>
      </c>
      <c r="K228" t="n">
        <v>13</v>
      </c>
      <c r="L228" t="n">
        <v>16</v>
      </c>
      <c r="M228" t="n">
        <v>18</v>
      </c>
      <c r="N228" t="n">
        <v>21</v>
      </c>
      <c r="O228" t="n">
        <v>0</v>
      </c>
      <c r="P228" t="n">
        <v>0</v>
      </c>
      <c r="Q228" s="190" t="inlineStr">
        <is>
          <t>https://sdhc.org/wp-content/uploads/2022/Utility-Allowance-Chart.pdf</t>
        </is>
      </c>
      <c r="R228" t="inlineStr">
        <is>
          <t>Populated</t>
        </is>
      </c>
    </row>
    <row r="229">
      <c r="A229" t="inlineStr">
        <is>
          <t>San Diego Housing Commission (SDHC)</t>
        </is>
      </c>
      <c r="B229" t="inlineStr">
        <is>
          <t>San Diego</t>
        </is>
      </c>
      <c r="C229" t="inlineStr">
        <is>
          <t>2025-04-01</t>
        </is>
      </c>
      <c r="D229" t="inlineStr">
        <is>
          <t>Multi-Family</t>
        </is>
      </c>
      <c r="E229" t="inlineStr">
        <is>
          <t>Multifamily</t>
        </is>
      </c>
      <c r="F229" t="inlineStr">
        <is>
          <t>Dishwasher</t>
        </is>
      </c>
      <c r="G229" t="inlineStr">
        <is>
          <t>Allowance</t>
        </is>
      </c>
      <c r="H229" t="inlineStr">
        <is>
          <t>Dishwasher - Allowance</t>
        </is>
      </c>
      <c r="I229" t="n">
        <v>0</v>
      </c>
      <c r="J229" t="n">
        <v>0</v>
      </c>
      <c r="K229" t="n">
        <v>0</v>
      </c>
      <c r="L229" t="n">
        <v>0</v>
      </c>
      <c r="M229" t="n">
        <v>0</v>
      </c>
      <c r="N229" t="n">
        <v>0</v>
      </c>
      <c r="O229" t="n">
        <v>0</v>
      </c>
      <c r="P229" t="n">
        <v>0</v>
      </c>
      <c r="Q229" s="190" t="inlineStr">
        <is>
          <t>https://sdhc.org/wp-content/uploads/2022/Utility-Allowance-Chart.pdf</t>
        </is>
      </c>
      <c r="R229" t="inlineStr">
        <is>
          <t>Pending / Zero-fill</t>
        </is>
      </c>
    </row>
    <row r="230">
      <c r="A230" t="inlineStr">
        <is>
          <t>San Diego Housing Commission (SDHC)</t>
        </is>
      </c>
      <c r="B230" t="inlineStr">
        <is>
          <t>San Diego</t>
        </is>
      </c>
      <c r="C230" t="inlineStr">
        <is>
          <t>2025-04-01</t>
        </is>
      </c>
      <c r="D230" t="inlineStr">
        <is>
          <t>Multi-Family</t>
        </is>
      </c>
      <c r="E230" t="inlineStr">
        <is>
          <t>Multifamily</t>
        </is>
      </c>
      <c r="F230" t="inlineStr">
        <is>
          <t>Dryer</t>
        </is>
      </c>
      <c r="G230" t="inlineStr">
        <is>
          <t>Allowance</t>
        </is>
      </c>
      <c r="H230" t="inlineStr">
        <is>
          <t>Dryer - Allowance</t>
        </is>
      </c>
      <c r="I230" t="n">
        <v>0</v>
      </c>
      <c r="J230" t="n">
        <v>0</v>
      </c>
      <c r="K230" t="n">
        <v>0</v>
      </c>
      <c r="L230" t="n">
        <v>0</v>
      </c>
      <c r="M230" t="n">
        <v>0</v>
      </c>
      <c r="N230" t="n">
        <v>0</v>
      </c>
      <c r="O230" t="n">
        <v>0</v>
      </c>
      <c r="P230" t="n">
        <v>0</v>
      </c>
      <c r="Q230" s="190" t="inlineStr">
        <is>
          <t>https://sdhc.org/wp-content/uploads/2022/Utility-Allowance-Chart.pdf</t>
        </is>
      </c>
      <c r="R230" t="inlineStr">
        <is>
          <t>Pending / Zero-fill</t>
        </is>
      </c>
    </row>
    <row r="231">
      <c r="A231" t="inlineStr">
        <is>
          <t>San Diego Housing Commission (SDHC)</t>
        </is>
      </c>
      <c r="B231" t="inlineStr">
        <is>
          <t>San Diego</t>
        </is>
      </c>
      <c r="C231" t="inlineStr">
        <is>
          <t>2025-04-01</t>
        </is>
      </c>
      <c r="D231" t="inlineStr">
        <is>
          <t>Multi-Family</t>
        </is>
      </c>
      <c r="E231" t="inlineStr">
        <is>
          <t>Multifamily</t>
        </is>
      </c>
      <c r="F231" t="inlineStr">
        <is>
          <t>Freezer</t>
        </is>
      </c>
      <c r="G231" t="inlineStr">
        <is>
          <t>Allowance</t>
        </is>
      </c>
      <c r="H231" t="inlineStr">
        <is>
          <t>Freezer - Allowance</t>
        </is>
      </c>
      <c r="I231" t="n">
        <v>0</v>
      </c>
      <c r="J231" t="n">
        <v>0</v>
      </c>
      <c r="K231" t="n">
        <v>0</v>
      </c>
      <c r="L231" t="n">
        <v>0</v>
      </c>
      <c r="M231" t="n">
        <v>0</v>
      </c>
      <c r="N231" t="n">
        <v>0</v>
      </c>
      <c r="O231" t="n">
        <v>0</v>
      </c>
      <c r="P231" t="n">
        <v>0</v>
      </c>
      <c r="Q231" s="190" t="inlineStr">
        <is>
          <t>https://sdhc.org/wp-content/uploads/2022/Utility-Allowance-Chart.pdf</t>
        </is>
      </c>
      <c r="R231" t="inlineStr">
        <is>
          <t>Pending / Zero-fill</t>
        </is>
      </c>
    </row>
    <row r="232">
      <c r="A232" t="inlineStr">
        <is>
          <t>San Diego Housing Commission (SDHC)</t>
        </is>
      </c>
      <c r="B232" t="inlineStr">
        <is>
          <t>San Diego</t>
        </is>
      </c>
      <c r="C232" t="inlineStr">
        <is>
          <t>2025-04-01</t>
        </is>
      </c>
      <c r="D232" t="inlineStr">
        <is>
          <t>Multi-Family</t>
        </is>
      </c>
      <c r="E232" t="inlineStr">
        <is>
          <t>Multifamily</t>
        </is>
      </c>
      <c r="F232" t="inlineStr">
        <is>
          <t>Other - Specify</t>
        </is>
      </c>
      <c r="G232" t="inlineStr">
        <is>
          <t>Lifeline / Baseline Credit</t>
        </is>
      </c>
      <c r="H232" t="inlineStr">
        <is>
          <t>Other - Specify - Lifeline / Baseline Credit</t>
        </is>
      </c>
      <c r="I232" t="n">
        <v>0</v>
      </c>
      <c r="J232" t="n">
        <v>0</v>
      </c>
      <c r="K232" t="n">
        <v>0</v>
      </c>
      <c r="L232" t="n">
        <v>0</v>
      </c>
      <c r="M232" t="n">
        <v>0</v>
      </c>
      <c r="N232" t="n">
        <v>0</v>
      </c>
      <c r="O232" t="n">
        <v>0</v>
      </c>
      <c r="P232" t="n">
        <v>0</v>
      </c>
      <c r="Q232" s="190" t="inlineStr">
        <is>
          <t>https://sdhc.org/wp-content/uploads/2022/Utility-Allowance-Chart.pdf</t>
        </is>
      </c>
      <c r="R232" t="inlineStr">
        <is>
          <t>Pending / Zero-fill</t>
        </is>
      </c>
    </row>
    <row r="233">
      <c r="A233" t="inlineStr">
        <is>
          <t>San Diego Housing Commission (SDHC)</t>
        </is>
      </c>
      <c r="B233" t="inlineStr">
        <is>
          <t>San Diego</t>
        </is>
      </c>
      <c r="C233" t="inlineStr">
        <is>
          <t>2025-04-01</t>
        </is>
      </c>
      <c r="D233" t="inlineStr">
        <is>
          <t>Multi-Family</t>
        </is>
      </c>
      <c r="E233" t="inlineStr">
        <is>
          <t>Multifamily</t>
        </is>
      </c>
      <c r="F233" t="inlineStr">
        <is>
          <t>Other - Specify</t>
        </is>
      </c>
      <c r="G233" t="inlineStr">
        <is>
          <t>Solar/PV Credit</t>
        </is>
      </c>
      <c r="H233" t="inlineStr">
        <is>
          <t>Other - Specify - Solar/PV Credit</t>
        </is>
      </c>
      <c r="I233" t="n">
        <v>0</v>
      </c>
      <c r="J233" t="n">
        <v>0</v>
      </c>
      <c r="K233" t="n">
        <v>0</v>
      </c>
      <c r="L233" t="n">
        <v>0</v>
      </c>
      <c r="M233" t="n">
        <v>0</v>
      </c>
      <c r="N233" t="n">
        <v>0</v>
      </c>
      <c r="O233" t="n">
        <v>0</v>
      </c>
      <c r="P233" t="n">
        <v>0</v>
      </c>
      <c r="Q233" s="190" t="inlineStr">
        <is>
          <t>https://sdhc.org/wp-content/uploads/2022/Utility-Allowance-Chart.pdf</t>
        </is>
      </c>
      <c r="R233" t="inlineStr">
        <is>
          <t>Pending / Zero-fill</t>
        </is>
      </c>
    </row>
    <row r="234">
      <c r="A234" t="inlineStr">
        <is>
          <t>San Diego Housing Commission (SDHC)</t>
        </is>
      </c>
      <c r="B234" t="inlineStr">
        <is>
          <t>San Diego</t>
        </is>
      </c>
      <c r="C234" t="inlineStr">
        <is>
          <t>2025-04-01</t>
        </is>
      </c>
      <c r="D234" t="inlineStr">
        <is>
          <t>Multi-Family</t>
        </is>
      </c>
      <c r="E234" t="inlineStr">
        <is>
          <t>Multifamily</t>
        </is>
      </c>
      <c r="F234" t="inlineStr">
        <is>
          <t>Other - Specify</t>
        </is>
      </c>
      <c r="G234" t="inlineStr">
        <is>
          <t>Utility Customer Charge / Fee</t>
        </is>
      </c>
      <c r="H234" t="inlineStr">
        <is>
          <t>Other - Specify - Utility Customer Charge / Fee</t>
        </is>
      </c>
      <c r="I234" t="n">
        <v>0</v>
      </c>
      <c r="J234" t="n">
        <v>0</v>
      </c>
      <c r="K234" t="n">
        <v>0</v>
      </c>
      <c r="L234" t="n">
        <v>0</v>
      </c>
      <c r="M234" t="n">
        <v>0</v>
      </c>
      <c r="N234" t="n">
        <v>0</v>
      </c>
      <c r="O234" t="n">
        <v>0</v>
      </c>
      <c r="P234" t="n">
        <v>0</v>
      </c>
      <c r="Q234" s="190" t="inlineStr">
        <is>
          <t>https://sdhc.org/wp-content/uploads/2022/Utility-Allowance-Chart.pdf</t>
        </is>
      </c>
      <c r="R234" t="inlineStr">
        <is>
          <t>Pending / Zero-fill</t>
        </is>
      </c>
    </row>
    <row r="235">
      <c r="A235" t="inlineStr">
        <is>
          <t>San Diego Housing Commission (SDHC)</t>
        </is>
      </c>
      <c r="B235" t="inlineStr">
        <is>
          <t>San Diego</t>
        </is>
      </c>
      <c r="C235" t="inlineStr">
        <is>
          <t>2025-04-01</t>
        </is>
      </c>
      <c r="D235" t="inlineStr">
        <is>
          <t>Multi-Family</t>
        </is>
      </c>
      <c r="E235" t="inlineStr">
        <is>
          <t>Multifamily</t>
        </is>
      </c>
      <c r="F235" t="inlineStr">
        <is>
          <t>Other Electric</t>
        </is>
      </c>
      <c r="G235" t="inlineStr">
        <is>
          <t>Electric (Lights/Plugs)</t>
        </is>
      </c>
      <c r="H235" t="inlineStr">
        <is>
          <t>Other Electric - Electric (Lights/Plugs)</t>
        </is>
      </c>
      <c r="I235" t="n">
        <v>39</v>
      </c>
      <c r="J235" t="n">
        <v>46</v>
      </c>
      <c r="K235" t="n">
        <v>64</v>
      </c>
      <c r="L235" t="n">
        <v>82</v>
      </c>
      <c r="M235" t="n">
        <v>103</v>
      </c>
      <c r="N235" t="n">
        <v>126</v>
      </c>
      <c r="O235" t="n">
        <v>0</v>
      </c>
      <c r="P235" t="n">
        <v>0</v>
      </c>
      <c r="Q235" s="190" t="inlineStr">
        <is>
          <t>https://sdhc.org/wp-content/uploads/2022/Utility-Allowance-Chart.pdf</t>
        </is>
      </c>
      <c r="R235" t="inlineStr">
        <is>
          <t>Populated</t>
        </is>
      </c>
    </row>
    <row r="236">
      <c r="A236" t="inlineStr">
        <is>
          <t>San Diego Housing Commission (SDHC)</t>
        </is>
      </c>
      <c r="B236" t="inlineStr">
        <is>
          <t>San Diego</t>
        </is>
      </c>
      <c r="C236" t="inlineStr">
        <is>
          <t>2025-04-01</t>
        </is>
      </c>
      <c r="D236" t="inlineStr">
        <is>
          <t>Multi-Family</t>
        </is>
      </c>
      <c r="E236" t="inlineStr">
        <is>
          <t>Multifamily</t>
        </is>
      </c>
      <c r="F236" t="inlineStr">
        <is>
          <t>Range/Microwave</t>
        </is>
      </c>
      <c r="G236" t="inlineStr">
        <is>
          <t>Allowance</t>
        </is>
      </c>
      <c r="H236" t="inlineStr">
        <is>
          <t>Range/Microwave - Allowance</t>
        </is>
      </c>
      <c r="I236" t="n">
        <v>5</v>
      </c>
      <c r="J236" t="n">
        <v>5</v>
      </c>
      <c r="K236" t="n">
        <v>5</v>
      </c>
      <c r="L236" t="n">
        <v>5</v>
      </c>
      <c r="M236" t="n">
        <v>5</v>
      </c>
      <c r="N236" t="n">
        <v>5</v>
      </c>
      <c r="O236" t="n">
        <v>0</v>
      </c>
      <c r="P236" t="n">
        <v>0</v>
      </c>
      <c r="Q236" s="190" t="inlineStr">
        <is>
          <t>https://sdhc.org/wp-content/uploads/2022/Utility-Allowance-Chart.pdf</t>
        </is>
      </c>
      <c r="R236" t="inlineStr">
        <is>
          <t>Populated</t>
        </is>
      </c>
    </row>
    <row r="237">
      <c r="A237" t="inlineStr">
        <is>
          <t>San Diego Housing Commission (SDHC)</t>
        </is>
      </c>
      <c r="B237" t="inlineStr">
        <is>
          <t>San Diego</t>
        </is>
      </c>
      <c r="C237" t="inlineStr">
        <is>
          <t>2025-04-01</t>
        </is>
      </c>
      <c r="D237" t="inlineStr">
        <is>
          <t>Multi-Family</t>
        </is>
      </c>
      <c r="E237" t="inlineStr">
        <is>
          <t>Multifamily</t>
        </is>
      </c>
      <c r="F237" t="inlineStr">
        <is>
          <t>Refrigerator</t>
        </is>
      </c>
      <c r="G237" t="inlineStr">
        <is>
          <t>Allowance</t>
        </is>
      </c>
      <c r="H237" t="inlineStr">
        <is>
          <t>Refrigerator - Allowance</t>
        </is>
      </c>
      <c r="I237" t="n">
        <v>6</v>
      </c>
      <c r="J237" t="n">
        <v>6</v>
      </c>
      <c r="K237" t="n">
        <v>6</v>
      </c>
      <c r="L237" t="n">
        <v>6</v>
      </c>
      <c r="M237" t="n">
        <v>6</v>
      </c>
      <c r="N237" t="n">
        <v>6</v>
      </c>
      <c r="O237" t="n">
        <v>0</v>
      </c>
      <c r="P237" t="n">
        <v>0</v>
      </c>
      <c r="Q237" s="190" t="inlineStr">
        <is>
          <t>https://sdhc.org/wp-content/uploads/2022/Utility-Allowance-Chart.pdf</t>
        </is>
      </c>
      <c r="R237" t="inlineStr">
        <is>
          <t>Populated</t>
        </is>
      </c>
    </row>
    <row r="238">
      <c r="A238" t="inlineStr">
        <is>
          <t>San Diego Housing Commission (SDHC)</t>
        </is>
      </c>
      <c r="B238" t="inlineStr">
        <is>
          <t>San Diego</t>
        </is>
      </c>
      <c r="C238" t="inlineStr">
        <is>
          <t>2025-04-01</t>
        </is>
      </c>
      <c r="D238" t="inlineStr">
        <is>
          <t>Multi-Family</t>
        </is>
      </c>
      <c r="E238" t="inlineStr">
        <is>
          <t>Multifamily</t>
        </is>
      </c>
      <c r="F238" t="inlineStr">
        <is>
          <t>Sewer</t>
        </is>
      </c>
      <c r="G238" t="inlineStr">
        <is>
          <t>—</t>
        </is>
      </c>
      <c r="H238" t="inlineStr">
        <is>
          <t>Sewer</t>
        </is>
      </c>
      <c r="I238" t="n">
        <v>64</v>
      </c>
      <c r="J238" t="n">
        <v>64</v>
      </c>
      <c r="K238" t="n">
        <v>64</v>
      </c>
      <c r="L238" t="n">
        <v>64</v>
      </c>
      <c r="M238" t="n">
        <v>64</v>
      </c>
      <c r="N238" t="n">
        <v>64</v>
      </c>
      <c r="O238" t="n">
        <v>0</v>
      </c>
      <c r="P238" t="n">
        <v>0</v>
      </c>
      <c r="Q238" s="190" t="inlineStr">
        <is>
          <t>https://sdhc.org/wp-content/uploads/2022/Utility-Allowance-Chart.pdf</t>
        </is>
      </c>
      <c r="R238" t="inlineStr">
        <is>
          <t>Populated</t>
        </is>
      </c>
    </row>
    <row r="239">
      <c r="A239" t="inlineStr">
        <is>
          <t>San Diego Housing Commission (SDHC)</t>
        </is>
      </c>
      <c r="B239" t="inlineStr">
        <is>
          <t>San Diego</t>
        </is>
      </c>
      <c r="C239" t="inlineStr">
        <is>
          <t>2025-04-01</t>
        </is>
      </c>
      <c r="D239" t="inlineStr">
        <is>
          <t>Multi-Family</t>
        </is>
      </c>
      <c r="E239" t="inlineStr">
        <is>
          <t>Multifamily</t>
        </is>
      </c>
      <c r="F239" t="inlineStr">
        <is>
          <t>Space Heating</t>
        </is>
      </c>
      <c r="G239" t="inlineStr">
        <is>
          <t>Electric</t>
        </is>
      </c>
      <c r="H239" t="inlineStr">
        <is>
          <t>Space Heating - Electric</t>
        </is>
      </c>
      <c r="I239" t="n">
        <v>23</v>
      </c>
      <c r="J239" t="n">
        <v>28</v>
      </c>
      <c r="K239" t="n">
        <v>32</v>
      </c>
      <c r="L239" t="n">
        <v>36</v>
      </c>
      <c r="M239" t="n">
        <v>39</v>
      </c>
      <c r="N239" t="n">
        <v>42</v>
      </c>
      <c r="O239" t="n">
        <v>0</v>
      </c>
      <c r="P239" t="n">
        <v>0</v>
      </c>
      <c r="Q239" s="190" t="inlineStr">
        <is>
          <t>https://sdhc.org/wp-content/uploads/2022/Utility-Allowance-Chart.pdf</t>
        </is>
      </c>
      <c r="R239" t="inlineStr">
        <is>
          <t>Populated</t>
        </is>
      </c>
    </row>
    <row r="240">
      <c r="A240" t="inlineStr">
        <is>
          <t>San Diego Housing Commission (SDHC)</t>
        </is>
      </c>
      <c r="B240" t="inlineStr">
        <is>
          <t>San Diego</t>
        </is>
      </c>
      <c r="C240" t="inlineStr">
        <is>
          <t>2025-04-01</t>
        </is>
      </c>
      <c r="D240" t="inlineStr">
        <is>
          <t>Multi-Family</t>
        </is>
      </c>
      <c r="E240" t="inlineStr">
        <is>
          <t>Multifamily</t>
        </is>
      </c>
      <c r="F240" t="inlineStr">
        <is>
          <t>Space Heating</t>
        </is>
      </c>
      <c r="G240" t="inlineStr">
        <is>
          <t>Electric - Heat Pump</t>
        </is>
      </c>
      <c r="H240" t="inlineStr">
        <is>
          <t>Space Heating - Electric - Heat Pump</t>
        </is>
      </c>
      <c r="I240" t="n">
        <v>0</v>
      </c>
      <c r="J240" t="n">
        <v>0</v>
      </c>
      <c r="K240" t="n">
        <v>0</v>
      </c>
      <c r="L240" t="n">
        <v>0</v>
      </c>
      <c r="M240" t="n">
        <v>0</v>
      </c>
      <c r="N240" t="n">
        <v>0</v>
      </c>
      <c r="O240" t="n">
        <v>0</v>
      </c>
      <c r="P240" t="n">
        <v>0</v>
      </c>
      <c r="Q240" s="190" t="inlineStr">
        <is>
          <t>https://sdhc.org/wp-content/uploads/2022/Utility-Allowance-Chart.pdf</t>
        </is>
      </c>
      <c r="R240" t="inlineStr">
        <is>
          <t>Pending / Zero-fill</t>
        </is>
      </c>
    </row>
    <row r="241">
      <c r="A241" t="inlineStr">
        <is>
          <t>San Diego Housing Commission (SDHC)</t>
        </is>
      </c>
      <c r="B241" t="inlineStr">
        <is>
          <t>San Diego</t>
        </is>
      </c>
      <c r="C241" t="inlineStr">
        <is>
          <t>2025-04-01</t>
        </is>
      </c>
      <c r="D241" t="inlineStr">
        <is>
          <t>Multi-Family</t>
        </is>
      </c>
      <c r="E241" t="inlineStr">
        <is>
          <t>Multifamily</t>
        </is>
      </c>
      <c r="F241" t="inlineStr">
        <is>
          <t>Space Heating</t>
        </is>
      </c>
      <c r="G241" t="inlineStr">
        <is>
          <t>Natural Gas</t>
        </is>
      </c>
      <c r="H241" t="inlineStr">
        <is>
          <t>Space Heating - Natural Gas</t>
        </is>
      </c>
      <c r="I241" t="n">
        <v>22</v>
      </c>
      <c r="J241" t="n">
        <v>26</v>
      </c>
      <c r="K241" t="n">
        <v>28</v>
      </c>
      <c r="L241" t="n">
        <v>31</v>
      </c>
      <c r="M241" t="n">
        <v>33</v>
      </c>
      <c r="N241" t="n">
        <v>32</v>
      </c>
      <c r="O241" t="n">
        <v>0</v>
      </c>
      <c r="P241" t="n">
        <v>0</v>
      </c>
      <c r="Q241" s="190" t="inlineStr">
        <is>
          <t>https://sdhc.org/wp-content/uploads/2022/Utility-Allowance-Chart.pdf</t>
        </is>
      </c>
      <c r="R241" t="inlineStr">
        <is>
          <t>Populated</t>
        </is>
      </c>
    </row>
    <row r="242">
      <c r="A242" t="inlineStr">
        <is>
          <t>San Diego Housing Commission (SDHC)</t>
        </is>
      </c>
      <c r="B242" t="inlineStr">
        <is>
          <t>San Diego</t>
        </is>
      </c>
      <c r="C242" t="inlineStr">
        <is>
          <t>2025-04-01</t>
        </is>
      </c>
      <c r="D242" t="inlineStr">
        <is>
          <t>Multi-Family</t>
        </is>
      </c>
      <c r="E242" t="inlineStr">
        <is>
          <t>Multifamily</t>
        </is>
      </c>
      <c r="F242" t="inlineStr">
        <is>
          <t>Space Heating</t>
        </is>
      </c>
      <c r="G242" t="inlineStr">
        <is>
          <t>Oil/Propane</t>
        </is>
      </c>
      <c r="H242" t="inlineStr">
        <is>
          <t>Space Heating - Oil/Propane</t>
        </is>
      </c>
      <c r="I242" t="n">
        <v>0</v>
      </c>
      <c r="J242" t="n">
        <v>0</v>
      </c>
      <c r="K242" t="n">
        <v>0</v>
      </c>
      <c r="L242" t="n">
        <v>0</v>
      </c>
      <c r="M242" t="n">
        <v>0</v>
      </c>
      <c r="N242" t="n">
        <v>0</v>
      </c>
      <c r="O242" t="n">
        <v>0</v>
      </c>
      <c r="P242" t="n">
        <v>0</v>
      </c>
      <c r="Q242" s="190" t="inlineStr">
        <is>
          <t>https://sdhc.org/wp-content/uploads/2022/Utility-Allowance-Chart.pdf</t>
        </is>
      </c>
      <c r="R242" t="inlineStr">
        <is>
          <t>Pending / Zero-fill</t>
        </is>
      </c>
    </row>
    <row r="243">
      <c r="A243" t="inlineStr">
        <is>
          <t>San Diego Housing Commission (SDHC)</t>
        </is>
      </c>
      <c r="B243" t="inlineStr">
        <is>
          <t>San Diego</t>
        </is>
      </c>
      <c r="C243" t="inlineStr">
        <is>
          <t>2025-04-01</t>
        </is>
      </c>
      <c r="D243" t="inlineStr">
        <is>
          <t>Multi-Family</t>
        </is>
      </c>
      <c r="E243" t="inlineStr">
        <is>
          <t>Multifamily</t>
        </is>
      </c>
      <c r="F243" t="inlineStr">
        <is>
          <t>Space Heating</t>
        </is>
      </c>
      <c r="G243" t="inlineStr">
        <is>
          <t>Other/Specify</t>
        </is>
      </c>
      <c r="H243" t="inlineStr">
        <is>
          <t>Space Heating - Other/Specify</t>
        </is>
      </c>
      <c r="I243" t="n">
        <v>0</v>
      </c>
      <c r="J243" t="n">
        <v>0</v>
      </c>
      <c r="K243" t="n">
        <v>0</v>
      </c>
      <c r="L243" t="n">
        <v>0</v>
      </c>
      <c r="M243" t="n">
        <v>0</v>
      </c>
      <c r="N243" t="n">
        <v>0</v>
      </c>
      <c r="O243" t="n">
        <v>0</v>
      </c>
      <c r="P243" t="n">
        <v>0</v>
      </c>
      <c r="Q243" s="190" t="inlineStr">
        <is>
          <t>https://sdhc.org/wp-content/uploads/2022/Utility-Allowance-Chart.pdf</t>
        </is>
      </c>
      <c r="R243" t="inlineStr">
        <is>
          <t>Pending / Zero-fill</t>
        </is>
      </c>
    </row>
    <row r="244">
      <c r="A244" t="inlineStr">
        <is>
          <t>San Diego Housing Commission (SDHC)</t>
        </is>
      </c>
      <c r="B244" t="inlineStr">
        <is>
          <t>San Diego</t>
        </is>
      </c>
      <c r="C244" t="inlineStr">
        <is>
          <t>2025-04-01</t>
        </is>
      </c>
      <c r="D244" t="inlineStr">
        <is>
          <t>Multi-Family</t>
        </is>
      </c>
      <c r="E244" t="inlineStr">
        <is>
          <t>Multifamily</t>
        </is>
      </c>
      <c r="F244" t="inlineStr">
        <is>
          <t>Trash Collection</t>
        </is>
      </c>
      <c r="G244" t="inlineStr">
        <is>
          <t>—</t>
        </is>
      </c>
      <c r="H244" t="inlineStr">
        <is>
          <t>Trash Collection</t>
        </is>
      </c>
      <c r="I244" t="n">
        <v>0</v>
      </c>
      <c r="J244" t="n">
        <v>0</v>
      </c>
      <c r="K244" t="n">
        <v>0</v>
      </c>
      <c r="L244" t="n">
        <v>0</v>
      </c>
      <c r="M244" t="n">
        <v>0</v>
      </c>
      <c r="N244" t="n">
        <v>0</v>
      </c>
      <c r="O244" t="n">
        <v>0</v>
      </c>
      <c r="P244" t="n">
        <v>0</v>
      </c>
      <c r="Q244" s="190" t="inlineStr">
        <is>
          <t>https://sdhc.org/wp-content/uploads/2022/Utility-Allowance-Chart.pdf</t>
        </is>
      </c>
      <c r="R244" t="inlineStr">
        <is>
          <t>Pending / Zero-fill</t>
        </is>
      </c>
    </row>
    <row r="245">
      <c r="A245" t="inlineStr">
        <is>
          <t>San Diego Housing Commission (SDHC)</t>
        </is>
      </c>
      <c r="B245" t="inlineStr">
        <is>
          <t>San Diego</t>
        </is>
      </c>
      <c r="C245" t="inlineStr">
        <is>
          <t>2025-04-01</t>
        </is>
      </c>
      <c r="D245" t="inlineStr">
        <is>
          <t>Multi-Family</t>
        </is>
      </c>
      <c r="E245" t="inlineStr">
        <is>
          <t>Multifamily</t>
        </is>
      </c>
      <c r="F245" t="inlineStr">
        <is>
          <t>Washer</t>
        </is>
      </c>
      <c r="G245" t="inlineStr">
        <is>
          <t>Allowance</t>
        </is>
      </c>
      <c r="H245" t="inlineStr">
        <is>
          <t>Washer - Allowance</t>
        </is>
      </c>
      <c r="I245" t="n">
        <v>0</v>
      </c>
      <c r="J245" t="n">
        <v>0</v>
      </c>
      <c r="K245" t="n">
        <v>0</v>
      </c>
      <c r="L245" t="n">
        <v>0</v>
      </c>
      <c r="M245" t="n">
        <v>0</v>
      </c>
      <c r="N245" t="n">
        <v>0</v>
      </c>
      <c r="O245" t="n">
        <v>0</v>
      </c>
      <c r="P245" t="n">
        <v>0</v>
      </c>
      <c r="Q245" s="190" t="inlineStr">
        <is>
          <t>https://sdhc.org/wp-content/uploads/2022/Utility-Allowance-Chart.pdf</t>
        </is>
      </c>
      <c r="R245" t="inlineStr">
        <is>
          <t>Pending / Zero-fill</t>
        </is>
      </c>
    </row>
    <row r="246">
      <c r="A246" t="inlineStr">
        <is>
          <t>San Diego Housing Commission (SDHC)</t>
        </is>
      </c>
      <c r="B246" t="inlineStr">
        <is>
          <t>San Diego</t>
        </is>
      </c>
      <c r="C246" t="inlineStr">
        <is>
          <t>2025-04-01</t>
        </is>
      </c>
      <c r="D246" t="inlineStr">
        <is>
          <t>Multi-Family</t>
        </is>
      </c>
      <c r="E246" t="inlineStr">
        <is>
          <t>Multifamily</t>
        </is>
      </c>
      <c r="F246" t="inlineStr">
        <is>
          <t>Water</t>
        </is>
      </c>
      <c r="G246" t="inlineStr">
        <is>
          <t>—</t>
        </is>
      </c>
      <c r="H246" t="inlineStr">
        <is>
          <t>Water</t>
        </is>
      </c>
      <c r="I246" t="n">
        <v>96</v>
      </c>
      <c r="J246" t="n">
        <v>104</v>
      </c>
      <c r="K246" t="n">
        <v>160</v>
      </c>
      <c r="L246" t="n">
        <v>262</v>
      </c>
      <c r="M246" t="n">
        <v>268</v>
      </c>
      <c r="N246" t="n">
        <v>268</v>
      </c>
      <c r="O246" t="n">
        <v>0</v>
      </c>
      <c r="P246" t="n">
        <v>0</v>
      </c>
      <c r="Q246" s="190" t="inlineStr">
        <is>
          <t>https://sdhc.org/wp-content/uploads/2022/Utility-Allowance-Chart.pdf</t>
        </is>
      </c>
      <c r="R246" t="inlineStr">
        <is>
          <t>Populated</t>
        </is>
      </c>
    </row>
    <row r="247">
      <c r="A247" t="inlineStr">
        <is>
          <t>San Diego Housing Commission (SDHC)</t>
        </is>
      </c>
      <c r="B247" t="inlineStr">
        <is>
          <t>San Diego</t>
        </is>
      </c>
      <c r="C247" t="inlineStr">
        <is>
          <t>2025-04-01</t>
        </is>
      </c>
      <c r="D247" t="inlineStr">
        <is>
          <t>Multi-Family</t>
        </is>
      </c>
      <c r="E247" t="inlineStr">
        <is>
          <t>Multifamily</t>
        </is>
      </c>
      <c r="F247" t="inlineStr">
        <is>
          <t>Water Heating</t>
        </is>
      </c>
      <c r="G247" t="inlineStr">
        <is>
          <t>Electric</t>
        </is>
      </c>
      <c r="H247" t="inlineStr">
        <is>
          <t>Water Heating - Electric</t>
        </is>
      </c>
      <c r="I247" t="n">
        <v>23</v>
      </c>
      <c r="J247" t="n">
        <v>28</v>
      </c>
      <c r="K247" t="n">
        <v>43</v>
      </c>
      <c r="L247" t="n">
        <v>54</v>
      </c>
      <c r="M247" t="n">
        <v>63</v>
      </c>
      <c r="N247" t="n">
        <v>73</v>
      </c>
      <c r="O247" t="n">
        <v>0</v>
      </c>
      <c r="P247" t="n">
        <v>0</v>
      </c>
      <c r="Q247" s="190" t="inlineStr">
        <is>
          <t>https://sdhc.org/wp-content/uploads/2022/Utility-Allowance-Chart.pdf</t>
        </is>
      </c>
      <c r="R247" t="inlineStr">
        <is>
          <t>Populated</t>
        </is>
      </c>
    </row>
    <row r="248">
      <c r="A248" t="inlineStr">
        <is>
          <t>San Diego Housing Commission (SDHC)</t>
        </is>
      </c>
      <c r="B248" t="inlineStr">
        <is>
          <t>San Diego</t>
        </is>
      </c>
      <c r="C248" t="inlineStr">
        <is>
          <t>2025-04-01</t>
        </is>
      </c>
      <c r="D248" t="inlineStr">
        <is>
          <t>Multi-Family</t>
        </is>
      </c>
      <c r="E248" t="inlineStr">
        <is>
          <t>Multifamily</t>
        </is>
      </c>
      <c r="F248" t="inlineStr">
        <is>
          <t>Water Heating</t>
        </is>
      </c>
      <c r="G248" t="inlineStr">
        <is>
          <t>Natural Gas</t>
        </is>
      </c>
      <c r="H248" t="inlineStr">
        <is>
          <t>Water Heating - Natural Gas</t>
        </is>
      </c>
      <c r="I248" t="n">
        <v>12</v>
      </c>
      <c r="J248" t="n">
        <v>14</v>
      </c>
      <c r="K248" t="n">
        <v>20</v>
      </c>
      <c r="L248" t="n">
        <v>27</v>
      </c>
      <c r="M248" t="n">
        <v>33</v>
      </c>
      <c r="N248" t="n">
        <v>40</v>
      </c>
      <c r="O248" t="n">
        <v>0</v>
      </c>
      <c r="P248" t="n">
        <v>0</v>
      </c>
      <c r="Q248" s="190" t="inlineStr">
        <is>
          <t>https://sdhc.org/wp-content/uploads/2022/Utility-Allowance-Chart.pdf</t>
        </is>
      </c>
      <c r="R248" t="inlineStr">
        <is>
          <t>Populated</t>
        </is>
      </c>
    </row>
    <row r="249">
      <c r="A249" t="inlineStr">
        <is>
          <t>San Diego Housing Commission (SDHC)</t>
        </is>
      </c>
      <c r="B249" t="inlineStr">
        <is>
          <t>San Diego</t>
        </is>
      </c>
      <c r="C249" t="inlineStr">
        <is>
          <t>2025-04-01</t>
        </is>
      </c>
      <c r="D249" t="inlineStr">
        <is>
          <t>Multi-Family</t>
        </is>
      </c>
      <c r="E249" t="inlineStr">
        <is>
          <t>Multifamily</t>
        </is>
      </c>
      <c r="F249" t="inlineStr">
        <is>
          <t>Water Heating</t>
        </is>
      </c>
      <c r="G249" t="inlineStr">
        <is>
          <t>Oil/Propane</t>
        </is>
      </c>
      <c r="H249" t="inlineStr">
        <is>
          <t>Water Heating - Oil/Propane</t>
        </is>
      </c>
      <c r="I249" t="n">
        <v>0</v>
      </c>
      <c r="J249" t="n">
        <v>0</v>
      </c>
      <c r="K249" t="n">
        <v>0</v>
      </c>
      <c r="L249" t="n">
        <v>0</v>
      </c>
      <c r="M249" t="n">
        <v>0</v>
      </c>
      <c r="N249" t="n">
        <v>0</v>
      </c>
      <c r="O249" t="n">
        <v>0</v>
      </c>
      <c r="P249" t="n">
        <v>0</v>
      </c>
      <c r="Q249" s="190" t="inlineStr">
        <is>
          <t>https://sdhc.org/wp-content/uploads/2022/Utility-Allowance-Chart.pdf</t>
        </is>
      </c>
      <c r="R249" t="inlineStr">
        <is>
          <t>Pending / Zero-fill</t>
        </is>
      </c>
    </row>
    <row r="250">
      <c r="A250" t="inlineStr">
        <is>
          <t>Los Angeles County Development Authority (LACDA)</t>
        </is>
      </c>
      <c r="B250" t="inlineStr">
        <is>
          <t>Los Angeles County</t>
        </is>
      </c>
      <c r="C250" t="inlineStr">
        <is>
          <t>2025-07-01</t>
        </is>
      </c>
      <c r="D250" t="inlineStr">
        <is>
          <t>Multi-Family</t>
        </is>
      </c>
      <c r="E250" t="inlineStr">
        <is>
          <t>Multifamily</t>
        </is>
      </c>
      <c r="F250" t="inlineStr">
        <is>
          <t>Space Heating</t>
        </is>
      </c>
      <c r="G250" t="inlineStr">
        <is>
          <t>Natural Gas</t>
        </is>
      </c>
      <c r="H250" t="inlineStr">
        <is>
          <t>Space Heating - Natural Gas</t>
        </is>
      </c>
      <c r="I250" t="n">
        <v>10</v>
      </c>
      <c r="J250" t="n">
        <v>14</v>
      </c>
      <c r="K250" t="n">
        <v>18</v>
      </c>
      <c r="L250" t="n">
        <v>23</v>
      </c>
      <c r="M250" t="n">
        <v>31</v>
      </c>
      <c r="N250" t="n">
        <v>36</v>
      </c>
      <c r="O250" t="n">
        <v>42</v>
      </c>
      <c r="P250" t="n">
        <v>48</v>
      </c>
      <c r="Q250" t="inlineStr">
        <is>
          <t>LACDA Utility Allowance Schedule (Std) — user high-res table, 2025-07-01</t>
        </is>
      </c>
      <c r="R250" t="inlineStr">
        <is>
          <t>Populated</t>
        </is>
      </c>
    </row>
    <row r="251">
      <c r="A251" t="inlineStr">
        <is>
          <t>Los Angeles County Development Authority (LACDA)</t>
        </is>
      </c>
      <c r="B251" t="inlineStr">
        <is>
          <t>Los Angeles County</t>
        </is>
      </c>
      <c r="C251" t="inlineStr">
        <is>
          <t>2025-07-01</t>
        </is>
      </c>
      <c r="D251" t="inlineStr">
        <is>
          <t>Multi-Family</t>
        </is>
      </c>
      <c r="E251" t="inlineStr">
        <is>
          <t>Multifamily</t>
        </is>
      </c>
      <c r="F251" t="inlineStr">
        <is>
          <t>Space Heating</t>
        </is>
      </c>
      <c r="G251" t="inlineStr">
        <is>
          <t>Electric</t>
        </is>
      </c>
      <c r="H251" t="inlineStr">
        <is>
          <t>Space Heating - Electric</t>
        </is>
      </c>
      <c r="I251" t="n">
        <v>21</v>
      </c>
      <c r="J251" t="n">
        <v>31</v>
      </c>
      <c r="K251" t="n">
        <v>40</v>
      </c>
      <c r="L251" t="n">
        <v>50</v>
      </c>
      <c r="M251" t="n">
        <v>67</v>
      </c>
      <c r="N251" t="n">
        <v>78</v>
      </c>
      <c r="O251" t="n">
        <v>87</v>
      </c>
      <c r="P251" t="n">
        <v>99</v>
      </c>
      <c r="Q251" t="inlineStr">
        <is>
          <t>LACDA Utility Allowance Schedule (Std) — user high-res table, 2025-07-01</t>
        </is>
      </c>
      <c r="R251" t="inlineStr">
        <is>
          <t>Populated</t>
        </is>
      </c>
    </row>
    <row r="252">
      <c r="A252" t="inlineStr">
        <is>
          <t>Los Angeles County Development Authority (LACDA)</t>
        </is>
      </c>
      <c r="B252" t="inlineStr">
        <is>
          <t>Los Angeles County</t>
        </is>
      </c>
      <c r="C252" t="inlineStr">
        <is>
          <t>2025-07-01</t>
        </is>
      </c>
      <c r="D252" t="inlineStr">
        <is>
          <t>Multi-Family</t>
        </is>
      </c>
      <c r="E252" t="inlineStr">
        <is>
          <t>Multifamily</t>
        </is>
      </c>
      <c r="F252" t="inlineStr">
        <is>
          <t>Cooking</t>
        </is>
      </c>
      <c r="G252" t="inlineStr">
        <is>
          <t>Natural Gas</t>
        </is>
      </c>
      <c r="H252" t="inlineStr">
        <is>
          <t>Cooking - Natural Gas</t>
        </is>
      </c>
      <c r="I252" t="n">
        <v>6</v>
      </c>
      <c r="J252" t="n">
        <v>8</v>
      </c>
      <c r="K252" t="n">
        <v>10</v>
      </c>
      <c r="L252" t="n">
        <v>13</v>
      </c>
      <c r="M252" t="n">
        <v>16</v>
      </c>
      <c r="N252" t="n">
        <v>18</v>
      </c>
      <c r="O252" t="n">
        <v>21</v>
      </c>
      <c r="P252" t="n">
        <v>24</v>
      </c>
      <c r="Q252" t="inlineStr">
        <is>
          <t>LACDA Utility Allowance Schedule (Std) — user high-res table, 2025-07-01</t>
        </is>
      </c>
      <c r="R252" t="inlineStr">
        <is>
          <t>Populated</t>
        </is>
      </c>
    </row>
    <row r="253">
      <c r="A253" t="inlineStr">
        <is>
          <t>Los Angeles County Development Authority (LACDA)</t>
        </is>
      </c>
      <c r="B253" t="inlineStr">
        <is>
          <t>Los Angeles County</t>
        </is>
      </c>
      <c r="C253" t="inlineStr">
        <is>
          <t>2025-07-01</t>
        </is>
      </c>
      <c r="D253" t="inlineStr">
        <is>
          <t>Multi-Family</t>
        </is>
      </c>
      <c r="E253" t="inlineStr">
        <is>
          <t>Multifamily</t>
        </is>
      </c>
      <c r="F253" t="inlineStr">
        <is>
          <t>Cooking</t>
        </is>
      </c>
      <c r="G253" t="inlineStr">
        <is>
          <t>Electric</t>
        </is>
      </c>
      <c r="H253" t="inlineStr">
        <is>
          <t>Cooking - Electric</t>
        </is>
      </c>
      <c r="I253" t="n">
        <v>11</v>
      </c>
      <c r="J253" t="n">
        <v>16</v>
      </c>
      <c r="K253" t="n">
        <v>21</v>
      </c>
      <c r="L253" t="n">
        <v>25</v>
      </c>
      <c r="M253" t="n">
        <v>32</v>
      </c>
      <c r="N253" t="n">
        <v>36</v>
      </c>
      <c r="O253" t="n">
        <v>41</v>
      </c>
      <c r="P253" t="n">
        <v>46</v>
      </c>
      <c r="Q253" t="inlineStr">
        <is>
          <t>LACDA Utility Allowance Schedule (Std) — user high-res table, 2025-07-01</t>
        </is>
      </c>
      <c r="R253" t="inlineStr">
        <is>
          <t>Populated</t>
        </is>
      </c>
    </row>
    <row r="254">
      <c r="A254" t="inlineStr">
        <is>
          <t>Los Angeles County Development Authority (LACDA)</t>
        </is>
      </c>
      <c r="B254" t="inlineStr">
        <is>
          <t>Los Angeles County</t>
        </is>
      </c>
      <c r="C254" t="inlineStr">
        <is>
          <t>2025-07-01</t>
        </is>
      </c>
      <c r="D254" t="inlineStr">
        <is>
          <t>Multi-Family</t>
        </is>
      </c>
      <c r="E254" t="inlineStr">
        <is>
          <t>Multifamily</t>
        </is>
      </c>
      <c r="F254" t="inlineStr">
        <is>
          <t>Water Heating</t>
        </is>
      </c>
      <c r="G254" t="inlineStr">
        <is>
          <t>Natural Gas</t>
        </is>
      </c>
      <c r="H254" t="inlineStr">
        <is>
          <t>Water Heating - Natural Gas</t>
        </is>
      </c>
      <c r="I254" t="n">
        <v>9</v>
      </c>
      <c r="J254" t="n">
        <v>13</v>
      </c>
      <c r="K254" t="n">
        <v>17</v>
      </c>
      <c r="L254" t="n">
        <v>21</v>
      </c>
      <c r="M254" t="n">
        <v>29</v>
      </c>
      <c r="N254" t="n">
        <v>36</v>
      </c>
      <c r="O254" t="n">
        <v>42</v>
      </c>
      <c r="P254" t="n">
        <v>48</v>
      </c>
      <c r="Q254" t="inlineStr">
        <is>
          <t>LACDA Utility Allowance Schedule (Std) — user high-res table, 2025-07-01</t>
        </is>
      </c>
      <c r="R254" t="inlineStr">
        <is>
          <t>Populated</t>
        </is>
      </c>
    </row>
    <row r="255">
      <c r="A255" t="inlineStr">
        <is>
          <t>Los Angeles County Development Authority (LACDA)</t>
        </is>
      </c>
      <c r="B255" t="inlineStr">
        <is>
          <t>Los Angeles County</t>
        </is>
      </c>
      <c r="C255" t="inlineStr">
        <is>
          <t>2025-07-01</t>
        </is>
      </c>
      <c r="D255" t="inlineStr">
        <is>
          <t>Multi-Family</t>
        </is>
      </c>
      <c r="E255" t="inlineStr">
        <is>
          <t>Multifamily</t>
        </is>
      </c>
      <c r="F255" t="inlineStr">
        <is>
          <t>Water Heating</t>
        </is>
      </c>
      <c r="G255" t="inlineStr">
        <is>
          <t>Electric</t>
        </is>
      </c>
      <c r="H255" t="inlineStr">
        <is>
          <t>Water Heating - Electric</t>
        </is>
      </c>
      <c r="I255" t="n">
        <v>22</v>
      </c>
      <c r="J255" t="n">
        <v>31</v>
      </c>
      <c r="K255" t="n">
        <v>40</v>
      </c>
      <c r="L255" t="n">
        <v>49</v>
      </c>
      <c r="M255" t="n">
        <v>62</v>
      </c>
      <c r="N255" t="n">
        <v>71</v>
      </c>
      <c r="O255" t="n">
        <v>80</v>
      </c>
      <c r="P255" t="n">
        <v>88</v>
      </c>
      <c r="Q255" t="inlineStr">
        <is>
          <t>LACDA Utility Allowance Schedule (Std) — user high-res table, 2025-07-01</t>
        </is>
      </c>
      <c r="R255" t="inlineStr">
        <is>
          <t>Populated</t>
        </is>
      </c>
    </row>
    <row r="256">
      <c r="A256" t="inlineStr">
        <is>
          <t>Los Angeles County Development Authority (LACDA)</t>
        </is>
      </c>
      <c r="B256" t="inlineStr">
        <is>
          <t>Los Angeles County</t>
        </is>
      </c>
      <c r="C256" t="inlineStr">
        <is>
          <t>2025-07-01</t>
        </is>
      </c>
      <c r="D256" t="inlineStr">
        <is>
          <t>Multi-Family</t>
        </is>
      </c>
      <c r="E256" t="inlineStr">
        <is>
          <t>Multifamily</t>
        </is>
      </c>
      <c r="F256" t="inlineStr">
        <is>
          <t>Other Electric</t>
        </is>
      </c>
      <c r="G256" t="inlineStr">
        <is>
          <t>Electric (Lights/Plugs)</t>
        </is>
      </c>
      <c r="H256" t="inlineStr">
        <is>
          <t>Other Electric - Electric (Lights/Plugs)</t>
        </is>
      </c>
      <c r="I256" t="n">
        <v>38</v>
      </c>
      <c r="J256" t="n">
        <v>46</v>
      </c>
      <c r="K256" t="n">
        <v>55</v>
      </c>
      <c r="L256" t="n">
        <v>67</v>
      </c>
      <c r="M256" t="n">
        <v>77</v>
      </c>
      <c r="N256" t="n">
        <v>91</v>
      </c>
      <c r="O256" t="n">
        <v>103</v>
      </c>
      <c r="P256" t="n">
        <v>116</v>
      </c>
      <c r="Q256" t="inlineStr">
        <is>
          <t>LACDA Utility Allowance Schedule (Std) — user high-res table, 2025-07-01</t>
        </is>
      </c>
      <c r="R256" t="inlineStr">
        <is>
          <t>Populated</t>
        </is>
      </c>
    </row>
    <row r="257">
      <c r="A257" t="inlineStr">
        <is>
          <t>Los Angeles County Development Authority (LACDA)</t>
        </is>
      </c>
      <c r="B257" t="inlineStr">
        <is>
          <t>Los Angeles County</t>
        </is>
      </c>
      <c r="C257" t="inlineStr">
        <is>
          <t>2025-07-01</t>
        </is>
      </c>
      <c r="D257" t="inlineStr">
        <is>
          <t>Multi-Family</t>
        </is>
      </c>
      <c r="E257" t="inlineStr">
        <is>
          <t>Multifamily</t>
        </is>
      </c>
      <c r="F257" t="inlineStr">
        <is>
          <t>Water</t>
        </is>
      </c>
      <c r="G257" t="inlineStr">
        <is>
          <t>—</t>
        </is>
      </c>
      <c r="H257" t="inlineStr">
        <is>
          <t>Water</t>
        </is>
      </c>
      <c r="I257" t="n">
        <v>84</v>
      </c>
      <c r="J257" t="n">
        <v>92</v>
      </c>
      <c r="K257" t="n">
        <v>100</v>
      </c>
      <c r="L257" t="n">
        <v>116</v>
      </c>
      <c r="M257" t="n">
        <v>132</v>
      </c>
      <c r="N257" t="n">
        <v>148</v>
      </c>
      <c r="O257" t="n">
        <v>164</v>
      </c>
      <c r="P257" t="n">
        <v>180</v>
      </c>
      <c r="Q257" t="inlineStr">
        <is>
          <t>LACDA Utility Allowance Schedule (Std) — user high-res table, 2025-07-01</t>
        </is>
      </c>
      <c r="R257" t="inlineStr">
        <is>
          <t>Populated</t>
        </is>
      </c>
    </row>
    <row r="258">
      <c r="A258" t="inlineStr">
        <is>
          <t>Los Angeles County Development Authority (LACDA)</t>
        </is>
      </c>
      <c r="B258" t="inlineStr">
        <is>
          <t>Los Angeles County</t>
        </is>
      </c>
      <c r="C258" t="inlineStr">
        <is>
          <t>2025-07-01</t>
        </is>
      </c>
      <c r="D258" t="inlineStr">
        <is>
          <t>Multi-Family</t>
        </is>
      </c>
      <c r="E258" t="inlineStr">
        <is>
          <t>Multifamily</t>
        </is>
      </c>
      <c r="F258" t="inlineStr">
        <is>
          <t>Trash Collection</t>
        </is>
      </c>
      <c r="G258" t="inlineStr">
        <is>
          <t>—</t>
        </is>
      </c>
      <c r="H258" t="inlineStr">
        <is>
          <t>Trash Collection</t>
        </is>
      </c>
      <c r="I258" t="n">
        <v>46</v>
      </c>
      <c r="J258" t="n">
        <v>46</v>
      </c>
      <c r="K258" t="n">
        <v>46</v>
      </c>
      <c r="L258" t="n">
        <v>46</v>
      </c>
      <c r="M258" t="n">
        <v>46</v>
      </c>
      <c r="N258" t="n">
        <v>46</v>
      </c>
      <c r="O258" t="n">
        <v>46</v>
      </c>
      <c r="P258" t="n">
        <v>46</v>
      </c>
      <c r="Q258" t="inlineStr">
        <is>
          <t>LACDA Utility Allowance Schedule (Std) — user high-res table, 2025-07-01</t>
        </is>
      </c>
      <c r="R258" t="inlineStr">
        <is>
          <t>Populated</t>
        </is>
      </c>
    </row>
    <row r="259">
      <c r="A259" t="inlineStr">
        <is>
          <t>Los Angeles County Development Authority (LACDA)</t>
        </is>
      </c>
      <c r="B259" t="inlineStr">
        <is>
          <t>Los Angeles County</t>
        </is>
      </c>
      <c r="C259" t="inlineStr">
        <is>
          <t>2025-07-01</t>
        </is>
      </c>
      <c r="D259" t="inlineStr">
        <is>
          <t>Multi-Family</t>
        </is>
      </c>
      <c r="E259" t="inlineStr">
        <is>
          <t>Multifamily</t>
        </is>
      </c>
      <c r="F259" t="inlineStr">
        <is>
          <t>Air Conditioning</t>
        </is>
      </c>
      <c r="G259" t="inlineStr">
        <is>
          <t>Electric</t>
        </is>
      </c>
      <c r="H259" t="inlineStr">
        <is>
          <t>Air Conditioning - Electric</t>
        </is>
      </c>
      <c r="I259" t="n">
        <v>15</v>
      </c>
      <c r="J259" t="n">
        <v>21</v>
      </c>
      <c r="K259" t="n">
        <v>27</v>
      </c>
      <c r="L259" t="n">
        <v>33</v>
      </c>
      <c r="M259" t="n">
        <v>44</v>
      </c>
      <c r="N259" t="n">
        <v>52</v>
      </c>
      <c r="O259" t="n">
        <v>59</v>
      </c>
      <c r="P259" t="n">
        <v>67</v>
      </c>
      <c r="Q259" t="inlineStr">
        <is>
          <t>LACDA Utility Allowance Schedule (Std) — user high-res table, 2025-07-01</t>
        </is>
      </c>
      <c r="R259" t="inlineStr">
        <is>
          <t>Populated</t>
        </is>
      </c>
    </row>
    <row r="260">
      <c r="A260" t="inlineStr">
        <is>
          <t>Los Angeles County Development Authority (LACDA)</t>
        </is>
      </c>
      <c r="B260" t="inlineStr">
        <is>
          <t>Los Angeles County</t>
        </is>
      </c>
      <c r="C260" t="inlineStr">
        <is>
          <t>2025-07-01</t>
        </is>
      </c>
      <c r="D260" t="inlineStr">
        <is>
          <t>Multi-Family</t>
        </is>
      </c>
      <c r="E260" t="inlineStr">
        <is>
          <t>Multifamily</t>
        </is>
      </c>
      <c r="F260" t="inlineStr">
        <is>
          <t>Range/Microwave</t>
        </is>
      </c>
      <c r="G260" t="inlineStr">
        <is>
          <t>Allowance</t>
        </is>
      </c>
      <c r="H260" t="inlineStr">
        <is>
          <t>Range/Microwave - Allowance</t>
        </is>
      </c>
      <c r="I260" t="n">
        <v>9</v>
      </c>
      <c r="J260" t="n">
        <v>9</v>
      </c>
      <c r="K260" t="n">
        <v>9</v>
      </c>
      <c r="L260" t="n">
        <v>9</v>
      </c>
      <c r="M260" t="n">
        <v>9</v>
      </c>
      <c r="N260" t="n">
        <v>9</v>
      </c>
      <c r="O260" t="n">
        <v>9</v>
      </c>
      <c r="P260" t="n">
        <v>9</v>
      </c>
      <c r="Q260" t="inlineStr">
        <is>
          <t>LACDA Utility Allowance Schedule (Std) — user high-res table, 2025-07-01</t>
        </is>
      </c>
      <c r="R260" t="inlineStr">
        <is>
          <t>Populated</t>
        </is>
      </c>
    </row>
    <row r="261">
      <c r="A261" t="inlineStr">
        <is>
          <t>Los Angeles County Development Authority (LACDA)</t>
        </is>
      </c>
      <c r="B261" t="inlineStr">
        <is>
          <t>Los Angeles County</t>
        </is>
      </c>
      <c r="C261" t="inlineStr">
        <is>
          <t>2025-07-01</t>
        </is>
      </c>
      <c r="D261" t="inlineStr">
        <is>
          <t>Multi-Family</t>
        </is>
      </c>
      <c r="E261" t="inlineStr">
        <is>
          <t>Multifamily</t>
        </is>
      </c>
      <c r="F261" t="inlineStr">
        <is>
          <t>Refrigerator</t>
        </is>
      </c>
      <c r="G261" t="inlineStr">
        <is>
          <t>Allowance</t>
        </is>
      </c>
      <c r="H261" t="inlineStr">
        <is>
          <t>Refrigerator - Allowance</t>
        </is>
      </c>
      <c r="I261" t="n">
        <v>8</v>
      </c>
      <c r="J261" t="n">
        <v>8</v>
      </c>
      <c r="K261" t="n">
        <v>8</v>
      </c>
      <c r="L261" t="n">
        <v>8</v>
      </c>
      <c r="M261" t="n">
        <v>8</v>
      </c>
      <c r="N261" t="n">
        <v>8</v>
      </c>
      <c r="O261" t="n">
        <v>8</v>
      </c>
      <c r="P261" t="n">
        <v>8</v>
      </c>
      <c r="Q261" t="inlineStr">
        <is>
          <t>LACDA Utility Allowance Schedule (Std) — user high-res table, 2025-07-01</t>
        </is>
      </c>
      <c r="R261" t="inlineStr">
        <is>
          <t>Populated</t>
        </is>
      </c>
    </row>
    <row r="262">
      <c r="A262" t="inlineStr">
        <is>
          <t>Los Angeles County Development Authority (LACDA)</t>
        </is>
      </c>
      <c r="B262" t="inlineStr">
        <is>
          <t>Los Angeles County</t>
        </is>
      </c>
      <c r="C262" t="inlineStr">
        <is>
          <t>2025-07-01</t>
        </is>
      </c>
      <c r="D262" t="inlineStr">
        <is>
          <t>Single-Family (All Electric)</t>
        </is>
      </c>
      <c r="E262" t="inlineStr">
        <is>
          <t>Single-Family</t>
        </is>
      </c>
      <c r="F262" t="inlineStr">
        <is>
          <t>Space Heating</t>
        </is>
      </c>
      <c r="G262" t="inlineStr">
        <is>
          <t>Electric</t>
        </is>
      </c>
      <c r="H262" t="inlineStr">
        <is>
          <t>Space Heating - Electric</t>
        </is>
      </c>
      <c r="I262" t="n">
        <v>25</v>
      </c>
      <c r="J262" t="n">
        <v>35</v>
      </c>
      <c r="K262" t="n">
        <v>45</v>
      </c>
      <c r="L262" t="n">
        <v>58</v>
      </c>
      <c r="M262" t="n">
        <v>77</v>
      </c>
      <c r="N262" t="n">
        <v>90</v>
      </c>
      <c r="O262" t="n">
        <v>103</v>
      </c>
      <c r="P262" t="n">
        <v>117</v>
      </c>
      <c r="Q262" t="inlineStr">
        <is>
          <t>LACDA Utility Allowance Schedule (All Electric) — user high-res table, 2025-07-01</t>
        </is>
      </c>
      <c r="R262" t="inlineStr">
        <is>
          <t>Populated</t>
        </is>
      </c>
    </row>
    <row r="263">
      <c r="A263" t="inlineStr">
        <is>
          <t>Los Angeles County Development Authority (LACDA)</t>
        </is>
      </c>
      <c r="B263" t="inlineStr">
        <is>
          <t>Los Angeles County</t>
        </is>
      </c>
      <c r="C263" t="inlineStr">
        <is>
          <t>2025-07-01</t>
        </is>
      </c>
      <c r="D263" t="inlineStr">
        <is>
          <t>Single-Family (All Electric)</t>
        </is>
      </c>
      <c r="E263" t="inlineStr">
        <is>
          <t>Single-Family</t>
        </is>
      </c>
      <c r="F263" t="inlineStr">
        <is>
          <t>Cooking</t>
        </is>
      </c>
      <c r="G263" t="inlineStr">
        <is>
          <t>Electric</t>
        </is>
      </c>
      <c r="H263" t="inlineStr">
        <is>
          <t>Cooking - Electric</t>
        </is>
      </c>
      <c r="I263" t="n">
        <v>10</v>
      </c>
      <c r="J263" t="n">
        <v>14</v>
      </c>
      <c r="K263" t="n">
        <v>19</v>
      </c>
      <c r="L263" t="n">
        <v>23</v>
      </c>
      <c r="M263" t="n">
        <v>29</v>
      </c>
      <c r="N263" t="n">
        <v>33</v>
      </c>
      <c r="O263" t="n">
        <v>37</v>
      </c>
      <c r="P263" t="n">
        <v>41</v>
      </c>
      <c r="Q263" t="inlineStr">
        <is>
          <t>LACDA Utility Allowance Schedule (All Electric) — user high-res table, 2025-07-01</t>
        </is>
      </c>
      <c r="R263" t="inlineStr">
        <is>
          <t>Populated</t>
        </is>
      </c>
    </row>
    <row r="264">
      <c r="A264" t="inlineStr">
        <is>
          <t>Los Angeles County Development Authority (LACDA)</t>
        </is>
      </c>
      <c r="B264" t="inlineStr">
        <is>
          <t>Los Angeles County</t>
        </is>
      </c>
      <c r="C264" t="inlineStr">
        <is>
          <t>2025-07-01</t>
        </is>
      </c>
      <c r="D264" t="inlineStr">
        <is>
          <t>Single-Family (All Electric)</t>
        </is>
      </c>
      <c r="E264" t="inlineStr">
        <is>
          <t>Single-Family</t>
        </is>
      </c>
      <c r="F264" t="inlineStr">
        <is>
          <t>Water Heating</t>
        </is>
      </c>
      <c r="G264" t="inlineStr">
        <is>
          <t>Electric</t>
        </is>
      </c>
      <c r="H264" t="inlineStr">
        <is>
          <t>Water Heating - Electric</t>
        </is>
      </c>
      <c r="I264" t="n">
        <v>19</v>
      </c>
      <c r="J264" t="n">
        <v>27</v>
      </c>
      <c r="K264" t="n">
        <v>35</v>
      </c>
      <c r="L264" t="n">
        <v>43</v>
      </c>
      <c r="M264" t="n">
        <v>54</v>
      </c>
      <c r="N264" t="n">
        <v>62</v>
      </c>
      <c r="O264" t="n">
        <v>71</v>
      </c>
      <c r="P264" t="n">
        <v>79</v>
      </c>
      <c r="Q264" t="inlineStr">
        <is>
          <t>LACDA Utility Allowance Schedule (All Electric) — user high-res table, 2025-07-01</t>
        </is>
      </c>
      <c r="R264" t="inlineStr">
        <is>
          <t>Populated</t>
        </is>
      </c>
    </row>
    <row r="265">
      <c r="A265" t="inlineStr">
        <is>
          <t>Los Angeles County Development Authority (LACDA)</t>
        </is>
      </c>
      <c r="B265" t="inlineStr">
        <is>
          <t>Los Angeles County</t>
        </is>
      </c>
      <c r="C265" t="inlineStr">
        <is>
          <t>2025-07-01</t>
        </is>
      </c>
      <c r="D265" t="inlineStr">
        <is>
          <t>Single-Family (All Electric)</t>
        </is>
      </c>
      <c r="E265" t="inlineStr">
        <is>
          <t>Single-Family</t>
        </is>
      </c>
      <c r="F265" t="inlineStr">
        <is>
          <t>Other Electric</t>
        </is>
      </c>
      <c r="G265" t="inlineStr">
        <is>
          <t>Electric (Lights/Plugs)</t>
        </is>
      </c>
      <c r="H265" t="inlineStr">
        <is>
          <t>Other Electric - Electric (Lights/Plugs)</t>
        </is>
      </c>
      <c r="I265" t="n">
        <v>38</v>
      </c>
      <c r="J265" t="n">
        <v>46</v>
      </c>
      <c r="K265" t="n">
        <v>55</v>
      </c>
      <c r="L265" t="n">
        <v>67</v>
      </c>
      <c r="M265" t="n">
        <v>77</v>
      </c>
      <c r="N265" t="n">
        <v>91</v>
      </c>
      <c r="O265" t="n">
        <v>103</v>
      </c>
      <c r="P265" t="n">
        <v>116</v>
      </c>
      <c r="Q265" t="inlineStr">
        <is>
          <t>LACDA Utility Allowance Schedule (All Electric) — user high-res table, 2025-07-01</t>
        </is>
      </c>
      <c r="R265" t="inlineStr">
        <is>
          <t>Populated</t>
        </is>
      </c>
    </row>
    <row r="266">
      <c r="A266" t="inlineStr">
        <is>
          <t>Los Angeles County Development Authority (LACDA)</t>
        </is>
      </c>
      <c r="B266" t="inlineStr">
        <is>
          <t>Los Angeles County</t>
        </is>
      </c>
      <c r="C266" t="inlineStr">
        <is>
          <t>2025-07-01</t>
        </is>
      </c>
      <c r="D266" t="inlineStr">
        <is>
          <t>Single-Family (All Electric)</t>
        </is>
      </c>
      <c r="E266" t="inlineStr">
        <is>
          <t>Single-Family</t>
        </is>
      </c>
      <c r="F266" t="inlineStr">
        <is>
          <t>Water</t>
        </is>
      </c>
      <c r="G266" t="inlineStr">
        <is>
          <t>—</t>
        </is>
      </c>
      <c r="H266" t="inlineStr">
        <is>
          <t>Water</t>
        </is>
      </c>
      <c r="I266" t="n">
        <v>31</v>
      </c>
      <c r="J266" t="n">
        <v>40</v>
      </c>
      <c r="K266" t="n">
        <v>50</v>
      </c>
      <c r="L266" t="n">
        <v>68</v>
      </c>
      <c r="M266" t="n">
        <v>86</v>
      </c>
      <c r="N266" t="n">
        <v>105</v>
      </c>
      <c r="O266" t="n">
        <v>123</v>
      </c>
      <c r="P266" t="n">
        <v>141</v>
      </c>
      <c r="Q266" t="inlineStr">
        <is>
          <t>LACDA Utility Allowance Schedule (All Electric) — user high-res table, 2025-07-01</t>
        </is>
      </c>
      <c r="R266" t="inlineStr">
        <is>
          <t>Populated</t>
        </is>
      </c>
    </row>
    <row r="267">
      <c r="A267" t="inlineStr">
        <is>
          <t>Los Angeles County Development Authority (LACDA)</t>
        </is>
      </c>
      <c r="B267" t="inlineStr">
        <is>
          <t>Los Angeles County</t>
        </is>
      </c>
      <c r="C267" t="inlineStr">
        <is>
          <t>2025-07-01</t>
        </is>
      </c>
      <c r="D267" t="inlineStr">
        <is>
          <t>Single-Family (All Electric)</t>
        </is>
      </c>
      <c r="E267" t="inlineStr">
        <is>
          <t>Single-Family</t>
        </is>
      </c>
      <c r="F267" t="inlineStr">
        <is>
          <t>Trash Collection</t>
        </is>
      </c>
      <c r="G267" t="inlineStr">
        <is>
          <t>—</t>
        </is>
      </c>
      <c r="H267" t="inlineStr">
        <is>
          <t>Trash Collection</t>
        </is>
      </c>
      <c r="I267" t="n">
        <v>46</v>
      </c>
      <c r="J267" t="n">
        <v>46</v>
      </c>
      <c r="K267" t="n">
        <v>46</v>
      </c>
      <c r="L267" t="n">
        <v>46</v>
      </c>
      <c r="M267" t="n">
        <v>46</v>
      </c>
      <c r="N267" t="n">
        <v>46</v>
      </c>
      <c r="O267" t="n">
        <v>46</v>
      </c>
      <c r="P267" t="n">
        <v>46</v>
      </c>
      <c r="Q267" t="inlineStr">
        <is>
          <t>LACDA Utility Allowance Schedule (All Electric) — user high-res table, 2025-07-01</t>
        </is>
      </c>
      <c r="R267" t="inlineStr">
        <is>
          <t>Populated</t>
        </is>
      </c>
    </row>
    <row r="268">
      <c r="A268" t="inlineStr">
        <is>
          <t>Los Angeles County Development Authority (LACDA)</t>
        </is>
      </c>
      <c r="B268" t="inlineStr">
        <is>
          <t>Los Angeles County</t>
        </is>
      </c>
      <c r="C268" t="inlineStr">
        <is>
          <t>2025-07-01</t>
        </is>
      </c>
      <c r="D268" t="inlineStr">
        <is>
          <t>Single-Family (All Electric)</t>
        </is>
      </c>
      <c r="E268" t="inlineStr">
        <is>
          <t>Single-Family</t>
        </is>
      </c>
      <c r="F268" t="inlineStr">
        <is>
          <t>Air Conditioning</t>
        </is>
      </c>
      <c r="G268" t="inlineStr">
        <is>
          <t>Electric</t>
        </is>
      </c>
      <c r="H268" t="inlineStr">
        <is>
          <t>Air Conditioning - Electric</t>
        </is>
      </c>
      <c r="I268" t="n">
        <v>18</v>
      </c>
      <c r="J268" t="n">
        <v>27</v>
      </c>
      <c r="K268" t="n">
        <v>36</v>
      </c>
      <c r="L268" t="n">
        <v>45</v>
      </c>
      <c r="M268" t="n">
        <v>60</v>
      </c>
      <c r="N268" t="n">
        <v>70</v>
      </c>
      <c r="O268" t="n">
        <v>80</v>
      </c>
      <c r="P268" t="n">
        <v>90</v>
      </c>
      <c r="Q268" t="inlineStr">
        <is>
          <t>LACDA Utility Allowance Schedule (All Electric) — user high-res table, 2025-07-01</t>
        </is>
      </c>
      <c r="R268" t="inlineStr">
        <is>
          <t>Populated</t>
        </is>
      </c>
    </row>
    <row r="269">
      <c r="A269" t="inlineStr">
        <is>
          <t>Los Angeles County Development Authority (LACDA)</t>
        </is>
      </c>
      <c r="B269" t="inlineStr">
        <is>
          <t>Los Angeles County</t>
        </is>
      </c>
      <c r="C269" t="inlineStr">
        <is>
          <t>2025-07-01</t>
        </is>
      </c>
      <c r="D269" t="inlineStr">
        <is>
          <t>Single-Family (All Electric)</t>
        </is>
      </c>
      <c r="E269" t="inlineStr">
        <is>
          <t>Single-Family</t>
        </is>
      </c>
      <c r="F269" t="inlineStr">
        <is>
          <t>Range/Microwave</t>
        </is>
      </c>
      <c r="G269" t="inlineStr">
        <is>
          <t>Allowance</t>
        </is>
      </c>
      <c r="H269" t="inlineStr">
        <is>
          <t>Range/Microwave - Allowance</t>
        </is>
      </c>
      <c r="I269" t="n">
        <v>9</v>
      </c>
      <c r="J269" t="n">
        <v>9</v>
      </c>
      <c r="K269" t="n">
        <v>9</v>
      </c>
      <c r="L269" t="n">
        <v>9</v>
      </c>
      <c r="M269" t="n">
        <v>9</v>
      </c>
      <c r="N269" t="n">
        <v>9</v>
      </c>
      <c r="O269" t="n">
        <v>9</v>
      </c>
      <c r="P269" t="n">
        <v>9</v>
      </c>
      <c r="Q269" t="inlineStr">
        <is>
          <t>LACDA Utility Allowance Schedule (All Electric) — user high-res table, 2025-07-01</t>
        </is>
      </c>
      <c r="R269" t="inlineStr">
        <is>
          <t>Populated</t>
        </is>
      </c>
    </row>
    <row r="270">
      <c r="A270" t="inlineStr">
        <is>
          <t>Los Angeles County Development Authority (LACDA)</t>
        </is>
      </c>
      <c r="B270" t="inlineStr">
        <is>
          <t>Los Angeles County</t>
        </is>
      </c>
      <c r="C270" t="inlineStr">
        <is>
          <t>2025-07-01</t>
        </is>
      </c>
      <c r="D270" t="inlineStr">
        <is>
          <t>Single-Family (All Electric)</t>
        </is>
      </c>
      <c r="E270" t="inlineStr">
        <is>
          <t>Single-Family</t>
        </is>
      </c>
      <c r="F270" t="inlineStr">
        <is>
          <t>Refrigerator</t>
        </is>
      </c>
      <c r="G270" t="inlineStr">
        <is>
          <t>Allowance</t>
        </is>
      </c>
      <c r="H270" t="inlineStr">
        <is>
          <t>Refrigerator - Allowance</t>
        </is>
      </c>
      <c r="I270" t="n">
        <v>8</v>
      </c>
      <c r="J270" t="n">
        <v>8</v>
      </c>
      <c r="K270" t="n">
        <v>8</v>
      </c>
      <c r="L270" t="n">
        <v>8</v>
      </c>
      <c r="M270" t="n">
        <v>8</v>
      </c>
      <c r="N270" t="n">
        <v>8</v>
      </c>
      <c r="O270" t="n">
        <v>8</v>
      </c>
      <c r="P270" t="n">
        <v>8</v>
      </c>
      <c r="Q270" t="inlineStr">
        <is>
          <t>LACDA Utility Allowance Schedule (All Electric) — user high-res table, 2025-07-01</t>
        </is>
      </c>
      <c r="R270" t="inlineStr">
        <is>
          <t>Populated</t>
        </is>
      </c>
    </row>
    <row r="271">
      <c r="A271" t="inlineStr">
        <is>
          <t>Los Angeles County Development Authority (LACDA)</t>
        </is>
      </c>
      <c r="B271" t="inlineStr">
        <is>
          <t>Los Angeles County</t>
        </is>
      </c>
      <c r="C271" t="inlineStr">
        <is>
          <t>2025-07-01</t>
        </is>
      </c>
      <c r="D271" t="inlineStr">
        <is>
          <t>Multi-Family (All Electric)</t>
        </is>
      </c>
      <c r="E271" t="inlineStr">
        <is>
          <t>Multifamily</t>
        </is>
      </c>
      <c r="F271" t="inlineStr">
        <is>
          <t>Space Heating</t>
        </is>
      </c>
      <c r="G271" t="inlineStr">
        <is>
          <t>Electric</t>
        </is>
      </c>
      <c r="H271" t="inlineStr">
        <is>
          <t>Space Heating - Electric</t>
        </is>
      </c>
      <c r="I271" t="n">
        <v>20</v>
      </c>
      <c r="J271" t="n">
        <v>27</v>
      </c>
      <c r="K271" t="n">
        <v>35</v>
      </c>
      <c r="L271" t="n">
        <v>44</v>
      </c>
      <c r="M271" t="n">
        <v>58</v>
      </c>
      <c r="N271" t="n">
        <v>68</v>
      </c>
      <c r="O271" t="n">
        <v>78</v>
      </c>
      <c r="P271" t="n">
        <v>89</v>
      </c>
      <c r="Q271" t="inlineStr">
        <is>
          <t>LACDA Utility Allowance Schedule (All Electric) — user high-res table, 2025-07-01</t>
        </is>
      </c>
      <c r="R271" t="inlineStr">
        <is>
          <t>Populated</t>
        </is>
      </c>
    </row>
    <row r="272">
      <c r="A272" t="inlineStr">
        <is>
          <t>Los Angeles County Development Authority (LACDA)</t>
        </is>
      </c>
      <c r="B272" t="inlineStr">
        <is>
          <t>Los Angeles County</t>
        </is>
      </c>
      <c r="C272" t="inlineStr">
        <is>
          <t>2025-07-01</t>
        </is>
      </c>
      <c r="D272" t="inlineStr">
        <is>
          <t>Multi-Family (All Electric)</t>
        </is>
      </c>
      <c r="E272" t="inlineStr">
        <is>
          <t>Multifamily</t>
        </is>
      </c>
      <c r="F272" t="inlineStr">
        <is>
          <t>Cooking</t>
        </is>
      </c>
      <c r="G272" t="inlineStr">
        <is>
          <t>Electric</t>
        </is>
      </c>
      <c r="H272" t="inlineStr">
        <is>
          <t>Cooking - Electric</t>
        </is>
      </c>
      <c r="I272" t="n">
        <v>10</v>
      </c>
      <c r="J272" t="n">
        <v>14</v>
      </c>
      <c r="K272" t="n">
        <v>18</v>
      </c>
      <c r="L272" t="n">
        <v>22</v>
      </c>
      <c r="M272" t="n">
        <v>28</v>
      </c>
      <c r="N272" t="n">
        <v>32</v>
      </c>
      <c r="O272" t="n">
        <v>36</v>
      </c>
      <c r="P272" t="n">
        <v>40</v>
      </c>
      <c r="Q272" t="inlineStr">
        <is>
          <t>LACDA Utility Allowance Schedule (All Electric) — user high-res table, 2025-07-01</t>
        </is>
      </c>
      <c r="R272" t="inlineStr">
        <is>
          <t>Populated</t>
        </is>
      </c>
    </row>
    <row r="273">
      <c r="A273" t="inlineStr">
        <is>
          <t>Los Angeles County Development Authority (LACDA)</t>
        </is>
      </c>
      <c r="B273" t="inlineStr">
        <is>
          <t>Los Angeles County</t>
        </is>
      </c>
      <c r="C273" t="inlineStr">
        <is>
          <t>2025-07-01</t>
        </is>
      </c>
      <c r="D273" t="inlineStr">
        <is>
          <t>Multi-Family (All Electric)</t>
        </is>
      </c>
      <c r="E273" t="inlineStr">
        <is>
          <t>Multifamily</t>
        </is>
      </c>
      <c r="F273" t="inlineStr">
        <is>
          <t>Water Heating</t>
        </is>
      </c>
      <c r="G273" t="inlineStr">
        <is>
          <t>Electric</t>
        </is>
      </c>
      <c r="H273" t="inlineStr">
        <is>
          <t>Water Heating - Electric</t>
        </is>
      </c>
      <c r="I273" t="n">
        <v>19</v>
      </c>
      <c r="J273" t="n">
        <v>27</v>
      </c>
      <c r="K273" t="n">
        <v>35</v>
      </c>
      <c r="L273" t="n">
        <v>43</v>
      </c>
      <c r="M273" t="n">
        <v>54</v>
      </c>
      <c r="N273" t="n">
        <v>62</v>
      </c>
      <c r="O273" t="n">
        <v>71</v>
      </c>
      <c r="P273" t="n">
        <v>79</v>
      </c>
      <c r="Q273" t="inlineStr">
        <is>
          <t>LACDA Utility Allowance Schedule (All Electric) — user high-res table, 2025-07-01</t>
        </is>
      </c>
      <c r="R273" t="inlineStr">
        <is>
          <t>Populated</t>
        </is>
      </c>
    </row>
    <row r="274">
      <c r="A274" t="inlineStr">
        <is>
          <t>Los Angeles County Development Authority (LACDA)</t>
        </is>
      </c>
      <c r="B274" t="inlineStr">
        <is>
          <t>Los Angeles County</t>
        </is>
      </c>
      <c r="C274" t="inlineStr">
        <is>
          <t>2025-07-01</t>
        </is>
      </c>
      <c r="D274" t="inlineStr">
        <is>
          <t>Multi-Family (All Electric)</t>
        </is>
      </c>
      <c r="E274" t="inlineStr">
        <is>
          <t>Multifamily</t>
        </is>
      </c>
      <c r="F274" t="inlineStr">
        <is>
          <t>Other Electric</t>
        </is>
      </c>
      <c r="G274" t="inlineStr">
        <is>
          <t>Electric (Lights/Plugs)</t>
        </is>
      </c>
      <c r="H274" t="inlineStr">
        <is>
          <t>Other Electric - Electric (Lights/Plugs)</t>
        </is>
      </c>
      <c r="I274" t="n">
        <v>38</v>
      </c>
      <c r="J274" t="n">
        <v>46</v>
      </c>
      <c r="K274" t="n">
        <v>55</v>
      </c>
      <c r="L274" t="n">
        <v>67</v>
      </c>
      <c r="M274" t="n">
        <v>77</v>
      </c>
      <c r="N274" t="n">
        <v>91</v>
      </c>
      <c r="O274" t="n">
        <v>103</v>
      </c>
      <c r="P274" t="n">
        <v>116</v>
      </c>
      <c r="Q274" t="inlineStr">
        <is>
          <t>LACDA Utility Allowance Schedule (All Electric) — user high-res table, 2025-07-01</t>
        </is>
      </c>
      <c r="R274" t="inlineStr">
        <is>
          <t>Populated</t>
        </is>
      </c>
    </row>
    <row r="275">
      <c r="A275" t="inlineStr">
        <is>
          <t>Los Angeles County Development Authority (LACDA)</t>
        </is>
      </c>
      <c r="B275" t="inlineStr">
        <is>
          <t>Los Angeles County</t>
        </is>
      </c>
      <c r="C275" t="inlineStr">
        <is>
          <t>2025-07-01</t>
        </is>
      </c>
      <c r="D275" t="inlineStr">
        <is>
          <t>Multi-Family (All Electric)</t>
        </is>
      </c>
      <c r="E275" t="inlineStr">
        <is>
          <t>Multifamily</t>
        </is>
      </c>
      <c r="F275" t="inlineStr">
        <is>
          <t>Water</t>
        </is>
      </c>
      <c r="G275" t="inlineStr">
        <is>
          <t>—</t>
        </is>
      </c>
      <c r="H275" t="inlineStr">
        <is>
          <t>Water</t>
        </is>
      </c>
      <c r="I275" t="n">
        <v>84</v>
      </c>
      <c r="J275" t="n">
        <v>92</v>
      </c>
      <c r="K275" t="n">
        <v>100</v>
      </c>
      <c r="L275" t="n">
        <v>116</v>
      </c>
      <c r="M275" t="n">
        <v>132</v>
      </c>
      <c r="N275" t="n">
        <v>148</v>
      </c>
      <c r="O275" t="n">
        <v>160</v>
      </c>
      <c r="P275" t="n">
        <v>180</v>
      </c>
      <c r="Q275" t="inlineStr">
        <is>
          <t>LACDA Utility Allowance Schedule (All Electric) — user high-res table, 2025-07-01</t>
        </is>
      </c>
      <c r="R275" t="inlineStr">
        <is>
          <t>Populated</t>
        </is>
      </c>
    </row>
    <row r="276">
      <c r="A276" t="inlineStr">
        <is>
          <t>Los Angeles County Development Authority (LACDA)</t>
        </is>
      </c>
      <c r="B276" t="inlineStr">
        <is>
          <t>Los Angeles County</t>
        </is>
      </c>
      <c r="C276" t="inlineStr">
        <is>
          <t>2025-07-01</t>
        </is>
      </c>
      <c r="D276" t="inlineStr">
        <is>
          <t>Multi-Family (All Electric)</t>
        </is>
      </c>
      <c r="E276" t="inlineStr">
        <is>
          <t>Multifamily</t>
        </is>
      </c>
      <c r="F276" t="inlineStr">
        <is>
          <t>Trash Collection</t>
        </is>
      </c>
      <c r="G276" t="inlineStr">
        <is>
          <t>—</t>
        </is>
      </c>
      <c r="H276" t="inlineStr">
        <is>
          <t>Trash Collection</t>
        </is>
      </c>
      <c r="I276" t="n">
        <v>46</v>
      </c>
      <c r="J276" t="n">
        <v>46</v>
      </c>
      <c r="K276" t="n">
        <v>46</v>
      </c>
      <c r="L276" t="n">
        <v>46</v>
      </c>
      <c r="M276" t="n">
        <v>46</v>
      </c>
      <c r="N276" t="n">
        <v>46</v>
      </c>
      <c r="O276" t="n">
        <v>46</v>
      </c>
      <c r="P276" t="n">
        <v>46</v>
      </c>
      <c r="Q276" t="inlineStr">
        <is>
          <t>LACDA Utility Allowance Schedule (All Electric) — user high-res table, 2025-07-01</t>
        </is>
      </c>
      <c r="R276" t="inlineStr">
        <is>
          <t>Populated</t>
        </is>
      </c>
    </row>
    <row r="277">
      <c r="A277" t="inlineStr">
        <is>
          <t>Los Angeles County Development Authority (LACDA)</t>
        </is>
      </c>
      <c r="B277" t="inlineStr">
        <is>
          <t>Los Angeles County</t>
        </is>
      </c>
      <c r="C277" t="inlineStr">
        <is>
          <t>2025-07-01</t>
        </is>
      </c>
      <c r="D277" t="inlineStr">
        <is>
          <t>Multi-Family (All Electric)</t>
        </is>
      </c>
      <c r="E277" t="inlineStr">
        <is>
          <t>Multifamily</t>
        </is>
      </c>
      <c r="F277" t="inlineStr">
        <is>
          <t>Air Conditioning</t>
        </is>
      </c>
      <c r="G277" t="inlineStr">
        <is>
          <t>Electric</t>
        </is>
      </c>
      <c r="H277" t="inlineStr">
        <is>
          <t>Air Conditioning - Electric</t>
        </is>
      </c>
      <c r="I277" t="n">
        <v>15</v>
      </c>
      <c r="J277" t="n">
        <v>21</v>
      </c>
      <c r="K277" t="n">
        <v>27</v>
      </c>
      <c r="L277" t="n">
        <v>34</v>
      </c>
      <c r="M277" t="n">
        <v>44</v>
      </c>
      <c r="N277" t="n">
        <v>53</v>
      </c>
      <c r="O277" t="n">
        <v>61</v>
      </c>
      <c r="P277" t="n">
        <v>68</v>
      </c>
      <c r="Q277" t="inlineStr">
        <is>
          <t>LACDA Utility Allowance Schedule (All Electric) — user high-res table, 2025-07-01</t>
        </is>
      </c>
      <c r="R277" t="inlineStr">
        <is>
          <t>Populated</t>
        </is>
      </c>
    </row>
    <row r="278">
      <c r="A278" t="inlineStr">
        <is>
          <t>Los Angeles County Development Authority (LACDA)</t>
        </is>
      </c>
      <c r="B278" t="inlineStr">
        <is>
          <t>Los Angeles County</t>
        </is>
      </c>
      <c r="C278" t="inlineStr">
        <is>
          <t>2025-07-01</t>
        </is>
      </c>
      <c r="D278" t="inlineStr">
        <is>
          <t>Multi-Family (All Electric)</t>
        </is>
      </c>
      <c r="E278" t="inlineStr">
        <is>
          <t>Multifamily</t>
        </is>
      </c>
      <c r="F278" t="inlineStr">
        <is>
          <t>Range/Microwave</t>
        </is>
      </c>
      <c r="G278" t="inlineStr">
        <is>
          <t>Allowance</t>
        </is>
      </c>
      <c r="H278" t="inlineStr">
        <is>
          <t>Range/Microwave - Allowance</t>
        </is>
      </c>
      <c r="I278" t="n">
        <v>9</v>
      </c>
      <c r="J278" t="n">
        <v>9</v>
      </c>
      <c r="K278" t="n">
        <v>9</v>
      </c>
      <c r="L278" t="n">
        <v>9</v>
      </c>
      <c r="M278" t="n">
        <v>9</v>
      </c>
      <c r="N278" t="n">
        <v>9</v>
      </c>
      <c r="O278" t="n">
        <v>9</v>
      </c>
      <c r="P278" t="n">
        <v>9</v>
      </c>
      <c r="Q278" t="inlineStr">
        <is>
          <t>LACDA Utility Allowance Schedule (All Electric) — user high-res table, 2025-07-01</t>
        </is>
      </c>
      <c r="R278" t="inlineStr">
        <is>
          <t>Populated</t>
        </is>
      </c>
    </row>
    <row r="279">
      <c r="A279" t="inlineStr">
        <is>
          <t>Los Angeles County Development Authority (LACDA)</t>
        </is>
      </c>
      <c r="B279" t="inlineStr">
        <is>
          <t>Los Angeles County</t>
        </is>
      </c>
      <c r="C279" t="inlineStr">
        <is>
          <t>2025-07-01</t>
        </is>
      </c>
      <c r="D279" t="inlineStr">
        <is>
          <t>Multi-Family (All Electric)</t>
        </is>
      </c>
      <c r="E279" t="inlineStr">
        <is>
          <t>Multifamily</t>
        </is>
      </c>
      <c r="F279" t="inlineStr">
        <is>
          <t>Refrigerator</t>
        </is>
      </c>
      <c r="G279" t="inlineStr">
        <is>
          <t>Allowance</t>
        </is>
      </c>
      <c r="H279" t="inlineStr">
        <is>
          <t>Refrigerator - Allowance</t>
        </is>
      </c>
      <c r="I279" t="n">
        <v>8</v>
      </c>
      <c r="J279" t="n">
        <v>8</v>
      </c>
      <c r="K279" t="n">
        <v>8</v>
      </c>
      <c r="L279" t="n">
        <v>8</v>
      </c>
      <c r="M279" t="n">
        <v>8</v>
      </c>
      <c r="N279" t="n">
        <v>8</v>
      </c>
      <c r="O279" t="n">
        <v>8</v>
      </c>
      <c r="P279" t="n">
        <v>8</v>
      </c>
      <c r="Q279" t="inlineStr">
        <is>
          <t>LACDA Utility Allowance Schedule (All Electric) — user high-res table, 2025-07-01</t>
        </is>
      </c>
      <c r="R279" t="inlineStr">
        <is>
          <t>Populated</t>
        </is>
      </c>
    </row>
    <row r="280">
      <c r="A280" t="inlineStr">
        <is>
          <t>Housing Authority of the City of Los Angeles (HACLA)</t>
        </is>
      </c>
      <c r="B280" t="inlineStr">
        <is>
          <t>Los Angeles</t>
        </is>
      </c>
      <c r="C280" t="inlineStr">
        <is>
          <t>2024-12-01</t>
        </is>
      </c>
      <c r="D280" t="inlineStr">
        <is>
          <t>Multi-Family</t>
        </is>
      </c>
      <c r="E280" t="inlineStr">
        <is>
          <t>Multifamily</t>
        </is>
      </c>
      <c r="F280" t="inlineStr">
        <is>
          <t>Other - Specify</t>
        </is>
      </c>
      <c r="G280" t="inlineStr">
        <is>
          <t>Code Enforcement Program</t>
        </is>
      </c>
      <c r="H280" t="inlineStr">
        <is>
          <t>Other - Specify - Code Enforcement Program</t>
        </is>
      </c>
      <c r="I280" t="n">
        <v>6</v>
      </c>
      <c r="J280" t="n">
        <v>6</v>
      </c>
      <c r="K280" t="n">
        <v>6</v>
      </c>
      <c r="L280" t="n">
        <v>6</v>
      </c>
      <c r="M280" t="n">
        <v>6</v>
      </c>
      <c r="N280" t="n">
        <v>6</v>
      </c>
      <c r="O280" t="n">
        <v>6</v>
      </c>
      <c r="P280" t="n">
        <v>6</v>
      </c>
      <c r="Q280" t="inlineStr">
        <is>
          <t>HACLA UA table (user screenshot, Dec 1 2024)</t>
        </is>
      </c>
      <c r="R280" t="inlineStr">
        <is>
          <t>Populated</t>
        </is>
      </c>
    </row>
    <row r="281">
      <c r="A281" t="inlineStr">
        <is>
          <t>Housing Authority of the City of Los Angeles (HACLA)</t>
        </is>
      </c>
      <c r="B281" t="inlineStr">
        <is>
          <t>Los Angeles</t>
        </is>
      </c>
      <c r="C281" t="inlineStr">
        <is>
          <t>2024-12-01</t>
        </is>
      </c>
      <c r="D281" t="inlineStr">
        <is>
          <t>Single-Family</t>
        </is>
      </c>
      <c r="E281" t="inlineStr">
        <is>
          <t>Single-Family</t>
        </is>
      </c>
      <c r="F281" t="inlineStr">
        <is>
          <t>Other - Specify</t>
        </is>
      </c>
      <c r="G281" t="inlineStr">
        <is>
          <t>Code Enforcement Program</t>
        </is>
      </c>
      <c r="H281" t="inlineStr">
        <is>
          <t>Other - Specify - Code Enforcement Program</t>
        </is>
      </c>
      <c r="I281" t="n">
        <v>6</v>
      </c>
      <c r="J281" t="n">
        <v>6</v>
      </c>
      <c r="K281" t="n">
        <v>6</v>
      </c>
      <c r="L281" t="n">
        <v>6</v>
      </c>
      <c r="M281" t="n">
        <v>6</v>
      </c>
      <c r="N281" t="n">
        <v>6</v>
      </c>
      <c r="O281" t="n">
        <v>6</v>
      </c>
      <c r="P281" t="n">
        <v>6</v>
      </c>
      <c r="Q281" t="inlineStr">
        <is>
          <t>HACLA UA table (user screenshot, Dec 1 2024)</t>
        </is>
      </c>
      <c r="R281" t="inlineStr">
        <is>
          <t>Populated</t>
        </is>
      </c>
    </row>
    <row r="282">
      <c r="A282" t="inlineStr">
        <is>
          <t>Housing Authority of the City of Los Angeles (HACLA)</t>
        </is>
      </c>
      <c r="B282" t="inlineStr">
        <is>
          <t>Los Angeles</t>
        </is>
      </c>
      <c r="C282" t="inlineStr">
        <is>
          <t>2024-12-01</t>
        </is>
      </c>
      <c r="D282" t="inlineStr">
        <is>
          <t>Multi-Family</t>
        </is>
      </c>
      <c r="E282" t="inlineStr">
        <is>
          <t>Multifamily</t>
        </is>
      </c>
      <c r="F282" t="inlineStr">
        <is>
          <t>Other - Specify</t>
        </is>
      </c>
      <c r="G282" t="inlineStr">
        <is>
          <t>Rent Stabilization Fee</t>
        </is>
      </c>
      <c r="H282" t="inlineStr">
        <is>
          <t>Other - Specify - Rent Stabilization Fee</t>
        </is>
      </c>
      <c r="I282" t="n">
        <v>3</v>
      </c>
      <c r="J282" t="n">
        <v>3</v>
      </c>
      <c r="K282" t="n">
        <v>3</v>
      </c>
      <c r="L282" t="n">
        <v>3</v>
      </c>
      <c r="M282" t="n">
        <v>3</v>
      </c>
      <c r="N282" t="n">
        <v>3</v>
      </c>
      <c r="O282" t="n">
        <v>3</v>
      </c>
      <c r="P282" t="n">
        <v>3</v>
      </c>
      <c r="Q282" t="inlineStr">
        <is>
          <t>HACLA UA table (user screenshot, Dec 1 2024)</t>
        </is>
      </c>
      <c r="R282" t="inlineStr">
        <is>
          <t>Populated</t>
        </is>
      </c>
    </row>
    <row r="283">
      <c r="A283" t="inlineStr">
        <is>
          <t>Housing Authority of the City of Los Angeles (HACLA)</t>
        </is>
      </c>
      <c r="B283" t="inlineStr">
        <is>
          <t>Los Angeles</t>
        </is>
      </c>
      <c r="C283" t="inlineStr">
        <is>
          <t>2024-12-01</t>
        </is>
      </c>
      <c r="D283" t="inlineStr">
        <is>
          <t>Single-Family</t>
        </is>
      </c>
      <c r="E283" t="inlineStr">
        <is>
          <t>Single-Family</t>
        </is>
      </c>
      <c r="F283" t="inlineStr">
        <is>
          <t>Other - Specify</t>
        </is>
      </c>
      <c r="G283" t="inlineStr">
        <is>
          <t>Rent Stabilization Fee</t>
        </is>
      </c>
      <c r="H283" t="inlineStr">
        <is>
          <t>Other - Specify - Rent Stabilization Fee</t>
        </is>
      </c>
      <c r="I283" t="n">
        <v>3</v>
      </c>
      <c r="J283" t="n">
        <v>3</v>
      </c>
      <c r="K283" t="n">
        <v>3</v>
      </c>
      <c r="L283" t="n">
        <v>3</v>
      </c>
      <c r="M283" t="n">
        <v>3</v>
      </c>
      <c r="N283" t="n">
        <v>3</v>
      </c>
      <c r="O283" t="n">
        <v>3</v>
      </c>
      <c r="P283" t="n">
        <v>3</v>
      </c>
      <c r="Q283" t="inlineStr">
        <is>
          <t>HACLA UA table (user screenshot, Dec 1 2024)</t>
        </is>
      </c>
      <c r="R283" t="inlineStr">
        <is>
          <t>Populated</t>
        </is>
      </c>
    </row>
    <row r="284">
      <c r="A284" t="inlineStr">
        <is>
          <t>Housing Authority of the City of Santa Ana</t>
        </is>
      </c>
      <c r="B284" t="inlineStr">
        <is>
          <t>Santa Ana</t>
        </is>
      </c>
      <c r="C284" t="inlineStr">
        <is>
          <t>2024-10-01</t>
        </is>
      </c>
      <c r="D284" t="inlineStr">
        <is>
          <t>Single-Family</t>
        </is>
      </c>
      <c r="E284" t="inlineStr">
        <is>
          <t>Single-Family</t>
        </is>
      </c>
      <c r="F284" t="inlineStr">
        <is>
          <t>Space Heating</t>
        </is>
      </c>
      <c r="G284" t="inlineStr">
        <is>
          <t>Space Heating - Natural Gas</t>
        </is>
      </c>
      <c r="H284" t="inlineStr">
        <is>
          <t>Space Heating - Natural Gas</t>
        </is>
      </c>
      <c r="I284" t="n">
        <v>14</v>
      </c>
      <c r="J284" t="n">
        <v>17</v>
      </c>
      <c r="K284" t="n">
        <v>18</v>
      </c>
      <c r="L284" t="n">
        <v>19</v>
      </c>
      <c r="M284" t="n">
        <v>20</v>
      </c>
      <c r="N284" t="n">
        <v>21</v>
      </c>
      <c r="O284" t="n">
        <v>0</v>
      </c>
      <c r="P284" t="n">
        <v>0</v>
      </c>
      <c r="Q284" t="inlineStr">
        <is>
          <t>Santa Ana UA Schedules (effective 2024-10-01) – uploaded PDF</t>
        </is>
      </c>
      <c r="R284" t="inlineStr">
        <is>
          <t>Populated</t>
        </is>
      </c>
    </row>
    <row r="285">
      <c r="A285" t="inlineStr">
        <is>
          <t>Housing Authority of the City of Santa Ana</t>
        </is>
      </c>
      <c r="B285" t="inlineStr">
        <is>
          <t>Santa Ana</t>
        </is>
      </c>
      <c r="C285" t="inlineStr">
        <is>
          <t>2024-10-01</t>
        </is>
      </c>
      <c r="D285" t="inlineStr">
        <is>
          <t>Single-Family</t>
        </is>
      </c>
      <c r="E285" t="inlineStr">
        <is>
          <t>Single-Family</t>
        </is>
      </c>
      <c r="F285" t="inlineStr">
        <is>
          <t>Cooking</t>
        </is>
      </c>
      <c r="G285" t="inlineStr">
        <is>
          <t>Cooking - Natural Gas</t>
        </is>
      </c>
      <c r="H285" t="inlineStr">
        <is>
          <t>Cooking - Natural Gas</t>
        </is>
      </c>
      <c r="I285" t="n">
        <v>3</v>
      </c>
      <c r="J285" t="n">
        <v>3</v>
      </c>
      <c r="K285" t="n">
        <v>5</v>
      </c>
      <c r="L285" t="n">
        <v>6</v>
      </c>
      <c r="M285" t="n">
        <v>8</v>
      </c>
      <c r="N285" t="n">
        <v>9</v>
      </c>
      <c r="O285" t="n">
        <v>0</v>
      </c>
      <c r="P285" t="n">
        <v>0</v>
      </c>
      <c r="Q285" t="inlineStr">
        <is>
          <t>Santa Ana UA Schedules (effective 2024-10-01) – uploaded PDF</t>
        </is>
      </c>
      <c r="R285" t="inlineStr">
        <is>
          <t>Populated</t>
        </is>
      </c>
    </row>
    <row r="286">
      <c r="A286" t="inlineStr">
        <is>
          <t>Housing Authority of the City of Santa Ana</t>
        </is>
      </c>
      <c r="B286" t="inlineStr">
        <is>
          <t>Santa Ana</t>
        </is>
      </c>
      <c r="C286" t="inlineStr">
        <is>
          <t>2024-10-01</t>
        </is>
      </c>
      <c r="D286" t="inlineStr">
        <is>
          <t>Single-Family</t>
        </is>
      </c>
      <c r="E286" t="inlineStr">
        <is>
          <t>Single-Family</t>
        </is>
      </c>
      <c r="F286" t="inlineStr">
        <is>
          <t>Water Heating</t>
        </is>
      </c>
      <c r="G286" t="inlineStr">
        <is>
          <t>Water Heating - Natural Gas</t>
        </is>
      </c>
      <c r="H286" t="inlineStr">
        <is>
          <t>Water Heating - Natural Gas</t>
        </is>
      </c>
      <c r="I286" t="n">
        <v>7</v>
      </c>
      <c r="J286" t="n">
        <v>9</v>
      </c>
      <c r="K286" t="n">
        <v>12</v>
      </c>
      <c r="L286" t="n">
        <v>16</v>
      </c>
      <c r="M286" t="n">
        <v>20</v>
      </c>
      <c r="N286" t="n">
        <v>24</v>
      </c>
      <c r="O286" t="n">
        <v>0</v>
      </c>
      <c r="P286" t="n">
        <v>0</v>
      </c>
      <c r="Q286" t="inlineStr">
        <is>
          <t>Santa Ana UA Schedules (effective 2024-10-01) – uploaded PDF</t>
        </is>
      </c>
      <c r="R286" t="inlineStr">
        <is>
          <t>Populated</t>
        </is>
      </c>
    </row>
    <row r="287">
      <c r="A287" t="inlineStr">
        <is>
          <t>Housing Authority of the City of Santa Ana</t>
        </is>
      </c>
      <c r="B287" t="inlineStr">
        <is>
          <t>Santa Ana</t>
        </is>
      </c>
      <c r="C287" t="inlineStr">
        <is>
          <t>2024-10-01</t>
        </is>
      </c>
      <c r="D287" t="inlineStr">
        <is>
          <t>Single-Family</t>
        </is>
      </c>
      <c r="E287" t="inlineStr">
        <is>
          <t>Single-Family</t>
        </is>
      </c>
      <c r="F287" t="inlineStr">
        <is>
          <t>Other - Specify</t>
        </is>
      </c>
      <c r="G287" t="inlineStr">
        <is>
          <t>Other - Specify - Utility Customer Charge / Fee (Gas)</t>
        </is>
      </c>
      <c r="H287" t="inlineStr">
        <is>
          <t>Other - Specify - Utility Customer Charge / Fee (Gas)</t>
        </is>
      </c>
      <c r="I287" t="n">
        <v>4</v>
      </c>
      <c r="J287" t="n">
        <v>4</v>
      </c>
      <c r="K287" t="n">
        <v>4</v>
      </c>
      <c r="L287" t="n">
        <v>4</v>
      </c>
      <c r="M287" t="n">
        <v>4</v>
      </c>
      <c r="N287" t="n">
        <v>4</v>
      </c>
      <c r="O287" t="n">
        <v>0</v>
      </c>
      <c r="P287" t="n">
        <v>0</v>
      </c>
      <c r="Q287" t="inlineStr">
        <is>
          <t>Santa Ana UA Schedules (effective 2024-10-01) – uploaded PDF</t>
        </is>
      </c>
      <c r="R287" t="inlineStr">
        <is>
          <t>Populated</t>
        </is>
      </c>
    </row>
    <row r="288">
      <c r="A288" t="inlineStr">
        <is>
          <t>Housing Authority of the City of Santa Ana</t>
        </is>
      </c>
      <c r="B288" t="inlineStr">
        <is>
          <t>Santa Ana</t>
        </is>
      </c>
      <c r="C288" t="inlineStr">
        <is>
          <t>2024-10-01</t>
        </is>
      </c>
      <c r="D288" t="inlineStr">
        <is>
          <t>Single-Family</t>
        </is>
      </c>
      <c r="E288" t="inlineStr">
        <is>
          <t>Single-Family</t>
        </is>
      </c>
      <c r="F288" t="inlineStr">
        <is>
          <t>Other Electric</t>
        </is>
      </c>
      <c r="G288" t="inlineStr">
        <is>
          <t>Other Electric - Electric (Lights/Plugs)</t>
        </is>
      </c>
      <c r="H288" t="inlineStr">
        <is>
          <t>Other Electric - Electric (Lights/Plugs)</t>
        </is>
      </c>
      <c r="I288" t="n">
        <v>49</v>
      </c>
      <c r="J288" t="n">
        <v>61</v>
      </c>
      <c r="K288" t="n">
        <v>91</v>
      </c>
      <c r="L288" t="n">
        <v>128</v>
      </c>
      <c r="M288" t="n">
        <v>164</v>
      </c>
      <c r="N288" t="n">
        <v>200</v>
      </c>
      <c r="O288" t="n">
        <v>0</v>
      </c>
      <c r="P288" t="n">
        <v>0</v>
      </c>
      <c r="Q288" t="inlineStr">
        <is>
          <t>Santa Ana UA Schedules (effective 2024-10-01) – uploaded PDF</t>
        </is>
      </c>
      <c r="R288" t="inlineStr">
        <is>
          <t>Populated</t>
        </is>
      </c>
    </row>
    <row r="289">
      <c r="A289" t="inlineStr">
        <is>
          <t>Housing Authority of the City of Santa Ana</t>
        </is>
      </c>
      <c r="B289" t="inlineStr">
        <is>
          <t>Santa Ana</t>
        </is>
      </c>
      <c r="C289" t="inlineStr">
        <is>
          <t>2024-10-01</t>
        </is>
      </c>
      <c r="D289" t="inlineStr">
        <is>
          <t>Single-Family</t>
        </is>
      </c>
      <c r="E289" t="inlineStr">
        <is>
          <t>Single-Family</t>
        </is>
      </c>
      <c r="F289" t="inlineStr">
        <is>
          <t>Space Heating</t>
        </is>
      </c>
      <c r="G289" t="inlineStr">
        <is>
          <t>Space Heating - Electric</t>
        </is>
      </c>
      <c r="H289" t="inlineStr">
        <is>
          <t>Space Heating - Electric</t>
        </is>
      </c>
      <c r="I289" t="n">
        <v>31</v>
      </c>
      <c r="J289" t="n">
        <v>37</v>
      </c>
      <c r="K289" t="n">
        <v>41</v>
      </c>
      <c r="L289" t="n">
        <v>44</v>
      </c>
      <c r="M289" t="n">
        <v>48</v>
      </c>
      <c r="N289" t="n">
        <v>52</v>
      </c>
      <c r="O289" t="n">
        <v>0</v>
      </c>
      <c r="P289" t="n">
        <v>0</v>
      </c>
      <c r="Q289" t="inlineStr">
        <is>
          <t>Santa Ana UA Schedules (effective 2024-10-01) – uploaded PDF</t>
        </is>
      </c>
      <c r="R289" t="inlineStr">
        <is>
          <t>Populated</t>
        </is>
      </c>
    </row>
    <row r="290">
      <c r="A290" t="inlineStr">
        <is>
          <t>Housing Authority of the City of Santa Ana</t>
        </is>
      </c>
      <c r="B290" t="inlineStr">
        <is>
          <t>Santa Ana</t>
        </is>
      </c>
      <c r="C290" t="inlineStr">
        <is>
          <t>2024-10-01</t>
        </is>
      </c>
      <c r="D290" t="inlineStr">
        <is>
          <t>Single-Family</t>
        </is>
      </c>
      <c r="E290" t="inlineStr">
        <is>
          <t>Single-Family</t>
        </is>
      </c>
      <c r="F290" t="inlineStr">
        <is>
          <t>Cooking</t>
        </is>
      </c>
      <c r="G290" t="inlineStr">
        <is>
          <t>Cooking - Electric</t>
        </is>
      </c>
      <c r="H290" t="inlineStr">
        <is>
          <t>Cooking - Electric</t>
        </is>
      </c>
      <c r="I290" t="n">
        <v>11</v>
      </c>
      <c r="J290" t="n">
        <v>13</v>
      </c>
      <c r="K290" t="n">
        <v>19</v>
      </c>
      <c r="L290" t="n">
        <v>25</v>
      </c>
      <c r="M290" t="n">
        <v>31</v>
      </c>
      <c r="N290" t="n">
        <v>37</v>
      </c>
      <c r="O290" t="n">
        <v>0</v>
      </c>
      <c r="P290" t="n">
        <v>0</v>
      </c>
      <c r="Q290" t="inlineStr">
        <is>
          <t>Santa Ana UA Schedules (effective 2024-10-01) – uploaded PDF</t>
        </is>
      </c>
      <c r="R290" t="inlineStr">
        <is>
          <t>Populated</t>
        </is>
      </c>
    </row>
    <row r="291">
      <c r="A291" t="inlineStr">
        <is>
          <t>Housing Authority of the City of Santa Ana</t>
        </is>
      </c>
      <c r="B291" t="inlineStr">
        <is>
          <t>Santa Ana</t>
        </is>
      </c>
      <c r="C291" t="inlineStr">
        <is>
          <t>2024-10-01</t>
        </is>
      </c>
      <c r="D291" t="inlineStr">
        <is>
          <t>Single-Family</t>
        </is>
      </c>
      <c r="E291" t="inlineStr">
        <is>
          <t>Single-Family</t>
        </is>
      </c>
      <c r="F291" t="inlineStr">
        <is>
          <t>Water Heating</t>
        </is>
      </c>
      <c r="G291" t="inlineStr">
        <is>
          <t>Water Heating - Electric</t>
        </is>
      </c>
      <c r="H291" t="inlineStr">
        <is>
          <t>Water Heating - Electric</t>
        </is>
      </c>
      <c r="I291" t="n">
        <v>31</v>
      </c>
      <c r="J291" t="n">
        <v>37</v>
      </c>
      <c r="K291" t="n">
        <v>47</v>
      </c>
      <c r="L291" t="n">
        <v>57</v>
      </c>
      <c r="M291" t="n">
        <v>68</v>
      </c>
      <c r="N291" t="n">
        <v>78</v>
      </c>
      <c r="O291" t="n">
        <v>0</v>
      </c>
      <c r="P291" t="n">
        <v>0</v>
      </c>
      <c r="Q291" t="inlineStr">
        <is>
          <t>Santa Ana UA Schedules (effective 2024-10-01) – uploaded PDF</t>
        </is>
      </c>
      <c r="R291" t="inlineStr">
        <is>
          <t>Populated</t>
        </is>
      </c>
    </row>
    <row r="292">
      <c r="A292" t="inlineStr">
        <is>
          <t>Housing Authority of the City of Santa Ana</t>
        </is>
      </c>
      <c r="B292" t="inlineStr">
        <is>
          <t>Santa Ana</t>
        </is>
      </c>
      <c r="C292" t="inlineStr">
        <is>
          <t>2024-10-01</t>
        </is>
      </c>
      <c r="D292" t="inlineStr">
        <is>
          <t>Single-Family</t>
        </is>
      </c>
      <c r="E292" t="inlineStr">
        <is>
          <t>Single-Family</t>
        </is>
      </c>
      <c r="F292" t="inlineStr">
        <is>
          <t>Water</t>
        </is>
      </c>
      <c r="G292" t="inlineStr">
        <is>
          <t>Water</t>
        </is>
      </c>
      <c r="H292" t="inlineStr">
        <is>
          <t>Water</t>
        </is>
      </c>
      <c r="I292" t="n">
        <v>36</v>
      </c>
      <c r="J292" t="n">
        <v>38</v>
      </c>
      <c r="K292" t="n">
        <v>43</v>
      </c>
      <c r="L292" t="n">
        <v>48</v>
      </c>
      <c r="M292" t="n">
        <v>54</v>
      </c>
      <c r="N292" t="n">
        <v>65</v>
      </c>
      <c r="O292" t="n">
        <v>0</v>
      </c>
      <c r="P292" t="n">
        <v>0</v>
      </c>
      <c r="Q292" t="inlineStr">
        <is>
          <t>Santa Ana UA Schedules (effective 2024-10-01) – uploaded PDF</t>
        </is>
      </c>
      <c r="R292" t="inlineStr">
        <is>
          <t>Populated</t>
        </is>
      </c>
    </row>
    <row r="293">
      <c r="A293" t="inlineStr">
        <is>
          <t>Housing Authority of the City of Santa Ana</t>
        </is>
      </c>
      <c r="B293" t="inlineStr">
        <is>
          <t>Santa Ana</t>
        </is>
      </c>
      <c r="C293" t="inlineStr">
        <is>
          <t>2024-10-01</t>
        </is>
      </c>
      <c r="D293" t="inlineStr">
        <is>
          <t>Single-Family</t>
        </is>
      </c>
      <c r="E293" t="inlineStr">
        <is>
          <t>Single-Family</t>
        </is>
      </c>
      <c r="F293" t="inlineStr">
        <is>
          <t>Air Conditioning</t>
        </is>
      </c>
      <c r="G293" t="inlineStr">
        <is>
          <t>Air Conditioning - Electric</t>
        </is>
      </c>
      <c r="H293" t="inlineStr">
        <is>
          <t>Air Conditioning - Electric</t>
        </is>
      </c>
      <c r="I293" t="n">
        <v>12</v>
      </c>
      <c r="J293" t="n">
        <v>28</v>
      </c>
      <c r="K293" t="n">
        <v>43</v>
      </c>
      <c r="L293" t="n">
        <v>58</v>
      </c>
      <c r="M293" t="n">
        <v>73</v>
      </c>
      <c r="N293" t="n">
        <v>73</v>
      </c>
      <c r="O293" t="n">
        <v>0</v>
      </c>
      <c r="P293" t="n">
        <v>0</v>
      </c>
      <c r="Q293" t="inlineStr">
        <is>
          <t>Santa Ana UA Schedules (effective 2024-10-01) – uploaded PDF</t>
        </is>
      </c>
      <c r="R293" t="inlineStr">
        <is>
          <t>Populated</t>
        </is>
      </c>
    </row>
    <row r="294">
      <c r="A294" t="inlineStr">
        <is>
          <t>Housing Authority of the City of Santa Ana</t>
        </is>
      </c>
      <c r="B294" t="inlineStr">
        <is>
          <t>Santa Ana</t>
        </is>
      </c>
      <c r="C294" t="inlineStr">
        <is>
          <t>2024-10-01</t>
        </is>
      </c>
      <c r="D294" t="inlineStr">
        <is>
          <t>Single-Family</t>
        </is>
      </c>
      <c r="E294" t="inlineStr">
        <is>
          <t>Single-Family</t>
        </is>
      </c>
      <c r="F294" t="inlineStr">
        <is>
          <t>Trash Collection</t>
        </is>
      </c>
      <c r="G294" t="inlineStr">
        <is>
          <t>Trash Collection</t>
        </is>
      </c>
      <c r="H294" t="inlineStr">
        <is>
          <t>Trash Collection</t>
        </is>
      </c>
      <c r="I294" t="n">
        <v>31</v>
      </c>
      <c r="J294" t="n">
        <v>31</v>
      </c>
      <c r="K294" t="n">
        <v>31</v>
      </c>
      <c r="L294" t="n">
        <v>31</v>
      </c>
      <c r="M294" t="n">
        <v>31</v>
      </c>
      <c r="N294" t="n">
        <v>31</v>
      </c>
      <c r="O294" t="n">
        <v>0</v>
      </c>
      <c r="P294" t="n">
        <v>0</v>
      </c>
      <c r="Q294" t="inlineStr">
        <is>
          <t>Santa Ana UA Schedules (effective 2024-10-01) – uploaded PDF</t>
        </is>
      </c>
      <c r="R294" t="inlineStr">
        <is>
          <t>Populated</t>
        </is>
      </c>
    </row>
    <row r="295">
      <c r="A295" t="inlineStr">
        <is>
          <t>Housing Authority of the City of Santa Ana</t>
        </is>
      </c>
      <c r="B295" t="inlineStr">
        <is>
          <t>Santa Ana</t>
        </is>
      </c>
      <c r="C295" t="inlineStr">
        <is>
          <t>2024-10-01</t>
        </is>
      </c>
      <c r="D295" t="inlineStr">
        <is>
          <t>Single-Family</t>
        </is>
      </c>
      <c r="E295" t="inlineStr">
        <is>
          <t>Single-Family</t>
        </is>
      </c>
      <c r="F295" t="inlineStr">
        <is>
          <t>Refrigerator</t>
        </is>
      </c>
      <c r="G295" t="inlineStr">
        <is>
          <t>Refrigerator - Allowance</t>
        </is>
      </c>
      <c r="H295" t="inlineStr">
        <is>
          <t>Refrigerator - Allowance</t>
        </is>
      </c>
      <c r="I295" t="n">
        <v>12</v>
      </c>
      <c r="J295" t="n">
        <v>12</v>
      </c>
      <c r="K295" t="n">
        <v>12</v>
      </c>
      <c r="L295" t="n">
        <v>12</v>
      </c>
      <c r="M295" t="n">
        <v>12</v>
      </c>
      <c r="N295" t="n">
        <v>12</v>
      </c>
      <c r="O295" t="n">
        <v>0</v>
      </c>
      <c r="P295" t="n">
        <v>0</v>
      </c>
      <c r="Q295" t="inlineStr">
        <is>
          <t>Santa Ana UA Schedules (effective 2024-10-01) – uploaded PDF</t>
        </is>
      </c>
      <c r="R295" t="inlineStr">
        <is>
          <t>Populated</t>
        </is>
      </c>
    </row>
    <row r="296">
      <c r="A296" t="inlineStr">
        <is>
          <t>Housing Authority of the City of Santa Ana</t>
        </is>
      </c>
      <c r="B296" t="inlineStr">
        <is>
          <t>Santa Ana</t>
        </is>
      </c>
      <c r="C296" t="inlineStr">
        <is>
          <t>2024-10-01</t>
        </is>
      </c>
      <c r="D296" t="inlineStr">
        <is>
          <t>Single-Family</t>
        </is>
      </c>
      <c r="E296" t="inlineStr">
        <is>
          <t>Single-Family</t>
        </is>
      </c>
      <c r="F296" t="inlineStr">
        <is>
          <t>Range/Microwave</t>
        </is>
      </c>
      <c r="G296" t="inlineStr">
        <is>
          <t>Range/Microwave - Allowance</t>
        </is>
      </c>
      <c r="H296" t="inlineStr">
        <is>
          <t>Range/Microwave - Allowance</t>
        </is>
      </c>
      <c r="I296" t="n">
        <v>11</v>
      </c>
      <c r="J296" t="n">
        <v>11</v>
      </c>
      <c r="K296" t="n">
        <v>11</v>
      </c>
      <c r="L296" t="n">
        <v>11</v>
      </c>
      <c r="M296" t="n">
        <v>11</v>
      </c>
      <c r="N296" t="n">
        <v>11</v>
      </c>
      <c r="O296" t="n">
        <v>0</v>
      </c>
      <c r="P296" t="n">
        <v>0</v>
      </c>
      <c r="Q296" t="inlineStr">
        <is>
          <t>Santa Ana UA Schedules (effective 2024-10-01) – uploaded PDF</t>
        </is>
      </c>
      <c r="R296" t="inlineStr">
        <is>
          <t>Populated</t>
        </is>
      </c>
    </row>
    <row r="297">
      <c r="A297" t="inlineStr">
        <is>
          <t>Housing Authority of the City of Santa Ana</t>
        </is>
      </c>
      <c r="B297" t="inlineStr">
        <is>
          <t>Santa Ana</t>
        </is>
      </c>
      <c r="C297" t="inlineStr">
        <is>
          <t>2024-10-01</t>
        </is>
      </c>
      <c r="D297" t="inlineStr">
        <is>
          <t>Old Multi-Family</t>
        </is>
      </c>
      <c r="E297" t="inlineStr">
        <is>
          <t>Multifamily</t>
        </is>
      </c>
      <c r="F297" t="inlineStr">
        <is>
          <t>Space Heating</t>
        </is>
      </c>
      <c r="G297" t="inlineStr">
        <is>
          <t>Space Heating - Natural Gas</t>
        </is>
      </c>
      <c r="H297" t="inlineStr">
        <is>
          <t>Space Heating - Natural Gas</t>
        </is>
      </c>
      <c r="I297" t="n">
        <v>10</v>
      </c>
      <c r="J297" t="n">
        <v>12</v>
      </c>
      <c r="K297" t="n">
        <v>12</v>
      </c>
      <c r="L297" t="n">
        <v>13</v>
      </c>
      <c r="M297" t="n">
        <v>14</v>
      </c>
      <c r="N297" t="n">
        <v>15</v>
      </c>
      <c r="O297" t="n">
        <v>0</v>
      </c>
      <c r="P297" t="n">
        <v>0</v>
      </c>
      <c r="Q297" t="inlineStr">
        <is>
          <t>Santa Ana UA Schedules (effective 2024-10-01) – uploaded PDF</t>
        </is>
      </c>
      <c r="R297" t="inlineStr">
        <is>
          <t>Populated</t>
        </is>
      </c>
    </row>
    <row r="298">
      <c r="A298" t="inlineStr">
        <is>
          <t>Housing Authority of the City of Santa Ana</t>
        </is>
      </c>
      <c r="B298" t="inlineStr">
        <is>
          <t>Santa Ana</t>
        </is>
      </c>
      <c r="C298" t="inlineStr">
        <is>
          <t>2024-10-01</t>
        </is>
      </c>
      <c r="D298" t="inlineStr">
        <is>
          <t>Old Multi-Family</t>
        </is>
      </c>
      <c r="E298" t="inlineStr">
        <is>
          <t>Multifamily</t>
        </is>
      </c>
      <c r="F298" t="inlineStr">
        <is>
          <t>Cooking</t>
        </is>
      </c>
      <c r="G298" t="inlineStr">
        <is>
          <t>Cooking - Natural Gas</t>
        </is>
      </c>
      <c r="H298" t="inlineStr">
        <is>
          <t>Cooking - Natural Gas</t>
        </is>
      </c>
      <c r="I298" t="n">
        <v>3</v>
      </c>
      <c r="J298" t="n">
        <v>3</v>
      </c>
      <c r="K298" t="n">
        <v>5</v>
      </c>
      <c r="L298" t="n">
        <v>6</v>
      </c>
      <c r="M298" t="n">
        <v>8</v>
      </c>
      <c r="N298" t="n">
        <v>9</v>
      </c>
      <c r="O298" t="n">
        <v>0</v>
      </c>
      <c r="P298" t="n">
        <v>0</v>
      </c>
      <c r="Q298" t="inlineStr">
        <is>
          <t>Santa Ana UA Schedules (effective 2024-10-01) – uploaded PDF</t>
        </is>
      </c>
      <c r="R298" t="inlineStr">
        <is>
          <t>Populated</t>
        </is>
      </c>
    </row>
    <row r="299">
      <c r="A299" t="inlineStr">
        <is>
          <t>Housing Authority of the City of Santa Ana</t>
        </is>
      </c>
      <c r="B299" t="inlineStr">
        <is>
          <t>Santa Ana</t>
        </is>
      </c>
      <c r="C299" t="inlineStr">
        <is>
          <t>2024-10-01</t>
        </is>
      </c>
      <c r="D299" t="inlineStr">
        <is>
          <t>Old Multi-Family</t>
        </is>
      </c>
      <c r="E299" t="inlineStr">
        <is>
          <t>Multifamily</t>
        </is>
      </c>
      <c r="F299" t="inlineStr">
        <is>
          <t>Water Heating</t>
        </is>
      </c>
      <c r="G299" t="inlineStr">
        <is>
          <t>Water Heating - Natural Gas</t>
        </is>
      </c>
      <c r="H299" t="inlineStr">
        <is>
          <t>Water Heating - Natural Gas</t>
        </is>
      </c>
      <c r="I299" t="n">
        <v>6</v>
      </c>
      <c r="J299" t="n">
        <v>7</v>
      </c>
      <c r="K299" t="n">
        <v>10</v>
      </c>
      <c r="L299" t="n">
        <v>13</v>
      </c>
      <c r="M299" t="n">
        <v>16</v>
      </c>
      <c r="N299" t="n">
        <v>19</v>
      </c>
      <c r="O299" t="n">
        <v>0</v>
      </c>
      <c r="P299" t="n">
        <v>0</v>
      </c>
      <c r="Q299" t="inlineStr">
        <is>
          <t>Santa Ana UA Schedules (effective 2024-10-01) – uploaded PDF</t>
        </is>
      </c>
      <c r="R299" t="inlineStr">
        <is>
          <t>Populated</t>
        </is>
      </c>
    </row>
    <row r="300">
      <c r="A300" t="inlineStr">
        <is>
          <t>Housing Authority of the City of Santa Ana</t>
        </is>
      </c>
      <c r="B300" t="inlineStr">
        <is>
          <t>Santa Ana</t>
        </is>
      </c>
      <c r="C300" t="inlineStr">
        <is>
          <t>2024-10-01</t>
        </is>
      </c>
      <c r="D300" t="inlineStr">
        <is>
          <t>Old Multi-Family</t>
        </is>
      </c>
      <c r="E300" t="inlineStr">
        <is>
          <t>Multifamily</t>
        </is>
      </c>
      <c r="F300" t="inlineStr">
        <is>
          <t>Other - Specify</t>
        </is>
      </c>
      <c r="G300" t="inlineStr">
        <is>
          <t>Other - Specify - Utility Customer Charge / Fee (Gas)</t>
        </is>
      </c>
      <c r="H300" t="inlineStr">
        <is>
          <t>Other - Specify - Utility Customer Charge / Fee (Gas)</t>
        </is>
      </c>
      <c r="I300" t="n">
        <v>4</v>
      </c>
      <c r="J300" t="n">
        <v>4</v>
      </c>
      <c r="K300" t="n">
        <v>4</v>
      </c>
      <c r="L300" t="n">
        <v>4</v>
      </c>
      <c r="M300" t="n">
        <v>4</v>
      </c>
      <c r="N300" t="n">
        <v>4</v>
      </c>
      <c r="O300" t="n">
        <v>0</v>
      </c>
      <c r="P300" t="n">
        <v>0</v>
      </c>
      <c r="Q300" t="inlineStr">
        <is>
          <t>Santa Ana UA Schedules (effective 2024-10-01) – uploaded PDF</t>
        </is>
      </c>
      <c r="R300" t="inlineStr">
        <is>
          <t>Populated</t>
        </is>
      </c>
    </row>
    <row r="301">
      <c r="A301" t="inlineStr">
        <is>
          <t>Housing Authority of the City of Santa Ana</t>
        </is>
      </c>
      <c r="B301" t="inlineStr">
        <is>
          <t>Santa Ana</t>
        </is>
      </c>
      <c r="C301" t="inlineStr">
        <is>
          <t>2024-10-01</t>
        </is>
      </c>
      <c r="D301" t="inlineStr">
        <is>
          <t>Old Multi-Family</t>
        </is>
      </c>
      <c r="E301" t="inlineStr">
        <is>
          <t>Multifamily</t>
        </is>
      </c>
      <c r="F301" t="inlineStr">
        <is>
          <t>Other Electric</t>
        </is>
      </c>
      <c r="G301" t="inlineStr">
        <is>
          <t>Other Electric - Electric (Lights/Plugs)</t>
        </is>
      </c>
      <c r="H301" t="inlineStr">
        <is>
          <t>Other Electric - Electric (Lights/Plugs)</t>
        </is>
      </c>
      <c r="I301" t="n">
        <v>29</v>
      </c>
      <c r="J301" t="n">
        <v>37</v>
      </c>
      <c r="K301" t="n">
        <v>57</v>
      </c>
      <c r="L301" t="n">
        <v>76</v>
      </c>
      <c r="M301" t="n">
        <v>100</v>
      </c>
      <c r="N301" t="n">
        <v>124</v>
      </c>
      <c r="O301" t="n">
        <v>0</v>
      </c>
      <c r="P301" t="n">
        <v>0</v>
      </c>
      <c r="Q301" t="inlineStr">
        <is>
          <t>Santa Ana UA Schedules (effective 2024-10-01) – uploaded PDF</t>
        </is>
      </c>
      <c r="R301" t="inlineStr">
        <is>
          <t>Populated</t>
        </is>
      </c>
    </row>
    <row r="302">
      <c r="A302" t="inlineStr">
        <is>
          <t>Housing Authority of the City of Santa Ana</t>
        </is>
      </c>
      <c r="B302" t="inlineStr">
        <is>
          <t>Santa Ana</t>
        </is>
      </c>
      <c r="C302" t="inlineStr">
        <is>
          <t>2024-10-01</t>
        </is>
      </c>
      <c r="D302" t="inlineStr">
        <is>
          <t>Old Multi-Family</t>
        </is>
      </c>
      <c r="E302" t="inlineStr">
        <is>
          <t>Multifamily</t>
        </is>
      </c>
      <c r="F302" t="inlineStr">
        <is>
          <t>Space Heating</t>
        </is>
      </c>
      <c r="G302" t="inlineStr">
        <is>
          <t>Space Heating - Electric</t>
        </is>
      </c>
      <c r="H302" t="inlineStr">
        <is>
          <t>Space Heating - Electric</t>
        </is>
      </c>
      <c r="I302" t="n">
        <v>17</v>
      </c>
      <c r="J302" t="n">
        <v>20</v>
      </c>
      <c r="K302" t="n">
        <v>24</v>
      </c>
      <c r="L302" t="n">
        <v>27</v>
      </c>
      <c r="M302" t="n">
        <v>31</v>
      </c>
      <c r="N302" t="n">
        <v>34</v>
      </c>
      <c r="O302" t="n">
        <v>0</v>
      </c>
      <c r="P302" t="n">
        <v>0</v>
      </c>
      <c r="Q302" t="inlineStr">
        <is>
          <t>Santa Ana UA Schedules (effective 2024-10-01) – uploaded PDF</t>
        </is>
      </c>
      <c r="R302" t="inlineStr">
        <is>
          <t>Populated</t>
        </is>
      </c>
    </row>
    <row r="303">
      <c r="A303" t="inlineStr">
        <is>
          <t>Housing Authority of the City of Santa Ana</t>
        </is>
      </c>
      <c r="B303" t="inlineStr">
        <is>
          <t>Santa Ana</t>
        </is>
      </c>
      <c r="C303" t="inlineStr">
        <is>
          <t>2024-10-01</t>
        </is>
      </c>
      <c r="D303" t="inlineStr">
        <is>
          <t>Old Multi-Family</t>
        </is>
      </c>
      <c r="E303" t="inlineStr">
        <is>
          <t>Multifamily</t>
        </is>
      </c>
      <c r="F303" t="inlineStr">
        <is>
          <t>Cooking</t>
        </is>
      </c>
      <c r="G303" t="inlineStr">
        <is>
          <t>Cooking - Electric</t>
        </is>
      </c>
      <c r="H303" t="inlineStr">
        <is>
          <t>Cooking - Electric</t>
        </is>
      </c>
      <c r="I303" t="n">
        <v>11</v>
      </c>
      <c r="J303" t="n">
        <v>13</v>
      </c>
      <c r="K303" t="n">
        <v>19</v>
      </c>
      <c r="L303" t="n">
        <v>25</v>
      </c>
      <c r="M303" t="n">
        <v>31</v>
      </c>
      <c r="N303" t="n">
        <v>37</v>
      </c>
      <c r="O303" t="n">
        <v>0</v>
      </c>
      <c r="P303" t="n">
        <v>0</v>
      </c>
      <c r="Q303" t="inlineStr">
        <is>
          <t>Santa Ana UA Schedules (effective 2024-10-01) – uploaded PDF</t>
        </is>
      </c>
      <c r="R303" t="inlineStr">
        <is>
          <t>Populated</t>
        </is>
      </c>
    </row>
    <row r="304">
      <c r="A304" t="inlineStr">
        <is>
          <t>Housing Authority of the City of Santa Ana</t>
        </is>
      </c>
      <c r="B304" t="inlineStr">
        <is>
          <t>Santa Ana</t>
        </is>
      </c>
      <c r="C304" t="inlineStr">
        <is>
          <t>2024-10-01</t>
        </is>
      </c>
      <c r="D304" t="inlineStr">
        <is>
          <t>Old Multi-Family</t>
        </is>
      </c>
      <c r="E304" t="inlineStr">
        <is>
          <t>Multifamily</t>
        </is>
      </c>
      <c r="F304" t="inlineStr">
        <is>
          <t>Water Heating</t>
        </is>
      </c>
      <c r="G304" t="inlineStr">
        <is>
          <t>Water Heating - Electric</t>
        </is>
      </c>
      <c r="H304" t="inlineStr">
        <is>
          <t>Water Heating - Electric</t>
        </is>
      </c>
      <c r="I304" t="n">
        <v>25</v>
      </c>
      <c r="J304" t="n">
        <v>29</v>
      </c>
      <c r="K304" t="n">
        <v>38</v>
      </c>
      <c r="L304" t="n">
        <v>46</v>
      </c>
      <c r="M304" t="n">
        <v>54</v>
      </c>
      <c r="N304" t="n">
        <v>62</v>
      </c>
      <c r="O304" t="n">
        <v>0</v>
      </c>
      <c r="P304" t="n">
        <v>0</v>
      </c>
      <c r="Q304" t="inlineStr">
        <is>
          <t>Santa Ana UA Schedules (effective 2024-10-01) – uploaded PDF</t>
        </is>
      </c>
      <c r="R304" t="inlineStr">
        <is>
          <t>Populated</t>
        </is>
      </c>
    </row>
    <row r="305">
      <c r="A305" t="inlineStr">
        <is>
          <t>Housing Authority of the City of Santa Ana</t>
        </is>
      </c>
      <c r="B305" t="inlineStr">
        <is>
          <t>Santa Ana</t>
        </is>
      </c>
      <c r="C305" t="inlineStr">
        <is>
          <t>2024-10-01</t>
        </is>
      </c>
      <c r="D305" t="inlineStr">
        <is>
          <t>Old Multi-Family</t>
        </is>
      </c>
      <c r="E305" t="inlineStr">
        <is>
          <t>Multifamily</t>
        </is>
      </c>
      <c r="F305" t="inlineStr">
        <is>
          <t>Water</t>
        </is>
      </c>
      <c r="G305" t="inlineStr">
        <is>
          <t>Water</t>
        </is>
      </c>
      <c r="H305" t="inlineStr">
        <is>
          <t>Water</t>
        </is>
      </c>
      <c r="I305" t="n">
        <v>36</v>
      </c>
      <c r="J305" t="n">
        <v>38</v>
      </c>
      <c r="K305" t="n">
        <v>43</v>
      </c>
      <c r="L305" t="n">
        <v>48</v>
      </c>
      <c r="M305" t="n">
        <v>54</v>
      </c>
      <c r="N305" t="n">
        <v>65</v>
      </c>
      <c r="O305" t="n">
        <v>0</v>
      </c>
      <c r="P305" t="n">
        <v>0</v>
      </c>
      <c r="Q305" t="inlineStr">
        <is>
          <t>Santa Ana UA Schedules (effective 2024-10-01) – uploaded PDF</t>
        </is>
      </c>
      <c r="R305" t="inlineStr">
        <is>
          <t>Populated</t>
        </is>
      </c>
    </row>
    <row r="306">
      <c r="A306" t="inlineStr">
        <is>
          <t>Housing Authority of the City of Santa Ana</t>
        </is>
      </c>
      <c r="B306" t="inlineStr">
        <is>
          <t>Santa Ana</t>
        </is>
      </c>
      <c r="C306" t="inlineStr">
        <is>
          <t>2024-10-01</t>
        </is>
      </c>
      <c r="D306" t="inlineStr">
        <is>
          <t>Old Multi-Family</t>
        </is>
      </c>
      <c r="E306" t="inlineStr">
        <is>
          <t>Multifamily</t>
        </is>
      </c>
      <c r="F306" t="inlineStr">
        <is>
          <t>Air Conditioning</t>
        </is>
      </c>
      <c r="G306" t="inlineStr">
        <is>
          <t>Air Conditioning - Electric</t>
        </is>
      </c>
      <c r="H306" t="inlineStr">
        <is>
          <t>Air Conditioning - Electric</t>
        </is>
      </c>
      <c r="I306" t="n">
        <v>13</v>
      </c>
      <c r="J306" t="n">
        <v>16</v>
      </c>
      <c r="K306" t="n">
        <v>22</v>
      </c>
      <c r="L306" t="n">
        <v>28</v>
      </c>
      <c r="M306" t="n">
        <v>34</v>
      </c>
      <c r="N306" t="n">
        <v>40</v>
      </c>
      <c r="O306" t="n">
        <v>0</v>
      </c>
      <c r="P306" t="n">
        <v>0</v>
      </c>
      <c r="Q306" t="inlineStr">
        <is>
          <t>Santa Ana UA Schedules (effective 2024-10-01) – uploaded PDF</t>
        </is>
      </c>
      <c r="R306" t="inlineStr">
        <is>
          <t>Populated</t>
        </is>
      </c>
    </row>
    <row r="307">
      <c r="A307" t="inlineStr">
        <is>
          <t>Housing Authority of the City of Santa Ana</t>
        </is>
      </c>
      <c r="B307" t="inlineStr">
        <is>
          <t>Santa Ana</t>
        </is>
      </c>
      <c r="C307" t="inlineStr">
        <is>
          <t>2024-10-01</t>
        </is>
      </c>
      <c r="D307" t="inlineStr">
        <is>
          <t>Old Multi-Family</t>
        </is>
      </c>
      <c r="E307" t="inlineStr">
        <is>
          <t>Multifamily</t>
        </is>
      </c>
      <c r="F307" t="inlineStr">
        <is>
          <t>Trash Collection</t>
        </is>
      </c>
      <c r="G307" t="inlineStr">
        <is>
          <t>Trash Collection</t>
        </is>
      </c>
      <c r="H307" t="inlineStr">
        <is>
          <t>Trash Collection</t>
        </is>
      </c>
      <c r="I307" t="n">
        <v>31</v>
      </c>
      <c r="J307" t="n">
        <v>31</v>
      </c>
      <c r="K307" t="n">
        <v>31</v>
      </c>
      <c r="L307" t="n">
        <v>31</v>
      </c>
      <c r="M307" t="n">
        <v>31</v>
      </c>
      <c r="N307" t="n">
        <v>31</v>
      </c>
      <c r="O307" t="n">
        <v>0</v>
      </c>
      <c r="P307" t="n">
        <v>0</v>
      </c>
      <c r="Q307" t="inlineStr">
        <is>
          <t>Santa Ana UA Schedules (effective 2024-10-01) – uploaded PDF</t>
        </is>
      </c>
      <c r="R307" t="inlineStr">
        <is>
          <t>Populated</t>
        </is>
      </c>
    </row>
    <row r="308">
      <c r="A308" t="inlineStr">
        <is>
          <t>Housing Authority of the City of Santa Ana</t>
        </is>
      </c>
      <c r="B308" t="inlineStr">
        <is>
          <t>Santa Ana</t>
        </is>
      </c>
      <c r="C308" t="inlineStr">
        <is>
          <t>2024-10-01</t>
        </is>
      </c>
      <c r="D308" t="inlineStr">
        <is>
          <t>Old Multi-Family</t>
        </is>
      </c>
      <c r="E308" t="inlineStr">
        <is>
          <t>Multifamily</t>
        </is>
      </c>
      <c r="F308" t="inlineStr">
        <is>
          <t>Refrigerator</t>
        </is>
      </c>
      <c r="G308" t="inlineStr">
        <is>
          <t>Refrigerator - Allowance</t>
        </is>
      </c>
      <c r="H308" t="inlineStr">
        <is>
          <t>Refrigerator - Allowance</t>
        </is>
      </c>
      <c r="I308" t="n">
        <v>12</v>
      </c>
      <c r="J308" t="n">
        <v>12</v>
      </c>
      <c r="K308" t="n">
        <v>12</v>
      </c>
      <c r="L308" t="n">
        <v>12</v>
      </c>
      <c r="M308" t="n">
        <v>12</v>
      </c>
      <c r="N308" t="n">
        <v>12</v>
      </c>
      <c r="O308" t="n">
        <v>0</v>
      </c>
      <c r="P308" t="n">
        <v>0</v>
      </c>
      <c r="Q308" t="inlineStr">
        <is>
          <t>Santa Ana UA Schedules (effective 2024-10-01) – uploaded PDF</t>
        </is>
      </c>
      <c r="R308" t="inlineStr">
        <is>
          <t>Populated</t>
        </is>
      </c>
    </row>
    <row r="309">
      <c r="A309" t="inlineStr">
        <is>
          <t>Housing Authority of the City of Santa Ana</t>
        </is>
      </c>
      <c r="B309" t="inlineStr">
        <is>
          <t>Santa Ana</t>
        </is>
      </c>
      <c r="C309" t="inlineStr">
        <is>
          <t>2024-10-01</t>
        </is>
      </c>
      <c r="D309" t="inlineStr">
        <is>
          <t>Old Multi-Family</t>
        </is>
      </c>
      <c r="E309" t="inlineStr">
        <is>
          <t>Multifamily</t>
        </is>
      </c>
      <c r="F309" t="inlineStr">
        <is>
          <t>Range/Microwave</t>
        </is>
      </c>
      <c r="G309" t="inlineStr">
        <is>
          <t>Range/Microwave - Allowance</t>
        </is>
      </c>
      <c r="H309" t="inlineStr">
        <is>
          <t>Range/Microwave - Allowance</t>
        </is>
      </c>
      <c r="I309" t="n">
        <v>11</v>
      </c>
      <c r="J309" t="n">
        <v>11</v>
      </c>
      <c r="K309" t="n">
        <v>11</v>
      </c>
      <c r="L309" t="n">
        <v>11</v>
      </c>
      <c r="M309" t="n">
        <v>11</v>
      </c>
      <c r="N309" t="n">
        <v>11</v>
      </c>
      <c r="O309" t="n">
        <v>0</v>
      </c>
      <c r="P309" t="n">
        <v>0</v>
      </c>
      <c r="Q309" t="inlineStr">
        <is>
          <t>Santa Ana UA Schedules (effective 2024-10-01) – uploaded PDF</t>
        </is>
      </c>
      <c r="R309" t="inlineStr">
        <is>
          <t>Populated</t>
        </is>
      </c>
    </row>
    <row r="310">
      <c r="A310" t="inlineStr">
        <is>
          <t>Housing Authority of the City of Santa Ana</t>
        </is>
      </c>
      <c r="B310" t="inlineStr">
        <is>
          <t>Santa Ana</t>
        </is>
      </c>
      <c r="C310" t="inlineStr">
        <is>
          <t>2024-10-01</t>
        </is>
      </c>
      <c r="D310" t="inlineStr">
        <is>
          <t>Multi-Family</t>
        </is>
      </c>
      <c r="E310" t="inlineStr">
        <is>
          <t>Multifamily</t>
        </is>
      </c>
      <c r="F310" t="inlineStr">
        <is>
          <t>Space Heating</t>
        </is>
      </c>
      <c r="G310" t="inlineStr">
        <is>
          <t>Space Heating - Natural Gas</t>
        </is>
      </c>
      <c r="H310" t="inlineStr">
        <is>
          <t>Space Heating - Natural Gas</t>
        </is>
      </c>
      <c r="I310" t="n">
        <v>8</v>
      </c>
      <c r="J310" t="n">
        <v>10</v>
      </c>
      <c r="K310" t="n">
        <v>10</v>
      </c>
      <c r="L310" t="n">
        <v>11</v>
      </c>
      <c r="M310" t="n">
        <v>12</v>
      </c>
      <c r="N310" t="n">
        <v>12</v>
      </c>
      <c r="O310" t="n">
        <v>0</v>
      </c>
      <c r="P310" t="n">
        <v>0</v>
      </c>
      <c r="Q310" t="inlineStr">
        <is>
          <t>Santa Ana UA Schedules (effective 2024-10-01) – uploaded PDF</t>
        </is>
      </c>
      <c r="R310" t="inlineStr">
        <is>
          <t>Populated</t>
        </is>
      </c>
    </row>
    <row r="311">
      <c r="A311" t="inlineStr">
        <is>
          <t>Housing Authority of the City of Santa Ana</t>
        </is>
      </c>
      <c r="B311" t="inlineStr">
        <is>
          <t>Santa Ana</t>
        </is>
      </c>
      <c r="C311" t="inlineStr">
        <is>
          <t>2024-10-01</t>
        </is>
      </c>
      <c r="D311" t="inlineStr">
        <is>
          <t>Multi-Family</t>
        </is>
      </c>
      <c r="E311" t="inlineStr">
        <is>
          <t>Multifamily</t>
        </is>
      </c>
      <c r="F311" t="inlineStr">
        <is>
          <t>Cooking</t>
        </is>
      </c>
      <c r="G311" t="inlineStr">
        <is>
          <t>Cooking - Natural Gas</t>
        </is>
      </c>
      <c r="H311" t="inlineStr">
        <is>
          <t>Cooking - Natural Gas</t>
        </is>
      </c>
      <c r="I311" t="n">
        <v>2</v>
      </c>
      <c r="J311" t="n">
        <v>3</v>
      </c>
      <c r="K311" t="n">
        <v>4</v>
      </c>
      <c r="L311" t="n">
        <v>5</v>
      </c>
      <c r="M311" t="n">
        <v>6</v>
      </c>
      <c r="N311" t="n">
        <v>8</v>
      </c>
      <c r="O311" t="n">
        <v>0</v>
      </c>
      <c r="P311" t="n">
        <v>0</v>
      </c>
      <c r="Q311" t="inlineStr">
        <is>
          <t>Santa Ana UA Schedules (effective 2024-10-01) – uploaded PDF</t>
        </is>
      </c>
      <c r="R311" t="inlineStr">
        <is>
          <t>Populated</t>
        </is>
      </c>
    </row>
    <row r="312">
      <c r="A312" t="inlineStr">
        <is>
          <t>Housing Authority of the City of Santa Ana</t>
        </is>
      </c>
      <c r="B312" t="inlineStr">
        <is>
          <t>Santa Ana</t>
        </is>
      </c>
      <c r="C312" t="inlineStr">
        <is>
          <t>2024-10-01</t>
        </is>
      </c>
      <c r="D312" t="inlineStr">
        <is>
          <t>Multi-Family</t>
        </is>
      </c>
      <c r="E312" t="inlineStr">
        <is>
          <t>Multifamily</t>
        </is>
      </c>
      <c r="F312" t="inlineStr">
        <is>
          <t>Water Heating</t>
        </is>
      </c>
      <c r="G312" t="inlineStr">
        <is>
          <t>Water Heating - Natural Gas</t>
        </is>
      </c>
      <c r="H312" t="inlineStr">
        <is>
          <t>Water Heating - Natural Gas</t>
        </is>
      </c>
      <c r="I312" t="n">
        <v>5</v>
      </c>
      <c r="J312" t="n">
        <v>6</v>
      </c>
      <c r="K312" t="n">
        <v>8</v>
      </c>
      <c r="L312" t="n">
        <v>11</v>
      </c>
      <c r="M312" t="n">
        <v>13</v>
      </c>
      <c r="N312" t="n">
        <v>15</v>
      </c>
      <c r="O312" t="n">
        <v>0</v>
      </c>
      <c r="P312" t="n">
        <v>0</v>
      </c>
      <c r="Q312" t="inlineStr">
        <is>
          <t>Santa Ana UA Schedules (effective 2024-10-01) – uploaded PDF</t>
        </is>
      </c>
      <c r="R312" t="inlineStr">
        <is>
          <t>Populated</t>
        </is>
      </c>
    </row>
    <row r="313">
      <c r="A313" t="inlineStr">
        <is>
          <t>Housing Authority of the City of Santa Ana</t>
        </is>
      </c>
      <c r="B313" t="inlineStr">
        <is>
          <t>Santa Ana</t>
        </is>
      </c>
      <c r="C313" t="inlineStr">
        <is>
          <t>2024-10-01</t>
        </is>
      </c>
      <c r="D313" t="inlineStr">
        <is>
          <t>Multi-Family</t>
        </is>
      </c>
      <c r="E313" t="inlineStr">
        <is>
          <t>Multifamily</t>
        </is>
      </c>
      <c r="F313" t="inlineStr">
        <is>
          <t>Other - Specify</t>
        </is>
      </c>
      <c r="G313" t="inlineStr">
        <is>
          <t>Other - Specify - Utility Customer Charge / Fee (Gas)</t>
        </is>
      </c>
      <c r="H313" t="inlineStr">
        <is>
          <t>Other - Specify - Utility Customer Charge / Fee (Gas)</t>
        </is>
      </c>
      <c r="I313" t="n">
        <v>4</v>
      </c>
      <c r="J313" t="n">
        <v>4</v>
      </c>
      <c r="K313" t="n">
        <v>4</v>
      </c>
      <c r="L313" t="n">
        <v>4</v>
      </c>
      <c r="M313" t="n">
        <v>4</v>
      </c>
      <c r="N313" t="n">
        <v>4</v>
      </c>
      <c r="O313" t="n">
        <v>0</v>
      </c>
      <c r="P313" t="n">
        <v>0</v>
      </c>
      <c r="Q313" t="inlineStr">
        <is>
          <t>Santa Ana UA Schedules (effective 2024-10-01) – uploaded PDF</t>
        </is>
      </c>
      <c r="R313" t="inlineStr">
        <is>
          <t>Populated</t>
        </is>
      </c>
    </row>
    <row r="314">
      <c r="A314" t="inlineStr">
        <is>
          <t>Housing Authority of the City of Santa Ana</t>
        </is>
      </c>
      <c r="B314" t="inlineStr">
        <is>
          <t>Santa Ana</t>
        </is>
      </c>
      <c r="C314" t="inlineStr">
        <is>
          <t>2024-10-01</t>
        </is>
      </c>
      <c r="D314" t="inlineStr">
        <is>
          <t>Multi-Family</t>
        </is>
      </c>
      <c r="E314" t="inlineStr">
        <is>
          <t>Multifamily</t>
        </is>
      </c>
      <c r="F314" t="inlineStr">
        <is>
          <t>Other Electric</t>
        </is>
      </c>
      <c r="G314" t="inlineStr">
        <is>
          <t>Other Electric - Electric (Lights/Plugs)</t>
        </is>
      </c>
      <c r="H314" t="inlineStr">
        <is>
          <t>Other Electric - Electric (Lights/Plugs)</t>
        </is>
      </c>
      <c r="I314" t="n">
        <v>22</v>
      </c>
      <c r="J314" t="n">
        <v>28</v>
      </c>
      <c r="K314" t="n">
        <v>44</v>
      </c>
      <c r="L314" t="n">
        <v>60</v>
      </c>
      <c r="M314" t="n">
        <v>82</v>
      </c>
      <c r="N314" t="n">
        <v>95</v>
      </c>
      <c r="O314" t="n">
        <v>0</v>
      </c>
      <c r="P314" t="n">
        <v>0</v>
      </c>
      <c r="Q314" t="inlineStr">
        <is>
          <t>Santa Ana UA Schedules (effective 2024-10-01) – uploaded PDF</t>
        </is>
      </c>
      <c r="R314" t="inlineStr">
        <is>
          <t>Populated</t>
        </is>
      </c>
    </row>
    <row r="315">
      <c r="A315" t="inlineStr">
        <is>
          <t>Housing Authority of the City of Santa Ana</t>
        </is>
      </c>
      <c r="B315" t="inlineStr">
        <is>
          <t>Santa Ana</t>
        </is>
      </c>
      <c r="C315" t="inlineStr">
        <is>
          <t>2024-10-01</t>
        </is>
      </c>
      <c r="D315" t="inlineStr">
        <is>
          <t>Multi-Family</t>
        </is>
      </c>
      <c r="E315" t="inlineStr">
        <is>
          <t>Multifamily</t>
        </is>
      </c>
      <c r="F315" t="inlineStr">
        <is>
          <t>Space Heating</t>
        </is>
      </c>
      <c r="G315" t="inlineStr">
        <is>
          <t>Space Heating - Electric</t>
        </is>
      </c>
      <c r="H315" t="inlineStr">
        <is>
          <t>Space Heating - Electric</t>
        </is>
      </c>
      <c r="I315" t="n">
        <v>14</v>
      </c>
      <c r="J315" t="n">
        <v>17</v>
      </c>
      <c r="K315" t="n">
        <v>19</v>
      </c>
      <c r="L315" t="n">
        <v>22</v>
      </c>
      <c r="M315" t="n">
        <v>25</v>
      </c>
      <c r="N315" t="n">
        <v>28</v>
      </c>
      <c r="O315" t="n">
        <v>0</v>
      </c>
      <c r="P315" t="n">
        <v>0</v>
      </c>
      <c r="Q315" t="inlineStr">
        <is>
          <t>Santa Ana UA Schedules (effective 2024-10-01) – uploaded PDF</t>
        </is>
      </c>
      <c r="R315" t="inlineStr">
        <is>
          <t>Populated</t>
        </is>
      </c>
    </row>
    <row r="316">
      <c r="A316" t="inlineStr">
        <is>
          <t>Housing Authority of the City of Santa Ana</t>
        </is>
      </c>
      <c r="B316" t="inlineStr">
        <is>
          <t>Santa Ana</t>
        </is>
      </c>
      <c r="C316" t="inlineStr">
        <is>
          <t>2024-10-01</t>
        </is>
      </c>
      <c r="D316" t="inlineStr">
        <is>
          <t>Multi-Family</t>
        </is>
      </c>
      <c r="E316" t="inlineStr">
        <is>
          <t>Multifamily</t>
        </is>
      </c>
      <c r="F316" t="inlineStr">
        <is>
          <t>Cooking</t>
        </is>
      </c>
      <c r="G316" t="inlineStr">
        <is>
          <t>Cooking - Electric</t>
        </is>
      </c>
      <c r="H316" t="inlineStr">
        <is>
          <t>Cooking - Electric</t>
        </is>
      </c>
      <c r="I316" t="n">
        <v>9</v>
      </c>
      <c r="J316" t="n">
        <v>11</v>
      </c>
      <c r="K316" t="n">
        <v>16</v>
      </c>
      <c r="L316" t="n">
        <v>21</v>
      </c>
      <c r="M316" t="n">
        <v>26</v>
      </c>
      <c r="N316" t="n">
        <v>31</v>
      </c>
      <c r="O316" t="n">
        <v>0</v>
      </c>
      <c r="P316" t="n">
        <v>0</v>
      </c>
      <c r="Q316" t="inlineStr">
        <is>
          <t>Santa Ana UA Schedules (effective 2024-10-01) – uploaded PDF</t>
        </is>
      </c>
      <c r="R316" t="inlineStr">
        <is>
          <t>Populated</t>
        </is>
      </c>
    </row>
    <row r="317">
      <c r="A317" t="inlineStr">
        <is>
          <t>Housing Authority of the City of Santa Ana</t>
        </is>
      </c>
      <c r="B317" t="inlineStr">
        <is>
          <t>Santa Ana</t>
        </is>
      </c>
      <c r="C317" t="inlineStr">
        <is>
          <t>2024-10-01</t>
        </is>
      </c>
      <c r="D317" t="inlineStr">
        <is>
          <t>Multi-Family</t>
        </is>
      </c>
      <c r="E317" t="inlineStr">
        <is>
          <t>Multifamily</t>
        </is>
      </c>
      <c r="F317" t="inlineStr">
        <is>
          <t>Water Heating</t>
        </is>
      </c>
      <c r="G317" t="inlineStr">
        <is>
          <t>Water Heating - Electric</t>
        </is>
      </c>
      <c r="H317" t="inlineStr">
        <is>
          <t>Water Heating - Electric</t>
        </is>
      </c>
      <c r="I317" t="n">
        <v>21</v>
      </c>
      <c r="J317" t="n">
        <v>24</v>
      </c>
      <c r="K317" t="n">
        <v>31</v>
      </c>
      <c r="L317" t="n">
        <v>38</v>
      </c>
      <c r="M317" t="n">
        <v>44</v>
      </c>
      <c r="N317" t="n">
        <v>51</v>
      </c>
      <c r="O317" t="n">
        <v>0</v>
      </c>
      <c r="P317" t="n">
        <v>0</v>
      </c>
      <c r="Q317" t="inlineStr">
        <is>
          <t>Santa Ana UA Schedules (effective 2024-10-01) – uploaded PDF</t>
        </is>
      </c>
      <c r="R317" t="inlineStr">
        <is>
          <t>Populated</t>
        </is>
      </c>
    </row>
    <row r="318">
      <c r="A318" t="inlineStr">
        <is>
          <t>Housing Authority of the City of Santa Ana</t>
        </is>
      </c>
      <c r="B318" t="inlineStr">
        <is>
          <t>Santa Ana</t>
        </is>
      </c>
      <c r="C318" t="inlineStr">
        <is>
          <t>2024-10-01</t>
        </is>
      </c>
      <c r="D318" t="inlineStr">
        <is>
          <t>Multi-Family</t>
        </is>
      </c>
      <c r="E318" t="inlineStr">
        <is>
          <t>Multifamily</t>
        </is>
      </c>
      <c r="F318" t="inlineStr">
        <is>
          <t>Water</t>
        </is>
      </c>
      <c r="G318" t="inlineStr">
        <is>
          <t>Water</t>
        </is>
      </c>
      <c r="H318" t="inlineStr">
        <is>
          <t>Water</t>
        </is>
      </c>
      <c r="I318" t="n">
        <v>36</v>
      </c>
      <c r="J318" t="n">
        <v>38</v>
      </c>
      <c r="K318" t="n">
        <v>43</v>
      </c>
      <c r="L318" t="n">
        <v>48</v>
      </c>
      <c r="M318" t="n">
        <v>54</v>
      </c>
      <c r="N318" t="n">
        <v>65</v>
      </c>
      <c r="O318" t="n">
        <v>0</v>
      </c>
      <c r="P318" t="n">
        <v>0</v>
      </c>
      <c r="Q318" t="inlineStr">
        <is>
          <t>Santa Ana UA Schedules (effective 2024-10-01) – uploaded PDF</t>
        </is>
      </c>
      <c r="R318" t="inlineStr">
        <is>
          <t>Populated</t>
        </is>
      </c>
    </row>
    <row r="319">
      <c r="A319" t="inlineStr">
        <is>
          <t>Housing Authority of the City of Santa Ana</t>
        </is>
      </c>
      <c r="B319" t="inlineStr">
        <is>
          <t>Santa Ana</t>
        </is>
      </c>
      <c r="C319" t="inlineStr">
        <is>
          <t>2024-10-01</t>
        </is>
      </c>
      <c r="D319" t="inlineStr">
        <is>
          <t>Multi-Family</t>
        </is>
      </c>
      <c r="E319" t="inlineStr">
        <is>
          <t>Multifamily</t>
        </is>
      </c>
      <c r="F319" t="inlineStr">
        <is>
          <t>Air Conditioning</t>
        </is>
      </c>
      <c r="G319" t="inlineStr">
        <is>
          <t>Air Conditioning - Electric</t>
        </is>
      </c>
      <c r="H319" t="inlineStr">
        <is>
          <t>Air Conditioning - Electric</t>
        </is>
      </c>
      <c r="I319" t="n">
        <v>11</v>
      </c>
      <c r="J319" t="n">
        <v>13</v>
      </c>
      <c r="K319" t="n">
        <v>18</v>
      </c>
      <c r="L319" t="n">
        <v>23</v>
      </c>
      <c r="M319" t="n">
        <v>28</v>
      </c>
      <c r="N319" t="n">
        <v>33</v>
      </c>
      <c r="O319" t="n">
        <v>0</v>
      </c>
      <c r="P319" t="n">
        <v>0</v>
      </c>
      <c r="Q319" t="inlineStr">
        <is>
          <t>Santa Ana UA Schedules (effective 2024-10-01) – uploaded PDF</t>
        </is>
      </c>
      <c r="R319" t="inlineStr">
        <is>
          <t>Populated</t>
        </is>
      </c>
    </row>
    <row r="320">
      <c r="A320" t="inlineStr">
        <is>
          <t>Housing Authority of the City of Santa Ana</t>
        </is>
      </c>
      <c r="B320" t="inlineStr">
        <is>
          <t>Santa Ana</t>
        </is>
      </c>
      <c r="C320" t="inlineStr">
        <is>
          <t>2024-10-01</t>
        </is>
      </c>
      <c r="D320" t="inlineStr">
        <is>
          <t>Multi-Family</t>
        </is>
      </c>
      <c r="E320" t="inlineStr">
        <is>
          <t>Multifamily</t>
        </is>
      </c>
      <c r="F320" t="inlineStr">
        <is>
          <t>Trash Collection</t>
        </is>
      </c>
      <c r="G320" t="inlineStr">
        <is>
          <t>Trash Collection</t>
        </is>
      </c>
      <c r="H320" t="inlineStr">
        <is>
          <t>Trash Collection</t>
        </is>
      </c>
      <c r="I320" t="n">
        <v>31</v>
      </c>
      <c r="J320" t="n">
        <v>31</v>
      </c>
      <c r="K320" t="n">
        <v>31</v>
      </c>
      <c r="L320" t="n">
        <v>31</v>
      </c>
      <c r="M320" t="n">
        <v>31</v>
      </c>
      <c r="N320" t="n">
        <v>31</v>
      </c>
      <c r="O320" t="n">
        <v>0</v>
      </c>
      <c r="P320" t="n">
        <v>0</v>
      </c>
      <c r="Q320" t="inlineStr">
        <is>
          <t>Santa Ana UA Schedules (effective 2024-10-01) – uploaded PDF</t>
        </is>
      </c>
      <c r="R320" t="inlineStr">
        <is>
          <t>Populated</t>
        </is>
      </c>
    </row>
    <row r="321">
      <c r="A321" t="inlineStr">
        <is>
          <t>Housing Authority of the City of Santa Ana</t>
        </is>
      </c>
      <c r="B321" t="inlineStr">
        <is>
          <t>Santa Ana</t>
        </is>
      </c>
      <c r="C321" t="inlineStr">
        <is>
          <t>2024-10-01</t>
        </is>
      </c>
      <c r="D321" t="inlineStr">
        <is>
          <t>Multi-Family</t>
        </is>
      </c>
      <c r="E321" t="inlineStr">
        <is>
          <t>Multifamily</t>
        </is>
      </c>
      <c r="F321" t="inlineStr">
        <is>
          <t>Refrigerator</t>
        </is>
      </c>
      <c r="G321" t="inlineStr">
        <is>
          <t>Refrigerator - Allowance</t>
        </is>
      </c>
      <c r="H321" t="inlineStr">
        <is>
          <t>Refrigerator - Allowance</t>
        </is>
      </c>
      <c r="I321" t="n">
        <v>12</v>
      </c>
      <c r="J321" t="n">
        <v>12</v>
      </c>
      <c r="K321" t="n">
        <v>12</v>
      </c>
      <c r="L321" t="n">
        <v>12</v>
      </c>
      <c r="M321" t="n">
        <v>12</v>
      </c>
      <c r="N321" t="n">
        <v>12</v>
      </c>
      <c r="O321" t="n">
        <v>0</v>
      </c>
      <c r="P321" t="n">
        <v>0</v>
      </c>
      <c r="Q321" t="inlineStr">
        <is>
          <t>Santa Ana UA Schedules (effective 2024-10-01) – uploaded PDF</t>
        </is>
      </c>
      <c r="R321" t="inlineStr">
        <is>
          <t>Populated</t>
        </is>
      </c>
    </row>
    <row r="322">
      <c r="A322" t="inlineStr">
        <is>
          <t>Housing Authority of the City of Santa Ana</t>
        </is>
      </c>
      <c r="B322" t="inlineStr">
        <is>
          <t>Santa Ana</t>
        </is>
      </c>
      <c r="C322" t="inlineStr">
        <is>
          <t>2024-10-01</t>
        </is>
      </c>
      <c r="D322" t="inlineStr">
        <is>
          <t>Multi-Family</t>
        </is>
      </c>
      <c r="E322" t="inlineStr">
        <is>
          <t>Multifamily</t>
        </is>
      </c>
      <c r="F322" t="inlineStr">
        <is>
          <t>Range/Microwave</t>
        </is>
      </c>
      <c r="G322" t="inlineStr">
        <is>
          <t>Range/Microwave - Allowance</t>
        </is>
      </c>
      <c r="H322" t="inlineStr">
        <is>
          <t>Range/Microwave - Allowance</t>
        </is>
      </c>
      <c r="I322" t="n">
        <v>11</v>
      </c>
      <c r="J322" t="n">
        <v>11</v>
      </c>
      <c r="K322" t="n">
        <v>11</v>
      </c>
      <c r="L322" t="n">
        <v>11</v>
      </c>
      <c r="M322" t="n">
        <v>11</v>
      </c>
      <c r="N322" t="n">
        <v>11</v>
      </c>
      <c r="O322" t="n">
        <v>0</v>
      </c>
      <c r="P322" t="n">
        <v>0</v>
      </c>
      <c r="Q322" t="inlineStr">
        <is>
          <t>Santa Ana UA Schedules (effective 2024-10-01) – uploaded PDF</t>
        </is>
      </c>
      <c r="R322" t="inlineStr">
        <is>
          <t>Populated</t>
        </is>
      </c>
    </row>
    <row r="323">
      <c r="A323" t="inlineStr">
        <is>
          <t>Housing Authority of the County of Riverside</t>
        </is>
      </c>
      <c r="B323" t="inlineStr">
        <is>
          <t>Riverside County</t>
        </is>
      </c>
      <c r="C323" t="inlineStr">
        <is>
          <t>2025-07-01</t>
        </is>
      </c>
      <c r="D323" t="inlineStr">
        <is>
          <t>Multi-Family</t>
        </is>
      </c>
      <c r="E323" t="inlineStr">
        <is>
          <t>Multifamily</t>
        </is>
      </c>
      <c r="F323" t="inlineStr">
        <is>
          <t>Space Heating</t>
        </is>
      </c>
      <c r="G323" t="inlineStr">
        <is>
          <t>Space Heating - Natural Gas</t>
        </is>
      </c>
      <c r="H323" t="inlineStr">
        <is>
          <t>Space Heating - Natural Gas</t>
        </is>
      </c>
      <c r="I323" t="n">
        <v>18</v>
      </c>
      <c r="J323" t="n">
        <v>22</v>
      </c>
      <c r="K323" t="n">
        <v>23</v>
      </c>
      <c r="L323" t="n">
        <v>25</v>
      </c>
      <c r="M323" t="n">
        <v>27</v>
      </c>
      <c r="N323" t="n">
        <v>29</v>
      </c>
      <c r="O323" t="n">
        <v>31</v>
      </c>
      <c r="P323" t="n">
        <v>0</v>
      </c>
      <c r="Q323" t="inlineStr">
        <is>
          <t>Riverside EE Apt (MF) – UA chart 7/1/2025 – uploaded PDF</t>
        </is>
      </c>
      <c r="R323" t="inlineStr">
        <is>
          <t>Populated</t>
        </is>
      </c>
    </row>
    <row r="324">
      <c r="A324" t="inlineStr">
        <is>
          <t>Housing Authority of the County of Riverside</t>
        </is>
      </c>
      <c r="B324" t="inlineStr">
        <is>
          <t>Riverside County</t>
        </is>
      </c>
      <c r="C324" t="inlineStr">
        <is>
          <t>2025-07-01</t>
        </is>
      </c>
      <c r="D324" t="inlineStr">
        <is>
          <t>Multi-Family</t>
        </is>
      </c>
      <c r="E324" t="inlineStr">
        <is>
          <t>Multifamily</t>
        </is>
      </c>
      <c r="F324" t="inlineStr">
        <is>
          <t>Space Heating</t>
        </is>
      </c>
      <c r="G324" t="inlineStr">
        <is>
          <t>Space Heating - Bottle Gas/Propane</t>
        </is>
      </c>
      <c r="H324" t="inlineStr">
        <is>
          <t>Space Heating - Bottle Gas/Propane</t>
        </is>
      </c>
      <c r="I324" t="n">
        <v>33</v>
      </c>
      <c r="J324" t="n">
        <v>39</v>
      </c>
      <c r="K324" t="n">
        <v>42</v>
      </c>
      <c r="L324" t="n">
        <v>45</v>
      </c>
      <c r="M324" t="n">
        <v>48</v>
      </c>
      <c r="N324" t="n">
        <v>51</v>
      </c>
      <c r="O324" t="n">
        <v>57</v>
      </c>
      <c r="P324" t="n">
        <v>0</v>
      </c>
      <c r="Q324" t="inlineStr">
        <is>
          <t>Riverside EE Apt (MF) – UA chart 7/1/2025 – uploaded PDF</t>
        </is>
      </c>
      <c r="R324" t="inlineStr">
        <is>
          <t>Populated</t>
        </is>
      </c>
    </row>
    <row r="325">
      <c r="A325" t="inlineStr">
        <is>
          <t>Housing Authority of the County of Riverside</t>
        </is>
      </c>
      <c r="B325" t="inlineStr">
        <is>
          <t>Riverside County</t>
        </is>
      </c>
      <c r="C325" t="inlineStr">
        <is>
          <t>2025-07-01</t>
        </is>
      </c>
      <c r="D325" t="inlineStr">
        <is>
          <t>Multi-Family</t>
        </is>
      </c>
      <c r="E325" t="inlineStr">
        <is>
          <t>Multifamily</t>
        </is>
      </c>
      <c r="F325" t="inlineStr">
        <is>
          <t>Space Heating</t>
        </is>
      </c>
      <c r="G325" t="inlineStr">
        <is>
          <t>Space Heating - Electric</t>
        </is>
      </c>
      <c r="H325" t="inlineStr">
        <is>
          <t>Space Heating - Electric</t>
        </is>
      </c>
      <c r="I325" t="n">
        <v>13</v>
      </c>
      <c r="J325" t="n">
        <v>15</v>
      </c>
      <c r="K325" t="n">
        <v>19</v>
      </c>
      <c r="L325" t="n">
        <v>22</v>
      </c>
      <c r="M325" t="n">
        <v>26</v>
      </c>
      <c r="N325" t="n">
        <v>29</v>
      </c>
      <c r="O325" t="n">
        <v>32</v>
      </c>
      <c r="P325" t="n">
        <v>0</v>
      </c>
      <c r="Q325" t="inlineStr">
        <is>
          <t>Riverside EE Apt (MF) – UA chart 7/1/2025 – uploaded PDF</t>
        </is>
      </c>
      <c r="R325" t="inlineStr">
        <is>
          <t>Populated</t>
        </is>
      </c>
    </row>
    <row r="326">
      <c r="A326" t="inlineStr">
        <is>
          <t>Housing Authority of the County of Riverside</t>
        </is>
      </c>
      <c r="B326" t="inlineStr">
        <is>
          <t>Riverside County</t>
        </is>
      </c>
      <c r="C326" t="inlineStr">
        <is>
          <t>2025-07-01</t>
        </is>
      </c>
      <c r="D326" t="inlineStr">
        <is>
          <t>Multi-Family</t>
        </is>
      </c>
      <c r="E326" t="inlineStr">
        <is>
          <t>Multifamily</t>
        </is>
      </c>
      <c r="F326" t="inlineStr">
        <is>
          <t>Space Heating</t>
        </is>
      </c>
      <c r="G326" t="inlineStr">
        <is>
          <t>Space Heating - Electric - Heat Pump</t>
        </is>
      </c>
      <c r="H326" t="inlineStr">
        <is>
          <t>Space Heating - Electric - Heat Pump</t>
        </is>
      </c>
      <c r="I326" t="n">
        <v>12</v>
      </c>
      <c r="J326" t="n">
        <v>14</v>
      </c>
      <c r="K326" t="n">
        <v>16</v>
      </c>
      <c r="L326" t="n">
        <v>19</v>
      </c>
      <c r="M326" t="n">
        <v>22</v>
      </c>
      <c r="N326" t="n">
        <v>24</v>
      </c>
      <c r="O326" t="n">
        <v>26</v>
      </c>
      <c r="P326" t="n">
        <v>0</v>
      </c>
      <c r="Q326" t="inlineStr">
        <is>
          <t>Riverside EE Apt (MF) – UA chart 7/1/2025 – uploaded PDF</t>
        </is>
      </c>
      <c r="R326" t="inlineStr">
        <is>
          <t>Populated</t>
        </is>
      </c>
    </row>
    <row r="327">
      <c r="A327" t="inlineStr">
        <is>
          <t>Housing Authority of the County of Riverside</t>
        </is>
      </c>
      <c r="B327" t="inlineStr">
        <is>
          <t>Riverside County</t>
        </is>
      </c>
      <c r="C327" t="inlineStr">
        <is>
          <t>2025-07-01</t>
        </is>
      </c>
      <c r="D327" t="inlineStr">
        <is>
          <t>Multi-Family</t>
        </is>
      </c>
      <c r="E327" t="inlineStr">
        <is>
          <t>Multifamily</t>
        </is>
      </c>
      <c r="F327" t="inlineStr">
        <is>
          <t>Cooking</t>
        </is>
      </c>
      <c r="G327" t="inlineStr">
        <is>
          <t>Cooking - Natural Gas</t>
        </is>
      </c>
      <c r="H327" t="inlineStr">
        <is>
          <t>Cooking - Natural Gas</t>
        </is>
      </c>
      <c r="I327" t="n">
        <v>4</v>
      </c>
      <c r="J327" t="n">
        <v>5</v>
      </c>
      <c r="K327" t="n">
        <v>7</v>
      </c>
      <c r="L327" t="n">
        <v>9</v>
      </c>
      <c r="M327" t="n">
        <v>11</v>
      </c>
      <c r="N327" t="n">
        <v>14</v>
      </c>
      <c r="O327" t="n">
        <v>16</v>
      </c>
      <c r="P327" t="n">
        <v>0</v>
      </c>
      <c r="Q327" t="inlineStr">
        <is>
          <t>Riverside EE Apt (MF) – UA chart 7/1/2025 – uploaded PDF</t>
        </is>
      </c>
      <c r="R327" t="inlineStr">
        <is>
          <t>Populated</t>
        </is>
      </c>
    </row>
    <row r="328">
      <c r="A328" t="inlineStr">
        <is>
          <t>Housing Authority of the County of Riverside</t>
        </is>
      </c>
      <c r="B328" t="inlineStr">
        <is>
          <t>Riverside County</t>
        </is>
      </c>
      <c r="C328" t="inlineStr">
        <is>
          <t>2025-07-01</t>
        </is>
      </c>
      <c r="D328" t="inlineStr">
        <is>
          <t>Multi-Family</t>
        </is>
      </c>
      <c r="E328" t="inlineStr">
        <is>
          <t>Multifamily</t>
        </is>
      </c>
      <c r="F328" t="inlineStr">
        <is>
          <t>Cooking</t>
        </is>
      </c>
      <c r="G328" t="inlineStr">
        <is>
          <t>Cooking - Bottle Gas/Propane</t>
        </is>
      </c>
      <c r="H328" t="inlineStr">
        <is>
          <t>Cooking - Bottle Gas/Propane</t>
        </is>
      </c>
      <c r="I328" t="n">
        <v>6</v>
      </c>
      <c r="J328" t="n">
        <v>9</v>
      </c>
      <c r="K328" t="n">
        <v>12</v>
      </c>
      <c r="L328" t="n">
        <v>15</v>
      </c>
      <c r="M328" t="n">
        <v>21</v>
      </c>
      <c r="N328" t="n">
        <v>27</v>
      </c>
      <c r="O328" t="n">
        <v>30</v>
      </c>
      <c r="P328" t="n">
        <v>0</v>
      </c>
      <c r="Q328" t="inlineStr">
        <is>
          <t>Riverside EE Apt (MF) – UA chart 7/1/2025 – uploaded PDF</t>
        </is>
      </c>
      <c r="R328" t="inlineStr">
        <is>
          <t>Populated</t>
        </is>
      </c>
    </row>
    <row r="329">
      <c r="A329" t="inlineStr">
        <is>
          <t>Housing Authority of the County of Riverside</t>
        </is>
      </c>
      <c r="B329" t="inlineStr">
        <is>
          <t>Riverside County</t>
        </is>
      </c>
      <c r="C329" t="inlineStr">
        <is>
          <t>2025-07-01</t>
        </is>
      </c>
      <c r="D329" t="inlineStr">
        <is>
          <t>Multi-Family</t>
        </is>
      </c>
      <c r="E329" t="inlineStr">
        <is>
          <t>Multifamily</t>
        </is>
      </c>
      <c r="F329" t="inlineStr">
        <is>
          <t>Cooking</t>
        </is>
      </c>
      <c r="G329" t="inlineStr">
        <is>
          <t>Cooking - Electric</t>
        </is>
      </c>
      <c r="H329" t="inlineStr">
        <is>
          <t>Cooking - Electric</t>
        </is>
      </c>
      <c r="I329" t="n">
        <v>7</v>
      </c>
      <c r="J329" t="n">
        <v>8</v>
      </c>
      <c r="K329" t="n">
        <v>12</v>
      </c>
      <c r="L329" t="n">
        <v>15</v>
      </c>
      <c r="M329" t="n">
        <v>19</v>
      </c>
      <c r="N329" t="n">
        <v>22</v>
      </c>
      <c r="O329" t="n">
        <v>24</v>
      </c>
      <c r="P329" t="n">
        <v>0</v>
      </c>
      <c r="Q329" t="inlineStr">
        <is>
          <t>Riverside EE Apt (MF) – UA chart 7/1/2025 – uploaded PDF</t>
        </is>
      </c>
      <c r="R329" t="inlineStr">
        <is>
          <t>Populated</t>
        </is>
      </c>
    </row>
    <row r="330">
      <c r="A330" t="inlineStr">
        <is>
          <t>Housing Authority of the County of Riverside</t>
        </is>
      </c>
      <c r="B330" t="inlineStr">
        <is>
          <t>Riverside County</t>
        </is>
      </c>
      <c r="C330" t="inlineStr">
        <is>
          <t>2025-07-01</t>
        </is>
      </c>
      <c r="D330" t="inlineStr">
        <is>
          <t>Multi-Family</t>
        </is>
      </c>
      <c r="E330" t="inlineStr">
        <is>
          <t>Multifamily</t>
        </is>
      </c>
      <c r="F330" t="inlineStr">
        <is>
          <t>Other Electric</t>
        </is>
      </c>
      <c r="G330" t="inlineStr">
        <is>
          <t>Other Electric - Electric (Lights/Plugs) - Non-SCE (avg)</t>
        </is>
      </c>
      <c r="H330" t="inlineStr">
        <is>
          <t>Other Electric - Electric (Lights/Plugs)</t>
        </is>
      </c>
      <c r="I330" t="n">
        <v>22</v>
      </c>
      <c r="J330" t="n">
        <v>26</v>
      </c>
      <c r="K330" t="n">
        <v>36</v>
      </c>
      <c r="L330" t="n">
        <v>46</v>
      </c>
      <c r="M330" t="n">
        <v>56</v>
      </c>
      <c r="N330" t="n">
        <v>66</v>
      </c>
      <c r="O330" t="n">
        <v>72</v>
      </c>
      <c r="P330" t="n">
        <v>0</v>
      </c>
      <c r="Q330" t="inlineStr">
        <is>
          <t>Riverside EE Apt (MF) – UA chart 7/1/2025 – uploaded PDF</t>
        </is>
      </c>
      <c r="R330" t="inlineStr">
        <is>
          <t>Populated</t>
        </is>
      </c>
    </row>
    <row r="331">
      <c r="A331" t="inlineStr">
        <is>
          <t>Housing Authority of the County of Riverside</t>
        </is>
      </c>
      <c r="B331" t="inlineStr">
        <is>
          <t>Riverside County</t>
        </is>
      </c>
      <c r="C331" t="inlineStr">
        <is>
          <t>2025-07-01</t>
        </is>
      </c>
      <c r="D331" t="inlineStr">
        <is>
          <t>Multi-Family</t>
        </is>
      </c>
      <c r="E331" t="inlineStr">
        <is>
          <t>Multifamily</t>
        </is>
      </c>
      <c r="F331" t="inlineStr">
        <is>
          <t>Other Electric</t>
        </is>
      </c>
      <c r="G331" t="inlineStr">
        <is>
          <t>Other Electric - SCE (Monthly Credit)</t>
        </is>
      </c>
      <c r="H331" t="inlineStr">
        <is>
          <t>Other Electric - SCE (Monthly Credit)</t>
        </is>
      </c>
      <c r="I331" t="n">
        <v>24</v>
      </c>
      <c r="J331" t="n">
        <v>30</v>
      </c>
      <c r="K331" t="n">
        <v>45</v>
      </c>
      <c r="L331" t="n">
        <v>60</v>
      </c>
      <c r="M331" t="n">
        <v>75</v>
      </c>
      <c r="N331" t="n">
        <v>91</v>
      </c>
      <c r="O331" t="n">
        <v>99</v>
      </c>
      <c r="P331" t="n">
        <v>0</v>
      </c>
      <c r="Q331" t="inlineStr">
        <is>
          <t>Riverside EE Apt (MF) – UA chart 7/1/2025 – uploaded PDF</t>
        </is>
      </c>
      <c r="R331" t="inlineStr">
        <is>
          <t>Populated</t>
        </is>
      </c>
    </row>
    <row r="332">
      <c r="A332" t="inlineStr">
        <is>
          <t>Housing Authority of the County of Riverside</t>
        </is>
      </c>
      <c r="B332" t="inlineStr">
        <is>
          <t>Riverside County</t>
        </is>
      </c>
      <c r="C332" t="inlineStr">
        <is>
          <t>2025-07-01</t>
        </is>
      </c>
      <c r="D332" t="inlineStr">
        <is>
          <t>Multi-Family</t>
        </is>
      </c>
      <c r="E332" t="inlineStr">
        <is>
          <t>Multifamily</t>
        </is>
      </c>
      <c r="F332" t="inlineStr">
        <is>
          <t>Air Conditioning</t>
        </is>
      </c>
      <c r="G332" t="inlineStr">
        <is>
          <t>Air Conditioning - Electric</t>
        </is>
      </c>
      <c r="H332" t="inlineStr">
        <is>
          <t>Air Conditioning - Electric</t>
        </is>
      </c>
      <c r="I332" t="n">
        <v>12</v>
      </c>
      <c r="J332" t="n">
        <v>14</v>
      </c>
      <c r="K332" t="n">
        <v>19</v>
      </c>
      <c r="L332" t="n">
        <v>24</v>
      </c>
      <c r="M332" t="n">
        <v>29</v>
      </c>
      <c r="N332" t="n">
        <v>34</v>
      </c>
      <c r="O332" t="n">
        <v>37</v>
      </c>
      <c r="P332" t="n">
        <v>0</v>
      </c>
      <c r="Q332" t="inlineStr">
        <is>
          <t>Riverside EE Apt (MF) – UA chart 7/1/2025 – uploaded PDF</t>
        </is>
      </c>
      <c r="R332" t="inlineStr">
        <is>
          <t>Populated</t>
        </is>
      </c>
    </row>
    <row r="333">
      <c r="A333" t="inlineStr">
        <is>
          <t>Housing Authority of the County of Riverside</t>
        </is>
      </c>
      <c r="B333" t="inlineStr">
        <is>
          <t>Riverside County</t>
        </is>
      </c>
      <c r="C333" t="inlineStr">
        <is>
          <t>2025-07-01</t>
        </is>
      </c>
      <c r="D333" t="inlineStr">
        <is>
          <t>Multi-Family</t>
        </is>
      </c>
      <c r="E333" t="inlineStr">
        <is>
          <t>Multifamily</t>
        </is>
      </c>
      <c r="F333" t="inlineStr">
        <is>
          <t>Water Heating</t>
        </is>
      </c>
      <c r="G333" t="inlineStr">
        <is>
          <t>Water Heating - Natural Gas</t>
        </is>
      </c>
      <c r="H333" t="inlineStr">
        <is>
          <t>Water Heating - Natural Gas</t>
        </is>
      </c>
      <c r="I333" t="n">
        <v>9</v>
      </c>
      <c r="J333" t="n">
        <v>11</v>
      </c>
      <c r="K333" t="n">
        <v>14</v>
      </c>
      <c r="L333" t="n">
        <v>20</v>
      </c>
      <c r="M333" t="n">
        <v>23</v>
      </c>
      <c r="N333" t="n">
        <v>29</v>
      </c>
      <c r="O333" t="n">
        <v>31</v>
      </c>
      <c r="P333" t="n">
        <v>0</v>
      </c>
      <c r="Q333" t="inlineStr">
        <is>
          <t>Riverside EE Apt (MF) – UA chart 7/1/2025 – uploaded PDF</t>
        </is>
      </c>
      <c r="R333" t="inlineStr">
        <is>
          <t>Populated</t>
        </is>
      </c>
    </row>
    <row r="334">
      <c r="A334" t="inlineStr">
        <is>
          <t>Housing Authority of the County of Riverside</t>
        </is>
      </c>
      <c r="B334" t="inlineStr">
        <is>
          <t>Riverside County</t>
        </is>
      </c>
      <c r="C334" t="inlineStr">
        <is>
          <t>2025-07-01</t>
        </is>
      </c>
      <c r="D334" t="inlineStr">
        <is>
          <t>Multi-Family</t>
        </is>
      </c>
      <c r="E334" t="inlineStr">
        <is>
          <t>Multifamily</t>
        </is>
      </c>
      <c r="F334" t="inlineStr">
        <is>
          <t>Water Heating</t>
        </is>
      </c>
      <c r="G334" t="inlineStr">
        <is>
          <t>Water Heating - Bottle Gas/Propane</t>
        </is>
      </c>
      <c r="H334" t="inlineStr">
        <is>
          <t>Water Heating - Bottle Gas/Propane</t>
        </is>
      </c>
      <c r="I334" t="n">
        <v>15</v>
      </c>
      <c r="J334" t="n">
        <v>21</v>
      </c>
      <c r="K334" t="n">
        <v>27</v>
      </c>
      <c r="L334" t="n">
        <v>36</v>
      </c>
      <c r="M334" t="n">
        <v>42</v>
      </c>
      <c r="N334" t="n">
        <v>51</v>
      </c>
      <c r="O334" t="n">
        <v>57</v>
      </c>
      <c r="P334" t="n">
        <v>0</v>
      </c>
      <c r="Q334" t="inlineStr">
        <is>
          <t>Riverside EE Apt (MF) – UA chart 7/1/2025 – uploaded PDF</t>
        </is>
      </c>
      <c r="R334" t="inlineStr">
        <is>
          <t>Populated</t>
        </is>
      </c>
    </row>
    <row r="335">
      <c r="A335" t="inlineStr">
        <is>
          <t>Housing Authority of the County of Riverside</t>
        </is>
      </c>
      <c r="B335" t="inlineStr">
        <is>
          <t>Riverside County</t>
        </is>
      </c>
      <c r="C335" t="inlineStr">
        <is>
          <t>2025-07-01</t>
        </is>
      </c>
      <c r="D335" t="inlineStr">
        <is>
          <t>Multi-Family</t>
        </is>
      </c>
      <c r="E335" t="inlineStr">
        <is>
          <t>Multifamily</t>
        </is>
      </c>
      <c r="F335" t="inlineStr">
        <is>
          <t>Water Heating</t>
        </is>
      </c>
      <c r="G335" t="inlineStr">
        <is>
          <t>Water Heating - Electric</t>
        </is>
      </c>
      <c r="H335" t="inlineStr">
        <is>
          <t>Water Heating - Electric</t>
        </is>
      </c>
      <c r="I335" t="n">
        <v>15</v>
      </c>
      <c r="J335" t="n">
        <v>18</v>
      </c>
      <c r="K335" t="n">
        <v>23</v>
      </c>
      <c r="L335" t="n">
        <v>28</v>
      </c>
      <c r="M335" t="n">
        <v>33</v>
      </c>
      <c r="N335" t="n">
        <v>38</v>
      </c>
      <c r="O335" t="n">
        <v>41</v>
      </c>
      <c r="P335" t="n">
        <v>0</v>
      </c>
      <c r="Q335" t="inlineStr">
        <is>
          <t>Riverside EE Apt (MF) – UA chart 7/1/2025 – uploaded PDF</t>
        </is>
      </c>
      <c r="R335" t="inlineStr">
        <is>
          <t>Populated</t>
        </is>
      </c>
    </row>
    <row r="336">
      <c r="A336" t="inlineStr">
        <is>
          <t>Housing Authority of the County of Riverside</t>
        </is>
      </c>
      <c r="B336" t="inlineStr">
        <is>
          <t>Riverside County</t>
        </is>
      </c>
      <c r="C336" t="inlineStr">
        <is>
          <t>2025-07-01</t>
        </is>
      </c>
      <c r="D336" t="inlineStr">
        <is>
          <t>Multi-Family</t>
        </is>
      </c>
      <c r="E336" t="inlineStr">
        <is>
          <t>Multifamily</t>
        </is>
      </c>
      <c r="F336" t="inlineStr">
        <is>
          <t>Water</t>
        </is>
      </c>
      <c r="G336" t="inlineStr">
        <is>
          <t>Water</t>
        </is>
      </c>
      <c r="H336" t="inlineStr">
        <is>
          <t>Water</t>
        </is>
      </c>
      <c r="I336" t="n">
        <v>28</v>
      </c>
      <c r="J336" t="n">
        <v>29</v>
      </c>
      <c r="K336" t="n">
        <v>31</v>
      </c>
      <c r="L336" t="n">
        <v>34</v>
      </c>
      <c r="M336" t="n">
        <v>37</v>
      </c>
      <c r="N336" t="n">
        <v>40</v>
      </c>
      <c r="O336" t="n">
        <v>42</v>
      </c>
      <c r="P336" t="n">
        <v>0</v>
      </c>
      <c r="Q336" t="inlineStr">
        <is>
          <t>Riverside EE Apt (MF) – UA chart 7/1/2025 – uploaded PDF</t>
        </is>
      </c>
      <c r="R336" t="inlineStr">
        <is>
          <t>Populated</t>
        </is>
      </c>
    </row>
    <row r="337">
      <c r="A337" t="inlineStr">
        <is>
          <t>Housing Authority of the County of Riverside</t>
        </is>
      </c>
      <c r="B337" t="inlineStr">
        <is>
          <t>Riverside County</t>
        </is>
      </c>
      <c r="C337" t="inlineStr">
        <is>
          <t>2025-07-01</t>
        </is>
      </c>
      <c r="D337" t="inlineStr">
        <is>
          <t>Multi-Family</t>
        </is>
      </c>
      <c r="E337" t="inlineStr">
        <is>
          <t>Multifamily</t>
        </is>
      </c>
      <c r="F337" t="inlineStr">
        <is>
          <t>Sewer</t>
        </is>
      </c>
      <c r="G337" t="inlineStr">
        <is>
          <t>Sewer</t>
        </is>
      </c>
      <c r="H337" t="inlineStr">
        <is>
          <t>Sewer</t>
        </is>
      </c>
      <c r="I337" t="n">
        <v>35</v>
      </c>
      <c r="J337" t="n">
        <v>35</v>
      </c>
      <c r="K337" t="n">
        <v>35</v>
      </c>
      <c r="L337" t="n">
        <v>35</v>
      </c>
      <c r="M337" t="n">
        <v>35</v>
      </c>
      <c r="N337" t="n">
        <v>35</v>
      </c>
      <c r="O337" t="n">
        <v>35</v>
      </c>
      <c r="P337" t="n">
        <v>0</v>
      </c>
      <c r="Q337" t="inlineStr">
        <is>
          <t>Riverside EE Apt (MF) – UA chart 7/1/2025 – uploaded PDF</t>
        </is>
      </c>
      <c r="R337" t="inlineStr">
        <is>
          <t>Populated</t>
        </is>
      </c>
    </row>
    <row r="338">
      <c r="A338" t="inlineStr">
        <is>
          <t>Housing Authority of the County of Riverside</t>
        </is>
      </c>
      <c r="B338" t="inlineStr">
        <is>
          <t>Riverside County</t>
        </is>
      </c>
      <c r="C338" t="inlineStr">
        <is>
          <t>2025-07-01</t>
        </is>
      </c>
      <c r="D338" t="inlineStr">
        <is>
          <t>Multi-Family</t>
        </is>
      </c>
      <c r="E338" t="inlineStr">
        <is>
          <t>Multifamily</t>
        </is>
      </c>
      <c r="F338" t="inlineStr">
        <is>
          <t>Trash Collection</t>
        </is>
      </c>
      <c r="G338" t="inlineStr">
        <is>
          <t>Trash Collection</t>
        </is>
      </c>
      <c r="H338" t="inlineStr">
        <is>
          <t>Trash Collection</t>
        </is>
      </c>
      <c r="I338" t="n">
        <v>33</v>
      </c>
      <c r="J338" t="n">
        <v>33</v>
      </c>
      <c r="K338" t="n">
        <v>33</v>
      </c>
      <c r="L338" t="n">
        <v>33</v>
      </c>
      <c r="M338" t="n">
        <v>33</v>
      </c>
      <c r="N338" t="n">
        <v>33</v>
      </c>
      <c r="O338" t="n">
        <v>33</v>
      </c>
      <c r="P338" t="n">
        <v>0</v>
      </c>
      <c r="Q338" t="inlineStr">
        <is>
          <t>Riverside EE Apt (MF) – UA chart 7/1/2025 – uploaded PDF</t>
        </is>
      </c>
      <c r="R338" t="inlineStr">
        <is>
          <t>Populated</t>
        </is>
      </c>
    </row>
    <row r="339">
      <c r="A339" t="inlineStr">
        <is>
          <t>Housing Authority of the County of Riverside</t>
        </is>
      </c>
      <c r="B339" t="inlineStr">
        <is>
          <t>Riverside County</t>
        </is>
      </c>
      <c r="C339" t="inlineStr">
        <is>
          <t>2025-07-01</t>
        </is>
      </c>
      <c r="D339" t="inlineStr">
        <is>
          <t>Multi-Family</t>
        </is>
      </c>
      <c r="E339" t="inlineStr">
        <is>
          <t>Multifamily</t>
        </is>
      </c>
      <c r="F339" t="inlineStr">
        <is>
          <t>Other - Specify</t>
        </is>
      </c>
      <c r="G339" t="inlineStr">
        <is>
          <t>Other - Specify - Electric Charge (Riverside PU) 45.21</t>
        </is>
      </c>
      <c r="H339" t="inlineStr">
        <is>
          <t>Other - Specify - Electric Charge (Riverside PU) 45.21</t>
        </is>
      </c>
      <c r="I339" t="n">
        <v>28</v>
      </c>
      <c r="J339" t="n">
        <v>28</v>
      </c>
      <c r="K339" t="n">
        <v>28</v>
      </c>
      <c r="L339" t="n">
        <v>28</v>
      </c>
      <c r="M339" t="n">
        <v>28</v>
      </c>
      <c r="N339" t="n">
        <v>28</v>
      </c>
      <c r="O339" t="n">
        <v>28</v>
      </c>
      <c r="P339" t="n">
        <v>0</v>
      </c>
      <c r="Q339" t="inlineStr">
        <is>
          <t>Riverside EE Apt (MF) – UA chart 7/1/2025 – uploaded PDF</t>
        </is>
      </c>
      <c r="R339" t="inlineStr">
        <is>
          <t>Populated</t>
        </is>
      </c>
    </row>
    <row r="340">
      <c r="A340" t="inlineStr">
        <is>
          <t>Housing Authority of the County of Riverside</t>
        </is>
      </c>
      <c r="B340" t="inlineStr">
        <is>
          <t>Riverside County</t>
        </is>
      </c>
      <c r="C340" t="inlineStr">
        <is>
          <t>2025-07-01</t>
        </is>
      </c>
      <c r="D340" t="inlineStr">
        <is>
          <t>Multi-Family</t>
        </is>
      </c>
      <c r="E340" t="inlineStr">
        <is>
          <t>Multifamily</t>
        </is>
      </c>
      <c r="F340" t="inlineStr">
        <is>
          <t>Other - Specify</t>
        </is>
      </c>
      <c r="G340" t="inlineStr">
        <is>
          <t>Other - Specify - Electric Charge (Non-SCE/Non-RevPU) 27.54</t>
        </is>
      </c>
      <c r="H340" t="inlineStr">
        <is>
          <t>Other - Specify - Electric Charge (Non-SCE/Non-RevPU) 27.54</t>
        </is>
      </c>
      <c r="I340" t="n">
        <v>5</v>
      </c>
      <c r="J340" t="n">
        <v>5</v>
      </c>
      <c r="K340" t="n">
        <v>5</v>
      </c>
      <c r="L340" t="n">
        <v>5</v>
      </c>
      <c r="M340" t="n">
        <v>5</v>
      </c>
      <c r="N340" t="n">
        <v>5</v>
      </c>
      <c r="O340" t="n">
        <v>5</v>
      </c>
      <c r="P340" t="n">
        <v>0</v>
      </c>
      <c r="Q340" t="inlineStr">
        <is>
          <t>Riverside EE Apt (MF) – UA chart 7/1/2025 – uploaded PDF</t>
        </is>
      </c>
      <c r="R340" t="inlineStr">
        <is>
          <t>Populated</t>
        </is>
      </c>
    </row>
    <row r="341">
      <c r="A341" t="inlineStr">
        <is>
          <t>Housing Authority of the County of Riverside</t>
        </is>
      </c>
      <c r="B341" t="inlineStr">
        <is>
          <t>Riverside County</t>
        </is>
      </c>
      <c r="C341" t="inlineStr">
        <is>
          <t>2025-07-01</t>
        </is>
      </c>
      <c r="D341" t="inlineStr">
        <is>
          <t>Multi-Family</t>
        </is>
      </c>
      <c r="E341" t="inlineStr">
        <is>
          <t>Multifamily</t>
        </is>
      </c>
      <c r="F341" t="inlineStr">
        <is>
          <t>Other - Specify</t>
        </is>
      </c>
      <c r="G341" t="inlineStr">
        <is>
          <t>Other - Specify - Natural Gas Monthly Charge 5.10</t>
        </is>
      </c>
      <c r="H341" t="inlineStr">
        <is>
          <t>Other - Specify - Natural Gas Monthly Charge 5.10</t>
        </is>
      </c>
      <c r="I341" t="n">
        <v>45</v>
      </c>
      <c r="J341" t="n">
        <v>45</v>
      </c>
      <c r="K341" t="n">
        <v>45</v>
      </c>
      <c r="L341" t="n">
        <v>45</v>
      </c>
      <c r="M341" t="n">
        <v>45</v>
      </c>
      <c r="N341" t="n">
        <v>45</v>
      </c>
      <c r="O341" t="n">
        <v>45</v>
      </c>
      <c r="P341" t="n">
        <v>0</v>
      </c>
      <c r="Q341" t="inlineStr">
        <is>
          <t>Riverside EE Apt (MF) – UA chart 7/1/2025 – uploaded PDF</t>
        </is>
      </c>
      <c r="R341" t="inlineStr">
        <is>
          <t>Populated</t>
        </is>
      </c>
    </row>
    <row r="342">
      <c r="A342" t="inlineStr">
        <is>
          <t>Housing Authority of the County of Riverside</t>
        </is>
      </c>
      <c r="B342" t="inlineStr">
        <is>
          <t>Riverside County</t>
        </is>
      </c>
      <c r="C342" t="inlineStr">
        <is>
          <t>2025-07-01</t>
        </is>
      </c>
      <c r="D342" t="inlineStr">
        <is>
          <t>Multi-Family</t>
        </is>
      </c>
      <c r="E342" t="inlineStr">
        <is>
          <t>Multifamily</t>
        </is>
      </c>
      <c r="F342" t="inlineStr">
        <is>
          <t>Range/Microwave</t>
        </is>
      </c>
      <c r="G342" t="inlineStr">
        <is>
          <t>Range/Microwave - Allowance</t>
        </is>
      </c>
      <c r="H342" t="inlineStr">
        <is>
          <t>Range/Microwave - Allowance</t>
        </is>
      </c>
      <c r="I342" t="n">
        <v>11</v>
      </c>
      <c r="J342" t="n">
        <v>11</v>
      </c>
      <c r="K342" t="n">
        <v>11</v>
      </c>
      <c r="L342" t="n">
        <v>11</v>
      </c>
      <c r="M342" t="n">
        <v>11</v>
      </c>
      <c r="N342" t="n">
        <v>11</v>
      </c>
      <c r="O342" t="n">
        <v>11</v>
      </c>
      <c r="P342" t="n">
        <v>0</v>
      </c>
      <c r="Q342" t="inlineStr">
        <is>
          <t>Riverside EE Apt (MF) – UA chart 7/1/2025 – uploaded PDF</t>
        </is>
      </c>
      <c r="R342" t="inlineStr">
        <is>
          <t>Populated</t>
        </is>
      </c>
    </row>
    <row r="343">
      <c r="A343" t="inlineStr">
        <is>
          <t>Housing Authority of the County of Riverside</t>
        </is>
      </c>
      <c r="B343" t="inlineStr">
        <is>
          <t>Riverside County</t>
        </is>
      </c>
      <c r="C343" t="inlineStr">
        <is>
          <t>2025-07-01</t>
        </is>
      </c>
      <c r="D343" t="inlineStr">
        <is>
          <t>Multi-Family</t>
        </is>
      </c>
      <c r="E343" t="inlineStr">
        <is>
          <t>Multifamily</t>
        </is>
      </c>
      <c r="F343" t="inlineStr">
        <is>
          <t>Refrigerator</t>
        </is>
      </c>
      <c r="G343" t="inlineStr">
        <is>
          <t>Refrigerator - Allowance</t>
        </is>
      </c>
      <c r="H343" t="inlineStr">
        <is>
          <t>Refrigerator - Allowance</t>
        </is>
      </c>
      <c r="I343" t="n">
        <v>12</v>
      </c>
      <c r="J343" t="n">
        <v>12</v>
      </c>
      <c r="K343" t="n">
        <v>12</v>
      </c>
      <c r="L343" t="n">
        <v>12</v>
      </c>
      <c r="M343" t="n">
        <v>12</v>
      </c>
      <c r="N343" t="n">
        <v>12</v>
      </c>
      <c r="O343" t="n">
        <v>12</v>
      </c>
      <c r="P343" t="n">
        <v>0</v>
      </c>
      <c r="Q343" t="inlineStr">
        <is>
          <t>Riverside EE Apt (MF) – UA chart 7/1/2025 – uploaded PDF</t>
        </is>
      </c>
      <c r="R343" t="inlineStr">
        <is>
          <t>Populated</t>
        </is>
      </c>
    </row>
    <row r="344">
      <c r="A344" t="inlineStr">
        <is>
          <t>San Francisco Housing Authority (SFHA)</t>
        </is>
      </c>
      <c r="B344" t="inlineStr">
        <is>
          <t>San Francisco</t>
        </is>
      </c>
      <c r="C344" t="inlineStr">
        <is>
          <t>2025-01-01</t>
        </is>
      </c>
      <c r="D344" t="inlineStr">
        <is>
          <t>Lowrise Apt (2–4 Units)</t>
        </is>
      </c>
      <c r="E344" t="inlineStr">
        <is>
          <t>Multifamily</t>
        </is>
      </c>
      <c r="F344" t="inlineStr">
        <is>
          <t>Space Heating</t>
        </is>
      </c>
      <c r="G344" t="inlineStr">
        <is>
          <t>Space Heating - Natural Gas</t>
        </is>
      </c>
      <c r="H344" t="inlineStr">
        <is>
          <t>Space Heating - Natural Gas</t>
        </is>
      </c>
      <c r="I344" t="n">
        <v>5</v>
      </c>
      <c r="J344" t="n">
        <v>7</v>
      </c>
      <c r="K344" t="n">
        <v>10</v>
      </c>
      <c r="L344" t="n">
        <v>12</v>
      </c>
      <c r="M344" t="n">
        <v>15</v>
      </c>
      <c r="N344" t="n">
        <v>17</v>
      </c>
      <c r="O344" t="n">
        <v>19</v>
      </c>
      <c r="P344" t="n">
        <v>21</v>
      </c>
      <c r="Q344" t="inlineStr">
        <is>
          <t>SFHA UA 2025 – uploaded PDF</t>
        </is>
      </c>
      <c r="R344" t="inlineStr">
        <is>
          <t>Populated</t>
        </is>
      </c>
    </row>
    <row r="345">
      <c r="A345" t="inlineStr">
        <is>
          <t>San Francisco Housing Authority (SFHA)</t>
        </is>
      </c>
      <c r="B345" t="inlineStr">
        <is>
          <t>San Francisco</t>
        </is>
      </c>
      <c r="C345" t="inlineStr">
        <is>
          <t>2025-01-01</t>
        </is>
      </c>
      <c r="D345" t="inlineStr">
        <is>
          <t>Lowrise Apt (2–4 Units)</t>
        </is>
      </c>
      <c r="E345" t="inlineStr">
        <is>
          <t>Multifamily</t>
        </is>
      </c>
      <c r="F345" t="inlineStr">
        <is>
          <t>Space Heating</t>
        </is>
      </c>
      <c r="G345" t="inlineStr">
        <is>
          <t>Space Heating - Electric</t>
        </is>
      </c>
      <c r="H345" t="inlineStr">
        <is>
          <t>Space Heating - Electric</t>
        </is>
      </c>
      <c r="I345" t="n">
        <v>15</v>
      </c>
      <c r="J345" t="n">
        <v>21</v>
      </c>
      <c r="K345" t="n">
        <v>26</v>
      </c>
      <c r="L345" t="n">
        <v>32</v>
      </c>
      <c r="M345" t="n">
        <v>41</v>
      </c>
      <c r="N345" t="n">
        <v>47</v>
      </c>
      <c r="O345" t="n">
        <v>53</v>
      </c>
      <c r="P345" t="n">
        <v>59</v>
      </c>
      <c r="Q345" t="inlineStr">
        <is>
          <t>SFHA UA 2025 – uploaded PDF</t>
        </is>
      </c>
      <c r="R345" t="inlineStr">
        <is>
          <t>Populated</t>
        </is>
      </c>
    </row>
    <row r="346">
      <c r="A346" t="inlineStr">
        <is>
          <t>San Francisco Housing Authority (SFHA)</t>
        </is>
      </c>
      <c r="B346" t="inlineStr">
        <is>
          <t>San Francisco</t>
        </is>
      </c>
      <c r="C346" t="inlineStr">
        <is>
          <t>2025-01-01</t>
        </is>
      </c>
      <c r="D346" t="inlineStr">
        <is>
          <t>Lowrise Apt (2–4 Units)</t>
        </is>
      </c>
      <c r="E346" t="inlineStr">
        <is>
          <t>Multifamily</t>
        </is>
      </c>
      <c r="F346" t="inlineStr">
        <is>
          <t>Space Heating</t>
        </is>
      </c>
      <c r="G346" t="inlineStr">
        <is>
          <t>Space Heating - Electric - Heat Pump</t>
        </is>
      </c>
      <c r="H346" t="inlineStr">
        <is>
          <t>Space Heating - Electric - Heat Pump</t>
        </is>
      </c>
      <c r="I346" t="n">
        <v>6</v>
      </c>
      <c r="J346" t="n">
        <v>8</v>
      </c>
      <c r="K346" t="n">
        <v>10</v>
      </c>
      <c r="L346" t="n">
        <v>12</v>
      </c>
      <c r="M346" t="n">
        <v>16</v>
      </c>
      <c r="N346" t="n">
        <v>18</v>
      </c>
      <c r="O346" t="n">
        <v>20</v>
      </c>
      <c r="P346" t="n">
        <v>23</v>
      </c>
      <c r="Q346" t="inlineStr">
        <is>
          <t>SFHA UA 2025 – uploaded PDF</t>
        </is>
      </c>
      <c r="R346" t="inlineStr">
        <is>
          <t>Populated</t>
        </is>
      </c>
    </row>
    <row r="347">
      <c r="A347" t="inlineStr">
        <is>
          <t>San Francisco Housing Authority (SFHA)</t>
        </is>
      </c>
      <c r="B347" t="inlineStr">
        <is>
          <t>San Francisco</t>
        </is>
      </c>
      <c r="C347" t="inlineStr">
        <is>
          <t>2025-01-01</t>
        </is>
      </c>
      <c r="D347" t="inlineStr">
        <is>
          <t>Lowrise Apt (2–4 Units)</t>
        </is>
      </c>
      <c r="E347" t="inlineStr">
        <is>
          <t>Multifamily</t>
        </is>
      </c>
      <c r="F347" t="inlineStr">
        <is>
          <t>Cooking</t>
        </is>
      </c>
      <c r="G347" t="inlineStr">
        <is>
          <t>Cooking - Natural Gas</t>
        </is>
      </c>
      <c r="H347" t="inlineStr">
        <is>
          <t>Cooking - Natural Gas</t>
        </is>
      </c>
      <c r="I347" t="n">
        <v>6</v>
      </c>
      <c r="J347" t="n">
        <v>8</v>
      </c>
      <c r="K347" t="n">
        <v>10</v>
      </c>
      <c r="L347" t="n">
        <v>13</v>
      </c>
      <c r="M347" t="n">
        <v>16</v>
      </c>
      <c r="N347" t="n">
        <v>18</v>
      </c>
      <c r="O347" t="n">
        <v>21</v>
      </c>
      <c r="P347" t="n">
        <v>23</v>
      </c>
      <c r="Q347" t="inlineStr">
        <is>
          <t>SFHA UA 2025 – uploaded PDF</t>
        </is>
      </c>
      <c r="R347" t="inlineStr">
        <is>
          <t>Populated</t>
        </is>
      </c>
    </row>
    <row r="348">
      <c r="A348" t="inlineStr">
        <is>
          <t>San Francisco Housing Authority (SFHA)</t>
        </is>
      </c>
      <c r="B348" t="inlineStr">
        <is>
          <t>San Francisco</t>
        </is>
      </c>
      <c r="C348" t="inlineStr">
        <is>
          <t>2025-01-01</t>
        </is>
      </c>
      <c r="D348" t="inlineStr">
        <is>
          <t>Lowrise Apt (2–4 Units)</t>
        </is>
      </c>
      <c r="E348" t="inlineStr">
        <is>
          <t>Multifamily</t>
        </is>
      </c>
      <c r="F348" t="inlineStr">
        <is>
          <t>Cooking</t>
        </is>
      </c>
      <c r="G348" t="inlineStr">
        <is>
          <t>Cooking - Electric</t>
        </is>
      </c>
      <c r="H348" t="inlineStr">
        <is>
          <t>Cooking - Electric</t>
        </is>
      </c>
      <c r="I348" t="n">
        <v>20</v>
      </c>
      <c r="J348" t="n">
        <v>28</v>
      </c>
      <c r="K348" t="n">
        <v>36</v>
      </c>
      <c r="L348" t="n">
        <v>44</v>
      </c>
      <c r="M348" t="n">
        <v>56</v>
      </c>
      <c r="N348" t="n">
        <v>64</v>
      </c>
      <c r="O348" t="n">
        <v>72</v>
      </c>
      <c r="P348" t="n">
        <v>80</v>
      </c>
      <c r="Q348" t="inlineStr">
        <is>
          <t>SFHA UA 2025 – uploaded PDF</t>
        </is>
      </c>
      <c r="R348" t="inlineStr">
        <is>
          <t>Populated</t>
        </is>
      </c>
    </row>
    <row r="349">
      <c r="A349" t="inlineStr">
        <is>
          <t>San Francisco Housing Authority (SFHA)</t>
        </is>
      </c>
      <c r="B349" t="inlineStr">
        <is>
          <t>San Francisco</t>
        </is>
      </c>
      <c r="C349" t="inlineStr">
        <is>
          <t>2025-01-01</t>
        </is>
      </c>
      <c r="D349" t="inlineStr">
        <is>
          <t>Lowrise Apt (2–4 Units)</t>
        </is>
      </c>
      <c r="E349" t="inlineStr">
        <is>
          <t>Multifamily</t>
        </is>
      </c>
      <c r="F349" t="inlineStr">
        <is>
          <t>Other Electric</t>
        </is>
      </c>
      <c r="G349" t="inlineStr">
        <is>
          <t>Other Electric - Electric (Lights/Plugs)</t>
        </is>
      </c>
      <c r="H349" t="inlineStr">
        <is>
          <t>Other Electric - Electric (Lights/Plugs)</t>
        </is>
      </c>
      <c r="I349" t="n">
        <v>56</v>
      </c>
      <c r="J349" t="n">
        <v>79</v>
      </c>
      <c r="K349" t="n">
        <v>101</v>
      </c>
      <c r="L349" t="n">
        <v>124</v>
      </c>
      <c r="M349" t="n">
        <v>158</v>
      </c>
      <c r="N349" t="n">
        <v>180</v>
      </c>
      <c r="O349" t="n">
        <v>203</v>
      </c>
      <c r="P349" t="n">
        <v>225</v>
      </c>
      <c r="Q349" t="inlineStr">
        <is>
          <t>SFHA UA 2025 – uploaded PDF</t>
        </is>
      </c>
      <c r="R349" t="inlineStr">
        <is>
          <t>Populated</t>
        </is>
      </c>
    </row>
    <row r="350">
      <c r="A350" t="inlineStr">
        <is>
          <t>San Francisco Housing Authority (SFHA)</t>
        </is>
      </c>
      <c r="B350" t="inlineStr">
        <is>
          <t>San Francisco</t>
        </is>
      </c>
      <c r="C350" t="inlineStr">
        <is>
          <t>2025-01-01</t>
        </is>
      </c>
      <c r="D350" t="inlineStr">
        <is>
          <t>Lowrise Apt (2–4 Units)</t>
        </is>
      </c>
      <c r="E350" t="inlineStr">
        <is>
          <t>Multifamily</t>
        </is>
      </c>
      <c r="F350" t="inlineStr">
        <is>
          <t>Air Conditioning</t>
        </is>
      </c>
      <c r="G350" t="inlineStr">
        <is>
          <t>Air Conditioning - Electric</t>
        </is>
      </c>
      <c r="H350" t="inlineStr">
        <is>
          <t>Air Conditioning - Electric</t>
        </is>
      </c>
      <c r="I350" t="n">
        <v>3</v>
      </c>
      <c r="J350" t="n">
        <v>4</v>
      </c>
      <c r="K350" t="n">
        <v>5</v>
      </c>
      <c r="L350" t="n">
        <v>6</v>
      </c>
      <c r="M350" t="n">
        <v>7</v>
      </c>
      <c r="N350" t="n">
        <v>8</v>
      </c>
      <c r="O350" t="n">
        <v>9</v>
      </c>
      <c r="P350" t="n">
        <v>10</v>
      </c>
      <c r="Q350" t="inlineStr">
        <is>
          <t>SFHA UA 2025 – uploaded PDF</t>
        </is>
      </c>
      <c r="R350" t="inlineStr">
        <is>
          <t>Populated</t>
        </is>
      </c>
    </row>
    <row r="351">
      <c r="A351" t="inlineStr">
        <is>
          <t>San Francisco Housing Authority (SFHA)</t>
        </is>
      </c>
      <c r="B351" t="inlineStr">
        <is>
          <t>San Francisco</t>
        </is>
      </c>
      <c r="C351" t="inlineStr">
        <is>
          <t>2025-01-01</t>
        </is>
      </c>
      <c r="D351" t="inlineStr">
        <is>
          <t>Lowrise Apt (2–4 Units)</t>
        </is>
      </c>
      <c r="E351" t="inlineStr">
        <is>
          <t>Multifamily</t>
        </is>
      </c>
      <c r="F351" t="inlineStr">
        <is>
          <t>Water Heating</t>
        </is>
      </c>
      <c r="G351" t="inlineStr">
        <is>
          <t>Water Heating - Natural Gas</t>
        </is>
      </c>
      <c r="H351" t="inlineStr">
        <is>
          <t>Water Heating - Natural Gas</t>
        </is>
      </c>
      <c r="I351" t="n">
        <v>16</v>
      </c>
      <c r="J351" t="n">
        <v>22</v>
      </c>
      <c r="K351" t="n">
        <v>28</v>
      </c>
      <c r="L351" t="n">
        <v>35</v>
      </c>
      <c r="M351" t="n">
        <v>44</v>
      </c>
      <c r="N351" t="n">
        <v>50</v>
      </c>
      <c r="O351" t="n">
        <v>57</v>
      </c>
      <c r="P351" t="n">
        <v>63</v>
      </c>
      <c r="Q351" t="inlineStr">
        <is>
          <t>SFHA UA 2025 – uploaded PDF</t>
        </is>
      </c>
      <c r="R351" t="inlineStr">
        <is>
          <t>Populated</t>
        </is>
      </c>
    </row>
    <row r="352">
      <c r="A352" t="inlineStr">
        <is>
          <t>San Francisco Housing Authority (SFHA)</t>
        </is>
      </c>
      <c r="B352" t="inlineStr">
        <is>
          <t>San Francisco</t>
        </is>
      </c>
      <c r="C352" t="inlineStr">
        <is>
          <t>2025-01-01</t>
        </is>
      </c>
      <c r="D352" t="inlineStr">
        <is>
          <t>Lowrise Apt (2–4 Units)</t>
        </is>
      </c>
      <c r="E352" t="inlineStr">
        <is>
          <t>Multifamily</t>
        </is>
      </c>
      <c r="F352" t="inlineStr">
        <is>
          <t>Water Heating</t>
        </is>
      </c>
      <c r="G352" t="inlineStr">
        <is>
          <t>Water Heating - Electric</t>
        </is>
      </c>
      <c r="H352" t="inlineStr">
        <is>
          <t>Water Heating - Electric</t>
        </is>
      </c>
      <c r="I352" t="n">
        <v>52</v>
      </c>
      <c r="J352" t="n">
        <v>72</v>
      </c>
      <c r="K352" t="n">
        <v>93</v>
      </c>
      <c r="L352" t="n">
        <v>114</v>
      </c>
      <c r="M352" t="n">
        <v>145</v>
      </c>
      <c r="N352" t="n">
        <v>165</v>
      </c>
      <c r="O352" t="n">
        <v>186</v>
      </c>
      <c r="P352" t="n">
        <v>207</v>
      </c>
      <c r="Q352" t="inlineStr">
        <is>
          <t>SFHA UA 2025 – uploaded PDF</t>
        </is>
      </c>
      <c r="R352" t="inlineStr">
        <is>
          <t>Populated</t>
        </is>
      </c>
    </row>
    <row r="353">
      <c r="A353" t="inlineStr">
        <is>
          <t>San Francisco Housing Authority (SFHA)</t>
        </is>
      </c>
      <c r="B353" t="inlineStr">
        <is>
          <t>San Francisco</t>
        </is>
      </c>
      <c r="C353" t="inlineStr">
        <is>
          <t>2025-01-01</t>
        </is>
      </c>
      <c r="D353" t="inlineStr">
        <is>
          <t>Lowrise Apt (2–4 Units)</t>
        </is>
      </c>
      <c r="E353" t="inlineStr">
        <is>
          <t>Multifamily</t>
        </is>
      </c>
      <c r="F353" t="inlineStr">
        <is>
          <t>Water</t>
        </is>
      </c>
      <c r="G353" t="inlineStr">
        <is>
          <t>Water</t>
        </is>
      </c>
      <c r="H353" t="inlineStr">
        <is>
          <t>Water</t>
        </is>
      </c>
      <c r="I353" t="n">
        <v>46</v>
      </c>
      <c r="J353" t="n">
        <v>68</v>
      </c>
      <c r="K353" t="n">
        <v>86</v>
      </c>
      <c r="L353" t="n">
        <v>100</v>
      </c>
      <c r="M353" t="n">
        <v>114</v>
      </c>
      <c r="N353" t="n">
        <v>128</v>
      </c>
      <c r="O353" t="n">
        <v>146</v>
      </c>
      <c r="P353" t="n">
        <v>169</v>
      </c>
      <c r="Q353" t="inlineStr">
        <is>
          <t>SFHA UA 2025 – uploaded PDF</t>
        </is>
      </c>
      <c r="R353" t="inlineStr">
        <is>
          <t>Populated</t>
        </is>
      </c>
    </row>
    <row r="354">
      <c r="A354" t="inlineStr">
        <is>
          <t>San Francisco Housing Authority (SFHA)</t>
        </is>
      </c>
      <c r="B354" t="inlineStr">
        <is>
          <t>San Francisco</t>
        </is>
      </c>
      <c r="C354" t="inlineStr">
        <is>
          <t>2025-01-01</t>
        </is>
      </c>
      <c r="D354" t="inlineStr">
        <is>
          <t>Lowrise Apt (2–4 Units)</t>
        </is>
      </c>
      <c r="E354" t="inlineStr">
        <is>
          <t>Multifamily</t>
        </is>
      </c>
      <c r="F354" t="inlineStr">
        <is>
          <t>Sewer</t>
        </is>
      </c>
      <c r="G354" t="inlineStr">
        <is>
          <t>Sewer</t>
        </is>
      </c>
      <c r="H354" t="inlineStr">
        <is>
          <t>Sewer</t>
        </is>
      </c>
      <c r="I354" t="n">
        <v>50</v>
      </c>
      <c r="J354" t="n">
        <v>83</v>
      </c>
      <c r="K354" t="n">
        <v>110</v>
      </c>
      <c r="L354" t="n">
        <v>131</v>
      </c>
      <c r="M354" t="n">
        <v>151</v>
      </c>
      <c r="N354" t="n">
        <v>172</v>
      </c>
      <c r="O354" t="n">
        <v>198</v>
      </c>
      <c r="P354" t="n">
        <v>233</v>
      </c>
      <c r="Q354" t="inlineStr">
        <is>
          <t>SFHA UA 2025 – uploaded PDF</t>
        </is>
      </c>
      <c r="R354" t="inlineStr">
        <is>
          <t>Populated</t>
        </is>
      </c>
    </row>
    <row r="355">
      <c r="A355" t="inlineStr">
        <is>
          <t>San Francisco Housing Authority (SFHA)</t>
        </is>
      </c>
      <c r="B355" t="inlineStr">
        <is>
          <t>San Francisco</t>
        </is>
      </c>
      <c r="C355" t="inlineStr">
        <is>
          <t>2025-01-01</t>
        </is>
      </c>
      <c r="D355" t="inlineStr">
        <is>
          <t>Lowrise Apt (2–4 Units)</t>
        </is>
      </c>
      <c r="E355" t="inlineStr">
        <is>
          <t>Multifamily</t>
        </is>
      </c>
      <c r="F355" t="inlineStr">
        <is>
          <t>Trash Collection</t>
        </is>
      </c>
      <c r="G355" t="inlineStr">
        <is>
          <t>Trash Collection</t>
        </is>
      </c>
      <c r="H355" t="inlineStr">
        <is>
          <t>Trash Collection</t>
        </is>
      </c>
      <c r="I355" t="n">
        <v>48</v>
      </c>
      <c r="J355" t="n">
        <v>48</v>
      </c>
      <c r="K355" t="n">
        <v>48</v>
      </c>
      <c r="L355" t="n">
        <v>48</v>
      </c>
      <c r="M355" t="n">
        <v>48</v>
      </c>
      <c r="N355" t="n">
        <v>48</v>
      </c>
      <c r="O355" t="n">
        <v>48</v>
      </c>
      <c r="P355" t="n">
        <v>48</v>
      </c>
      <c r="Q355" t="inlineStr">
        <is>
          <t>SFHA UA 2025 – uploaded PDF</t>
        </is>
      </c>
      <c r="R355" t="inlineStr">
        <is>
          <t>Populated</t>
        </is>
      </c>
    </row>
    <row r="356">
      <c r="A356" t="inlineStr">
        <is>
          <t>San Francisco Housing Authority (SFHA)</t>
        </is>
      </c>
      <c r="B356" t="inlineStr">
        <is>
          <t>San Francisco</t>
        </is>
      </c>
      <c r="C356" t="inlineStr">
        <is>
          <t>2025-01-01</t>
        </is>
      </c>
      <c r="D356" t="inlineStr">
        <is>
          <t>Lowrise Apt (2–4 Units)</t>
        </is>
      </c>
      <c r="E356" t="inlineStr">
        <is>
          <t>Multifamily</t>
        </is>
      </c>
      <c r="F356" t="inlineStr">
        <is>
          <t>Other - Specify</t>
        </is>
      </c>
      <c r="G356" t="inlineStr">
        <is>
          <t>Other - Specify - Natural Gas Monthly Customer Charge / Credit</t>
        </is>
      </c>
      <c r="H356" t="inlineStr">
        <is>
          <t>Other - Specify - Natural Gas Monthly Customer Charge / Credit</t>
        </is>
      </c>
      <c r="I356" t="n">
        <v>-3</v>
      </c>
      <c r="J356" t="n">
        <v>-3</v>
      </c>
      <c r="K356" t="n">
        <v>-3</v>
      </c>
      <c r="L356" t="n">
        <v>-3</v>
      </c>
      <c r="M356" t="n">
        <v>-3</v>
      </c>
      <c r="N356" t="n">
        <v>-3</v>
      </c>
      <c r="O356" t="n">
        <v>-3</v>
      </c>
      <c r="P356" t="n">
        <v>-3</v>
      </c>
      <c r="Q356" t="inlineStr">
        <is>
          <t>SFHA UA 2025 – uploaded PDF</t>
        </is>
      </c>
      <c r="R356" t="inlineStr">
        <is>
          <t>Populated</t>
        </is>
      </c>
    </row>
    <row r="357">
      <c r="A357" t="inlineStr">
        <is>
          <t>San Francisco Housing Authority (SFHA)</t>
        </is>
      </c>
      <c r="B357" t="inlineStr">
        <is>
          <t>San Francisco</t>
        </is>
      </c>
      <c r="C357" t="inlineStr">
        <is>
          <t>2025-01-01</t>
        </is>
      </c>
      <c r="D357" t="inlineStr">
        <is>
          <t>Lowrise Apt (2–4 Units)</t>
        </is>
      </c>
      <c r="E357" t="inlineStr">
        <is>
          <t>Multifamily</t>
        </is>
      </c>
      <c r="F357" t="inlineStr">
        <is>
          <t>Range/Microwave</t>
        </is>
      </c>
      <c r="G357" t="inlineStr">
        <is>
          <t>Range/Microwave - Allowance</t>
        </is>
      </c>
      <c r="H357" t="inlineStr">
        <is>
          <t>Range/Microwave - Allowance</t>
        </is>
      </c>
      <c r="I357" t="n">
        <v>4</v>
      </c>
      <c r="J357" t="n">
        <v>4</v>
      </c>
      <c r="K357" t="n">
        <v>4</v>
      </c>
      <c r="L357" t="n">
        <v>4</v>
      </c>
      <c r="M357" t="n">
        <v>4</v>
      </c>
      <c r="N357" t="n">
        <v>4</v>
      </c>
      <c r="O357" t="n">
        <v>4</v>
      </c>
      <c r="P357" t="n">
        <v>4</v>
      </c>
      <c r="Q357" t="inlineStr">
        <is>
          <t>SFHA UA 2025 – uploaded PDF</t>
        </is>
      </c>
      <c r="R357" t="inlineStr">
        <is>
          <t>Populated</t>
        </is>
      </c>
    </row>
    <row r="358">
      <c r="A358" t="inlineStr">
        <is>
          <t>San Francisco Housing Authority (SFHA)</t>
        </is>
      </c>
      <c r="B358" t="inlineStr">
        <is>
          <t>San Francisco</t>
        </is>
      </c>
      <c r="C358" t="inlineStr">
        <is>
          <t>2025-01-01</t>
        </is>
      </c>
      <c r="D358" t="inlineStr">
        <is>
          <t>Lowrise Apt (2–4 Units)</t>
        </is>
      </c>
      <c r="E358" t="inlineStr">
        <is>
          <t>Multifamily</t>
        </is>
      </c>
      <c r="F358" t="inlineStr">
        <is>
          <t>Refrigerator</t>
        </is>
      </c>
      <c r="G358" t="inlineStr">
        <is>
          <t>Refrigerator - Allowance</t>
        </is>
      </c>
      <c r="H358" t="inlineStr">
        <is>
          <t>Refrigerator - Allowance</t>
        </is>
      </c>
      <c r="I358" t="n">
        <v>6</v>
      </c>
      <c r="J358" t="n">
        <v>6</v>
      </c>
      <c r="K358" t="n">
        <v>6</v>
      </c>
      <c r="L358" t="n">
        <v>6</v>
      </c>
      <c r="M358" t="n">
        <v>6</v>
      </c>
      <c r="N358" t="n">
        <v>6</v>
      </c>
      <c r="O358" t="n">
        <v>6</v>
      </c>
      <c r="P358" t="n">
        <v>6</v>
      </c>
      <c r="Q358" t="inlineStr">
        <is>
          <t>SFHA UA 2025 – uploaded PDF</t>
        </is>
      </c>
      <c r="R358" t="inlineStr">
        <is>
          <t>Populated</t>
        </is>
      </c>
    </row>
    <row r="359">
      <c r="A359" t="inlineStr">
        <is>
          <t>San Francisco Housing Authority (SFHA)</t>
        </is>
      </c>
      <c r="B359" t="inlineStr">
        <is>
          <t>San Francisco</t>
        </is>
      </c>
      <c r="C359" t="inlineStr">
        <is>
          <t>2025-01-01</t>
        </is>
      </c>
      <c r="D359" t="inlineStr">
        <is>
          <t>Multi-Family</t>
        </is>
      </c>
      <c r="E359" t="inlineStr">
        <is>
          <t>Multifamily</t>
        </is>
      </c>
      <c r="F359" t="inlineStr">
        <is>
          <t>Space Heating</t>
        </is>
      </c>
      <c r="G359" t="inlineStr">
        <is>
          <t>Space Heating - Natural Gas</t>
        </is>
      </c>
      <c r="H359" t="inlineStr">
        <is>
          <t>Space Heating - Natural Gas</t>
        </is>
      </c>
      <c r="I359" t="n">
        <v>23</v>
      </c>
      <c r="J359" t="n">
        <v>33</v>
      </c>
      <c r="K359" t="n">
        <v>42</v>
      </c>
      <c r="L359" t="n">
        <v>51</v>
      </c>
      <c r="M359" t="n">
        <v>65</v>
      </c>
      <c r="N359" t="n">
        <v>74</v>
      </c>
      <c r="O359" t="n">
        <v>84</v>
      </c>
      <c r="P359" t="n">
        <v>93</v>
      </c>
      <c r="Q359" t="inlineStr">
        <is>
          <t>SFHA UA 2025 – uploaded PDF</t>
        </is>
      </c>
      <c r="R359" t="inlineStr">
        <is>
          <t>Populated</t>
        </is>
      </c>
    </row>
    <row r="360">
      <c r="A360" t="inlineStr">
        <is>
          <t>San Francisco Housing Authority (SFHA)</t>
        </is>
      </c>
      <c r="B360" t="inlineStr">
        <is>
          <t>San Francisco</t>
        </is>
      </c>
      <c r="C360" t="inlineStr">
        <is>
          <t>2025-01-01</t>
        </is>
      </c>
      <c r="D360" t="inlineStr">
        <is>
          <t>Multi-Family</t>
        </is>
      </c>
      <c r="E360" t="inlineStr">
        <is>
          <t>Multifamily</t>
        </is>
      </c>
      <c r="F360" t="inlineStr">
        <is>
          <t>Space Heating</t>
        </is>
      </c>
      <c r="G360" t="inlineStr">
        <is>
          <t>Space Heating - Electric</t>
        </is>
      </c>
      <c r="H360" t="inlineStr">
        <is>
          <t>Space Heating - Electric</t>
        </is>
      </c>
      <c r="I360" t="n">
        <v>55</v>
      </c>
      <c r="J360" t="n">
        <v>76</v>
      </c>
      <c r="K360" t="n">
        <v>98</v>
      </c>
      <c r="L360" t="n">
        <v>120</v>
      </c>
      <c r="M360" t="n">
        <v>153</v>
      </c>
      <c r="N360" t="n">
        <v>175</v>
      </c>
      <c r="O360" t="n">
        <v>197</v>
      </c>
      <c r="P360" t="n">
        <v>219</v>
      </c>
      <c r="Q360" t="inlineStr">
        <is>
          <t>SFHA UA 2025 – uploaded PDF</t>
        </is>
      </c>
      <c r="R360" t="inlineStr">
        <is>
          <t>Populated</t>
        </is>
      </c>
    </row>
    <row r="361">
      <c r="A361" t="inlineStr">
        <is>
          <t>San Francisco Housing Authority (SFHA)</t>
        </is>
      </c>
      <c r="B361" t="inlineStr">
        <is>
          <t>San Francisco</t>
        </is>
      </c>
      <c r="C361" t="inlineStr">
        <is>
          <t>2025-01-01</t>
        </is>
      </c>
      <c r="D361" t="inlineStr">
        <is>
          <t>Multi-Family</t>
        </is>
      </c>
      <c r="E361" t="inlineStr">
        <is>
          <t>Multifamily</t>
        </is>
      </c>
      <c r="F361" t="inlineStr">
        <is>
          <t>Space Heating</t>
        </is>
      </c>
      <c r="G361" t="inlineStr">
        <is>
          <t>Space Heating - Electric - Heat Pump</t>
        </is>
      </c>
      <c r="H361" t="inlineStr">
        <is>
          <t>Space Heating - Electric - Heat Pump</t>
        </is>
      </c>
      <c r="I361" t="n">
        <v>20</v>
      </c>
      <c r="J361" t="n">
        <v>29</v>
      </c>
      <c r="K361" t="n">
        <v>37</v>
      </c>
      <c r="L361" t="n">
        <v>45</v>
      </c>
      <c r="M361" t="n">
        <v>57</v>
      </c>
      <c r="N361" t="n">
        <v>65</v>
      </c>
      <c r="O361" t="n">
        <v>74</v>
      </c>
      <c r="P361" t="n">
        <v>82</v>
      </c>
      <c r="Q361" t="inlineStr">
        <is>
          <t>SFHA UA 2025 – uploaded PDF</t>
        </is>
      </c>
      <c r="R361" t="inlineStr">
        <is>
          <t>Populated</t>
        </is>
      </c>
    </row>
    <row r="362">
      <c r="A362" t="inlineStr">
        <is>
          <t>San Francisco Housing Authority (SFHA)</t>
        </is>
      </c>
      <c r="B362" t="inlineStr">
        <is>
          <t>San Francisco</t>
        </is>
      </c>
      <c r="C362" t="inlineStr">
        <is>
          <t>2025-01-01</t>
        </is>
      </c>
      <c r="D362" t="inlineStr">
        <is>
          <t>Multi-Family</t>
        </is>
      </c>
      <c r="E362" t="inlineStr">
        <is>
          <t>Multifamily</t>
        </is>
      </c>
      <c r="F362" t="inlineStr">
        <is>
          <t>Cooking</t>
        </is>
      </c>
      <c r="G362" t="inlineStr">
        <is>
          <t>Cooking - Natural Gas</t>
        </is>
      </c>
      <c r="H362" t="inlineStr">
        <is>
          <t>Cooking - Natural Gas</t>
        </is>
      </c>
      <c r="I362" t="n">
        <v>6</v>
      </c>
      <c r="J362" t="n">
        <v>8</v>
      </c>
      <c r="K362" t="n">
        <v>10</v>
      </c>
      <c r="L362" t="n">
        <v>13</v>
      </c>
      <c r="M362" t="n">
        <v>16</v>
      </c>
      <c r="N362" t="n">
        <v>18</v>
      </c>
      <c r="O362" t="n">
        <v>21</v>
      </c>
      <c r="P362" t="n">
        <v>23</v>
      </c>
      <c r="Q362" t="inlineStr">
        <is>
          <t>SFHA UA 2025 – uploaded PDF</t>
        </is>
      </c>
      <c r="R362" t="inlineStr">
        <is>
          <t>Populated</t>
        </is>
      </c>
    </row>
    <row r="363">
      <c r="A363" t="inlineStr">
        <is>
          <t>San Francisco Housing Authority (SFHA)</t>
        </is>
      </c>
      <c r="B363" t="inlineStr">
        <is>
          <t>San Francisco</t>
        </is>
      </c>
      <c r="C363" t="inlineStr">
        <is>
          <t>2025-01-01</t>
        </is>
      </c>
      <c r="D363" t="inlineStr">
        <is>
          <t>Multi-Family</t>
        </is>
      </c>
      <c r="E363" t="inlineStr">
        <is>
          <t>Multifamily</t>
        </is>
      </c>
      <c r="F363" t="inlineStr">
        <is>
          <t>Cooking</t>
        </is>
      </c>
      <c r="G363" t="inlineStr">
        <is>
          <t>Cooking - Electric</t>
        </is>
      </c>
      <c r="H363" t="inlineStr">
        <is>
          <t>Cooking - Electric</t>
        </is>
      </c>
      <c r="I363" t="n">
        <v>20</v>
      </c>
      <c r="J363" t="n">
        <v>28</v>
      </c>
      <c r="K363" t="n">
        <v>36</v>
      </c>
      <c r="L363" t="n">
        <v>44</v>
      </c>
      <c r="M363" t="n">
        <v>56</v>
      </c>
      <c r="N363" t="n">
        <v>64</v>
      </c>
      <c r="O363" t="n">
        <v>72</v>
      </c>
      <c r="P363" t="n">
        <v>80</v>
      </c>
      <c r="Q363" t="inlineStr">
        <is>
          <t>SFHA UA 2025 – uploaded PDF</t>
        </is>
      </c>
      <c r="R363" t="inlineStr">
        <is>
          <t>Populated</t>
        </is>
      </c>
    </row>
    <row r="364">
      <c r="A364" t="inlineStr">
        <is>
          <t>San Francisco Housing Authority (SFHA)</t>
        </is>
      </c>
      <c r="B364" t="inlineStr">
        <is>
          <t>San Francisco</t>
        </is>
      </c>
      <c r="C364" t="inlineStr">
        <is>
          <t>2025-01-01</t>
        </is>
      </c>
      <c r="D364" t="inlineStr">
        <is>
          <t>Multi-Family</t>
        </is>
      </c>
      <c r="E364" t="inlineStr">
        <is>
          <t>Multifamily</t>
        </is>
      </c>
      <c r="F364" t="inlineStr">
        <is>
          <t>Other Electric</t>
        </is>
      </c>
      <c r="G364" t="inlineStr">
        <is>
          <t>Other Electric - Electric (Lights/Plugs)</t>
        </is>
      </c>
      <c r="H364" t="inlineStr">
        <is>
          <t>Other Electric - Electric (Lights/Plugs)</t>
        </is>
      </c>
      <c r="I364" t="n">
        <v>56</v>
      </c>
      <c r="J364" t="n">
        <v>79</v>
      </c>
      <c r="K364" t="n">
        <v>101</v>
      </c>
      <c r="L364" t="n">
        <v>124</v>
      </c>
      <c r="M364" t="n">
        <v>158</v>
      </c>
      <c r="N364" t="n">
        <v>180</v>
      </c>
      <c r="O364" t="n">
        <v>203</v>
      </c>
      <c r="P364" t="n">
        <v>225</v>
      </c>
      <c r="Q364" t="inlineStr">
        <is>
          <t>SFHA UA 2025 – uploaded PDF</t>
        </is>
      </c>
      <c r="R364" t="inlineStr">
        <is>
          <t>Populated</t>
        </is>
      </c>
    </row>
    <row r="365">
      <c r="A365" t="inlineStr">
        <is>
          <t>San Francisco Housing Authority (SFHA)</t>
        </is>
      </c>
      <c r="B365" t="inlineStr">
        <is>
          <t>San Francisco</t>
        </is>
      </c>
      <c r="C365" t="inlineStr">
        <is>
          <t>2025-01-01</t>
        </is>
      </c>
      <c r="D365" t="inlineStr">
        <is>
          <t>Multi-Family</t>
        </is>
      </c>
      <c r="E365" t="inlineStr">
        <is>
          <t>Multifamily</t>
        </is>
      </c>
      <c r="F365" t="inlineStr">
        <is>
          <t>Air Conditioning</t>
        </is>
      </c>
      <c r="G365" t="inlineStr">
        <is>
          <t>Air Conditioning - Electric</t>
        </is>
      </c>
      <c r="H365" t="inlineStr">
        <is>
          <t>Air Conditioning - Electric</t>
        </is>
      </c>
      <c r="I365" t="n">
        <v>3</v>
      </c>
      <c r="J365" t="n">
        <v>4</v>
      </c>
      <c r="K365" t="n">
        <v>5</v>
      </c>
      <c r="L365" t="n">
        <v>6</v>
      </c>
      <c r="M365" t="n">
        <v>7</v>
      </c>
      <c r="N365" t="n">
        <v>8</v>
      </c>
      <c r="O365" t="n">
        <v>9</v>
      </c>
      <c r="P365" t="n">
        <v>10</v>
      </c>
      <c r="Q365" t="inlineStr">
        <is>
          <t>SFHA UA 2025 – uploaded PDF</t>
        </is>
      </c>
      <c r="R365" t="inlineStr">
        <is>
          <t>Populated</t>
        </is>
      </c>
    </row>
    <row r="366">
      <c r="A366" t="inlineStr">
        <is>
          <t>San Francisco Housing Authority (SFHA)</t>
        </is>
      </c>
      <c r="B366" t="inlineStr">
        <is>
          <t>San Francisco</t>
        </is>
      </c>
      <c r="C366" t="inlineStr">
        <is>
          <t>2025-01-01</t>
        </is>
      </c>
      <c r="D366" t="inlineStr">
        <is>
          <t>Multi-Family</t>
        </is>
      </c>
      <c r="E366" t="inlineStr">
        <is>
          <t>Multifamily</t>
        </is>
      </c>
      <c r="F366" t="inlineStr">
        <is>
          <t>Water Heating</t>
        </is>
      </c>
      <c r="G366" t="inlineStr">
        <is>
          <t>Water Heating - Natural Gas</t>
        </is>
      </c>
      <c r="H366" t="inlineStr">
        <is>
          <t>Water Heating - Natural Gas</t>
        </is>
      </c>
      <c r="I366" t="n">
        <v>16</v>
      </c>
      <c r="J366" t="n">
        <v>22</v>
      </c>
      <c r="K366" t="n">
        <v>28</v>
      </c>
      <c r="L366" t="n">
        <v>35</v>
      </c>
      <c r="M366" t="n">
        <v>44</v>
      </c>
      <c r="N366" t="n">
        <v>50</v>
      </c>
      <c r="O366" t="n">
        <v>57</v>
      </c>
      <c r="P366" t="n">
        <v>63</v>
      </c>
      <c r="Q366" t="inlineStr">
        <is>
          <t>SFHA UA 2025 – uploaded PDF</t>
        </is>
      </c>
      <c r="R366" t="inlineStr">
        <is>
          <t>Populated</t>
        </is>
      </c>
    </row>
    <row r="367">
      <c r="A367" t="inlineStr">
        <is>
          <t>San Francisco Housing Authority (SFHA)</t>
        </is>
      </c>
      <c r="B367" t="inlineStr">
        <is>
          <t>San Francisco</t>
        </is>
      </c>
      <c r="C367" t="inlineStr">
        <is>
          <t>2025-01-01</t>
        </is>
      </c>
      <c r="D367" t="inlineStr">
        <is>
          <t>Multi-Family</t>
        </is>
      </c>
      <c r="E367" t="inlineStr">
        <is>
          <t>Multifamily</t>
        </is>
      </c>
      <c r="F367" t="inlineStr">
        <is>
          <t>Water Heating</t>
        </is>
      </c>
      <c r="G367" t="inlineStr">
        <is>
          <t>Water Heating - Electric</t>
        </is>
      </c>
      <c r="H367" t="inlineStr">
        <is>
          <t>Water Heating - Electric</t>
        </is>
      </c>
      <c r="I367" t="n">
        <v>52</v>
      </c>
      <c r="J367" t="n">
        <v>72</v>
      </c>
      <c r="K367" t="n">
        <v>93</v>
      </c>
      <c r="L367" t="n">
        <v>114</v>
      </c>
      <c r="M367" t="n">
        <v>145</v>
      </c>
      <c r="N367" t="n">
        <v>165</v>
      </c>
      <c r="O367" t="n">
        <v>186</v>
      </c>
      <c r="P367" t="n">
        <v>207</v>
      </c>
      <c r="Q367" t="inlineStr">
        <is>
          <t>SFHA UA 2025 – uploaded PDF</t>
        </is>
      </c>
      <c r="R367" t="inlineStr">
        <is>
          <t>Populated</t>
        </is>
      </c>
    </row>
    <row r="368">
      <c r="A368" t="inlineStr">
        <is>
          <t>San Francisco Housing Authority (SFHA)</t>
        </is>
      </c>
      <c r="B368" t="inlineStr">
        <is>
          <t>San Francisco</t>
        </is>
      </c>
      <c r="C368" t="inlineStr">
        <is>
          <t>2025-01-01</t>
        </is>
      </c>
      <c r="D368" t="inlineStr">
        <is>
          <t>Multi-Family</t>
        </is>
      </c>
      <c r="E368" t="inlineStr">
        <is>
          <t>Multifamily</t>
        </is>
      </c>
      <c r="F368" t="inlineStr">
        <is>
          <t>Water</t>
        </is>
      </c>
      <c r="G368" t="inlineStr">
        <is>
          <t>Water</t>
        </is>
      </c>
      <c r="H368" t="inlineStr">
        <is>
          <t>Water</t>
        </is>
      </c>
      <c r="I368" t="n">
        <v>46</v>
      </c>
      <c r="J368" t="n">
        <v>68</v>
      </c>
      <c r="K368" t="n">
        <v>86</v>
      </c>
      <c r="L368" t="n">
        <v>100</v>
      </c>
      <c r="M368" t="n">
        <v>114</v>
      </c>
      <c r="N368" t="n">
        <v>128</v>
      </c>
      <c r="O368" t="n">
        <v>146</v>
      </c>
      <c r="P368" t="n">
        <v>169</v>
      </c>
      <c r="Q368" t="inlineStr">
        <is>
          <t>SFHA UA 2025 – uploaded PDF</t>
        </is>
      </c>
      <c r="R368" t="inlineStr">
        <is>
          <t>Populated</t>
        </is>
      </c>
    </row>
    <row r="369">
      <c r="A369" t="inlineStr">
        <is>
          <t>San Francisco Housing Authority (SFHA)</t>
        </is>
      </c>
      <c r="B369" t="inlineStr">
        <is>
          <t>San Francisco</t>
        </is>
      </c>
      <c r="C369" t="inlineStr">
        <is>
          <t>2025-01-01</t>
        </is>
      </c>
      <c r="D369" t="inlineStr">
        <is>
          <t>Multi-Family</t>
        </is>
      </c>
      <c r="E369" t="inlineStr">
        <is>
          <t>Multifamily</t>
        </is>
      </c>
      <c r="F369" t="inlineStr">
        <is>
          <t>Sewer</t>
        </is>
      </c>
      <c r="G369" t="inlineStr">
        <is>
          <t>Sewer</t>
        </is>
      </c>
      <c r="H369" t="inlineStr">
        <is>
          <t>Sewer</t>
        </is>
      </c>
      <c r="I369" t="n">
        <v>50</v>
      </c>
      <c r="J369" t="n">
        <v>83</v>
      </c>
      <c r="K369" t="n">
        <v>110</v>
      </c>
      <c r="L369" t="n">
        <v>131</v>
      </c>
      <c r="M369" t="n">
        <v>151</v>
      </c>
      <c r="N369" t="n">
        <v>172</v>
      </c>
      <c r="O369" t="n">
        <v>198</v>
      </c>
      <c r="P369" t="n">
        <v>233</v>
      </c>
      <c r="Q369" t="inlineStr">
        <is>
          <t>SFHA UA 2025 – uploaded PDF</t>
        </is>
      </c>
      <c r="R369" t="inlineStr">
        <is>
          <t>Populated</t>
        </is>
      </c>
    </row>
    <row r="370">
      <c r="A370" t="inlineStr">
        <is>
          <t>San Francisco Housing Authority (SFHA)</t>
        </is>
      </c>
      <c r="B370" t="inlineStr">
        <is>
          <t>San Francisco</t>
        </is>
      </c>
      <c r="C370" t="inlineStr">
        <is>
          <t>2025-01-01</t>
        </is>
      </c>
      <c r="D370" t="inlineStr">
        <is>
          <t>Multi-Family</t>
        </is>
      </c>
      <c r="E370" t="inlineStr">
        <is>
          <t>Multifamily</t>
        </is>
      </c>
      <c r="F370" t="inlineStr">
        <is>
          <t>Trash Collection</t>
        </is>
      </c>
      <c r="G370" t="inlineStr">
        <is>
          <t>Trash Collection</t>
        </is>
      </c>
      <c r="H370" t="inlineStr">
        <is>
          <t>Trash Collection</t>
        </is>
      </c>
      <c r="I370" t="n">
        <v>48</v>
      </c>
      <c r="J370" t="n">
        <v>48</v>
      </c>
      <c r="K370" t="n">
        <v>48</v>
      </c>
      <c r="L370" t="n">
        <v>48</v>
      </c>
      <c r="M370" t="n">
        <v>48</v>
      </c>
      <c r="N370" t="n">
        <v>48</v>
      </c>
      <c r="O370" t="n">
        <v>48</v>
      </c>
      <c r="P370" t="n">
        <v>48</v>
      </c>
      <c r="Q370" t="inlineStr">
        <is>
          <t>SFHA UA 2025 – uploaded PDF</t>
        </is>
      </c>
      <c r="R370" t="inlineStr">
        <is>
          <t>Populated</t>
        </is>
      </c>
    </row>
    <row r="371">
      <c r="A371" t="inlineStr">
        <is>
          <t>San Francisco Housing Authority (SFHA)</t>
        </is>
      </c>
      <c r="B371" t="inlineStr">
        <is>
          <t>San Francisco</t>
        </is>
      </c>
      <c r="C371" t="inlineStr">
        <is>
          <t>2025-01-01</t>
        </is>
      </c>
      <c r="D371" t="inlineStr">
        <is>
          <t>Multi-Family</t>
        </is>
      </c>
      <c r="E371" t="inlineStr">
        <is>
          <t>Multifamily</t>
        </is>
      </c>
      <c r="F371" t="inlineStr">
        <is>
          <t>Other - Specify</t>
        </is>
      </c>
      <c r="G371" t="inlineStr">
        <is>
          <t>Other - Specify - Natural Gas Monthly Customer Charge / Credit</t>
        </is>
      </c>
      <c r="H371" t="inlineStr">
        <is>
          <t>Other - Specify - Natural Gas Monthly Customer Charge / Credit</t>
        </is>
      </c>
      <c r="I371" t="n">
        <v>-3</v>
      </c>
      <c r="J371" t="n">
        <v>-3</v>
      </c>
      <c r="K371" t="n">
        <v>-3</v>
      </c>
      <c r="L371" t="n">
        <v>-3</v>
      </c>
      <c r="M371" t="n">
        <v>-3</v>
      </c>
      <c r="N371" t="n">
        <v>-3</v>
      </c>
      <c r="O371" t="n">
        <v>-3</v>
      </c>
      <c r="P371" t="n">
        <v>-3</v>
      </c>
      <c r="Q371" t="inlineStr">
        <is>
          <t>SFHA UA 2025 – uploaded PDF</t>
        </is>
      </c>
      <c r="R371" t="inlineStr">
        <is>
          <t>Populated</t>
        </is>
      </c>
    </row>
    <row r="372">
      <c r="A372" t="inlineStr">
        <is>
          <t>San Francisco Housing Authority (SFHA)</t>
        </is>
      </c>
      <c r="B372" t="inlineStr">
        <is>
          <t>San Francisco</t>
        </is>
      </c>
      <c r="C372" t="inlineStr">
        <is>
          <t>2025-01-01</t>
        </is>
      </c>
      <c r="D372" t="inlineStr">
        <is>
          <t>Multi-Family</t>
        </is>
      </c>
      <c r="E372" t="inlineStr">
        <is>
          <t>Multifamily</t>
        </is>
      </c>
      <c r="F372" t="inlineStr">
        <is>
          <t>Range/Microwave</t>
        </is>
      </c>
      <c r="G372" t="inlineStr">
        <is>
          <t>Range/Microwave - Allowance</t>
        </is>
      </c>
      <c r="H372" t="inlineStr">
        <is>
          <t>Range/Microwave - Allowance</t>
        </is>
      </c>
      <c r="I372" t="n">
        <v>4</v>
      </c>
      <c r="J372" t="n">
        <v>4</v>
      </c>
      <c r="K372" t="n">
        <v>4</v>
      </c>
      <c r="L372" t="n">
        <v>4</v>
      </c>
      <c r="M372" t="n">
        <v>4</v>
      </c>
      <c r="N372" t="n">
        <v>4</v>
      </c>
      <c r="O372" t="n">
        <v>4</v>
      </c>
      <c r="P372" t="n">
        <v>4</v>
      </c>
      <c r="Q372" t="inlineStr">
        <is>
          <t>SFHA UA 2025 – uploaded PDF</t>
        </is>
      </c>
      <c r="R372" t="inlineStr">
        <is>
          <t>Populated</t>
        </is>
      </c>
    </row>
    <row r="373">
      <c r="A373" t="inlineStr">
        <is>
          <t>San Francisco Housing Authority (SFHA)</t>
        </is>
      </c>
      <c r="B373" t="inlineStr">
        <is>
          <t>San Francisco</t>
        </is>
      </c>
      <c r="C373" t="inlineStr">
        <is>
          <t>2025-01-01</t>
        </is>
      </c>
      <c r="D373" t="inlineStr">
        <is>
          <t>Multi-Family</t>
        </is>
      </c>
      <c r="E373" t="inlineStr">
        <is>
          <t>Multifamily</t>
        </is>
      </c>
      <c r="F373" t="inlineStr">
        <is>
          <t>Refrigerator</t>
        </is>
      </c>
      <c r="G373" t="inlineStr">
        <is>
          <t>Refrigerator - Allowance</t>
        </is>
      </c>
      <c r="H373" t="inlineStr">
        <is>
          <t>Refrigerator - Allowance</t>
        </is>
      </c>
      <c r="I373" t="n">
        <v>6</v>
      </c>
      <c r="J373" t="n">
        <v>6</v>
      </c>
      <c r="K373" t="n">
        <v>6</v>
      </c>
      <c r="L373" t="n">
        <v>6</v>
      </c>
      <c r="M373" t="n">
        <v>6</v>
      </c>
      <c r="N373" t="n">
        <v>6</v>
      </c>
      <c r="O373" t="n">
        <v>6</v>
      </c>
      <c r="P373" t="n">
        <v>6</v>
      </c>
      <c r="Q373" t="inlineStr">
        <is>
          <t>SFHA UA 2025 – uploaded PDF</t>
        </is>
      </c>
      <c r="R373" t="inlineStr">
        <is>
          <t>Populated</t>
        </is>
      </c>
    </row>
    <row r="374">
      <c r="A374" t="inlineStr">
        <is>
          <t>San Francisco Housing Authority (SFHA)</t>
        </is>
      </c>
      <c r="B374" t="inlineStr">
        <is>
          <t>San Francisco</t>
        </is>
      </c>
      <c r="C374" t="inlineStr">
        <is>
          <t>2025-01-01</t>
        </is>
      </c>
      <c r="D374" t="inlineStr">
        <is>
          <t>Detached Single-Family</t>
        </is>
      </c>
      <c r="E374" t="inlineStr">
        <is>
          <t>Single-Family</t>
        </is>
      </c>
      <c r="F374" t="inlineStr">
        <is>
          <t>Space Heating</t>
        </is>
      </c>
      <c r="G374" t="inlineStr">
        <is>
          <t>Space Heating - Natural Gas</t>
        </is>
      </c>
      <c r="H374" t="inlineStr">
        <is>
          <t>Space Heating - Natural Gas</t>
        </is>
      </c>
      <c r="I374" t="n">
        <v>38</v>
      </c>
      <c r="J374" t="n">
        <v>53</v>
      </c>
      <c r="K374" t="n">
        <v>68</v>
      </c>
      <c r="L374" t="n">
        <v>83</v>
      </c>
      <c r="M374" t="n">
        <v>106</v>
      </c>
      <c r="N374" t="n">
        <v>121</v>
      </c>
      <c r="O374" t="n">
        <v>136</v>
      </c>
      <c r="P374" t="n">
        <v>151</v>
      </c>
      <c r="Q374" t="inlineStr">
        <is>
          <t>SFHA UA 2025 – uploaded PDF</t>
        </is>
      </c>
      <c r="R374" t="inlineStr">
        <is>
          <t>Populated</t>
        </is>
      </c>
    </row>
    <row r="375">
      <c r="A375" t="inlineStr">
        <is>
          <t>San Francisco Housing Authority (SFHA)</t>
        </is>
      </c>
      <c r="B375" t="inlineStr">
        <is>
          <t>San Francisco</t>
        </is>
      </c>
      <c r="C375" t="inlineStr">
        <is>
          <t>2025-01-01</t>
        </is>
      </c>
      <c r="D375" t="inlineStr">
        <is>
          <t>Detached Single-Family</t>
        </is>
      </c>
      <c r="E375" t="inlineStr">
        <is>
          <t>Single-Family</t>
        </is>
      </c>
      <c r="F375" t="inlineStr">
        <is>
          <t>Space Heating</t>
        </is>
      </c>
      <c r="G375" t="inlineStr">
        <is>
          <t>Space Heating - Electric</t>
        </is>
      </c>
      <c r="H375" t="inlineStr">
        <is>
          <t>Space Heating - Electric</t>
        </is>
      </c>
      <c r="I375" t="n">
        <v>87</v>
      </c>
      <c r="J375" t="n">
        <v>122</v>
      </c>
      <c r="K375" t="n">
        <v>157</v>
      </c>
      <c r="L375" t="n">
        <v>192</v>
      </c>
      <c r="M375" t="n">
        <v>245</v>
      </c>
      <c r="N375" t="n">
        <v>279</v>
      </c>
      <c r="O375" t="n">
        <v>314</v>
      </c>
      <c r="P375" t="n">
        <v>349</v>
      </c>
      <c r="Q375" t="inlineStr">
        <is>
          <t>SFHA UA 2025 – uploaded PDF</t>
        </is>
      </c>
      <c r="R375" t="inlineStr">
        <is>
          <t>Populated</t>
        </is>
      </c>
    </row>
    <row r="376">
      <c r="A376" t="inlineStr">
        <is>
          <t>San Francisco Housing Authority (SFHA)</t>
        </is>
      </c>
      <c r="B376" t="inlineStr">
        <is>
          <t>San Francisco</t>
        </is>
      </c>
      <c r="C376" t="inlineStr">
        <is>
          <t>2025-01-01</t>
        </is>
      </c>
      <c r="D376" t="inlineStr">
        <is>
          <t>Detached Single-Family</t>
        </is>
      </c>
      <c r="E376" t="inlineStr">
        <is>
          <t>Single-Family</t>
        </is>
      </c>
      <c r="F376" t="inlineStr">
        <is>
          <t>Space Heating</t>
        </is>
      </c>
      <c r="G376" t="inlineStr">
        <is>
          <t>Space Heating - Electric - Heat Pump</t>
        </is>
      </c>
      <c r="H376" t="inlineStr">
        <is>
          <t>Space Heating - Electric - Heat Pump</t>
        </is>
      </c>
      <c r="I376" t="n">
        <v>32</v>
      </c>
      <c r="J376" t="n">
        <v>45</v>
      </c>
      <c r="K376" t="n">
        <v>57</v>
      </c>
      <c r="L376" t="n">
        <v>70</v>
      </c>
      <c r="M376" t="n">
        <v>89</v>
      </c>
      <c r="N376" t="n">
        <v>102</v>
      </c>
      <c r="O376" t="n">
        <v>114</v>
      </c>
      <c r="P376" t="n">
        <v>127</v>
      </c>
      <c r="Q376" t="inlineStr">
        <is>
          <t>SFHA UA 2025 – uploaded PDF</t>
        </is>
      </c>
      <c r="R376" t="inlineStr">
        <is>
          <t>Populated</t>
        </is>
      </c>
    </row>
    <row r="377">
      <c r="A377" t="inlineStr">
        <is>
          <t>San Francisco Housing Authority (SFHA)</t>
        </is>
      </c>
      <c r="B377" t="inlineStr">
        <is>
          <t>San Francisco</t>
        </is>
      </c>
      <c r="C377" t="inlineStr">
        <is>
          <t>2025-01-01</t>
        </is>
      </c>
      <c r="D377" t="inlineStr">
        <is>
          <t>Detached Single-Family</t>
        </is>
      </c>
      <c r="E377" t="inlineStr">
        <is>
          <t>Single-Family</t>
        </is>
      </c>
      <c r="F377" t="inlineStr">
        <is>
          <t>Cooking</t>
        </is>
      </c>
      <c r="G377" t="inlineStr">
        <is>
          <t>Cooking - Natural Gas</t>
        </is>
      </c>
      <c r="H377" t="inlineStr">
        <is>
          <t>Cooking - Natural Gas</t>
        </is>
      </c>
      <c r="I377" t="n">
        <v>6</v>
      </c>
      <c r="J377" t="n">
        <v>8</v>
      </c>
      <c r="K377" t="n">
        <v>10</v>
      </c>
      <c r="L377" t="n">
        <v>13</v>
      </c>
      <c r="M377" t="n">
        <v>16</v>
      </c>
      <c r="N377" t="n">
        <v>18</v>
      </c>
      <c r="O377" t="n">
        <v>21</v>
      </c>
      <c r="P377" t="n">
        <v>23</v>
      </c>
      <c r="Q377" t="inlineStr">
        <is>
          <t>SFHA UA 2025 – uploaded PDF</t>
        </is>
      </c>
      <c r="R377" t="inlineStr">
        <is>
          <t>Populated</t>
        </is>
      </c>
    </row>
    <row r="378">
      <c r="A378" t="inlineStr">
        <is>
          <t>San Francisco Housing Authority (SFHA)</t>
        </is>
      </c>
      <c r="B378" t="inlineStr">
        <is>
          <t>San Francisco</t>
        </is>
      </c>
      <c r="C378" t="inlineStr">
        <is>
          <t>2025-01-01</t>
        </is>
      </c>
      <c r="D378" t="inlineStr">
        <is>
          <t>Detached Single-Family</t>
        </is>
      </c>
      <c r="E378" t="inlineStr">
        <is>
          <t>Single-Family</t>
        </is>
      </c>
      <c r="F378" t="inlineStr">
        <is>
          <t>Cooking</t>
        </is>
      </c>
      <c r="G378" t="inlineStr">
        <is>
          <t>Cooking - Electric</t>
        </is>
      </c>
      <c r="H378" t="inlineStr">
        <is>
          <t>Cooking - Electric</t>
        </is>
      </c>
      <c r="I378" t="n">
        <v>20</v>
      </c>
      <c r="J378" t="n">
        <v>28</v>
      </c>
      <c r="K378" t="n">
        <v>36</v>
      </c>
      <c r="L378" t="n">
        <v>44</v>
      </c>
      <c r="M378" t="n">
        <v>56</v>
      </c>
      <c r="N378" t="n">
        <v>64</v>
      </c>
      <c r="O378" t="n">
        <v>72</v>
      </c>
      <c r="P378" t="n">
        <v>80</v>
      </c>
      <c r="Q378" t="inlineStr">
        <is>
          <t>SFHA UA 2025 – uploaded PDF</t>
        </is>
      </c>
      <c r="R378" t="inlineStr">
        <is>
          <t>Populated</t>
        </is>
      </c>
    </row>
    <row r="379">
      <c r="A379" t="inlineStr">
        <is>
          <t>San Francisco Housing Authority (SFHA)</t>
        </is>
      </c>
      <c r="B379" t="inlineStr">
        <is>
          <t>San Francisco</t>
        </is>
      </c>
      <c r="C379" t="inlineStr">
        <is>
          <t>2025-01-01</t>
        </is>
      </c>
      <c r="D379" t="inlineStr">
        <is>
          <t>Detached Single-Family</t>
        </is>
      </c>
      <c r="E379" t="inlineStr">
        <is>
          <t>Single-Family</t>
        </is>
      </c>
      <c r="F379" t="inlineStr">
        <is>
          <t>Other Electric</t>
        </is>
      </c>
      <c r="G379" t="inlineStr">
        <is>
          <t>Other Electric - Electric (Lights/Plugs)</t>
        </is>
      </c>
      <c r="H379" t="inlineStr">
        <is>
          <t>Other Electric - Electric (Lights/Plugs)</t>
        </is>
      </c>
      <c r="I379" t="n">
        <v>56</v>
      </c>
      <c r="J379" t="n">
        <v>79</v>
      </c>
      <c r="K379" t="n">
        <v>101</v>
      </c>
      <c r="L379" t="n">
        <v>124</v>
      </c>
      <c r="M379" t="n">
        <v>158</v>
      </c>
      <c r="N379" t="n">
        <v>180</v>
      </c>
      <c r="O379" t="n">
        <v>203</v>
      </c>
      <c r="P379" t="n">
        <v>225</v>
      </c>
      <c r="Q379" t="inlineStr">
        <is>
          <t>SFHA UA 2025 – uploaded PDF</t>
        </is>
      </c>
      <c r="R379" t="inlineStr">
        <is>
          <t>Populated</t>
        </is>
      </c>
    </row>
    <row r="380">
      <c r="A380" t="inlineStr">
        <is>
          <t>San Francisco Housing Authority (SFHA)</t>
        </is>
      </c>
      <c r="B380" t="inlineStr">
        <is>
          <t>San Francisco</t>
        </is>
      </c>
      <c r="C380" t="inlineStr">
        <is>
          <t>2025-01-01</t>
        </is>
      </c>
      <c r="D380" t="inlineStr">
        <is>
          <t>Detached Single-Family</t>
        </is>
      </c>
      <c r="E380" t="inlineStr">
        <is>
          <t>Single-Family</t>
        </is>
      </c>
      <c r="F380" t="inlineStr">
        <is>
          <t>Air Conditioning</t>
        </is>
      </c>
      <c r="G380" t="inlineStr">
        <is>
          <t>Air Conditioning - Electric</t>
        </is>
      </c>
      <c r="H380" t="inlineStr">
        <is>
          <t>Air Conditioning - Electric</t>
        </is>
      </c>
      <c r="I380" t="n">
        <v>3</v>
      </c>
      <c r="J380" t="n">
        <v>4</v>
      </c>
      <c r="K380" t="n">
        <v>5</v>
      </c>
      <c r="L380" t="n">
        <v>6</v>
      </c>
      <c r="M380" t="n">
        <v>8</v>
      </c>
      <c r="N380" t="n">
        <v>9</v>
      </c>
      <c r="O380" t="n">
        <v>10</v>
      </c>
      <c r="P380" t="n">
        <v>12</v>
      </c>
      <c r="Q380" t="inlineStr">
        <is>
          <t>SFHA UA 2025 – uploaded PDF</t>
        </is>
      </c>
      <c r="R380" t="inlineStr">
        <is>
          <t>Populated</t>
        </is>
      </c>
    </row>
    <row r="381">
      <c r="A381" t="inlineStr">
        <is>
          <t>San Francisco Housing Authority (SFHA)</t>
        </is>
      </c>
      <c r="B381" t="inlineStr">
        <is>
          <t>San Francisco</t>
        </is>
      </c>
      <c r="C381" t="inlineStr">
        <is>
          <t>2025-01-01</t>
        </is>
      </c>
      <c r="D381" t="inlineStr">
        <is>
          <t>Detached Single-Family</t>
        </is>
      </c>
      <c r="E381" t="inlineStr">
        <is>
          <t>Single-Family</t>
        </is>
      </c>
      <c r="F381" t="inlineStr">
        <is>
          <t>Water Heating</t>
        </is>
      </c>
      <c r="G381" t="inlineStr">
        <is>
          <t>Water Heating - Natural Gas</t>
        </is>
      </c>
      <c r="H381" t="inlineStr">
        <is>
          <t>Water Heating - Natural Gas</t>
        </is>
      </c>
      <c r="I381" t="n">
        <v>16</v>
      </c>
      <c r="J381" t="n">
        <v>22</v>
      </c>
      <c r="K381" t="n">
        <v>28</v>
      </c>
      <c r="L381" t="n">
        <v>35</v>
      </c>
      <c r="M381" t="n">
        <v>44</v>
      </c>
      <c r="N381" t="n">
        <v>50</v>
      </c>
      <c r="O381" t="n">
        <v>57</v>
      </c>
      <c r="P381" t="n">
        <v>63</v>
      </c>
      <c r="Q381" t="inlineStr">
        <is>
          <t>SFHA UA 2025 – uploaded PDF</t>
        </is>
      </c>
      <c r="R381" t="inlineStr">
        <is>
          <t>Populated</t>
        </is>
      </c>
    </row>
    <row r="382">
      <c r="A382" t="inlineStr">
        <is>
          <t>San Francisco Housing Authority (SFHA)</t>
        </is>
      </c>
      <c r="B382" t="inlineStr">
        <is>
          <t>San Francisco</t>
        </is>
      </c>
      <c r="C382" t="inlineStr">
        <is>
          <t>2025-01-01</t>
        </is>
      </c>
      <c r="D382" t="inlineStr">
        <is>
          <t>Detached Single-Family</t>
        </is>
      </c>
      <c r="E382" t="inlineStr">
        <is>
          <t>Single-Family</t>
        </is>
      </c>
      <c r="F382" t="inlineStr">
        <is>
          <t>Water Heating</t>
        </is>
      </c>
      <c r="G382" t="inlineStr">
        <is>
          <t>Water Heating - Electric</t>
        </is>
      </c>
      <c r="H382" t="inlineStr">
        <is>
          <t>Water Heating - Electric</t>
        </is>
      </c>
      <c r="I382" t="n">
        <v>52</v>
      </c>
      <c r="J382" t="n">
        <v>72</v>
      </c>
      <c r="K382" t="n">
        <v>93</v>
      </c>
      <c r="L382" t="n">
        <v>114</v>
      </c>
      <c r="M382" t="n">
        <v>145</v>
      </c>
      <c r="N382" t="n">
        <v>165</v>
      </c>
      <c r="O382" t="n">
        <v>186</v>
      </c>
      <c r="P382" t="n">
        <v>207</v>
      </c>
      <c r="Q382" t="inlineStr">
        <is>
          <t>SFHA UA 2025 – uploaded PDF</t>
        </is>
      </c>
      <c r="R382" t="inlineStr">
        <is>
          <t>Populated</t>
        </is>
      </c>
    </row>
    <row r="383">
      <c r="A383" t="inlineStr">
        <is>
          <t>San Francisco Housing Authority (SFHA)</t>
        </is>
      </c>
      <c r="B383" t="inlineStr">
        <is>
          <t>San Francisco</t>
        </is>
      </c>
      <c r="C383" t="inlineStr">
        <is>
          <t>2025-01-01</t>
        </is>
      </c>
      <c r="D383" t="inlineStr">
        <is>
          <t>Detached Single-Family</t>
        </is>
      </c>
      <c r="E383" t="inlineStr">
        <is>
          <t>Single-Family</t>
        </is>
      </c>
      <c r="F383" t="inlineStr">
        <is>
          <t>Water</t>
        </is>
      </c>
      <c r="G383" t="inlineStr">
        <is>
          <t>Water</t>
        </is>
      </c>
      <c r="H383" t="inlineStr">
        <is>
          <t>Water</t>
        </is>
      </c>
      <c r="I383" t="n">
        <v>46</v>
      </c>
      <c r="J383" t="n">
        <v>68</v>
      </c>
      <c r="K383" t="n">
        <v>87</v>
      </c>
      <c r="L383" t="n">
        <v>102</v>
      </c>
      <c r="M383" t="n">
        <v>117</v>
      </c>
      <c r="N383" t="n">
        <v>132</v>
      </c>
      <c r="O383" t="n">
        <v>150</v>
      </c>
      <c r="P383" t="n">
        <v>175</v>
      </c>
      <c r="Q383" t="inlineStr">
        <is>
          <t>SFHA UA 2025 – uploaded PDF</t>
        </is>
      </c>
      <c r="R383" t="inlineStr">
        <is>
          <t>Populated</t>
        </is>
      </c>
    </row>
    <row r="384">
      <c r="A384" t="inlineStr">
        <is>
          <t>San Francisco Housing Authority (SFHA)</t>
        </is>
      </c>
      <c r="B384" t="inlineStr">
        <is>
          <t>San Francisco</t>
        </is>
      </c>
      <c r="C384" t="inlineStr">
        <is>
          <t>2025-01-01</t>
        </is>
      </c>
      <c r="D384" t="inlineStr">
        <is>
          <t>Detached Single-Family</t>
        </is>
      </c>
      <c r="E384" t="inlineStr">
        <is>
          <t>Single-Family</t>
        </is>
      </c>
      <c r="F384" t="inlineStr">
        <is>
          <t>Sewer</t>
        </is>
      </c>
      <c r="G384" t="inlineStr">
        <is>
          <t>Sewer</t>
        </is>
      </c>
      <c r="H384" t="inlineStr">
        <is>
          <t>Sewer</t>
        </is>
      </c>
      <c r="I384" t="n">
        <v>47</v>
      </c>
      <c r="J384" t="n">
        <v>79</v>
      </c>
      <c r="K384" t="n">
        <v>104</v>
      </c>
      <c r="L384" t="n">
        <v>124</v>
      </c>
      <c r="M384" t="n">
        <v>144</v>
      </c>
      <c r="N384" t="n">
        <v>163</v>
      </c>
      <c r="O384" t="n">
        <v>188</v>
      </c>
      <c r="P384" t="n">
        <v>221</v>
      </c>
      <c r="Q384" t="inlineStr">
        <is>
          <t>SFHA UA 2025 – uploaded PDF</t>
        </is>
      </c>
      <c r="R384" t="inlineStr">
        <is>
          <t>Populated</t>
        </is>
      </c>
    </row>
    <row r="385">
      <c r="A385" t="inlineStr">
        <is>
          <t>San Francisco Housing Authority (SFHA)</t>
        </is>
      </c>
      <c r="B385" t="inlineStr">
        <is>
          <t>San Francisco</t>
        </is>
      </c>
      <c r="C385" t="inlineStr">
        <is>
          <t>2025-01-01</t>
        </is>
      </c>
      <c r="D385" t="inlineStr">
        <is>
          <t>Detached Single-Family</t>
        </is>
      </c>
      <c r="E385" t="inlineStr">
        <is>
          <t>Single-Family</t>
        </is>
      </c>
      <c r="F385" t="inlineStr">
        <is>
          <t>Trash Collection</t>
        </is>
      </c>
      <c r="G385" t="inlineStr">
        <is>
          <t>Trash Collection</t>
        </is>
      </c>
      <c r="H385" t="inlineStr">
        <is>
          <t>Trash Collection</t>
        </is>
      </c>
      <c r="I385" t="n">
        <v>48</v>
      </c>
      <c r="J385" t="n">
        <v>48</v>
      </c>
      <c r="K385" t="n">
        <v>48</v>
      </c>
      <c r="L385" t="n">
        <v>48</v>
      </c>
      <c r="M385" t="n">
        <v>48</v>
      </c>
      <c r="N385" t="n">
        <v>48</v>
      </c>
      <c r="O385" t="n">
        <v>48</v>
      </c>
      <c r="P385" t="n">
        <v>48</v>
      </c>
      <c r="Q385" t="inlineStr">
        <is>
          <t>SFHA UA 2025 – uploaded PDF</t>
        </is>
      </c>
      <c r="R385" t="inlineStr">
        <is>
          <t>Populated</t>
        </is>
      </c>
    </row>
    <row r="386">
      <c r="A386" t="inlineStr">
        <is>
          <t>San Francisco Housing Authority (SFHA)</t>
        </is>
      </c>
      <c r="B386" t="inlineStr">
        <is>
          <t>San Francisco</t>
        </is>
      </c>
      <c r="C386" t="inlineStr">
        <is>
          <t>2025-01-01</t>
        </is>
      </c>
      <c r="D386" t="inlineStr">
        <is>
          <t>Detached Single-Family</t>
        </is>
      </c>
      <c r="E386" t="inlineStr">
        <is>
          <t>Single-Family</t>
        </is>
      </c>
      <c r="F386" t="inlineStr">
        <is>
          <t>Other - Specify</t>
        </is>
      </c>
      <c r="G386" t="inlineStr">
        <is>
          <t>Other - Specify - Natural Gas Monthly Customer Charge / Credit</t>
        </is>
      </c>
      <c r="H386" t="inlineStr">
        <is>
          <t>Other - Specify - Natural Gas Monthly Customer Charge / Credit</t>
        </is>
      </c>
      <c r="I386" t="n">
        <v>-3</v>
      </c>
      <c r="J386" t="n">
        <v>-3</v>
      </c>
      <c r="K386" t="n">
        <v>-3</v>
      </c>
      <c r="L386" t="n">
        <v>-3</v>
      </c>
      <c r="M386" t="n">
        <v>-3</v>
      </c>
      <c r="N386" t="n">
        <v>-3</v>
      </c>
      <c r="O386" t="n">
        <v>-3</v>
      </c>
      <c r="P386" t="n">
        <v>-3</v>
      </c>
      <c r="Q386" t="inlineStr">
        <is>
          <t>SFHA UA 2025 – uploaded PDF</t>
        </is>
      </c>
      <c r="R386" t="inlineStr">
        <is>
          <t>Populated</t>
        </is>
      </c>
    </row>
    <row r="387">
      <c r="A387" t="inlineStr">
        <is>
          <t>San Francisco Housing Authority (SFHA)</t>
        </is>
      </c>
      <c r="B387" t="inlineStr">
        <is>
          <t>San Francisco</t>
        </is>
      </c>
      <c r="C387" t="inlineStr">
        <is>
          <t>2025-01-01</t>
        </is>
      </c>
      <c r="D387" t="inlineStr">
        <is>
          <t>Detached Single-Family</t>
        </is>
      </c>
      <c r="E387" t="inlineStr">
        <is>
          <t>Single-Family</t>
        </is>
      </c>
      <c r="F387" t="inlineStr">
        <is>
          <t>Range/Microwave</t>
        </is>
      </c>
      <c r="G387" t="inlineStr">
        <is>
          <t>Range/Microwave - Allowance</t>
        </is>
      </c>
      <c r="H387" t="inlineStr">
        <is>
          <t>Range/Microwave - Allowance</t>
        </is>
      </c>
      <c r="I387" t="n">
        <v>4</v>
      </c>
      <c r="J387" t="n">
        <v>4</v>
      </c>
      <c r="K387" t="n">
        <v>4</v>
      </c>
      <c r="L387" t="n">
        <v>4</v>
      </c>
      <c r="M387" t="n">
        <v>4</v>
      </c>
      <c r="N387" t="n">
        <v>4</v>
      </c>
      <c r="O387" t="n">
        <v>4</v>
      </c>
      <c r="P387" t="n">
        <v>4</v>
      </c>
      <c r="Q387" t="inlineStr">
        <is>
          <t>SFHA UA 2025 – uploaded PDF</t>
        </is>
      </c>
      <c r="R387" t="inlineStr">
        <is>
          <t>Populated</t>
        </is>
      </c>
    </row>
    <row r="388">
      <c r="A388" t="inlineStr">
        <is>
          <t>San Francisco Housing Authority (SFHA)</t>
        </is>
      </c>
      <c r="B388" t="inlineStr">
        <is>
          <t>San Francisco</t>
        </is>
      </c>
      <c r="C388" t="inlineStr">
        <is>
          <t>2025-01-01</t>
        </is>
      </c>
      <c r="D388" t="inlineStr">
        <is>
          <t>Detached Single-Family</t>
        </is>
      </c>
      <c r="E388" t="inlineStr">
        <is>
          <t>Single-Family</t>
        </is>
      </c>
      <c r="F388" t="inlineStr">
        <is>
          <t>Refrigerator</t>
        </is>
      </c>
      <c r="G388" t="inlineStr">
        <is>
          <t>Refrigerator - Allowance</t>
        </is>
      </c>
      <c r="H388" t="inlineStr">
        <is>
          <t>Refrigerator - Allowance</t>
        </is>
      </c>
      <c r="I388" t="n">
        <v>6</v>
      </c>
      <c r="J388" t="n">
        <v>6</v>
      </c>
      <c r="K388" t="n">
        <v>6</v>
      </c>
      <c r="L388" t="n">
        <v>6</v>
      </c>
      <c r="M388" t="n">
        <v>6</v>
      </c>
      <c r="N388" t="n">
        <v>6</v>
      </c>
      <c r="O388" t="n">
        <v>6</v>
      </c>
      <c r="P388" t="n">
        <v>6</v>
      </c>
      <c r="Q388" t="inlineStr">
        <is>
          <t>SFHA UA 2025 – uploaded PDF</t>
        </is>
      </c>
      <c r="R388" t="inlineStr">
        <is>
          <t>Populated</t>
        </is>
      </c>
    </row>
    <row r="389">
      <c r="A389" t="inlineStr">
        <is>
          <t>Santa Clara County Housing Authority (SCCHA)</t>
        </is>
      </c>
      <c r="B389" t="inlineStr">
        <is>
          <t>Santa Clara County</t>
        </is>
      </c>
      <c r="C389" t="inlineStr">
        <is>
          <t>2025-10-01</t>
        </is>
      </c>
      <c r="D389" t="inlineStr">
        <is>
          <t>Multi-Family</t>
        </is>
      </c>
      <c r="E389" t="inlineStr">
        <is>
          <t>Multifamily</t>
        </is>
      </c>
      <c r="F389" t="inlineStr">
        <is>
          <t>Space Heating</t>
        </is>
      </c>
      <c r="G389" t="inlineStr">
        <is>
          <t>Space Heating - Natural Gas</t>
        </is>
      </c>
      <c r="H389" t="inlineStr">
        <is>
          <t>Space Heating - Natural Gas</t>
        </is>
      </c>
      <c r="I389" t="n">
        <v>20</v>
      </c>
      <c r="J389" t="n">
        <v>27</v>
      </c>
      <c r="K389" t="n">
        <v>36</v>
      </c>
      <c r="L389" t="n">
        <v>38</v>
      </c>
      <c r="M389" t="n">
        <v>42</v>
      </c>
      <c r="N389" t="n">
        <v>45</v>
      </c>
      <c r="O389" t="n">
        <v>49</v>
      </c>
      <c r="P389" t="n">
        <v>0</v>
      </c>
      <c r="Q389" t="inlineStr">
        <is>
          <t>SCCHA 2026 UA Schedule (effective 10/01/2025) – uploaded worksheet</t>
        </is>
      </c>
      <c r="R389" t="inlineStr">
        <is>
          <t>Populated</t>
        </is>
      </c>
    </row>
    <row r="390">
      <c r="A390" t="inlineStr">
        <is>
          <t>Santa Clara County Housing Authority (SCCHA)</t>
        </is>
      </c>
      <c r="B390" t="inlineStr">
        <is>
          <t>Santa Clara County</t>
        </is>
      </c>
      <c r="C390" t="inlineStr">
        <is>
          <t>2025-10-01</t>
        </is>
      </c>
      <c r="D390" t="inlineStr">
        <is>
          <t>Multi-Family</t>
        </is>
      </c>
      <c r="E390" t="inlineStr">
        <is>
          <t>Multifamily</t>
        </is>
      </c>
      <c r="F390" t="inlineStr">
        <is>
          <t>Space Heating</t>
        </is>
      </c>
      <c r="G390" t="inlineStr">
        <is>
          <t>Space Heating - LPG/Propane</t>
        </is>
      </c>
      <c r="H390" t="inlineStr">
        <is>
          <t>Space Heating - LPG/Propane</t>
        </is>
      </c>
      <c r="I390" t="n">
        <v>40</v>
      </c>
      <c r="J390" t="n">
        <v>53</v>
      </c>
      <c r="K390" t="n">
        <v>64</v>
      </c>
      <c r="L390" t="n">
        <v>67</v>
      </c>
      <c r="M390" t="n">
        <v>73</v>
      </c>
      <c r="N390" t="n">
        <v>78</v>
      </c>
      <c r="O390" t="n">
        <v>87</v>
      </c>
      <c r="P390" t="n">
        <v>0</v>
      </c>
      <c r="Q390" t="inlineStr">
        <is>
          <t>SCCHA 2026 UA Schedule (effective 10/01/2025) – uploaded worksheet</t>
        </is>
      </c>
      <c r="R390" t="inlineStr">
        <is>
          <t>Populated</t>
        </is>
      </c>
    </row>
    <row r="391">
      <c r="A391" t="inlineStr">
        <is>
          <t>Santa Clara County Housing Authority (SCCHA)</t>
        </is>
      </c>
      <c r="B391" t="inlineStr">
        <is>
          <t>Santa Clara County</t>
        </is>
      </c>
      <c r="C391" t="inlineStr">
        <is>
          <t>2025-10-01</t>
        </is>
      </c>
      <c r="D391" t="inlineStr">
        <is>
          <t>Multi-Family</t>
        </is>
      </c>
      <c r="E391" t="inlineStr">
        <is>
          <t>Multifamily</t>
        </is>
      </c>
      <c r="F391" t="inlineStr">
        <is>
          <t>Space Heating</t>
        </is>
      </c>
      <c r="G391" t="inlineStr">
        <is>
          <t>Space Heating - Electric</t>
        </is>
      </c>
      <c r="H391" t="inlineStr">
        <is>
          <t>Space Heating - Electric</t>
        </is>
      </c>
      <c r="I391" t="n">
        <v>18</v>
      </c>
      <c r="J391" t="n">
        <v>24</v>
      </c>
      <c r="K391" t="n">
        <v>28</v>
      </c>
      <c r="L391" t="n">
        <v>33</v>
      </c>
      <c r="M391" t="n">
        <v>39</v>
      </c>
      <c r="N391" t="n">
        <v>45</v>
      </c>
      <c r="O391" t="n">
        <v>50</v>
      </c>
      <c r="P391" t="n">
        <v>0</v>
      </c>
      <c r="Q391" t="inlineStr">
        <is>
          <t>SCCHA 2026 UA Schedule (effective 10/01/2025) – uploaded worksheet</t>
        </is>
      </c>
      <c r="R391" t="inlineStr">
        <is>
          <t>Populated</t>
        </is>
      </c>
    </row>
    <row r="392">
      <c r="A392" t="inlineStr">
        <is>
          <t>Santa Clara County Housing Authority (SCCHA)</t>
        </is>
      </c>
      <c r="B392" t="inlineStr">
        <is>
          <t>Santa Clara County</t>
        </is>
      </c>
      <c r="C392" t="inlineStr">
        <is>
          <t>2025-10-01</t>
        </is>
      </c>
      <c r="D392" t="inlineStr">
        <is>
          <t>Multi-Family</t>
        </is>
      </c>
      <c r="E392" t="inlineStr">
        <is>
          <t>Multifamily</t>
        </is>
      </c>
      <c r="F392" t="inlineStr">
        <is>
          <t>Space Heating</t>
        </is>
      </c>
      <c r="G392" t="inlineStr">
        <is>
          <t>Space Heating - Electric - Heat Pump</t>
        </is>
      </c>
      <c r="H392" t="inlineStr">
        <is>
          <t>Space Heating - Electric - Heat Pump</t>
        </is>
      </c>
      <c r="I392" t="n">
        <v>13</v>
      </c>
      <c r="J392" t="n">
        <v>17</v>
      </c>
      <c r="K392" t="n">
        <v>20</v>
      </c>
      <c r="L392" t="n">
        <v>23</v>
      </c>
      <c r="M392" t="n">
        <v>26</v>
      </c>
      <c r="N392" t="n">
        <v>29</v>
      </c>
      <c r="O392" t="n">
        <v>32</v>
      </c>
      <c r="P392" t="n">
        <v>0</v>
      </c>
      <c r="Q392" t="inlineStr">
        <is>
          <t>SCCHA 2026 UA Schedule (effective 10/01/2025) – uploaded worksheet</t>
        </is>
      </c>
      <c r="R392" t="inlineStr">
        <is>
          <t>Populated</t>
        </is>
      </c>
    </row>
    <row r="393">
      <c r="A393" t="inlineStr">
        <is>
          <t>Santa Clara County Housing Authority (SCCHA)</t>
        </is>
      </c>
      <c r="B393" t="inlineStr">
        <is>
          <t>Santa Clara County</t>
        </is>
      </c>
      <c r="C393" t="inlineStr">
        <is>
          <t>2025-10-01</t>
        </is>
      </c>
      <c r="D393" t="inlineStr">
        <is>
          <t>Multi-Family</t>
        </is>
      </c>
      <c r="E393" t="inlineStr">
        <is>
          <t>Multifamily</t>
        </is>
      </c>
      <c r="F393" t="inlineStr">
        <is>
          <t>Cooking</t>
        </is>
      </c>
      <c r="G393" t="inlineStr">
        <is>
          <t>Cooking - Natural Gas</t>
        </is>
      </c>
      <c r="H393" t="inlineStr">
        <is>
          <t>Cooking - Natural Gas</t>
        </is>
      </c>
      <c r="I393" t="n">
        <v>5</v>
      </c>
      <c r="J393" t="n">
        <v>6</v>
      </c>
      <c r="K393" t="n">
        <v>6</v>
      </c>
      <c r="L393" t="n">
        <v>9</v>
      </c>
      <c r="M393" t="n">
        <v>11</v>
      </c>
      <c r="N393" t="n">
        <v>15</v>
      </c>
      <c r="O393" t="n">
        <v>17</v>
      </c>
      <c r="P393" t="n">
        <v>0</v>
      </c>
      <c r="Q393" t="inlineStr">
        <is>
          <t>SCCHA 2026 UA Schedule (effective 10/01/2025) – uploaded worksheet</t>
        </is>
      </c>
      <c r="R393" t="inlineStr">
        <is>
          <t>Populated</t>
        </is>
      </c>
    </row>
    <row r="394">
      <c r="A394" t="inlineStr">
        <is>
          <t>Santa Clara County Housing Authority (SCCHA)</t>
        </is>
      </c>
      <c r="B394" t="inlineStr">
        <is>
          <t>Santa Clara County</t>
        </is>
      </c>
      <c r="C394" t="inlineStr">
        <is>
          <t>2025-10-01</t>
        </is>
      </c>
      <c r="D394" t="inlineStr">
        <is>
          <t>Multi-Family</t>
        </is>
      </c>
      <c r="E394" t="inlineStr">
        <is>
          <t>Multifamily</t>
        </is>
      </c>
      <c r="F394" t="inlineStr">
        <is>
          <t>Cooking</t>
        </is>
      </c>
      <c r="G394" t="inlineStr">
        <is>
          <t>Cooking - LPG/Propane</t>
        </is>
      </c>
      <c r="H394" t="inlineStr">
        <is>
          <t>Cooking - LPG/Propane</t>
        </is>
      </c>
      <c r="I394" t="n">
        <v>6</v>
      </c>
      <c r="J394" t="n">
        <v>8</v>
      </c>
      <c r="K394" t="n">
        <v>8</v>
      </c>
      <c r="L394" t="n">
        <v>14</v>
      </c>
      <c r="M394" t="n">
        <v>20</v>
      </c>
      <c r="N394" t="n">
        <v>25</v>
      </c>
      <c r="O394" t="n">
        <v>28</v>
      </c>
      <c r="P394" t="n">
        <v>0</v>
      </c>
      <c r="Q394" t="inlineStr">
        <is>
          <t>SCCHA 2026 UA Schedule (effective 10/01/2025) – uploaded worksheet</t>
        </is>
      </c>
      <c r="R394" t="inlineStr">
        <is>
          <t>Populated</t>
        </is>
      </c>
    </row>
    <row r="395">
      <c r="A395" t="inlineStr">
        <is>
          <t>Santa Clara County Housing Authority (SCCHA)</t>
        </is>
      </c>
      <c r="B395" t="inlineStr">
        <is>
          <t>Santa Clara County</t>
        </is>
      </c>
      <c r="C395" t="inlineStr">
        <is>
          <t>2025-10-01</t>
        </is>
      </c>
      <c r="D395" t="inlineStr">
        <is>
          <t>Multi-Family</t>
        </is>
      </c>
      <c r="E395" t="inlineStr">
        <is>
          <t>Multifamily</t>
        </is>
      </c>
      <c r="F395" t="inlineStr">
        <is>
          <t>Cooking</t>
        </is>
      </c>
      <c r="G395" t="inlineStr">
        <is>
          <t>Cooking - Electric</t>
        </is>
      </c>
      <c r="H395" t="inlineStr">
        <is>
          <t>Cooking - Electric</t>
        </is>
      </c>
      <c r="I395" t="n">
        <v>6</v>
      </c>
      <c r="J395" t="n">
        <v>8</v>
      </c>
      <c r="K395" t="n">
        <v>9</v>
      </c>
      <c r="L395" t="n">
        <v>14</v>
      </c>
      <c r="M395" t="n">
        <v>18</v>
      </c>
      <c r="N395" t="n">
        <v>22</v>
      </c>
      <c r="O395" t="n">
        <v>26</v>
      </c>
      <c r="P395" t="n">
        <v>0</v>
      </c>
      <c r="Q395" t="inlineStr">
        <is>
          <t>SCCHA 2026 UA Schedule (effective 10/01/2025) – uploaded worksheet</t>
        </is>
      </c>
      <c r="R395" t="inlineStr">
        <is>
          <t>Populated</t>
        </is>
      </c>
    </row>
    <row r="396">
      <c r="A396" t="inlineStr">
        <is>
          <t>Santa Clara County Housing Authority (SCCHA)</t>
        </is>
      </c>
      <c r="B396" t="inlineStr">
        <is>
          <t>Santa Clara County</t>
        </is>
      </c>
      <c r="C396" t="inlineStr">
        <is>
          <t>2025-10-01</t>
        </is>
      </c>
      <c r="D396" t="inlineStr">
        <is>
          <t>Multi-Family</t>
        </is>
      </c>
      <c r="E396" t="inlineStr">
        <is>
          <t>Multifamily</t>
        </is>
      </c>
      <c r="F396" t="inlineStr">
        <is>
          <t>Other Electric</t>
        </is>
      </c>
      <c r="G396" t="inlineStr">
        <is>
          <t>Other Electric - Electric (Lights/Plugs)</t>
        </is>
      </c>
      <c r="H396" t="inlineStr">
        <is>
          <t>Other Electric - Electric (Lights/Plugs)</t>
        </is>
      </c>
      <c r="I396" t="n">
        <v>27</v>
      </c>
      <c r="J396" t="n">
        <v>36</v>
      </c>
      <c r="K396" t="n">
        <v>43</v>
      </c>
      <c r="L396" t="n">
        <v>60</v>
      </c>
      <c r="M396" t="n">
        <v>80</v>
      </c>
      <c r="N396" t="n">
        <v>99</v>
      </c>
      <c r="O396" t="n">
        <v>119</v>
      </c>
      <c r="P396" t="n">
        <v>0</v>
      </c>
      <c r="Q396" t="inlineStr">
        <is>
          <t>SCCHA 2026 UA Schedule (effective 10/01/2025) – uploaded worksheet</t>
        </is>
      </c>
      <c r="R396" t="inlineStr">
        <is>
          <t>Populated</t>
        </is>
      </c>
    </row>
    <row r="397">
      <c r="A397" t="inlineStr">
        <is>
          <t>Santa Clara County Housing Authority (SCCHA)</t>
        </is>
      </c>
      <c r="B397" t="inlineStr">
        <is>
          <t>Santa Clara County</t>
        </is>
      </c>
      <c r="C397" t="inlineStr">
        <is>
          <t>2025-10-01</t>
        </is>
      </c>
      <c r="D397" t="inlineStr">
        <is>
          <t>Multi-Family</t>
        </is>
      </c>
      <c r="E397" t="inlineStr">
        <is>
          <t>Multifamily</t>
        </is>
      </c>
      <c r="F397" t="inlineStr">
        <is>
          <t>Water Heating</t>
        </is>
      </c>
      <c r="G397" t="inlineStr">
        <is>
          <t>Water Heating - Natural Gas</t>
        </is>
      </c>
      <c r="H397" t="inlineStr">
        <is>
          <t>Water Heating - Natural Gas</t>
        </is>
      </c>
      <c r="I397" t="n">
        <v>10</v>
      </c>
      <c r="J397" t="n">
        <v>13</v>
      </c>
      <c r="K397" t="n">
        <v>17</v>
      </c>
      <c r="L397" t="n">
        <v>24</v>
      </c>
      <c r="M397" t="n">
        <v>31</v>
      </c>
      <c r="N397" t="n">
        <v>39</v>
      </c>
      <c r="O397" t="n">
        <v>44</v>
      </c>
      <c r="P397" t="n">
        <v>0</v>
      </c>
      <c r="Q397" t="inlineStr">
        <is>
          <t>SCCHA 2026 UA Schedule (effective 10/01/2025) – uploaded worksheet</t>
        </is>
      </c>
      <c r="R397" t="inlineStr">
        <is>
          <t>Populated</t>
        </is>
      </c>
    </row>
    <row r="398">
      <c r="A398" t="inlineStr">
        <is>
          <t>Santa Clara County Housing Authority (SCCHA)</t>
        </is>
      </c>
      <c r="B398" t="inlineStr">
        <is>
          <t>Santa Clara County</t>
        </is>
      </c>
      <c r="C398" t="inlineStr">
        <is>
          <t>2025-10-01</t>
        </is>
      </c>
      <c r="D398" t="inlineStr">
        <is>
          <t>Multi-Family</t>
        </is>
      </c>
      <c r="E398" t="inlineStr">
        <is>
          <t>Multifamily</t>
        </is>
      </c>
      <c r="F398" t="inlineStr">
        <is>
          <t>Water Heating</t>
        </is>
      </c>
      <c r="G398" t="inlineStr">
        <is>
          <t>Water Heating - LPG/Propane</t>
        </is>
      </c>
      <c r="H398" t="inlineStr">
        <is>
          <t>Water Heating - LPG/Propane</t>
        </is>
      </c>
      <c r="I398" t="n">
        <v>17</v>
      </c>
      <c r="J398" t="n">
        <v>22</v>
      </c>
      <c r="K398" t="n">
        <v>28</v>
      </c>
      <c r="L398" t="n">
        <v>39</v>
      </c>
      <c r="M398" t="n">
        <v>53</v>
      </c>
      <c r="N398" t="n">
        <v>64</v>
      </c>
      <c r="O398" t="n">
        <v>73</v>
      </c>
      <c r="P398" t="n">
        <v>0</v>
      </c>
      <c r="Q398" t="inlineStr">
        <is>
          <t>SCCHA 2026 UA Schedule (effective 10/01/2025) – uploaded worksheet</t>
        </is>
      </c>
      <c r="R398" t="inlineStr">
        <is>
          <t>Populated</t>
        </is>
      </c>
    </row>
    <row r="399">
      <c r="A399" t="inlineStr">
        <is>
          <t>Santa Clara County Housing Authority (SCCHA)</t>
        </is>
      </c>
      <c r="B399" t="inlineStr">
        <is>
          <t>Santa Clara County</t>
        </is>
      </c>
      <c r="C399" t="inlineStr">
        <is>
          <t>2025-10-01</t>
        </is>
      </c>
      <c r="D399" t="inlineStr">
        <is>
          <t>Multi-Family</t>
        </is>
      </c>
      <c r="E399" t="inlineStr">
        <is>
          <t>Multifamily</t>
        </is>
      </c>
      <c r="F399" t="inlineStr">
        <is>
          <t>Water Heating</t>
        </is>
      </c>
      <c r="G399" t="inlineStr">
        <is>
          <t>Water Heating - Electric</t>
        </is>
      </c>
      <c r="H399" t="inlineStr">
        <is>
          <t>Water Heating - Electric</t>
        </is>
      </c>
      <c r="I399" t="n">
        <v>27</v>
      </c>
      <c r="J399" t="n">
        <v>36</v>
      </c>
      <c r="K399" t="n">
        <v>43</v>
      </c>
      <c r="L399" t="n">
        <v>60</v>
      </c>
      <c r="M399" t="n">
        <v>80</v>
      </c>
      <c r="N399" t="n">
        <v>99</v>
      </c>
      <c r="O399" t="n">
        <v>119</v>
      </c>
      <c r="P399" t="n">
        <v>0</v>
      </c>
      <c r="Q399" t="inlineStr">
        <is>
          <t>SCCHA 2026 UA Schedule (effective 10/01/2025) – uploaded worksheet</t>
        </is>
      </c>
      <c r="R399" t="inlineStr">
        <is>
          <t>Populated</t>
        </is>
      </c>
    </row>
    <row r="400">
      <c r="A400" t="inlineStr">
        <is>
          <t>Santa Clara County Housing Authority (SCCHA)</t>
        </is>
      </c>
      <c r="B400" t="inlineStr">
        <is>
          <t>Santa Clara County</t>
        </is>
      </c>
      <c r="C400" t="inlineStr">
        <is>
          <t>2025-10-01</t>
        </is>
      </c>
      <c r="D400" t="inlineStr">
        <is>
          <t>Multi-Family</t>
        </is>
      </c>
      <c r="E400" t="inlineStr">
        <is>
          <t>Multifamily</t>
        </is>
      </c>
      <c r="F400" t="inlineStr">
        <is>
          <t>Water</t>
        </is>
      </c>
      <c r="G400" t="inlineStr">
        <is>
          <t>Water</t>
        </is>
      </c>
      <c r="H400" t="inlineStr">
        <is>
          <t>Water</t>
        </is>
      </c>
      <c r="I400" t="n">
        <v>53</v>
      </c>
      <c r="J400" t="n">
        <v>71</v>
      </c>
      <c r="K400" t="n">
        <v>72</v>
      </c>
      <c r="L400" t="n">
        <v>89</v>
      </c>
      <c r="M400" t="n">
        <v>108</v>
      </c>
      <c r="N400" t="n">
        <v>128</v>
      </c>
      <c r="O400" t="n">
        <v>149</v>
      </c>
      <c r="P400" t="n">
        <v>0</v>
      </c>
      <c r="Q400" t="inlineStr">
        <is>
          <t>SCCHA 2026 UA Schedule (effective 10/01/2025) – uploaded worksheet</t>
        </is>
      </c>
      <c r="R400" t="inlineStr">
        <is>
          <t>Populated</t>
        </is>
      </c>
    </row>
    <row r="401">
      <c r="A401" t="inlineStr">
        <is>
          <t>Santa Clara County Housing Authority (SCCHA)</t>
        </is>
      </c>
      <c r="B401" t="inlineStr">
        <is>
          <t>Santa Clara County</t>
        </is>
      </c>
      <c r="C401" t="inlineStr">
        <is>
          <t>2025-10-01</t>
        </is>
      </c>
      <c r="D401" t="inlineStr">
        <is>
          <t>Multi-Family</t>
        </is>
      </c>
      <c r="E401" t="inlineStr">
        <is>
          <t>Multifamily</t>
        </is>
      </c>
      <c r="F401" t="inlineStr">
        <is>
          <t>Sewer</t>
        </is>
      </c>
      <c r="G401" t="inlineStr">
        <is>
          <t>Sewer</t>
        </is>
      </c>
      <c r="H401" t="inlineStr">
        <is>
          <t>Sewer</t>
        </is>
      </c>
      <c r="I401" t="n">
        <v>53</v>
      </c>
      <c r="J401" t="n">
        <v>71</v>
      </c>
      <c r="K401" t="n">
        <v>71</v>
      </c>
      <c r="L401" t="n">
        <v>71</v>
      </c>
      <c r="M401" t="n">
        <v>71</v>
      </c>
      <c r="N401" t="n">
        <v>71</v>
      </c>
      <c r="O401" t="n">
        <v>71</v>
      </c>
      <c r="P401" t="n">
        <v>0</v>
      </c>
      <c r="Q401" t="inlineStr">
        <is>
          <t>SCCHA 2026 UA Schedule (effective 10/01/2025) – uploaded worksheet</t>
        </is>
      </c>
      <c r="R401" t="inlineStr">
        <is>
          <t>Populated</t>
        </is>
      </c>
    </row>
    <row r="402">
      <c r="A402" t="inlineStr">
        <is>
          <t>Santa Clara County Housing Authority (SCCHA)</t>
        </is>
      </c>
      <c r="B402" t="inlineStr">
        <is>
          <t>Santa Clara County</t>
        </is>
      </c>
      <c r="C402" t="inlineStr">
        <is>
          <t>2025-10-01</t>
        </is>
      </c>
      <c r="D402" t="inlineStr">
        <is>
          <t>Multi-Family</t>
        </is>
      </c>
      <c r="E402" t="inlineStr">
        <is>
          <t>Multifamily</t>
        </is>
      </c>
      <c r="F402" t="inlineStr">
        <is>
          <t>Trash Collection</t>
        </is>
      </c>
      <c r="G402" t="inlineStr">
        <is>
          <t>Trash Collection</t>
        </is>
      </c>
      <c r="H402" t="inlineStr">
        <is>
          <t>Trash Collection</t>
        </is>
      </c>
      <c r="I402" t="n">
        <v>45</v>
      </c>
      <c r="J402" t="n">
        <v>60</v>
      </c>
      <c r="K402" t="n">
        <v>60</v>
      </c>
      <c r="L402" t="n">
        <v>60</v>
      </c>
      <c r="M402" t="n">
        <v>60</v>
      </c>
      <c r="N402" t="n">
        <v>60</v>
      </c>
      <c r="O402" t="n">
        <v>60</v>
      </c>
      <c r="P402" t="n">
        <v>0</v>
      </c>
      <c r="Q402" t="inlineStr">
        <is>
          <t>SCCHA 2026 UA Schedule (effective 10/01/2025) – uploaded worksheet</t>
        </is>
      </c>
      <c r="R402" t="inlineStr">
        <is>
          <t>Populated</t>
        </is>
      </c>
    </row>
    <row r="403">
      <c r="A403" t="inlineStr">
        <is>
          <t>Santa Clara County Housing Authority (SCCHA)</t>
        </is>
      </c>
      <c r="B403" t="inlineStr">
        <is>
          <t>Santa Clara County</t>
        </is>
      </c>
      <c r="C403" t="inlineStr">
        <is>
          <t>2025-10-01</t>
        </is>
      </c>
      <c r="D403" t="inlineStr">
        <is>
          <t>Multi-Family</t>
        </is>
      </c>
      <c r="E403" t="inlineStr">
        <is>
          <t>Multifamily</t>
        </is>
      </c>
      <c r="F403" t="inlineStr">
        <is>
          <t>Range/Microwave</t>
        </is>
      </c>
      <c r="G403" t="inlineStr">
        <is>
          <t>Range/Microwave - Allowance</t>
        </is>
      </c>
      <c r="H403" t="inlineStr">
        <is>
          <t>Range/Microwave - Allowance</t>
        </is>
      </c>
      <c r="I403" t="n">
        <v>11</v>
      </c>
      <c r="J403" t="n">
        <v>11</v>
      </c>
      <c r="K403" t="n">
        <v>11</v>
      </c>
      <c r="L403" t="n">
        <v>11</v>
      </c>
      <c r="M403" t="n">
        <v>11</v>
      </c>
      <c r="N403" t="n">
        <v>11</v>
      </c>
      <c r="O403" t="n">
        <v>11</v>
      </c>
      <c r="P403" t="n">
        <v>0</v>
      </c>
      <c r="Q403" t="inlineStr">
        <is>
          <t>SCCHA 2026 UA Schedule (effective 10/01/2025) – uploaded worksheet</t>
        </is>
      </c>
      <c r="R403" t="inlineStr">
        <is>
          <t>Populated</t>
        </is>
      </c>
    </row>
    <row r="404">
      <c r="A404" t="inlineStr">
        <is>
          <t>Santa Clara County Housing Authority (SCCHA)</t>
        </is>
      </c>
      <c r="B404" t="inlineStr">
        <is>
          <t>Santa Clara County</t>
        </is>
      </c>
      <c r="C404" t="inlineStr">
        <is>
          <t>2025-10-01</t>
        </is>
      </c>
      <c r="D404" t="inlineStr">
        <is>
          <t>Multi-Family</t>
        </is>
      </c>
      <c r="E404" t="inlineStr">
        <is>
          <t>Multifamily</t>
        </is>
      </c>
      <c r="F404" t="inlineStr">
        <is>
          <t>Refrigerator</t>
        </is>
      </c>
      <c r="G404" t="inlineStr">
        <is>
          <t>Refrigerator - Allowance</t>
        </is>
      </c>
      <c r="H404" t="inlineStr">
        <is>
          <t>Refrigerator - Allowance</t>
        </is>
      </c>
      <c r="I404" t="n">
        <v>12</v>
      </c>
      <c r="J404" t="n">
        <v>12</v>
      </c>
      <c r="K404" t="n">
        <v>12</v>
      </c>
      <c r="L404" t="n">
        <v>12</v>
      </c>
      <c r="M404" t="n">
        <v>12</v>
      </c>
      <c r="N404" t="n">
        <v>12</v>
      </c>
      <c r="O404" t="n">
        <v>12</v>
      </c>
      <c r="P404" t="n">
        <v>0</v>
      </c>
      <c r="Q404" t="inlineStr">
        <is>
          <t>SCCHA 2026 UA Schedule (effective 10/01/2025) – uploaded worksheet</t>
        </is>
      </c>
      <c r="R404" t="inlineStr">
        <is>
          <t>Populated</t>
        </is>
      </c>
    </row>
    <row r="405">
      <c r="A405" t="inlineStr">
        <is>
          <t>Santa Clara County Housing Authority (SCCHA)</t>
        </is>
      </c>
      <c r="B405" t="inlineStr">
        <is>
          <t>Santa Clara County</t>
        </is>
      </c>
      <c r="C405" t="inlineStr">
        <is>
          <t>2025-10-01</t>
        </is>
      </c>
      <c r="D405" t="inlineStr">
        <is>
          <t>Semi-Detached/Row/Townhouse (MF)</t>
        </is>
      </c>
      <c r="E405" t="inlineStr">
        <is>
          <t>Multifamily</t>
        </is>
      </c>
      <c r="F405" t="inlineStr">
        <is>
          <t>Space Heating</t>
        </is>
      </c>
      <c r="G405" t="inlineStr">
        <is>
          <t>Space Heating - Natural Gas</t>
        </is>
      </c>
      <c r="H405" t="inlineStr">
        <is>
          <t>Space Heating - Natural Gas</t>
        </is>
      </c>
      <c r="I405" t="n">
        <v>16</v>
      </c>
      <c r="J405" t="n">
        <v>21</v>
      </c>
      <c r="K405" t="n">
        <v>25</v>
      </c>
      <c r="L405" t="n">
        <v>29</v>
      </c>
      <c r="M405" t="n">
        <v>31</v>
      </c>
      <c r="N405" t="n">
        <v>34</v>
      </c>
      <c r="O405" t="n">
        <v>36</v>
      </c>
      <c r="P405" t="n">
        <v>0</v>
      </c>
      <c r="Q405" t="inlineStr">
        <is>
          <t>SCCHA 2026 UA Schedule (effective 10/01/2025) – uploaded worksheet</t>
        </is>
      </c>
      <c r="R405" t="inlineStr">
        <is>
          <t>Populated</t>
        </is>
      </c>
    </row>
    <row r="406">
      <c r="A406" t="inlineStr">
        <is>
          <t>Santa Clara County Housing Authority (SCCHA)</t>
        </is>
      </c>
      <c r="B406" t="inlineStr">
        <is>
          <t>Santa Clara County</t>
        </is>
      </c>
      <c r="C406" t="inlineStr">
        <is>
          <t>2025-10-01</t>
        </is>
      </c>
      <c r="D406" t="inlineStr">
        <is>
          <t>Semi-Detached/Row/Townhouse (MF)</t>
        </is>
      </c>
      <c r="E406" t="inlineStr">
        <is>
          <t>Multifamily</t>
        </is>
      </c>
      <c r="F406" t="inlineStr">
        <is>
          <t>Space Heating</t>
        </is>
      </c>
      <c r="G406" t="inlineStr">
        <is>
          <t>Space Heating - LPG/Propane</t>
        </is>
      </c>
      <c r="H406" t="inlineStr">
        <is>
          <t>Space Heating - LPG/Propane</t>
        </is>
      </c>
      <c r="I406" t="n">
        <v>29</v>
      </c>
      <c r="J406" t="n">
        <v>39</v>
      </c>
      <c r="K406" t="n">
        <v>45</v>
      </c>
      <c r="L406" t="n">
        <v>53</v>
      </c>
      <c r="M406" t="n">
        <v>56</v>
      </c>
      <c r="N406" t="n">
        <v>62</v>
      </c>
      <c r="O406" t="n">
        <v>64</v>
      </c>
      <c r="P406" t="n">
        <v>0</v>
      </c>
      <c r="Q406" t="inlineStr">
        <is>
          <t>SCCHA 2026 UA Schedule (effective 10/01/2025) – uploaded worksheet</t>
        </is>
      </c>
      <c r="R406" t="inlineStr">
        <is>
          <t>Populated</t>
        </is>
      </c>
    </row>
    <row r="407">
      <c r="A407" t="inlineStr">
        <is>
          <t>Santa Clara County Housing Authority (SCCHA)</t>
        </is>
      </c>
      <c r="B407" t="inlineStr">
        <is>
          <t>Santa Clara County</t>
        </is>
      </c>
      <c r="C407" t="inlineStr">
        <is>
          <t>2025-10-01</t>
        </is>
      </c>
      <c r="D407" t="inlineStr">
        <is>
          <t>Semi-Detached/Row/Townhouse (MF)</t>
        </is>
      </c>
      <c r="E407" t="inlineStr">
        <is>
          <t>Multifamily</t>
        </is>
      </c>
      <c r="F407" t="inlineStr">
        <is>
          <t>Space Heating</t>
        </is>
      </c>
      <c r="G407" t="inlineStr">
        <is>
          <t>Space Heating - Electric</t>
        </is>
      </c>
      <c r="H407" t="inlineStr">
        <is>
          <t>Space Heating - Electric</t>
        </is>
      </c>
      <c r="I407" t="n">
        <v>12</v>
      </c>
      <c r="J407" t="n">
        <v>16</v>
      </c>
      <c r="K407" t="n">
        <v>19</v>
      </c>
      <c r="L407" t="n">
        <v>23</v>
      </c>
      <c r="M407" t="n">
        <v>28</v>
      </c>
      <c r="N407" t="n">
        <v>33</v>
      </c>
      <c r="O407" t="n">
        <v>37</v>
      </c>
      <c r="P407" t="n">
        <v>0</v>
      </c>
      <c r="Q407" t="inlineStr">
        <is>
          <t>SCCHA 2026 UA Schedule (effective 10/01/2025) – uploaded worksheet</t>
        </is>
      </c>
      <c r="R407" t="inlineStr">
        <is>
          <t>Populated</t>
        </is>
      </c>
    </row>
    <row r="408">
      <c r="A408" t="inlineStr">
        <is>
          <t>Santa Clara County Housing Authority (SCCHA)</t>
        </is>
      </c>
      <c r="B408" t="inlineStr">
        <is>
          <t>Santa Clara County</t>
        </is>
      </c>
      <c r="C408" t="inlineStr">
        <is>
          <t>2025-10-01</t>
        </is>
      </c>
      <c r="D408" t="inlineStr">
        <is>
          <t>Semi-Detached/Row/Townhouse (MF)</t>
        </is>
      </c>
      <c r="E408" t="inlineStr">
        <is>
          <t>Multifamily</t>
        </is>
      </c>
      <c r="F408" t="inlineStr">
        <is>
          <t>Space Heating</t>
        </is>
      </c>
      <c r="G408" t="inlineStr">
        <is>
          <t>Space Heating - Electric - Heat Pump</t>
        </is>
      </c>
      <c r="H408" t="inlineStr">
        <is>
          <t>Space Heating - Electric - Heat Pump</t>
        </is>
      </c>
      <c r="I408" t="n">
        <v>11</v>
      </c>
      <c r="J408" t="n">
        <v>14</v>
      </c>
      <c r="K408" t="n">
        <v>16</v>
      </c>
      <c r="L408" t="n">
        <v>19</v>
      </c>
      <c r="M408" t="n">
        <v>22</v>
      </c>
      <c r="N408" t="n">
        <v>24</v>
      </c>
      <c r="O408" t="n">
        <v>26</v>
      </c>
      <c r="P408" t="n">
        <v>0</v>
      </c>
      <c r="Q408" t="inlineStr">
        <is>
          <t>SCCHA 2026 UA Schedule (effective 10/01/2025) – uploaded worksheet</t>
        </is>
      </c>
      <c r="R408" t="inlineStr">
        <is>
          <t>Populated</t>
        </is>
      </c>
    </row>
    <row r="409">
      <c r="A409" t="inlineStr">
        <is>
          <t>Santa Clara County Housing Authority (SCCHA)</t>
        </is>
      </c>
      <c r="B409" t="inlineStr">
        <is>
          <t>Santa Clara County</t>
        </is>
      </c>
      <c r="C409" t="inlineStr">
        <is>
          <t>2025-10-01</t>
        </is>
      </c>
      <c r="D409" t="inlineStr">
        <is>
          <t>Semi-Detached/Row/Townhouse (MF)</t>
        </is>
      </c>
      <c r="E409" t="inlineStr">
        <is>
          <t>Multifamily</t>
        </is>
      </c>
      <c r="F409" t="inlineStr">
        <is>
          <t>Cooking</t>
        </is>
      </c>
      <c r="G409" t="inlineStr">
        <is>
          <t>Cooking - Natural Gas</t>
        </is>
      </c>
      <c r="H409" t="inlineStr">
        <is>
          <t>Cooking - Natural Gas</t>
        </is>
      </c>
      <c r="I409" t="n">
        <v>5</v>
      </c>
      <c r="J409" t="n">
        <v>6</v>
      </c>
      <c r="K409" t="n">
        <v>6</v>
      </c>
      <c r="L409" t="n">
        <v>9</v>
      </c>
      <c r="M409" t="n">
        <v>11</v>
      </c>
      <c r="N409" t="n">
        <v>15</v>
      </c>
      <c r="O409" t="n">
        <v>17</v>
      </c>
      <c r="P409" t="n">
        <v>0</v>
      </c>
      <c r="Q409" t="inlineStr">
        <is>
          <t>SCCHA 2026 UA Schedule (effective 10/01/2025) – uploaded worksheet</t>
        </is>
      </c>
      <c r="R409" t="inlineStr">
        <is>
          <t>Populated</t>
        </is>
      </c>
    </row>
    <row r="410">
      <c r="A410" t="inlineStr">
        <is>
          <t>Santa Clara County Housing Authority (SCCHA)</t>
        </is>
      </c>
      <c r="B410" t="inlineStr">
        <is>
          <t>Santa Clara County</t>
        </is>
      </c>
      <c r="C410" t="inlineStr">
        <is>
          <t>2025-10-01</t>
        </is>
      </c>
      <c r="D410" t="inlineStr">
        <is>
          <t>Semi-Detached/Row/Townhouse (MF)</t>
        </is>
      </c>
      <c r="E410" t="inlineStr">
        <is>
          <t>Multifamily</t>
        </is>
      </c>
      <c r="F410" t="inlineStr">
        <is>
          <t>Cooking</t>
        </is>
      </c>
      <c r="G410" t="inlineStr">
        <is>
          <t>Cooking - LPG/Propane</t>
        </is>
      </c>
      <c r="H410" t="inlineStr">
        <is>
          <t>Cooking - LPG/Propane</t>
        </is>
      </c>
      <c r="I410" t="n">
        <v>6</v>
      </c>
      <c r="J410" t="n">
        <v>8</v>
      </c>
      <c r="K410" t="n">
        <v>8</v>
      </c>
      <c r="L410" t="n">
        <v>14</v>
      </c>
      <c r="M410" t="n">
        <v>20</v>
      </c>
      <c r="N410" t="n">
        <v>25</v>
      </c>
      <c r="O410" t="n">
        <v>28</v>
      </c>
      <c r="P410" t="n">
        <v>0</v>
      </c>
      <c r="Q410" t="inlineStr">
        <is>
          <t>SCCHA 2026 UA Schedule (effective 10/01/2025) – uploaded worksheet</t>
        </is>
      </c>
      <c r="R410" t="inlineStr">
        <is>
          <t>Populated</t>
        </is>
      </c>
    </row>
    <row r="411">
      <c r="A411" t="inlineStr">
        <is>
          <t>Santa Clara County Housing Authority (SCCHA)</t>
        </is>
      </c>
      <c r="B411" t="inlineStr">
        <is>
          <t>Santa Clara County</t>
        </is>
      </c>
      <c r="C411" t="inlineStr">
        <is>
          <t>2025-10-01</t>
        </is>
      </c>
      <c r="D411" t="inlineStr">
        <is>
          <t>Semi-Detached/Row/Townhouse (MF)</t>
        </is>
      </c>
      <c r="E411" t="inlineStr">
        <is>
          <t>Multifamily</t>
        </is>
      </c>
      <c r="F411" t="inlineStr">
        <is>
          <t>Cooking</t>
        </is>
      </c>
      <c r="G411" t="inlineStr">
        <is>
          <t>Cooking - Electric</t>
        </is>
      </c>
      <c r="H411" t="inlineStr">
        <is>
          <t>Cooking - Electric</t>
        </is>
      </c>
      <c r="I411" t="n">
        <v>6</v>
      </c>
      <c r="J411" t="n">
        <v>8</v>
      </c>
      <c r="K411" t="n">
        <v>9</v>
      </c>
      <c r="L411" t="n">
        <v>14</v>
      </c>
      <c r="M411" t="n">
        <v>18</v>
      </c>
      <c r="N411" t="n">
        <v>22</v>
      </c>
      <c r="O411" t="n">
        <v>26</v>
      </c>
      <c r="P411" t="n">
        <v>0</v>
      </c>
      <c r="Q411" t="inlineStr">
        <is>
          <t>SCCHA 2026 UA Schedule (effective 10/01/2025) – uploaded worksheet</t>
        </is>
      </c>
      <c r="R411" t="inlineStr">
        <is>
          <t>Populated</t>
        </is>
      </c>
    </row>
    <row r="412">
      <c r="A412" t="inlineStr">
        <is>
          <t>Santa Clara County Housing Authority (SCCHA)</t>
        </is>
      </c>
      <c r="B412" t="inlineStr">
        <is>
          <t>Santa Clara County</t>
        </is>
      </c>
      <c r="C412" t="inlineStr">
        <is>
          <t>2025-10-01</t>
        </is>
      </c>
      <c r="D412" t="inlineStr">
        <is>
          <t>Semi-Detached/Row/Townhouse (MF)</t>
        </is>
      </c>
      <c r="E412" t="inlineStr">
        <is>
          <t>Multifamily</t>
        </is>
      </c>
      <c r="F412" t="inlineStr">
        <is>
          <t>Other Electric</t>
        </is>
      </c>
      <c r="G412" t="inlineStr">
        <is>
          <t>Other Electric - Electric (Lights/Plugs)</t>
        </is>
      </c>
      <c r="H412" t="inlineStr">
        <is>
          <t>Other Electric - Electric (Lights/Plugs)</t>
        </is>
      </c>
      <c r="I412" t="n">
        <v>21</v>
      </c>
      <c r="J412" t="n">
        <v>28</v>
      </c>
      <c r="K412" t="n">
        <v>34</v>
      </c>
      <c r="L412" t="n">
        <v>47</v>
      </c>
      <c r="M412" t="n">
        <v>61</v>
      </c>
      <c r="N412" t="n">
        <v>77</v>
      </c>
      <c r="O412" t="n">
        <v>92</v>
      </c>
      <c r="P412" t="n">
        <v>0</v>
      </c>
      <c r="Q412" t="inlineStr">
        <is>
          <t>SCCHA 2026 UA Schedule (effective 10/01/2025) – uploaded worksheet</t>
        </is>
      </c>
      <c r="R412" t="inlineStr">
        <is>
          <t>Populated</t>
        </is>
      </c>
    </row>
    <row r="413">
      <c r="A413" t="inlineStr">
        <is>
          <t>Santa Clara County Housing Authority (SCCHA)</t>
        </is>
      </c>
      <c r="B413" t="inlineStr">
        <is>
          <t>Santa Clara County</t>
        </is>
      </c>
      <c r="C413" t="inlineStr">
        <is>
          <t>2025-10-01</t>
        </is>
      </c>
      <c r="D413" t="inlineStr">
        <is>
          <t>Semi-Detached/Row/Townhouse (MF)</t>
        </is>
      </c>
      <c r="E413" t="inlineStr">
        <is>
          <t>Multifamily</t>
        </is>
      </c>
      <c r="F413" t="inlineStr">
        <is>
          <t>Water Heating</t>
        </is>
      </c>
      <c r="G413" t="inlineStr">
        <is>
          <t>Water Heating - Natural Gas</t>
        </is>
      </c>
      <c r="H413" t="inlineStr">
        <is>
          <t>Water Heating - Natural Gas</t>
        </is>
      </c>
      <c r="I413" t="n">
        <v>8</v>
      </c>
      <c r="J413" t="n">
        <v>11</v>
      </c>
      <c r="K413" t="n">
        <v>13</v>
      </c>
      <c r="L413" t="n">
        <v>19</v>
      </c>
      <c r="M413" t="n">
        <v>24</v>
      </c>
      <c r="N413" t="n">
        <v>30</v>
      </c>
      <c r="O413" t="n">
        <v>37</v>
      </c>
      <c r="P413" t="n">
        <v>0</v>
      </c>
      <c r="Q413" t="inlineStr">
        <is>
          <t>SCCHA 2026 UA Schedule (effective 10/01/2025) – uploaded worksheet</t>
        </is>
      </c>
      <c r="R413" t="inlineStr">
        <is>
          <t>Populated</t>
        </is>
      </c>
    </row>
    <row r="414">
      <c r="A414" t="inlineStr">
        <is>
          <t>Santa Clara County Housing Authority (SCCHA)</t>
        </is>
      </c>
      <c r="B414" t="inlineStr">
        <is>
          <t>Santa Clara County</t>
        </is>
      </c>
      <c r="C414" t="inlineStr">
        <is>
          <t>2025-10-01</t>
        </is>
      </c>
      <c r="D414" t="inlineStr">
        <is>
          <t>Semi-Detached/Row/Townhouse (MF)</t>
        </is>
      </c>
      <c r="E414" t="inlineStr">
        <is>
          <t>Multifamily</t>
        </is>
      </c>
      <c r="F414" t="inlineStr">
        <is>
          <t>Water Heating</t>
        </is>
      </c>
      <c r="G414" t="inlineStr">
        <is>
          <t>Water Heating - LPG/Propane</t>
        </is>
      </c>
      <c r="H414" t="inlineStr">
        <is>
          <t>Water Heating - LPG/Propane</t>
        </is>
      </c>
      <c r="I414" t="n">
        <v>15</v>
      </c>
      <c r="J414" t="n">
        <v>20</v>
      </c>
      <c r="K414" t="n">
        <v>22</v>
      </c>
      <c r="L414" t="n">
        <v>31</v>
      </c>
      <c r="M414" t="n">
        <v>39</v>
      </c>
      <c r="N414" t="n">
        <v>48</v>
      </c>
      <c r="O414" t="n">
        <v>62</v>
      </c>
      <c r="P414" t="n">
        <v>0</v>
      </c>
      <c r="Q414" t="inlineStr">
        <is>
          <t>SCCHA 2026 UA Schedule (effective 10/01/2025) – uploaded worksheet</t>
        </is>
      </c>
      <c r="R414" t="inlineStr">
        <is>
          <t>Populated</t>
        </is>
      </c>
    </row>
    <row r="415">
      <c r="A415" t="inlineStr">
        <is>
          <t>Santa Clara County Housing Authority (SCCHA)</t>
        </is>
      </c>
      <c r="B415" t="inlineStr">
        <is>
          <t>Santa Clara County</t>
        </is>
      </c>
      <c r="C415" t="inlineStr">
        <is>
          <t>2025-10-01</t>
        </is>
      </c>
      <c r="D415" t="inlineStr">
        <is>
          <t>Semi-Detached/Row/Townhouse (MF)</t>
        </is>
      </c>
      <c r="E415" t="inlineStr">
        <is>
          <t>Multifamily</t>
        </is>
      </c>
      <c r="F415" t="inlineStr">
        <is>
          <t>Water Heating</t>
        </is>
      </c>
      <c r="G415" t="inlineStr">
        <is>
          <t>Water Heating - Electric</t>
        </is>
      </c>
      <c r="H415" t="inlineStr">
        <is>
          <t>Water Heating - Electric</t>
        </is>
      </c>
      <c r="I415" t="n">
        <v>14</v>
      </c>
      <c r="J415" t="n">
        <v>18</v>
      </c>
      <c r="K415" t="n">
        <v>21</v>
      </c>
      <c r="L415" t="n">
        <v>27</v>
      </c>
      <c r="M415" t="n">
        <v>33</v>
      </c>
      <c r="N415" t="n">
        <v>39</v>
      </c>
      <c r="O415" t="n">
        <v>45</v>
      </c>
      <c r="P415" t="n">
        <v>0</v>
      </c>
      <c r="Q415" t="inlineStr">
        <is>
          <t>SCCHA 2026 UA Schedule (effective 10/01/2025) – uploaded worksheet</t>
        </is>
      </c>
      <c r="R415" t="inlineStr">
        <is>
          <t>Populated</t>
        </is>
      </c>
    </row>
    <row r="416">
      <c r="A416" t="inlineStr">
        <is>
          <t>Santa Clara County Housing Authority (SCCHA)</t>
        </is>
      </c>
      <c r="B416" t="inlineStr">
        <is>
          <t>Santa Clara County</t>
        </is>
      </c>
      <c r="C416" t="inlineStr">
        <is>
          <t>2025-10-01</t>
        </is>
      </c>
      <c r="D416" t="inlineStr">
        <is>
          <t>Semi-Detached/Row/Townhouse (MF)</t>
        </is>
      </c>
      <c r="E416" t="inlineStr">
        <is>
          <t>Multifamily</t>
        </is>
      </c>
      <c r="F416" t="inlineStr">
        <is>
          <t>Water</t>
        </is>
      </c>
      <c r="G416" t="inlineStr">
        <is>
          <t>Water</t>
        </is>
      </c>
      <c r="H416" t="inlineStr">
        <is>
          <t>Water</t>
        </is>
      </c>
      <c r="I416" t="n">
        <v>53</v>
      </c>
      <c r="J416" t="n">
        <v>71</v>
      </c>
      <c r="K416" t="n">
        <v>72</v>
      </c>
      <c r="L416" t="n">
        <v>89</v>
      </c>
      <c r="M416" t="n">
        <v>108</v>
      </c>
      <c r="N416" t="n">
        <v>128</v>
      </c>
      <c r="O416" t="n">
        <v>149</v>
      </c>
      <c r="P416" t="n">
        <v>0</v>
      </c>
      <c r="Q416" t="inlineStr">
        <is>
          <t>SCCHA 2026 UA Schedule (effective 10/01/2025) – uploaded worksheet</t>
        </is>
      </c>
      <c r="R416" t="inlineStr">
        <is>
          <t>Populated</t>
        </is>
      </c>
    </row>
    <row r="417">
      <c r="A417" t="inlineStr">
        <is>
          <t>Santa Clara County Housing Authority (SCCHA)</t>
        </is>
      </c>
      <c r="B417" t="inlineStr">
        <is>
          <t>Santa Clara County</t>
        </is>
      </c>
      <c r="C417" t="inlineStr">
        <is>
          <t>2025-10-01</t>
        </is>
      </c>
      <c r="D417" t="inlineStr">
        <is>
          <t>Semi-Detached/Row/Townhouse (MF)</t>
        </is>
      </c>
      <c r="E417" t="inlineStr">
        <is>
          <t>Multifamily</t>
        </is>
      </c>
      <c r="F417" t="inlineStr">
        <is>
          <t>Sewer</t>
        </is>
      </c>
      <c r="G417" t="inlineStr">
        <is>
          <t>Sewer</t>
        </is>
      </c>
      <c r="H417" t="inlineStr">
        <is>
          <t>Sewer</t>
        </is>
      </c>
      <c r="I417" t="n">
        <v>53</v>
      </c>
      <c r="J417" t="n">
        <v>71</v>
      </c>
      <c r="K417" t="n">
        <v>71</v>
      </c>
      <c r="L417" t="n">
        <v>71</v>
      </c>
      <c r="M417" t="n">
        <v>71</v>
      </c>
      <c r="N417" t="n">
        <v>71</v>
      </c>
      <c r="O417" t="n">
        <v>71</v>
      </c>
      <c r="P417" t="n">
        <v>0</v>
      </c>
      <c r="Q417" t="inlineStr">
        <is>
          <t>SCCHA 2026 UA Schedule (effective 10/01/2025) – uploaded worksheet</t>
        </is>
      </c>
      <c r="R417" t="inlineStr">
        <is>
          <t>Populated</t>
        </is>
      </c>
    </row>
    <row r="418">
      <c r="A418" t="inlineStr">
        <is>
          <t>Santa Clara County Housing Authority (SCCHA)</t>
        </is>
      </c>
      <c r="B418" t="inlineStr">
        <is>
          <t>Santa Clara County</t>
        </is>
      </c>
      <c r="C418" t="inlineStr">
        <is>
          <t>2025-10-01</t>
        </is>
      </c>
      <c r="D418" t="inlineStr">
        <is>
          <t>Semi-Detached/Row/Townhouse (MF)</t>
        </is>
      </c>
      <c r="E418" t="inlineStr">
        <is>
          <t>Multifamily</t>
        </is>
      </c>
      <c r="F418" t="inlineStr">
        <is>
          <t>Trash Collection</t>
        </is>
      </c>
      <c r="G418" t="inlineStr">
        <is>
          <t>Trash Collection</t>
        </is>
      </c>
      <c r="H418" t="inlineStr">
        <is>
          <t>Trash Collection</t>
        </is>
      </c>
      <c r="I418" t="n">
        <v>60</v>
      </c>
      <c r="J418" t="n">
        <v>60</v>
      </c>
      <c r="K418" t="n">
        <v>60</v>
      </c>
      <c r="L418" t="n">
        <v>60</v>
      </c>
      <c r="M418" t="n">
        <v>60</v>
      </c>
      <c r="N418" t="n">
        <v>60</v>
      </c>
      <c r="O418" t="n">
        <v>60</v>
      </c>
      <c r="P418" t="n">
        <v>0</v>
      </c>
      <c r="Q418" t="inlineStr">
        <is>
          <t>SCCHA 2026 UA Schedule (effective 10/01/2025) – uploaded worksheet</t>
        </is>
      </c>
      <c r="R418" t="inlineStr">
        <is>
          <t>Populated</t>
        </is>
      </c>
    </row>
    <row r="419">
      <c r="A419" t="inlineStr">
        <is>
          <t>Santa Clara County Housing Authority (SCCHA)</t>
        </is>
      </c>
      <c r="B419" t="inlineStr">
        <is>
          <t>Santa Clara County</t>
        </is>
      </c>
      <c r="C419" t="inlineStr">
        <is>
          <t>2025-10-01</t>
        </is>
      </c>
      <c r="D419" t="inlineStr">
        <is>
          <t>Semi-Detached/Row/Townhouse (MF)</t>
        </is>
      </c>
      <c r="E419" t="inlineStr">
        <is>
          <t>Multifamily</t>
        </is>
      </c>
      <c r="F419" t="inlineStr">
        <is>
          <t>Range/Microwave</t>
        </is>
      </c>
      <c r="G419" t="inlineStr">
        <is>
          <t>Range/Microwave - Allowance</t>
        </is>
      </c>
      <c r="H419" t="inlineStr">
        <is>
          <t>Range/Microwave - Allowance</t>
        </is>
      </c>
      <c r="I419" t="n">
        <v>11</v>
      </c>
      <c r="J419" t="n">
        <v>11</v>
      </c>
      <c r="K419" t="n">
        <v>11</v>
      </c>
      <c r="L419" t="n">
        <v>11</v>
      </c>
      <c r="M419" t="n">
        <v>11</v>
      </c>
      <c r="N419" t="n">
        <v>11</v>
      </c>
      <c r="O419" t="n">
        <v>11</v>
      </c>
      <c r="P419" t="n">
        <v>0</v>
      </c>
      <c r="Q419" t="inlineStr">
        <is>
          <t>SCCHA 2026 UA Schedule (effective 10/01/2025) – uploaded worksheet</t>
        </is>
      </c>
      <c r="R419" t="inlineStr">
        <is>
          <t>Populated</t>
        </is>
      </c>
    </row>
    <row r="420">
      <c r="A420" t="inlineStr">
        <is>
          <t>Santa Clara County Housing Authority (SCCHA)</t>
        </is>
      </c>
      <c r="B420" t="inlineStr">
        <is>
          <t>Santa Clara County</t>
        </is>
      </c>
      <c r="C420" t="inlineStr">
        <is>
          <t>2025-10-01</t>
        </is>
      </c>
      <c r="D420" t="inlineStr">
        <is>
          <t>Semi-Detached/Row/Townhouse (MF)</t>
        </is>
      </c>
      <c r="E420" t="inlineStr">
        <is>
          <t>Multifamily</t>
        </is>
      </c>
      <c r="F420" t="inlineStr">
        <is>
          <t>Refrigerator</t>
        </is>
      </c>
      <c r="G420" t="inlineStr">
        <is>
          <t>Refrigerator - Allowance</t>
        </is>
      </c>
      <c r="H420" t="inlineStr">
        <is>
          <t>Refrigerator - Allowance</t>
        </is>
      </c>
      <c r="I420" t="n">
        <v>12</v>
      </c>
      <c r="J420" t="n">
        <v>12</v>
      </c>
      <c r="K420" t="n">
        <v>12</v>
      </c>
      <c r="L420" t="n">
        <v>12</v>
      </c>
      <c r="M420" t="n">
        <v>12</v>
      </c>
      <c r="N420" t="n">
        <v>12</v>
      </c>
      <c r="O420" t="n">
        <v>12</v>
      </c>
      <c r="P420" t="n">
        <v>0</v>
      </c>
      <c r="Q420" t="inlineStr">
        <is>
          <t>SCCHA 2026 UA Schedule (effective 10/01/2025) – uploaded worksheet</t>
        </is>
      </c>
      <c r="R420" t="inlineStr">
        <is>
          <t>Populated</t>
        </is>
      </c>
    </row>
    <row r="421">
      <c r="A421" t="inlineStr">
        <is>
          <t>Santa Clara County Housing Authority (SCCHA)</t>
        </is>
      </c>
      <c r="B421" t="inlineStr">
        <is>
          <t>Santa Clara County</t>
        </is>
      </c>
      <c r="C421" t="inlineStr">
        <is>
          <t>2025-10-01</t>
        </is>
      </c>
      <c r="D421" t="inlineStr">
        <is>
          <t>Single Family Detached / Manufactured</t>
        </is>
      </c>
      <c r="E421" t="inlineStr">
        <is>
          <t>Single-Family</t>
        </is>
      </c>
      <c r="F421" t="inlineStr">
        <is>
          <t>Space Heating</t>
        </is>
      </c>
      <c r="G421" t="inlineStr">
        <is>
          <t>Space Heating - Natural Gas</t>
        </is>
      </c>
      <c r="H421" t="inlineStr">
        <is>
          <t>Space Heating - Natural Gas</t>
        </is>
      </c>
      <c r="I421" t="n">
        <v>20</v>
      </c>
      <c r="J421" t="n">
        <v>27</v>
      </c>
      <c r="K421" t="n">
        <v>36</v>
      </c>
      <c r="L421" t="n">
        <v>42</v>
      </c>
      <c r="M421" t="n">
        <v>45</v>
      </c>
      <c r="N421" t="n">
        <v>49</v>
      </c>
      <c r="O421" t="n">
        <v>55</v>
      </c>
      <c r="P421" t="n">
        <v>58</v>
      </c>
      <c r="Q421" t="inlineStr">
        <is>
          <t>SCCHA 2026 UA Schedule (effective 10/01/2025) – uploaded worksheet</t>
        </is>
      </c>
      <c r="R421" t="inlineStr">
        <is>
          <t>Populated</t>
        </is>
      </c>
    </row>
    <row r="422">
      <c r="A422" t="inlineStr">
        <is>
          <t>Santa Clara County Housing Authority (SCCHA)</t>
        </is>
      </c>
      <c r="B422" t="inlineStr">
        <is>
          <t>Santa Clara County</t>
        </is>
      </c>
      <c r="C422" t="inlineStr">
        <is>
          <t>2025-10-01</t>
        </is>
      </c>
      <c r="D422" t="inlineStr">
        <is>
          <t>Single Family Detached / Manufactured</t>
        </is>
      </c>
      <c r="E422" t="inlineStr">
        <is>
          <t>Single-Family</t>
        </is>
      </c>
      <c r="F422" t="inlineStr">
        <is>
          <t>Space Heating</t>
        </is>
      </c>
      <c r="G422" t="inlineStr">
        <is>
          <t>Space Heating - LPG/Propane</t>
        </is>
      </c>
      <c r="H422" t="inlineStr">
        <is>
          <t>Space Heating - LPG/Propane</t>
        </is>
      </c>
      <c r="I422" t="n">
        <v>42</v>
      </c>
      <c r="J422" t="n">
        <v>56</v>
      </c>
      <c r="K422" t="n">
        <v>64</v>
      </c>
      <c r="L422" t="n">
        <v>73</v>
      </c>
      <c r="M422" t="n">
        <v>78</v>
      </c>
      <c r="N422" t="n">
        <v>87</v>
      </c>
      <c r="O422" t="n">
        <v>95</v>
      </c>
      <c r="P422" t="n">
        <v>101</v>
      </c>
      <c r="Q422" t="inlineStr">
        <is>
          <t>SCCHA 2026 UA Schedule (effective 10/01/2025) – uploaded worksheet</t>
        </is>
      </c>
      <c r="R422" t="inlineStr">
        <is>
          <t>Populated</t>
        </is>
      </c>
    </row>
    <row r="423">
      <c r="A423" t="inlineStr">
        <is>
          <t>Santa Clara County Housing Authority (SCCHA)</t>
        </is>
      </c>
      <c r="B423" t="inlineStr">
        <is>
          <t>Santa Clara County</t>
        </is>
      </c>
      <c r="C423" t="inlineStr">
        <is>
          <t>2025-10-01</t>
        </is>
      </c>
      <c r="D423" t="inlineStr">
        <is>
          <t>Single Family Detached / Manufactured</t>
        </is>
      </c>
      <c r="E423" t="inlineStr">
        <is>
          <t>Single-Family</t>
        </is>
      </c>
      <c r="F423" t="inlineStr">
        <is>
          <t>Space Heating</t>
        </is>
      </c>
      <c r="G423" t="inlineStr">
        <is>
          <t>Space Heating - Electric</t>
        </is>
      </c>
      <c r="H423" t="inlineStr">
        <is>
          <t>Space Heating - Electric</t>
        </is>
      </c>
      <c r="I423" t="n">
        <v>24</v>
      </c>
      <c r="J423" t="n">
        <v>32</v>
      </c>
      <c r="K423" t="n">
        <v>38</v>
      </c>
      <c r="L423" t="n">
        <v>43</v>
      </c>
      <c r="M423" t="n">
        <v>48</v>
      </c>
      <c r="N423" t="n">
        <v>54</v>
      </c>
      <c r="O423" t="n">
        <v>59</v>
      </c>
      <c r="P423" t="n">
        <v>64</v>
      </c>
      <c r="Q423" t="inlineStr">
        <is>
          <t>SCCHA 2026 UA Schedule (effective 10/01/2025) – uploaded worksheet</t>
        </is>
      </c>
      <c r="R423" t="inlineStr">
        <is>
          <t>Populated</t>
        </is>
      </c>
    </row>
    <row r="424">
      <c r="A424" t="inlineStr">
        <is>
          <t>Santa Clara County Housing Authority (SCCHA)</t>
        </is>
      </c>
      <c r="B424" t="inlineStr">
        <is>
          <t>Santa Clara County</t>
        </is>
      </c>
      <c r="C424" t="inlineStr">
        <is>
          <t>2025-10-01</t>
        </is>
      </c>
      <c r="D424" t="inlineStr">
        <is>
          <t>Single Family Detached / Manufactured</t>
        </is>
      </c>
      <c r="E424" t="inlineStr">
        <is>
          <t>Single-Family</t>
        </is>
      </c>
      <c r="F424" t="inlineStr">
        <is>
          <t>Space Heating</t>
        </is>
      </c>
      <c r="G424" t="inlineStr">
        <is>
          <t>Space Heating - Electric - Heat Pump</t>
        </is>
      </c>
      <c r="H424" t="inlineStr">
        <is>
          <t>Space Heating - Electric - Heat Pump</t>
        </is>
      </c>
      <c r="I424" t="n">
        <v>15</v>
      </c>
      <c r="J424" t="n">
        <v>20</v>
      </c>
      <c r="K424" t="n">
        <v>23</v>
      </c>
      <c r="L424" t="n">
        <v>27</v>
      </c>
      <c r="M424" t="n">
        <v>31</v>
      </c>
      <c r="N424" t="n">
        <v>34</v>
      </c>
      <c r="O424" t="n">
        <v>38</v>
      </c>
      <c r="P424" t="n">
        <v>41</v>
      </c>
      <c r="Q424" t="inlineStr">
        <is>
          <t>SCCHA 2026 UA Schedule (effective 10/01/2025) – uploaded worksheet</t>
        </is>
      </c>
      <c r="R424" t="inlineStr">
        <is>
          <t>Populated</t>
        </is>
      </c>
    </row>
    <row r="425">
      <c r="A425" t="inlineStr">
        <is>
          <t>Santa Clara County Housing Authority (SCCHA)</t>
        </is>
      </c>
      <c r="B425" t="inlineStr">
        <is>
          <t>Santa Clara County</t>
        </is>
      </c>
      <c r="C425" t="inlineStr">
        <is>
          <t>2025-10-01</t>
        </is>
      </c>
      <c r="D425" t="inlineStr">
        <is>
          <t>Single Family Detached / Manufactured</t>
        </is>
      </c>
      <c r="E425" t="inlineStr">
        <is>
          <t>Single-Family</t>
        </is>
      </c>
      <c r="F425" t="inlineStr">
        <is>
          <t>Cooking</t>
        </is>
      </c>
      <c r="G425" t="inlineStr">
        <is>
          <t>Cooking - Natural Gas</t>
        </is>
      </c>
      <c r="H425" t="inlineStr">
        <is>
          <t>Cooking - Natural Gas</t>
        </is>
      </c>
      <c r="I425" t="n">
        <v>5</v>
      </c>
      <c r="J425" t="n">
        <v>6</v>
      </c>
      <c r="K425" t="n">
        <v>6</v>
      </c>
      <c r="L425" t="n">
        <v>9</v>
      </c>
      <c r="M425" t="n">
        <v>11</v>
      </c>
      <c r="N425" t="n">
        <v>15</v>
      </c>
      <c r="O425" t="n">
        <v>17</v>
      </c>
      <c r="P425" t="n">
        <v>19</v>
      </c>
      <c r="Q425" t="inlineStr">
        <is>
          <t>SCCHA 2026 UA Schedule (effective 10/01/2025) – uploaded worksheet</t>
        </is>
      </c>
      <c r="R425" t="inlineStr">
        <is>
          <t>Populated</t>
        </is>
      </c>
    </row>
    <row r="426">
      <c r="A426" t="inlineStr">
        <is>
          <t>Santa Clara County Housing Authority (SCCHA)</t>
        </is>
      </c>
      <c r="B426" t="inlineStr">
        <is>
          <t>Santa Clara County</t>
        </is>
      </c>
      <c r="C426" t="inlineStr">
        <is>
          <t>2025-10-01</t>
        </is>
      </c>
      <c r="D426" t="inlineStr">
        <is>
          <t>Single Family Detached / Manufactured</t>
        </is>
      </c>
      <c r="E426" t="inlineStr">
        <is>
          <t>Single-Family</t>
        </is>
      </c>
      <c r="F426" t="inlineStr">
        <is>
          <t>Cooking</t>
        </is>
      </c>
      <c r="G426" t="inlineStr">
        <is>
          <t>Cooking - LPG/Propane</t>
        </is>
      </c>
      <c r="H426" t="inlineStr">
        <is>
          <t>Cooking - LPG/Propane</t>
        </is>
      </c>
      <c r="I426" t="n">
        <v>6</v>
      </c>
      <c r="J426" t="n">
        <v>8</v>
      </c>
      <c r="K426" t="n">
        <v>8</v>
      </c>
      <c r="L426" t="n">
        <v>14</v>
      </c>
      <c r="M426" t="n">
        <v>20</v>
      </c>
      <c r="N426" t="n">
        <v>25</v>
      </c>
      <c r="O426" t="n">
        <v>28</v>
      </c>
      <c r="P426" t="n">
        <v>31</v>
      </c>
      <c r="Q426" t="inlineStr">
        <is>
          <t>SCCHA 2026 UA Schedule (effective 10/01/2025) – uploaded worksheet</t>
        </is>
      </c>
      <c r="R426" t="inlineStr">
        <is>
          <t>Populated</t>
        </is>
      </c>
    </row>
    <row r="427">
      <c r="A427" t="inlineStr">
        <is>
          <t>Santa Clara County Housing Authority (SCCHA)</t>
        </is>
      </c>
      <c r="B427" t="inlineStr">
        <is>
          <t>Santa Clara County</t>
        </is>
      </c>
      <c r="C427" t="inlineStr">
        <is>
          <t>2025-10-01</t>
        </is>
      </c>
      <c r="D427" t="inlineStr">
        <is>
          <t>Single Family Detached / Manufactured</t>
        </is>
      </c>
      <c r="E427" t="inlineStr">
        <is>
          <t>Single-Family</t>
        </is>
      </c>
      <c r="F427" t="inlineStr">
        <is>
          <t>Cooking</t>
        </is>
      </c>
      <c r="G427" t="inlineStr">
        <is>
          <t>Cooking - Electric</t>
        </is>
      </c>
      <c r="H427" t="inlineStr">
        <is>
          <t>Cooking - Electric</t>
        </is>
      </c>
      <c r="I427" t="n">
        <v>6</v>
      </c>
      <c r="J427" t="n">
        <v>8</v>
      </c>
      <c r="K427" t="n">
        <v>9</v>
      </c>
      <c r="L427" t="n">
        <v>14</v>
      </c>
      <c r="M427" t="n">
        <v>17</v>
      </c>
      <c r="N427" t="n">
        <v>22</v>
      </c>
      <c r="O427" t="n">
        <v>26</v>
      </c>
      <c r="P427" t="n">
        <v>28</v>
      </c>
      <c r="Q427" t="inlineStr">
        <is>
          <t>SCCHA 2026 UA Schedule (effective 10/01/2025) – uploaded worksheet</t>
        </is>
      </c>
      <c r="R427" t="inlineStr">
        <is>
          <t>Populated</t>
        </is>
      </c>
    </row>
    <row r="428">
      <c r="A428" t="inlineStr">
        <is>
          <t>Santa Clara County Housing Authority (SCCHA)</t>
        </is>
      </c>
      <c r="B428" t="inlineStr">
        <is>
          <t>Santa Clara County</t>
        </is>
      </c>
      <c r="C428" t="inlineStr">
        <is>
          <t>2025-10-01</t>
        </is>
      </c>
      <c r="D428" t="inlineStr">
        <is>
          <t>Single Family Detached / Manufactured</t>
        </is>
      </c>
      <c r="E428" t="inlineStr">
        <is>
          <t>Single-Family</t>
        </is>
      </c>
      <c r="F428" t="inlineStr">
        <is>
          <t>Other Electric</t>
        </is>
      </c>
      <c r="G428" t="inlineStr">
        <is>
          <t>Other Electric - Electric (Lights/Plugs)</t>
        </is>
      </c>
      <c r="H428" t="inlineStr">
        <is>
          <t>Other Electric - Electric (Lights/Plugs)</t>
        </is>
      </c>
      <c r="I428" t="n">
        <v>32</v>
      </c>
      <c r="J428" t="n">
        <v>42</v>
      </c>
      <c r="K428" t="n">
        <v>50</v>
      </c>
      <c r="L428" t="n">
        <v>71</v>
      </c>
      <c r="M428" t="n">
        <v>94</v>
      </c>
      <c r="N428" t="n">
        <v>117</v>
      </c>
      <c r="O428" t="n">
        <v>140</v>
      </c>
      <c r="P428" t="n">
        <v>152</v>
      </c>
      <c r="Q428" t="inlineStr">
        <is>
          <t>SCCHA 2026 UA Schedule (effective 10/01/2025) – uploaded worksheet</t>
        </is>
      </c>
      <c r="R428" t="inlineStr">
        <is>
          <t>Populated</t>
        </is>
      </c>
    </row>
    <row r="429">
      <c r="A429" t="inlineStr">
        <is>
          <t>Santa Clara County Housing Authority (SCCHA)</t>
        </is>
      </c>
      <c r="B429" t="inlineStr">
        <is>
          <t>Santa Clara County</t>
        </is>
      </c>
      <c r="C429" t="inlineStr">
        <is>
          <t>2025-10-01</t>
        </is>
      </c>
      <c r="D429" t="inlineStr">
        <is>
          <t>Single Family Detached / Manufactured</t>
        </is>
      </c>
      <c r="E429" t="inlineStr">
        <is>
          <t>Single-Family</t>
        </is>
      </c>
      <c r="F429" t="inlineStr">
        <is>
          <t>Water Heating</t>
        </is>
      </c>
      <c r="G429" t="inlineStr">
        <is>
          <t>Water Heating - Natural Gas</t>
        </is>
      </c>
      <c r="H429" t="inlineStr">
        <is>
          <t>Water Heating - Natural Gas</t>
        </is>
      </c>
      <c r="I429" t="n">
        <v>10</v>
      </c>
      <c r="J429" t="n">
        <v>13</v>
      </c>
      <c r="K429" t="n">
        <v>17</v>
      </c>
      <c r="L429" t="n">
        <v>24</v>
      </c>
      <c r="M429" t="n">
        <v>31</v>
      </c>
      <c r="N429" t="n">
        <v>39</v>
      </c>
      <c r="O429" t="n">
        <v>44</v>
      </c>
      <c r="P429" t="n">
        <v>48</v>
      </c>
      <c r="Q429" t="inlineStr">
        <is>
          <t>SCCHA 2026 UA Schedule (effective 10/01/2025) – uploaded worksheet</t>
        </is>
      </c>
      <c r="R429" t="inlineStr">
        <is>
          <t>Populated</t>
        </is>
      </c>
    </row>
    <row r="430">
      <c r="A430" t="inlineStr">
        <is>
          <t>Santa Clara County Housing Authority (SCCHA)</t>
        </is>
      </c>
      <c r="B430" t="inlineStr">
        <is>
          <t>Santa Clara County</t>
        </is>
      </c>
      <c r="C430" t="inlineStr">
        <is>
          <t>2025-10-01</t>
        </is>
      </c>
      <c r="D430" t="inlineStr">
        <is>
          <t>Single Family Detached / Manufactured</t>
        </is>
      </c>
      <c r="E430" t="inlineStr">
        <is>
          <t>Single-Family</t>
        </is>
      </c>
      <c r="F430" t="inlineStr">
        <is>
          <t>Water Heating</t>
        </is>
      </c>
      <c r="G430" t="inlineStr">
        <is>
          <t>Water Heating - LPG/Propane</t>
        </is>
      </c>
      <c r="H430" t="inlineStr">
        <is>
          <t>Water Heating - LPG/Propane</t>
        </is>
      </c>
      <c r="I430" t="n">
        <v>17</v>
      </c>
      <c r="J430" t="n">
        <v>22</v>
      </c>
      <c r="K430" t="n">
        <v>28</v>
      </c>
      <c r="L430" t="n">
        <v>39</v>
      </c>
      <c r="M430" t="n">
        <v>53</v>
      </c>
      <c r="N430" t="n">
        <v>64</v>
      </c>
      <c r="O430" t="n">
        <v>73</v>
      </c>
      <c r="P430" t="n">
        <v>78</v>
      </c>
      <c r="Q430" t="inlineStr">
        <is>
          <t>SCCHA 2026 UA Schedule (effective 10/01/2025) – uploaded worksheet</t>
        </is>
      </c>
      <c r="R430" t="inlineStr">
        <is>
          <t>Populated</t>
        </is>
      </c>
    </row>
    <row r="431">
      <c r="A431" t="inlineStr">
        <is>
          <t>Santa Clara County Housing Authority (SCCHA)</t>
        </is>
      </c>
      <c r="B431" t="inlineStr">
        <is>
          <t>Santa Clara County</t>
        </is>
      </c>
      <c r="C431" t="inlineStr">
        <is>
          <t>2025-10-01</t>
        </is>
      </c>
      <c r="D431" t="inlineStr">
        <is>
          <t>Single Family Detached / Manufactured</t>
        </is>
      </c>
      <c r="E431" t="inlineStr">
        <is>
          <t>Single-Family</t>
        </is>
      </c>
      <c r="F431" t="inlineStr">
        <is>
          <t>Water Heating</t>
        </is>
      </c>
      <c r="G431" t="inlineStr">
        <is>
          <t>Water Heating - Electric</t>
        </is>
      </c>
      <c r="H431" t="inlineStr">
        <is>
          <t>Water Heating - Electric</t>
        </is>
      </c>
      <c r="I431" t="n">
        <v>32</v>
      </c>
      <c r="J431" t="n">
        <v>42</v>
      </c>
      <c r="K431" t="n">
        <v>50</v>
      </c>
      <c r="L431" t="n">
        <v>71</v>
      </c>
      <c r="M431" t="n">
        <v>94</v>
      </c>
      <c r="N431" t="n">
        <v>117</v>
      </c>
      <c r="O431" t="n">
        <v>140</v>
      </c>
      <c r="P431" t="n">
        <v>152</v>
      </c>
      <c r="Q431" t="inlineStr">
        <is>
          <t>SCCHA 2026 UA Schedule (effective 10/01/2025) – uploaded worksheet</t>
        </is>
      </c>
      <c r="R431" t="inlineStr">
        <is>
          <t>Populated</t>
        </is>
      </c>
    </row>
    <row r="432">
      <c r="A432" t="inlineStr">
        <is>
          <t>Santa Clara County Housing Authority (SCCHA)</t>
        </is>
      </c>
      <c r="B432" t="inlineStr">
        <is>
          <t>Santa Clara County</t>
        </is>
      </c>
      <c r="C432" t="inlineStr">
        <is>
          <t>2025-10-01</t>
        </is>
      </c>
      <c r="D432" t="inlineStr">
        <is>
          <t>Single Family Detached / Manufactured</t>
        </is>
      </c>
      <c r="E432" t="inlineStr">
        <is>
          <t>Single-Family</t>
        </is>
      </c>
      <c r="F432" t="inlineStr">
        <is>
          <t>Water</t>
        </is>
      </c>
      <c r="G432" t="inlineStr">
        <is>
          <t>Water</t>
        </is>
      </c>
      <c r="H432" t="inlineStr">
        <is>
          <t>Water</t>
        </is>
      </c>
      <c r="I432" t="n">
        <v>53</v>
      </c>
      <c r="J432" t="n">
        <v>71</v>
      </c>
      <c r="K432" t="n">
        <v>72</v>
      </c>
      <c r="L432" t="n">
        <v>89</v>
      </c>
      <c r="M432" t="n">
        <v>108</v>
      </c>
      <c r="N432" t="n">
        <v>128</v>
      </c>
      <c r="O432" t="n">
        <v>149</v>
      </c>
      <c r="P432" t="n">
        <v>164</v>
      </c>
      <c r="Q432" t="inlineStr">
        <is>
          <t>SCCHA 2026 UA Schedule (effective 10/01/2025) – uploaded worksheet</t>
        </is>
      </c>
      <c r="R432" t="inlineStr">
        <is>
          <t>Populated</t>
        </is>
      </c>
    </row>
    <row r="433">
      <c r="A433" t="inlineStr">
        <is>
          <t>Santa Clara County Housing Authority (SCCHA)</t>
        </is>
      </c>
      <c r="B433" t="inlineStr">
        <is>
          <t>Santa Clara County</t>
        </is>
      </c>
      <c r="C433" t="inlineStr">
        <is>
          <t>2025-10-01</t>
        </is>
      </c>
      <c r="D433" t="inlineStr">
        <is>
          <t>Single Family Detached / Manufactured</t>
        </is>
      </c>
      <c r="E433" t="inlineStr">
        <is>
          <t>Single-Family</t>
        </is>
      </c>
      <c r="F433" t="inlineStr">
        <is>
          <t>Sewer</t>
        </is>
      </c>
      <c r="G433" t="inlineStr">
        <is>
          <t>Sewer</t>
        </is>
      </c>
      <c r="H433" t="inlineStr">
        <is>
          <t>Sewer</t>
        </is>
      </c>
      <c r="I433" t="n">
        <v>53</v>
      </c>
      <c r="J433" t="n">
        <v>71</v>
      </c>
      <c r="K433" t="n">
        <v>71</v>
      </c>
      <c r="L433" t="n">
        <v>71</v>
      </c>
      <c r="M433" t="n">
        <v>71</v>
      </c>
      <c r="N433" t="n">
        <v>71</v>
      </c>
      <c r="O433" t="n">
        <v>71</v>
      </c>
      <c r="P433" t="n">
        <v>71</v>
      </c>
      <c r="Q433" t="inlineStr">
        <is>
          <t>SCCHA 2026 UA Schedule (effective 10/01/2025) – uploaded worksheet</t>
        </is>
      </c>
      <c r="R433" t="inlineStr">
        <is>
          <t>Populated</t>
        </is>
      </c>
    </row>
    <row r="434">
      <c r="A434" t="inlineStr">
        <is>
          <t>Santa Clara County Housing Authority (SCCHA)</t>
        </is>
      </c>
      <c r="B434" t="inlineStr">
        <is>
          <t>Santa Clara County</t>
        </is>
      </c>
      <c r="C434" t="inlineStr">
        <is>
          <t>2025-10-01</t>
        </is>
      </c>
      <c r="D434" t="inlineStr">
        <is>
          <t>Single Family Detached / Manufactured</t>
        </is>
      </c>
      <c r="E434" t="inlineStr">
        <is>
          <t>Single-Family</t>
        </is>
      </c>
      <c r="F434" t="inlineStr">
        <is>
          <t>Trash Collection</t>
        </is>
      </c>
      <c r="G434" t="inlineStr">
        <is>
          <t>Trash Collection</t>
        </is>
      </c>
      <c r="H434" t="inlineStr">
        <is>
          <t>Trash Collection</t>
        </is>
      </c>
      <c r="I434" t="n">
        <v>45</v>
      </c>
      <c r="J434" t="n">
        <v>60</v>
      </c>
      <c r="K434" t="n">
        <v>60</v>
      </c>
      <c r="L434" t="n">
        <v>60</v>
      </c>
      <c r="M434" t="n">
        <v>60</v>
      </c>
      <c r="N434" t="n">
        <v>60</v>
      </c>
      <c r="O434" t="n">
        <v>60</v>
      </c>
      <c r="P434" t="n">
        <v>60</v>
      </c>
      <c r="Q434" t="inlineStr">
        <is>
          <t>SCCHA 2026 UA Schedule (effective 10/01/2025) – uploaded worksheet</t>
        </is>
      </c>
      <c r="R434" t="inlineStr">
        <is>
          <t>Populated</t>
        </is>
      </c>
    </row>
    <row r="435">
      <c r="A435" t="inlineStr">
        <is>
          <t>Santa Clara County Housing Authority (SCCHA)</t>
        </is>
      </c>
      <c r="B435" t="inlineStr">
        <is>
          <t>Santa Clara County</t>
        </is>
      </c>
      <c r="C435" t="inlineStr">
        <is>
          <t>2025-10-01</t>
        </is>
      </c>
      <c r="D435" t="inlineStr">
        <is>
          <t>Single Family Detached / Manufactured</t>
        </is>
      </c>
      <c r="E435" t="inlineStr">
        <is>
          <t>Single-Family</t>
        </is>
      </c>
      <c r="F435" t="inlineStr">
        <is>
          <t>Range/Microwave</t>
        </is>
      </c>
      <c r="G435" t="inlineStr">
        <is>
          <t>Range/Microwave - Allowance</t>
        </is>
      </c>
      <c r="H435" t="inlineStr">
        <is>
          <t>Range/Microwave - Allowance</t>
        </is>
      </c>
      <c r="I435" t="n">
        <v>11</v>
      </c>
      <c r="J435" t="n">
        <v>11</v>
      </c>
      <c r="K435" t="n">
        <v>11</v>
      </c>
      <c r="L435" t="n">
        <v>11</v>
      </c>
      <c r="M435" t="n">
        <v>11</v>
      </c>
      <c r="N435" t="n">
        <v>11</v>
      </c>
      <c r="O435" t="n">
        <v>11</v>
      </c>
      <c r="P435" t="n">
        <v>11</v>
      </c>
      <c r="Q435" t="inlineStr">
        <is>
          <t>SCCHA 2026 UA Schedule (effective 10/01/2025) – uploaded worksheet</t>
        </is>
      </c>
      <c r="R435" t="inlineStr">
        <is>
          <t>Populated</t>
        </is>
      </c>
    </row>
    <row r="436">
      <c r="A436" t="inlineStr">
        <is>
          <t>Santa Clara County Housing Authority (SCCHA)</t>
        </is>
      </c>
      <c r="B436" t="inlineStr">
        <is>
          <t>Santa Clara County</t>
        </is>
      </c>
      <c r="C436" t="inlineStr">
        <is>
          <t>2025-10-01</t>
        </is>
      </c>
      <c r="D436" t="inlineStr">
        <is>
          <t>Single Family Detached / Manufactured</t>
        </is>
      </c>
      <c r="E436" t="inlineStr">
        <is>
          <t>Single-Family</t>
        </is>
      </c>
      <c r="F436" t="inlineStr">
        <is>
          <t>Refrigerator</t>
        </is>
      </c>
      <c r="G436" t="inlineStr">
        <is>
          <t>Refrigerator - Allowance</t>
        </is>
      </c>
      <c r="H436" t="inlineStr">
        <is>
          <t>Refrigerator - Allowance</t>
        </is>
      </c>
      <c r="I436" t="n">
        <v>12</v>
      </c>
      <c r="J436" t="n">
        <v>12</v>
      </c>
      <c r="K436" t="n">
        <v>12</v>
      </c>
      <c r="L436" t="n">
        <v>12</v>
      </c>
      <c r="M436" t="n">
        <v>12</v>
      </c>
      <c r="N436" t="n">
        <v>12</v>
      </c>
      <c r="O436" t="n">
        <v>12</v>
      </c>
      <c r="P436" t="n">
        <v>12</v>
      </c>
      <c r="Q436" t="inlineStr">
        <is>
          <t>SCCHA 2026 UA Schedule (effective 10/01/2025) – uploaded worksheet</t>
        </is>
      </c>
      <c r="R436" t="inlineStr">
        <is>
          <t>Populated</t>
        </is>
      </c>
    </row>
  </sheetData>
  <hyperlinks>
    <hyperlink xmlns:r="http://schemas.openxmlformats.org/officeDocument/2006/relationships" ref="Q3" r:id="rId1"/>
    <hyperlink xmlns:r="http://schemas.openxmlformats.org/officeDocument/2006/relationships" ref="Q6" r:id="rId2"/>
    <hyperlink xmlns:r="http://schemas.openxmlformats.org/officeDocument/2006/relationships" ref="Q7" r:id="rId3"/>
    <hyperlink xmlns:r="http://schemas.openxmlformats.org/officeDocument/2006/relationships" ref="Q8" r:id="rId4"/>
    <hyperlink xmlns:r="http://schemas.openxmlformats.org/officeDocument/2006/relationships" ref="Q9" r:id="rId5"/>
    <hyperlink xmlns:r="http://schemas.openxmlformats.org/officeDocument/2006/relationships" ref="Q10" r:id="rId6"/>
    <hyperlink xmlns:r="http://schemas.openxmlformats.org/officeDocument/2006/relationships" ref="Q11" r:id="rId7"/>
    <hyperlink xmlns:r="http://schemas.openxmlformats.org/officeDocument/2006/relationships" ref="Q13" r:id="rId8"/>
    <hyperlink xmlns:r="http://schemas.openxmlformats.org/officeDocument/2006/relationships" ref="Q15" r:id="rId9"/>
    <hyperlink xmlns:r="http://schemas.openxmlformats.org/officeDocument/2006/relationships" ref="Q17" r:id="rId10"/>
    <hyperlink xmlns:r="http://schemas.openxmlformats.org/officeDocument/2006/relationships" ref="Q18" r:id="rId11"/>
    <hyperlink xmlns:r="http://schemas.openxmlformats.org/officeDocument/2006/relationships" ref="Q20" r:id="rId12"/>
    <hyperlink xmlns:r="http://schemas.openxmlformats.org/officeDocument/2006/relationships" ref="Q24" r:id="rId13"/>
    <hyperlink xmlns:r="http://schemas.openxmlformats.org/officeDocument/2006/relationships" ref="Q26" r:id="rId14"/>
    <hyperlink xmlns:r="http://schemas.openxmlformats.org/officeDocument/2006/relationships" ref="Q29" r:id="rId15"/>
    <hyperlink xmlns:r="http://schemas.openxmlformats.org/officeDocument/2006/relationships" ref="Q30" r:id="rId16"/>
    <hyperlink xmlns:r="http://schemas.openxmlformats.org/officeDocument/2006/relationships" ref="Q31" r:id="rId17"/>
    <hyperlink xmlns:r="http://schemas.openxmlformats.org/officeDocument/2006/relationships" ref="Q32" r:id="rId18"/>
    <hyperlink xmlns:r="http://schemas.openxmlformats.org/officeDocument/2006/relationships" ref="Q33" r:id="rId19"/>
    <hyperlink xmlns:r="http://schemas.openxmlformats.org/officeDocument/2006/relationships" ref="Q34" r:id="rId20"/>
    <hyperlink xmlns:r="http://schemas.openxmlformats.org/officeDocument/2006/relationships" ref="Q38" r:id="rId21"/>
    <hyperlink xmlns:r="http://schemas.openxmlformats.org/officeDocument/2006/relationships" ref="Q40" r:id="rId22"/>
    <hyperlink xmlns:r="http://schemas.openxmlformats.org/officeDocument/2006/relationships" ref="Q42" r:id="rId23"/>
    <hyperlink xmlns:r="http://schemas.openxmlformats.org/officeDocument/2006/relationships" ref="Q43" r:id="rId24"/>
    <hyperlink xmlns:r="http://schemas.openxmlformats.org/officeDocument/2006/relationships" ref="Q45" r:id="rId25"/>
    <hyperlink xmlns:r="http://schemas.openxmlformats.org/officeDocument/2006/relationships" ref="Q49" r:id="rId26"/>
    <hyperlink xmlns:r="http://schemas.openxmlformats.org/officeDocument/2006/relationships" ref="Q50" r:id="rId27"/>
    <hyperlink xmlns:r="http://schemas.openxmlformats.org/officeDocument/2006/relationships" ref="Q51" r:id="rId28"/>
    <hyperlink xmlns:r="http://schemas.openxmlformats.org/officeDocument/2006/relationships" ref="Q52" r:id="rId29"/>
    <hyperlink xmlns:r="http://schemas.openxmlformats.org/officeDocument/2006/relationships" ref="Q53" r:id="rId30"/>
    <hyperlink xmlns:r="http://schemas.openxmlformats.org/officeDocument/2006/relationships" ref="Q54" r:id="rId31"/>
    <hyperlink xmlns:r="http://schemas.openxmlformats.org/officeDocument/2006/relationships" ref="Q55" r:id="rId32"/>
    <hyperlink xmlns:r="http://schemas.openxmlformats.org/officeDocument/2006/relationships" ref="Q56" r:id="rId33"/>
    <hyperlink xmlns:r="http://schemas.openxmlformats.org/officeDocument/2006/relationships" ref="Q57" r:id="rId34"/>
    <hyperlink xmlns:r="http://schemas.openxmlformats.org/officeDocument/2006/relationships" ref="Q58" r:id="rId35"/>
    <hyperlink xmlns:r="http://schemas.openxmlformats.org/officeDocument/2006/relationships" ref="Q59" r:id="rId36"/>
    <hyperlink xmlns:r="http://schemas.openxmlformats.org/officeDocument/2006/relationships" ref="Q60" r:id="rId37"/>
    <hyperlink xmlns:r="http://schemas.openxmlformats.org/officeDocument/2006/relationships" ref="Q61" r:id="rId38"/>
    <hyperlink xmlns:r="http://schemas.openxmlformats.org/officeDocument/2006/relationships" ref="Q62" r:id="rId39"/>
    <hyperlink xmlns:r="http://schemas.openxmlformats.org/officeDocument/2006/relationships" ref="Q63" r:id="rId40"/>
    <hyperlink xmlns:r="http://schemas.openxmlformats.org/officeDocument/2006/relationships" ref="Q64" r:id="rId41"/>
    <hyperlink xmlns:r="http://schemas.openxmlformats.org/officeDocument/2006/relationships" ref="Q65" r:id="rId42"/>
    <hyperlink xmlns:r="http://schemas.openxmlformats.org/officeDocument/2006/relationships" ref="Q66" r:id="rId43"/>
    <hyperlink xmlns:r="http://schemas.openxmlformats.org/officeDocument/2006/relationships" ref="Q67" r:id="rId44"/>
    <hyperlink xmlns:r="http://schemas.openxmlformats.org/officeDocument/2006/relationships" ref="Q68" r:id="rId45"/>
    <hyperlink xmlns:r="http://schemas.openxmlformats.org/officeDocument/2006/relationships" ref="Q69" r:id="rId46"/>
    <hyperlink xmlns:r="http://schemas.openxmlformats.org/officeDocument/2006/relationships" ref="Q70" r:id="rId47"/>
    <hyperlink xmlns:r="http://schemas.openxmlformats.org/officeDocument/2006/relationships" ref="Q71" r:id="rId48"/>
    <hyperlink xmlns:r="http://schemas.openxmlformats.org/officeDocument/2006/relationships" ref="Q72" r:id="rId49"/>
    <hyperlink xmlns:r="http://schemas.openxmlformats.org/officeDocument/2006/relationships" ref="Q73" r:id="rId50"/>
    <hyperlink xmlns:r="http://schemas.openxmlformats.org/officeDocument/2006/relationships" ref="Q74" r:id="rId51"/>
    <hyperlink xmlns:r="http://schemas.openxmlformats.org/officeDocument/2006/relationships" ref="Q75" r:id="rId52"/>
    <hyperlink xmlns:r="http://schemas.openxmlformats.org/officeDocument/2006/relationships" ref="Q76" r:id="rId53"/>
    <hyperlink xmlns:r="http://schemas.openxmlformats.org/officeDocument/2006/relationships" ref="Q79" r:id="rId54"/>
    <hyperlink xmlns:r="http://schemas.openxmlformats.org/officeDocument/2006/relationships" ref="Q80" r:id="rId55"/>
    <hyperlink xmlns:r="http://schemas.openxmlformats.org/officeDocument/2006/relationships" ref="Q81" r:id="rId56"/>
    <hyperlink xmlns:r="http://schemas.openxmlformats.org/officeDocument/2006/relationships" ref="Q82" r:id="rId57"/>
    <hyperlink xmlns:r="http://schemas.openxmlformats.org/officeDocument/2006/relationships" ref="Q83" r:id="rId58"/>
    <hyperlink xmlns:r="http://schemas.openxmlformats.org/officeDocument/2006/relationships" ref="Q84" r:id="rId59"/>
    <hyperlink xmlns:r="http://schemas.openxmlformats.org/officeDocument/2006/relationships" ref="Q88" r:id="rId60"/>
    <hyperlink xmlns:r="http://schemas.openxmlformats.org/officeDocument/2006/relationships" ref="Q90" r:id="rId61"/>
    <hyperlink xmlns:r="http://schemas.openxmlformats.org/officeDocument/2006/relationships" ref="Q92" r:id="rId62"/>
    <hyperlink xmlns:r="http://schemas.openxmlformats.org/officeDocument/2006/relationships" ref="Q93" r:id="rId63"/>
    <hyperlink xmlns:r="http://schemas.openxmlformats.org/officeDocument/2006/relationships" ref="Q95" r:id="rId64"/>
    <hyperlink xmlns:r="http://schemas.openxmlformats.org/officeDocument/2006/relationships" ref="Q99" r:id="rId65"/>
    <hyperlink xmlns:r="http://schemas.openxmlformats.org/officeDocument/2006/relationships" ref="Q100" r:id="rId66"/>
    <hyperlink xmlns:r="http://schemas.openxmlformats.org/officeDocument/2006/relationships" ref="Q101" r:id="rId67"/>
    <hyperlink xmlns:r="http://schemas.openxmlformats.org/officeDocument/2006/relationships" ref="Q104" r:id="rId68"/>
    <hyperlink xmlns:r="http://schemas.openxmlformats.org/officeDocument/2006/relationships" ref="Q105" r:id="rId69"/>
    <hyperlink xmlns:r="http://schemas.openxmlformats.org/officeDocument/2006/relationships" ref="Q106" r:id="rId70"/>
    <hyperlink xmlns:r="http://schemas.openxmlformats.org/officeDocument/2006/relationships" ref="Q107" r:id="rId71"/>
    <hyperlink xmlns:r="http://schemas.openxmlformats.org/officeDocument/2006/relationships" ref="Q108" r:id="rId72"/>
    <hyperlink xmlns:r="http://schemas.openxmlformats.org/officeDocument/2006/relationships" ref="Q109" r:id="rId73"/>
    <hyperlink xmlns:r="http://schemas.openxmlformats.org/officeDocument/2006/relationships" ref="Q113" r:id="rId74"/>
    <hyperlink xmlns:r="http://schemas.openxmlformats.org/officeDocument/2006/relationships" ref="Q115" r:id="rId75"/>
    <hyperlink xmlns:r="http://schemas.openxmlformats.org/officeDocument/2006/relationships" ref="Q117" r:id="rId76"/>
    <hyperlink xmlns:r="http://schemas.openxmlformats.org/officeDocument/2006/relationships" ref="Q118" r:id="rId77"/>
    <hyperlink xmlns:r="http://schemas.openxmlformats.org/officeDocument/2006/relationships" ref="Q120" r:id="rId78"/>
    <hyperlink xmlns:r="http://schemas.openxmlformats.org/officeDocument/2006/relationships" ref="Q124" r:id="rId79"/>
    <hyperlink xmlns:r="http://schemas.openxmlformats.org/officeDocument/2006/relationships" ref="Q125" r:id="rId80"/>
    <hyperlink xmlns:r="http://schemas.openxmlformats.org/officeDocument/2006/relationships" ref="Q126" r:id="rId81"/>
    <hyperlink xmlns:r="http://schemas.openxmlformats.org/officeDocument/2006/relationships" ref="Q127" r:id="rId82"/>
    <hyperlink xmlns:r="http://schemas.openxmlformats.org/officeDocument/2006/relationships" ref="Q128" r:id="rId83"/>
    <hyperlink xmlns:r="http://schemas.openxmlformats.org/officeDocument/2006/relationships" ref="Q129" r:id="rId84"/>
    <hyperlink xmlns:r="http://schemas.openxmlformats.org/officeDocument/2006/relationships" ref="Q130" r:id="rId85"/>
    <hyperlink xmlns:r="http://schemas.openxmlformats.org/officeDocument/2006/relationships" ref="Q131" r:id="rId86"/>
    <hyperlink xmlns:r="http://schemas.openxmlformats.org/officeDocument/2006/relationships" ref="Q132" r:id="rId87"/>
    <hyperlink xmlns:r="http://schemas.openxmlformats.org/officeDocument/2006/relationships" ref="Q133" r:id="rId88"/>
    <hyperlink xmlns:r="http://schemas.openxmlformats.org/officeDocument/2006/relationships" ref="Q134" r:id="rId89"/>
    <hyperlink xmlns:r="http://schemas.openxmlformats.org/officeDocument/2006/relationships" ref="Q135" r:id="rId90"/>
    <hyperlink xmlns:r="http://schemas.openxmlformats.org/officeDocument/2006/relationships" ref="Q136" r:id="rId91"/>
    <hyperlink xmlns:r="http://schemas.openxmlformats.org/officeDocument/2006/relationships" ref="Q137" r:id="rId92"/>
    <hyperlink xmlns:r="http://schemas.openxmlformats.org/officeDocument/2006/relationships" ref="Q138" r:id="rId93"/>
    <hyperlink xmlns:r="http://schemas.openxmlformats.org/officeDocument/2006/relationships" ref="Q139" r:id="rId94"/>
    <hyperlink xmlns:r="http://schemas.openxmlformats.org/officeDocument/2006/relationships" ref="Q140" r:id="rId95"/>
    <hyperlink xmlns:r="http://schemas.openxmlformats.org/officeDocument/2006/relationships" ref="Q141" r:id="rId96"/>
    <hyperlink xmlns:r="http://schemas.openxmlformats.org/officeDocument/2006/relationships" ref="Q142" r:id="rId97"/>
    <hyperlink xmlns:r="http://schemas.openxmlformats.org/officeDocument/2006/relationships" ref="Q143" r:id="rId98"/>
    <hyperlink xmlns:r="http://schemas.openxmlformats.org/officeDocument/2006/relationships" ref="Q144" r:id="rId99"/>
    <hyperlink xmlns:r="http://schemas.openxmlformats.org/officeDocument/2006/relationships" ref="Q145" r:id="rId100"/>
    <hyperlink xmlns:r="http://schemas.openxmlformats.org/officeDocument/2006/relationships" ref="Q146" r:id="rId101"/>
    <hyperlink xmlns:r="http://schemas.openxmlformats.org/officeDocument/2006/relationships" ref="Q147" r:id="rId102"/>
    <hyperlink xmlns:r="http://schemas.openxmlformats.org/officeDocument/2006/relationships" ref="Q148" r:id="rId103"/>
    <hyperlink xmlns:r="http://schemas.openxmlformats.org/officeDocument/2006/relationships" ref="Q149" r:id="rId104"/>
    <hyperlink xmlns:r="http://schemas.openxmlformats.org/officeDocument/2006/relationships" ref="Q150" r:id="rId105"/>
    <hyperlink xmlns:r="http://schemas.openxmlformats.org/officeDocument/2006/relationships" ref="Q151" r:id="rId106"/>
    <hyperlink xmlns:r="http://schemas.openxmlformats.org/officeDocument/2006/relationships" ref="Q152" r:id="rId107"/>
    <hyperlink xmlns:r="http://schemas.openxmlformats.org/officeDocument/2006/relationships" ref="Q153" r:id="rId108"/>
    <hyperlink xmlns:r="http://schemas.openxmlformats.org/officeDocument/2006/relationships" ref="Q154" r:id="rId109"/>
    <hyperlink xmlns:r="http://schemas.openxmlformats.org/officeDocument/2006/relationships" ref="Q155" r:id="rId110"/>
    <hyperlink xmlns:r="http://schemas.openxmlformats.org/officeDocument/2006/relationships" ref="Q156" r:id="rId111"/>
    <hyperlink xmlns:r="http://schemas.openxmlformats.org/officeDocument/2006/relationships" ref="Q157" r:id="rId112"/>
    <hyperlink xmlns:r="http://schemas.openxmlformats.org/officeDocument/2006/relationships" ref="Q158" r:id="rId113"/>
    <hyperlink xmlns:r="http://schemas.openxmlformats.org/officeDocument/2006/relationships" ref="Q159" r:id="rId114"/>
    <hyperlink xmlns:r="http://schemas.openxmlformats.org/officeDocument/2006/relationships" ref="Q160" r:id="rId115"/>
    <hyperlink xmlns:r="http://schemas.openxmlformats.org/officeDocument/2006/relationships" ref="Q161" r:id="rId116"/>
    <hyperlink xmlns:r="http://schemas.openxmlformats.org/officeDocument/2006/relationships" ref="Q162" r:id="rId117"/>
    <hyperlink xmlns:r="http://schemas.openxmlformats.org/officeDocument/2006/relationships" ref="Q163" r:id="rId118"/>
    <hyperlink xmlns:r="http://schemas.openxmlformats.org/officeDocument/2006/relationships" ref="Q164" r:id="rId119"/>
    <hyperlink xmlns:r="http://schemas.openxmlformats.org/officeDocument/2006/relationships" ref="Q165" r:id="rId120"/>
    <hyperlink xmlns:r="http://schemas.openxmlformats.org/officeDocument/2006/relationships" ref="Q166" r:id="rId121"/>
    <hyperlink xmlns:r="http://schemas.openxmlformats.org/officeDocument/2006/relationships" ref="Q167" r:id="rId122"/>
    <hyperlink xmlns:r="http://schemas.openxmlformats.org/officeDocument/2006/relationships" ref="Q168" r:id="rId123"/>
    <hyperlink xmlns:r="http://schemas.openxmlformats.org/officeDocument/2006/relationships" ref="Q169" r:id="rId124"/>
    <hyperlink xmlns:r="http://schemas.openxmlformats.org/officeDocument/2006/relationships" ref="Q170" r:id="rId125"/>
    <hyperlink xmlns:r="http://schemas.openxmlformats.org/officeDocument/2006/relationships" ref="Q171" r:id="rId126"/>
    <hyperlink xmlns:r="http://schemas.openxmlformats.org/officeDocument/2006/relationships" ref="Q172" r:id="rId127"/>
    <hyperlink xmlns:r="http://schemas.openxmlformats.org/officeDocument/2006/relationships" ref="Q173" r:id="rId128"/>
    <hyperlink xmlns:r="http://schemas.openxmlformats.org/officeDocument/2006/relationships" ref="Q174" r:id="rId129"/>
    <hyperlink xmlns:r="http://schemas.openxmlformats.org/officeDocument/2006/relationships" ref="Q176" r:id="rId130"/>
    <hyperlink xmlns:r="http://schemas.openxmlformats.org/officeDocument/2006/relationships" ref="Q179" r:id="rId131"/>
    <hyperlink xmlns:r="http://schemas.openxmlformats.org/officeDocument/2006/relationships" ref="Q180" r:id="rId132"/>
    <hyperlink xmlns:r="http://schemas.openxmlformats.org/officeDocument/2006/relationships" ref="Q181" r:id="rId133"/>
    <hyperlink xmlns:r="http://schemas.openxmlformats.org/officeDocument/2006/relationships" ref="Q182" r:id="rId134"/>
    <hyperlink xmlns:r="http://schemas.openxmlformats.org/officeDocument/2006/relationships" ref="Q183" r:id="rId135"/>
    <hyperlink xmlns:r="http://schemas.openxmlformats.org/officeDocument/2006/relationships" ref="Q195" r:id="rId136"/>
    <hyperlink xmlns:r="http://schemas.openxmlformats.org/officeDocument/2006/relationships" ref="Q199" r:id="rId137"/>
    <hyperlink xmlns:r="http://schemas.openxmlformats.org/officeDocument/2006/relationships" ref="Q200" r:id="rId138"/>
    <hyperlink xmlns:r="http://schemas.openxmlformats.org/officeDocument/2006/relationships" ref="Q201" r:id="rId139"/>
    <hyperlink xmlns:r="http://schemas.openxmlformats.org/officeDocument/2006/relationships" ref="Q202" r:id="rId140"/>
    <hyperlink xmlns:r="http://schemas.openxmlformats.org/officeDocument/2006/relationships" ref="Q203" r:id="rId141"/>
    <hyperlink xmlns:r="http://schemas.openxmlformats.org/officeDocument/2006/relationships" ref="Q204" r:id="rId142"/>
    <hyperlink xmlns:r="http://schemas.openxmlformats.org/officeDocument/2006/relationships" ref="Q205" r:id="rId143"/>
    <hyperlink xmlns:r="http://schemas.openxmlformats.org/officeDocument/2006/relationships" ref="Q206" r:id="rId144"/>
    <hyperlink xmlns:r="http://schemas.openxmlformats.org/officeDocument/2006/relationships" ref="Q207" r:id="rId145"/>
    <hyperlink xmlns:r="http://schemas.openxmlformats.org/officeDocument/2006/relationships" ref="Q208" r:id="rId146"/>
    <hyperlink xmlns:r="http://schemas.openxmlformats.org/officeDocument/2006/relationships" ref="Q209" r:id="rId147"/>
    <hyperlink xmlns:r="http://schemas.openxmlformats.org/officeDocument/2006/relationships" ref="Q210" r:id="rId148"/>
    <hyperlink xmlns:r="http://schemas.openxmlformats.org/officeDocument/2006/relationships" ref="Q211" r:id="rId149"/>
    <hyperlink xmlns:r="http://schemas.openxmlformats.org/officeDocument/2006/relationships" ref="Q212" r:id="rId150"/>
    <hyperlink xmlns:r="http://schemas.openxmlformats.org/officeDocument/2006/relationships" ref="Q213" r:id="rId151"/>
    <hyperlink xmlns:r="http://schemas.openxmlformats.org/officeDocument/2006/relationships" ref="Q214" r:id="rId152"/>
    <hyperlink xmlns:r="http://schemas.openxmlformats.org/officeDocument/2006/relationships" ref="Q215" r:id="rId153"/>
    <hyperlink xmlns:r="http://schemas.openxmlformats.org/officeDocument/2006/relationships" ref="Q216" r:id="rId154"/>
    <hyperlink xmlns:r="http://schemas.openxmlformats.org/officeDocument/2006/relationships" ref="Q217" r:id="rId155"/>
    <hyperlink xmlns:r="http://schemas.openxmlformats.org/officeDocument/2006/relationships" ref="Q218" r:id="rId156"/>
    <hyperlink xmlns:r="http://schemas.openxmlformats.org/officeDocument/2006/relationships" ref="Q219" r:id="rId157"/>
    <hyperlink xmlns:r="http://schemas.openxmlformats.org/officeDocument/2006/relationships" ref="Q220" r:id="rId158"/>
    <hyperlink xmlns:r="http://schemas.openxmlformats.org/officeDocument/2006/relationships" ref="Q221" r:id="rId159"/>
    <hyperlink xmlns:r="http://schemas.openxmlformats.org/officeDocument/2006/relationships" ref="Q222" r:id="rId160"/>
    <hyperlink xmlns:r="http://schemas.openxmlformats.org/officeDocument/2006/relationships" ref="Q223" r:id="rId161"/>
    <hyperlink xmlns:r="http://schemas.openxmlformats.org/officeDocument/2006/relationships" ref="Q224" r:id="rId162"/>
    <hyperlink xmlns:r="http://schemas.openxmlformats.org/officeDocument/2006/relationships" ref="Q225" r:id="rId163"/>
    <hyperlink xmlns:r="http://schemas.openxmlformats.org/officeDocument/2006/relationships" ref="Q226" r:id="rId164"/>
    <hyperlink xmlns:r="http://schemas.openxmlformats.org/officeDocument/2006/relationships" ref="Q227" r:id="rId165"/>
    <hyperlink xmlns:r="http://schemas.openxmlformats.org/officeDocument/2006/relationships" ref="Q228" r:id="rId166"/>
    <hyperlink xmlns:r="http://schemas.openxmlformats.org/officeDocument/2006/relationships" ref="Q229" r:id="rId167"/>
    <hyperlink xmlns:r="http://schemas.openxmlformats.org/officeDocument/2006/relationships" ref="Q230" r:id="rId168"/>
    <hyperlink xmlns:r="http://schemas.openxmlformats.org/officeDocument/2006/relationships" ref="Q231" r:id="rId169"/>
    <hyperlink xmlns:r="http://schemas.openxmlformats.org/officeDocument/2006/relationships" ref="Q232" r:id="rId170"/>
    <hyperlink xmlns:r="http://schemas.openxmlformats.org/officeDocument/2006/relationships" ref="Q233" r:id="rId171"/>
    <hyperlink xmlns:r="http://schemas.openxmlformats.org/officeDocument/2006/relationships" ref="Q234" r:id="rId172"/>
    <hyperlink xmlns:r="http://schemas.openxmlformats.org/officeDocument/2006/relationships" ref="Q235" r:id="rId173"/>
    <hyperlink xmlns:r="http://schemas.openxmlformats.org/officeDocument/2006/relationships" ref="Q236" r:id="rId174"/>
    <hyperlink xmlns:r="http://schemas.openxmlformats.org/officeDocument/2006/relationships" ref="Q237" r:id="rId175"/>
    <hyperlink xmlns:r="http://schemas.openxmlformats.org/officeDocument/2006/relationships" ref="Q238" r:id="rId176"/>
    <hyperlink xmlns:r="http://schemas.openxmlformats.org/officeDocument/2006/relationships" ref="Q239" r:id="rId177"/>
    <hyperlink xmlns:r="http://schemas.openxmlformats.org/officeDocument/2006/relationships" ref="Q240" r:id="rId178"/>
    <hyperlink xmlns:r="http://schemas.openxmlformats.org/officeDocument/2006/relationships" ref="Q241" r:id="rId179"/>
    <hyperlink xmlns:r="http://schemas.openxmlformats.org/officeDocument/2006/relationships" ref="Q242" r:id="rId180"/>
    <hyperlink xmlns:r="http://schemas.openxmlformats.org/officeDocument/2006/relationships" ref="Q243" r:id="rId181"/>
    <hyperlink xmlns:r="http://schemas.openxmlformats.org/officeDocument/2006/relationships" ref="Q244" r:id="rId182"/>
    <hyperlink xmlns:r="http://schemas.openxmlformats.org/officeDocument/2006/relationships" ref="Q245" r:id="rId183"/>
    <hyperlink xmlns:r="http://schemas.openxmlformats.org/officeDocument/2006/relationships" ref="Q246" r:id="rId184"/>
    <hyperlink xmlns:r="http://schemas.openxmlformats.org/officeDocument/2006/relationships" ref="Q247" r:id="rId185"/>
    <hyperlink xmlns:r="http://schemas.openxmlformats.org/officeDocument/2006/relationships" ref="Q248" r:id="rId186"/>
    <hyperlink xmlns:r="http://schemas.openxmlformats.org/officeDocument/2006/relationships" ref="Q249" r:id="rId187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S68"/>
  <sheetViews>
    <sheetView workbookViewId="0">
      <selection activeCell="H13" sqref="H13"/>
    </sheetView>
  </sheetViews>
  <sheetFormatPr baseColWidth="10" defaultColWidth="8.83203125" defaultRowHeight="15"/>
  <cols>
    <col width="14.33203125" customWidth="1" min="2" max="2"/>
    <col width="37.5" customWidth="1" min="3" max="3"/>
    <col width="7.33203125" customWidth="1" min="4" max="13"/>
    <col width="14.5" customWidth="1" min="14" max="15"/>
    <col width="13.6640625" customWidth="1" min="17" max="17"/>
    <col width="14.83203125" customWidth="1" min="18" max="18"/>
    <col width="15.5" customWidth="1" min="19" max="19"/>
  </cols>
  <sheetData>
    <row r="2">
      <c r="D2" s="176" t="inlineStr">
        <is>
          <t>CTCAC 100% AMI Rents</t>
        </is>
      </c>
      <c r="E2" s="176" t="n"/>
      <c r="F2" s="176" t="n"/>
      <c r="G2" s="176" t="n"/>
      <c r="H2" s="176" t="n"/>
      <c r="I2" s="177" t="inlineStr">
        <is>
          <t>HUD FMR</t>
        </is>
      </c>
      <c r="J2" s="177" t="n"/>
      <c r="K2" s="177" t="n"/>
      <c r="L2" s="177" t="n"/>
      <c r="M2" s="177" t="n"/>
    </row>
    <row r="3" ht="32.25" customFormat="1" customHeight="1" s="52">
      <c r="B3" s="178" t="inlineStr">
        <is>
          <t>County</t>
        </is>
      </c>
      <c r="C3" s="178" t="inlineStr">
        <is>
          <t>CDLAC Region</t>
        </is>
      </c>
      <c r="D3" s="178" t="inlineStr">
        <is>
          <t>0B</t>
        </is>
      </c>
      <c r="E3" s="178" t="inlineStr">
        <is>
          <t>1B</t>
        </is>
      </c>
      <c r="F3" s="178" t="inlineStr">
        <is>
          <t>2B</t>
        </is>
      </c>
      <c r="G3" s="178" t="inlineStr">
        <is>
          <t>3B</t>
        </is>
      </c>
      <c r="H3" s="178" t="inlineStr">
        <is>
          <t>4B</t>
        </is>
      </c>
      <c r="I3" s="178" t="inlineStr">
        <is>
          <t>0B</t>
        </is>
      </c>
      <c r="J3" s="178" t="inlineStr">
        <is>
          <t>1B</t>
        </is>
      </c>
      <c r="K3" s="178" t="inlineStr">
        <is>
          <t>2B</t>
        </is>
      </c>
      <c r="L3" s="178" t="inlineStr">
        <is>
          <t>3B</t>
        </is>
      </c>
      <c r="M3" s="178" t="inlineStr">
        <is>
          <t>4B</t>
        </is>
      </c>
      <c r="N3" s="178" t="inlineStr">
        <is>
          <t>Operating Cost Minimum</t>
        </is>
      </c>
      <c r="O3" s="178" t="inlineStr">
        <is>
          <t>Total Operating Expense/Unit</t>
        </is>
      </c>
      <c r="Q3" s="178" t="inlineStr">
        <is>
          <t>Construction Cost Index</t>
        </is>
      </c>
      <c r="R3" s="178" t="inlineStr">
        <is>
          <t>Adjusted Threshold Basis Limit</t>
        </is>
      </c>
      <c r="S3" s="178" t="n"/>
    </row>
    <row r="4">
      <c r="B4" t="inlineStr">
        <is>
          <t>Alameda</t>
        </is>
      </c>
      <c r="C4" t="inlineStr">
        <is>
          <t>Bay Area Region</t>
        </is>
      </c>
      <c r="D4" s="270" t="n">
        <v>2970</v>
      </c>
      <c r="E4" s="270" t="n">
        <v>3182</v>
      </c>
      <c r="F4" s="270" t="n">
        <v>3820</v>
      </c>
      <c r="G4" s="270" t="n">
        <v>4412</v>
      </c>
      <c r="H4" s="270" t="n">
        <v>4922</v>
      </c>
      <c r="I4" s="42" t="n">
        <v>2142</v>
      </c>
      <c r="J4" s="42" t="n">
        <v>2385</v>
      </c>
      <c r="K4" s="42" t="n">
        <v>2912</v>
      </c>
      <c r="L4" s="42" t="n">
        <v>3724</v>
      </c>
      <c r="M4" s="42" t="n">
        <v>4413</v>
      </c>
      <c r="N4" s="42" t="n">
        <v>7140</v>
      </c>
      <c r="O4" s="3">
        <f>+N4+300+22000/Pro_Forma!$C$14</f>
        <v/>
      </c>
      <c r="Q4" s="227" t="n">
        <v>1.133535660091047</v>
      </c>
      <c r="R4" t="n">
        <v>658400</v>
      </c>
    </row>
    <row r="5">
      <c r="B5" t="inlineStr">
        <is>
          <t>Alpine</t>
        </is>
      </c>
      <c r="C5" t="inlineStr">
        <is>
          <t>None</t>
        </is>
      </c>
      <c r="D5" s="270" t="n">
        <v>2185</v>
      </c>
      <c r="E5" s="270" t="n">
        <v>2341</v>
      </c>
      <c r="F5" s="270" t="n">
        <v>2810</v>
      </c>
      <c r="G5" s="270" t="n">
        <v>3245</v>
      </c>
      <c r="H5" s="270" t="n">
        <v>3620</v>
      </c>
      <c r="I5" s="42" t="n">
        <v>1068</v>
      </c>
      <c r="J5" s="42" t="n">
        <v>1165</v>
      </c>
      <c r="K5" s="42" t="n">
        <v>1529</v>
      </c>
      <c r="L5" s="42" t="n">
        <v>2126</v>
      </c>
      <c r="M5" s="42" t="n">
        <v>2527</v>
      </c>
      <c r="N5" s="42" t="n">
        <v>5400</v>
      </c>
      <c r="O5" s="3">
        <f>+N5+300+22000/Pro_Forma!$C$14</f>
        <v/>
      </c>
      <c r="Q5" s="227" t="n">
        <v>1.047040971168437</v>
      </c>
      <c r="R5" t="n">
        <v>489600</v>
      </c>
    </row>
    <row r="6">
      <c r="B6" t="inlineStr">
        <is>
          <t>Amador</t>
        </is>
      </c>
      <c r="C6" t="inlineStr">
        <is>
          <t>None</t>
        </is>
      </c>
      <c r="D6" s="270" t="n">
        <v>1935</v>
      </c>
      <c r="E6" s="270" t="n">
        <v>2072</v>
      </c>
      <c r="F6" s="270" t="n">
        <v>2487</v>
      </c>
      <c r="G6" s="270" t="n">
        <v>2873</v>
      </c>
      <c r="H6" s="270" t="n">
        <v>3205</v>
      </c>
      <c r="I6" s="42" t="n">
        <v>1387</v>
      </c>
      <c r="J6" s="42" t="n">
        <v>1396</v>
      </c>
      <c r="K6" s="42" t="n">
        <v>1698</v>
      </c>
      <c r="L6" s="42" t="n">
        <v>2220</v>
      </c>
      <c r="M6" s="42" t="n">
        <v>2714</v>
      </c>
      <c r="N6" s="42" t="n">
        <v>5400</v>
      </c>
      <c r="O6" s="3">
        <f>+N6+300+22000/Pro_Forma!$C$14</f>
        <v/>
      </c>
      <c r="Q6" s="227" t="n">
        <v>1.03793626707132</v>
      </c>
      <c r="R6" t="n">
        <v>489600</v>
      </c>
    </row>
    <row r="7">
      <c r="B7" t="inlineStr">
        <is>
          <t>Butte</t>
        </is>
      </c>
      <c r="C7" t="inlineStr">
        <is>
          <t>Northern Region</t>
        </is>
      </c>
      <c r="D7" s="270" t="n">
        <v>1700</v>
      </c>
      <c r="E7" s="270" t="n">
        <v>1821</v>
      </c>
      <c r="F7" s="270" t="n">
        <v>2185</v>
      </c>
      <c r="G7" s="270" t="n">
        <v>2525</v>
      </c>
      <c r="H7" s="270" t="n">
        <v>2817</v>
      </c>
      <c r="I7" s="42" t="n">
        <v>1155</v>
      </c>
      <c r="J7" s="42" t="n">
        <v>1270</v>
      </c>
      <c r="K7" s="42" t="n">
        <v>1625</v>
      </c>
      <c r="L7" s="42" t="n">
        <v>2260</v>
      </c>
      <c r="M7" s="42" t="n">
        <v>2726</v>
      </c>
      <c r="N7" s="42" t="n">
        <v>5300</v>
      </c>
      <c r="O7" s="3">
        <f>+N7+300+22000/Pro_Forma!$C$14</f>
        <v/>
      </c>
      <c r="Q7" s="227" t="n">
        <v>1.03793626707132</v>
      </c>
      <c r="R7" t="n">
        <v>444000</v>
      </c>
    </row>
    <row r="8">
      <c r="B8" t="inlineStr">
        <is>
          <t>Calaveras</t>
        </is>
      </c>
      <c r="C8" t="inlineStr">
        <is>
          <t>None</t>
        </is>
      </c>
      <c r="D8" s="270" t="n">
        <v>1797</v>
      </c>
      <c r="E8" s="270" t="n">
        <v>1925</v>
      </c>
      <c r="F8" s="270" t="n">
        <v>2310</v>
      </c>
      <c r="G8" s="270" t="n">
        <v>2668</v>
      </c>
      <c r="H8" s="270" t="n">
        <v>2977</v>
      </c>
      <c r="I8" s="42" t="n">
        <v>1078</v>
      </c>
      <c r="J8" s="42" t="n">
        <v>1175</v>
      </c>
      <c r="K8" s="42" t="n">
        <v>1542</v>
      </c>
      <c r="L8" s="42" t="n">
        <v>2145</v>
      </c>
      <c r="M8" s="42" t="n">
        <v>2316</v>
      </c>
      <c r="N8" s="42" t="n">
        <v>5400</v>
      </c>
      <c r="O8" s="3">
        <f>+N8+300+22000/Pro_Forma!$C$14</f>
        <v/>
      </c>
      <c r="Q8" s="227" t="n">
        <v>1.03793626707132</v>
      </c>
      <c r="R8" t="n">
        <v>489600</v>
      </c>
    </row>
    <row r="9">
      <c r="B9" t="inlineStr">
        <is>
          <t>Colusa</t>
        </is>
      </c>
      <c r="C9" t="inlineStr">
        <is>
          <t>None</t>
        </is>
      </c>
      <c r="D9" s="270" t="n">
        <v>1700</v>
      </c>
      <c r="E9" s="270" t="n">
        <v>1821</v>
      </c>
      <c r="F9" s="270" t="n">
        <v>2185</v>
      </c>
      <c r="G9" s="270" t="n">
        <v>2525</v>
      </c>
      <c r="H9" s="270" t="n">
        <v>2817</v>
      </c>
      <c r="I9" s="42" t="n">
        <v>989</v>
      </c>
      <c r="J9" s="42" t="n">
        <v>995</v>
      </c>
      <c r="K9" s="42" t="n">
        <v>1306</v>
      </c>
      <c r="L9" s="42" t="n">
        <v>1723</v>
      </c>
      <c r="M9" s="42" t="n">
        <v>1729</v>
      </c>
      <c r="N9" s="42" t="n">
        <v>5400</v>
      </c>
      <c r="O9" s="3">
        <f>+N9+300+22000/Pro_Forma!$C$14</f>
        <v/>
      </c>
      <c r="Q9" s="227" t="n">
        <v>1.047040971168437</v>
      </c>
      <c r="R9" t="n">
        <v>489600</v>
      </c>
    </row>
    <row r="10">
      <c r="B10" t="inlineStr">
        <is>
          <t>Contra Costa</t>
        </is>
      </c>
      <c r="C10" t="inlineStr">
        <is>
          <t>Bay Area Region</t>
        </is>
      </c>
      <c r="D10" s="270" t="n">
        <v>2970</v>
      </c>
      <c r="E10" s="270" t="n">
        <v>3182</v>
      </c>
      <c r="F10" s="270" t="n">
        <v>3820</v>
      </c>
      <c r="G10" s="270" t="n">
        <v>4412</v>
      </c>
      <c r="H10" s="270" t="n">
        <v>4922</v>
      </c>
      <c r="I10" s="42" t="n">
        <v>2142</v>
      </c>
      <c r="J10" s="42" t="n">
        <v>2385</v>
      </c>
      <c r="K10" s="42" t="n">
        <v>2912</v>
      </c>
      <c r="L10" s="42" t="n">
        <v>3724</v>
      </c>
      <c r="M10" s="42" t="n">
        <v>4413</v>
      </c>
      <c r="N10" s="42" t="n">
        <v>7140</v>
      </c>
      <c r="O10" s="3">
        <f>+N10+300+22000/Pro_Forma!$C$14</f>
        <v/>
      </c>
      <c r="Q10" s="227" t="n">
        <v>1.110773899848255</v>
      </c>
      <c r="R10" t="n">
        <v>658400</v>
      </c>
    </row>
    <row r="11">
      <c r="B11" t="inlineStr">
        <is>
          <t>Del Norte</t>
        </is>
      </c>
      <c r="C11" t="inlineStr">
        <is>
          <t>None</t>
        </is>
      </c>
      <c r="D11" s="270" t="n">
        <v>1700</v>
      </c>
      <c r="E11" s="270" t="n">
        <v>1821</v>
      </c>
      <c r="F11" s="270" t="n">
        <v>2185</v>
      </c>
      <c r="G11" s="270" t="n">
        <v>2525</v>
      </c>
      <c r="H11" s="270" t="n">
        <v>2817</v>
      </c>
      <c r="I11" s="42" t="n">
        <v>957</v>
      </c>
      <c r="J11" s="42" t="n">
        <v>1222</v>
      </c>
      <c r="K11" s="42" t="n">
        <v>1370</v>
      </c>
      <c r="L11" s="42" t="n">
        <v>1905</v>
      </c>
      <c r="M11" s="42" t="n">
        <v>2277</v>
      </c>
      <c r="N11" s="42" t="n">
        <v>5400</v>
      </c>
      <c r="O11" s="3">
        <f>+N11+300+22000/Pro_Forma!$C$14</f>
        <v/>
      </c>
      <c r="Q11" s="227" t="n">
        <v>1.074355083459788</v>
      </c>
      <c r="R11" t="n">
        <v>489600</v>
      </c>
    </row>
    <row r="12">
      <c r="B12" t="inlineStr">
        <is>
          <t>El Dorado</t>
        </is>
      </c>
      <c r="C12" t="inlineStr">
        <is>
          <t>Northern Region</t>
        </is>
      </c>
      <c r="D12" s="270" t="n">
        <v>2300</v>
      </c>
      <c r="E12" s="270" t="n">
        <v>2465</v>
      </c>
      <c r="F12" s="270" t="n">
        <v>2957</v>
      </c>
      <c r="G12" s="270" t="n">
        <v>3417</v>
      </c>
      <c r="H12" s="270" t="n">
        <v>3812</v>
      </c>
      <c r="I12" s="42" t="n">
        <v>1748</v>
      </c>
      <c r="J12" s="42" t="n">
        <v>1832</v>
      </c>
      <c r="K12" s="42" t="n">
        <v>2255</v>
      </c>
      <c r="L12" s="42" t="n">
        <v>3002</v>
      </c>
      <c r="M12" s="42" t="n">
        <v>3460</v>
      </c>
      <c r="N12" s="42" t="n">
        <v>5300</v>
      </c>
      <c r="O12" s="3">
        <f>+N12+300+22000/Pro_Forma!$C$14</f>
        <v/>
      </c>
      <c r="Q12" s="227" t="n">
        <v>1.047040971168437</v>
      </c>
      <c r="R12" t="n">
        <v>461600</v>
      </c>
    </row>
    <row r="13">
      <c r="B13" t="inlineStr">
        <is>
          <t>Fresno</t>
        </is>
      </c>
      <c r="C13" t="inlineStr">
        <is>
          <t>Inland Region</t>
        </is>
      </c>
      <c r="D13" s="270" t="n">
        <v>1700</v>
      </c>
      <c r="E13" s="270" t="n">
        <v>1821</v>
      </c>
      <c r="F13" s="270" t="n">
        <v>2185</v>
      </c>
      <c r="G13" s="270" t="n">
        <v>2525</v>
      </c>
      <c r="H13" s="270" t="n">
        <v>2817</v>
      </c>
      <c r="I13" s="42" t="n">
        <v>1347</v>
      </c>
      <c r="J13" s="42" t="n">
        <v>1355</v>
      </c>
      <c r="K13" s="42" t="n">
        <v>1664</v>
      </c>
      <c r="L13" s="42" t="n">
        <v>2314</v>
      </c>
      <c r="M13" s="42" t="n">
        <v>2660</v>
      </c>
      <c r="N13" s="42" t="n">
        <v>5000</v>
      </c>
      <c r="O13" s="3">
        <f>+N13+300+22000/Pro_Forma!$C$14</f>
        <v/>
      </c>
      <c r="Q13" s="227" t="n">
        <v>1.028831562974203</v>
      </c>
      <c r="R13" t="n">
        <v>428000</v>
      </c>
    </row>
    <row r="14">
      <c r="B14" t="inlineStr">
        <is>
          <t>Glenn</t>
        </is>
      </c>
      <c r="C14" t="inlineStr">
        <is>
          <t>None</t>
        </is>
      </c>
      <c r="D14" s="270" t="n">
        <v>1700</v>
      </c>
      <c r="E14" s="270" t="n">
        <v>1821</v>
      </c>
      <c r="F14" s="270" t="n">
        <v>2185</v>
      </c>
      <c r="G14" s="270" t="n">
        <v>2525</v>
      </c>
      <c r="H14" s="270" t="n">
        <v>2817</v>
      </c>
      <c r="I14" s="42" t="n">
        <v>939</v>
      </c>
      <c r="J14" s="42" t="n">
        <v>1038</v>
      </c>
      <c r="K14" s="42" t="n">
        <v>1362</v>
      </c>
      <c r="L14" s="42" t="n">
        <v>1807</v>
      </c>
      <c r="M14" s="42" t="n">
        <v>2179</v>
      </c>
      <c r="N14" s="42" t="n">
        <v>5400</v>
      </c>
      <c r="O14" s="3">
        <f>+N14+300+22000/Pro_Forma!$C$14</f>
        <v/>
      </c>
      <c r="Q14" s="227" t="n">
        <v>1.083459787556905</v>
      </c>
      <c r="R14" t="n">
        <v>489600</v>
      </c>
    </row>
    <row r="15">
      <c r="B15" t="inlineStr">
        <is>
          <t>Humboldt</t>
        </is>
      </c>
      <c r="C15" t="inlineStr">
        <is>
          <t>None</t>
        </is>
      </c>
      <c r="D15" s="270" t="n">
        <v>1700</v>
      </c>
      <c r="E15" s="270" t="n">
        <v>1821</v>
      </c>
      <c r="F15" s="270" t="n">
        <v>2185</v>
      </c>
      <c r="G15" s="270" t="n">
        <v>2525</v>
      </c>
      <c r="H15" s="270" t="n">
        <v>2817</v>
      </c>
      <c r="I15" s="42" t="n">
        <v>1112</v>
      </c>
      <c r="J15" s="42" t="n">
        <v>1186</v>
      </c>
      <c r="K15" s="42" t="n">
        <v>1550</v>
      </c>
      <c r="L15" s="42" t="n">
        <v>2156</v>
      </c>
      <c r="M15" s="42" t="n">
        <v>2600</v>
      </c>
      <c r="N15" s="42" t="n">
        <v>5400</v>
      </c>
      <c r="O15" s="3">
        <f>+N15+300+22000/Pro_Forma!$C$14</f>
        <v/>
      </c>
      <c r="Q15" s="227" t="n">
        <v>1.074355083459788</v>
      </c>
      <c r="R15" t="n">
        <v>489600</v>
      </c>
    </row>
    <row r="16">
      <c r="B16" t="inlineStr">
        <is>
          <t>Imperial</t>
        </is>
      </c>
      <c r="C16" t="inlineStr">
        <is>
          <t>Inland Region</t>
        </is>
      </c>
      <c r="D16" s="270" t="n">
        <v>1700</v>
      </c>
      <c r="E16" s="270" t="n">
        <v>1821</v>
      </c>
      <c r="F16" s="270" t="n">
        <v>2185</v>
      </c>
      <c r="G16" s="270" t="n">
        <v>2525</v>
      </c>
      <c r="H16" s="270" t="n">
        <v>2817</v>
      </c>
      <c r="I16" s="42" t="n">
        <v>939</v>
      </c>
      <c r="J16" s="42" t="n">
        <v>1038</v>
      </c>
      <c r="K16" s="42" t="n">
        <v>1362</v>
      </c>
      <c r="L16" s="42" t="n">
        <v>1845</v>
      </c>
      <c r="M16" s="42" t="n">
        <v>2285</v>
      </c>
      <c r="N16" s="42" t="n">
        <v>5200</v>
      </c>
      <c r="O16" s="3">
        <f>+N16+300+22000/Pro_Forma!$C$14</f>
        <v/>
      </c>
      <c r="Q16" s="227" t="n">
        <v>0.9924127465857362</v>
      </c>
      <c r="R16" t="n">
        <v>452000</v>
      </c>
    </row>
    <row r="17">
      <c r="B17" t="inlineStr">
        <is>
          <t>Inyo</t>
        </is>
      </c>
      <c r="C17" t="inlineStr">
        <is>
          <t>None</t>
        </is>
      </c>
      <c r="D17" s="270" t="n">
        <v>1700</v>
      </c>
      <c r="E17" s="270" t="n">
        <v>1821</v>
      </c>
      <c r="F17" s="270" t="n">
        <v>2185</v>
      </c>
      <c r="G17" s="270" t="n">
        <v>2525</v>
      </c>
      <c r="H17" s="270" t="n">
        <v>2817</v>
      </c>
      <c r="I17" s="42" t="n">
        <v>1058</v>
      </c>
      <c r="J17" s="42" t="n">
        <v>1381</v>
      </c>
      <c r="K17" s="42" t="n">
        <v>1514</v>
      </c>
      <c r="L17" s="42" t="n">
        <v>1940</v>
      </c>
      <c r="M17" s="42" t="n">
        <v>2540</v>
      </c>
      <c r="N17" s="42" t="n">
        <v>5400</v>
      </c>
      <c r="O17" s="3">
        <f>+N17+300+22000/Pro_Forma!$C$14</f>
        <v/>
      </c>
      <c r="Q17" s="227" t="n">
        <v>0.9833080424886194</v>
      </c>
      <c r="R17" t="n">
        <v>489600</v>
      </c>
    </row>
    <row r="18">
      <c r="B18" t="inlineStr">
        <is>
          <t>Kern</t>
        </is>
      </c>
      <c r="C18" t="inlineStr">
        <is>
          <t>Inland Region</t>
        </is>
      </c>
      <c r="D18" s="270" t="n">
        <v>1700</v>
      </c>
      <c r="E18" s="270" t="n">
        <v>1821</v>
      </c>
      <c r="F18" s="270" t="n">
        <v>2185</v>
      </c>
      <c r="G18" s="270" t="n">
        <v>2525</v>
      </c>
      <c r="H18" s="270" t="n">
        <v>2817</v>
      </c>
      <c r="I18" s="42" t="n">
        <v>1132</v>
      </c>
      <c r="J18" s="42" t="n">
        <v>1140</v>
      </c>
      <c r="K18" s="42" t="n">
        <v>1483</v>
      </c>
      <c r="L18" s="42" t="n">
        <v>2062</v>
      </c>
      <c r="M18" s="42" t="n">
        <v>2488</v>
      </c>
      <c r="N18" s="42" t="n">
        <v>5000</v>
      </c>
      <c r="O18" s="3">
        <f>+N18+300+22000/Pro_Forma!$C$14</f>
        <v/>
      </c>
      <c r="Q18" s="227" t="n">
        <v>0.9833080424886194</v>
      </c>
      <c r="R18" t="n">
        <v>428000</v>
      </c>
    </row>
    <row r="19">
      <c r="B19" t="inlineStr">
        <is>
          <t>Kings</t>
        </is>
      </c>
      <c r="C19" t="inlineStr">
        <is>
          <t>Inland Region</t>
        </is>
      </c>
      <c r="D19" s="270" t="n">
        <v>1700</v>
      </c>
      <c r="E19" s="270" t="n">
        <v>1821</v>
      </c>
      <c r="F19" s="270" t="n">
        <v>2185</v>
      </c>
      <c r="G19" s="270" t="n">
        <v>2525</v>
      </c>
      <c r="H19" s="270" t="n">
        <v>2817</v>
      </c>
      <c r="I19" s="42" t="n">
        <v>1150</v>
      </c>
      <c r="J19" s="42" t="n">
        <v>1157</v>
      </c>
      <c r="K19" s="42" t="n">
        <v>1469</v>
      </c>
      <c r="L19" s="42" t="n">
        <v>2043</v>
      </c>
      <c r="M19" s="42" t="n">
        <v>2451</v>
      </c>
      <c r="N19" s="42" t="n">
        <v>5000</v>
      </c>
      <c r="O19" s="3">
        <f>+N19+300+22000/Pro_Forma!$C$14</f>
        <v/>
      </c>
      <c r="Q19" s="227" t="n">
        <v>1.028831562974203</v>
      </c>
      <c r="R19" t="n">
        <v>428000</v>
      </c>
    </row>
    <row r="20">
      <c r="B20" t="inlineStr">
        <is>
          <t>Lake</t>
        </is>
      </c>
      <c r="C20" t="inlineStr">
        <is>
          <t>None</t>
        </is>
      </c>
      <c r="D20" s="270" t="n">
        <v>1700</v>
      </c>
      <c r="E20" s="270" t="n">
        <v>1821</v>
      </c>
      <c r="F20" s="270" t="n">
        <v>2185</v>
      </c>
      <c r="G20" s="270" t="n">
        <v>2525</v>
      </c>
      <c r="H20" s="270" t="n">
        <v>2817</v>
      </c>
      <c r="I20" s="42" t="n">
        <v>1173</v>
      </c>
      <c r="J20" s="42" t="n">
        <v>1181</v>
      </c>
      <c r="K20" s="42" t="n">
        <v>1549</v>
      </c>
      <c r="L20" s="42" t="n">
        <v>2154</v>
      </c>
      <c r="M20" s="42" t="n">
        <v>2599</v>
      </c>
      <c r="N20" s="42" t="n">
        <v>5400</v>
      </c>
      <c r="O20" s="3">
        <f>+N20+300+22000/Pro_Forma!$C$14</f>
        <v/>
      </c>
      <c r="Q20" s="227" t="n">
        <v>1.110773899848255</v>
      </c>
      <c r="R20" t="n">
        <v>489600</v>
      </c>
    </row>
    <row r="21">
      <c r="B21" t="inlineStr">
        <is>
          <t>Lassen</t>
        </is>
      </c>
      <c r="C21" t="inlineStr">
        <is>
          <t>None</t>
        </is>
      </c>
      <c r="D21" s="270" t="n">
        <v>1700</v>
      </c>
      <c r="E21" s="270" t="n">
        <v>1821</v>
      </c>
      <c r="F21" s="270" t="n">
        <v>2185</v>
      </c>
      <c r="G21" s="270" t="n">
        <v>2525</v>
      </c>
      <c r="H21" s="270" t="n">
        <v>2817</v>
      </c>
      <c r="I21" s="42" t="n">
        <v>882</v>
      </c>
      <c r="J21" s="42" t="n">
        <v>1016</v>
      </c>
      <c r="K21" s="42" t="n">
        <v>1279</v>
      </c>
      <c r="L21" s="42" t="n">
        <v>1779</v>
      </c>
      <c r="M21" s="42" t="n">
        <v>2146</v>
      </c>
      <c r="N21" s="42" t="n">
        <v>5400</v>
      </c>
      <c r="O21" s="3">
        <f>+N21+300+22000/Pro_Forma!$C$14</f>
        <v/>
      </c>
      <c r="Q21" s="227" t="n">
        <v>1.074355083459788</v>
      </c>
      <c r="R21" t="n">
        <v>489600</v>
      </c>
    </row>
    <row r="22">
      <c r="B22" t="inlineStr">
        <is>
          <t>Los Angeles</t>
        </is>
      </c>
      <c r="C22" t="inlineStr">
        <is>
          <t>City of Los Angeles (if within city limits); Balance of Los Angeles County (if outside city limits)</t>
        </is>
      </c>
      <c r="D22" s="270" t="n">
        <v>2915</v>
      </c>
      <c r="E22" s="270" t="n">
        <v>3123</v>
      </c>
      <c r="F22" s="270" t="n">
        <v>3747</v>
      </c>
      <c r="G22" s="270" t="n">
        <v>4331</v>
      </c>
      <c r="H22" s="270" t="n">
        <v>4830</v>
      </c>
      <c r="I22" s="42" t="n">
        <v>1863</v>
      </c>
      <c r="J22" s="42" t="n">
        <v>2085</v>
      </c>
      <c r="K22" s="42" t="n">
        <v>2601</v>
      </c>
      <c r="L22" s="42" t="n">
        <v>3298</v>
      </c>
      <c r="M22" s="42" t="n">
        <v>3672</v>
      </c>
      <c r="N22" s="42" t="n">
        <v>6300</v>
      </c>
      <c r="O22" s="3">
        <f>+N22+300+22000/Pro_Forma!$C$14</f>
        <v/>
      </c>
      <c r="Q22" s="227" t="n">
        <v>0.9999999999999998</v>
      </c>
      <c r="R22" t="n">
        <v>608800</v>
      </c>
    </row>
    <row r="23">
      <c r="B23" t="inlineStr">
        <is>
          <t>Madera</t>
        </is>
      </c>
      <c r="C23" t="inlineStr">
        <is>
          <t>Inland Region</t>
        </is>
      </c>
      <c r="D23" s="270" t="n">
        <v>1700</v>
      </c>
      <c r="E23" s="270" t="n">
        <v>1821</v>
      </c>
      <c r="F23" s="270" t="n">
        <v>2185</v>
      </c>
      <c r="G23" s="270" t="n">
        <v>2525</v>
      </c>
      <c r="H23" s="270" t="n">
        <v>2817</v>
      </c>
      <c r="I23" s="42" t="n">
        <v>1055</v>
      </c>
      <c r="J23" s="42" t="n">
        <v>1062</v>
      </c>
      <c r="K23" s="42" t="n">
        <v>1376</v>
      </c>
      <c r="L23" s="42" t="n">
        <v>1914</v>
      </c>
      <c r="M23" s="42" t="n">
        <v>2275</v>
      </c>
      <c r="N23" s="42" t="n">
        <v>5000</v>
      </c>
      <c r="O23" s="3">
        <f>+N23+300+22000/Pro_Forma!$C$14</f>
        <v/>
      </c>
      <c r="Q23" s="227" t="n">
        <v>1.028831562974203</v>
      </c>
      <c r="R23" t="n">
        <v>428000</v>
      </c>
    </row>
    <row r="24">
      <c r="B24" t="inlineStr">
        <is>
          <t>Marin</t>
        </is>
      </c>
      <c r="C24" t="inlineStr">
        <is>
          <t>Bay Area Region</t>
        </is>
      </c>
      <c r="D24" s="270" t="n">
        <v>3677</v>
      </c>
      <c r="E24" s="270" t="n">
        <v>3940</v>
      </c>
      <c r="F24" s="270" t="n">
        <v>4727</v>
      </c>
      <c r="G24" s="270" t="n">
        <v>5463</v>
      </c>
      <c r="H24" s="270" t="n">
        <v>6095</v>
      </c>
      <c r="I24" s="42" t="n">
        <v>2485</v>
      </c>
      <c r="J24" s="42" t="n">
        <v>2977</v>
      </c>
      <c r="K24" s="42" t="n">
        <v>3604</v>
      </c>
      <c r="L24" s="42" t="n">
        <v>4604</v>
      </c>
      <c r="M24" s="42" t="n">
        <v>4772</v>
      </c>
      <c r="N24" s="42" t="n">
        <v>5300</v>
      </c>
      <c r="O24" s="3">
        <f>+N24+300+22000/Pro_Forma!$C$14</f>
        <v/>
      </c>
      <c r="Q24" s="227" t="n">
        <v>1.138088012139606</v>
      </c>
      <c r="R24" t="n">
        <v>534400</v>
      </c>
    </row>
    <row r="25">
      <c r="B25" t="inlineStr">
        <is>
          <t>Mariposa</t>
        </is>
      </c>
      <c r="C25" t="inlineStr">
        <is>
          <t>None</t>
        </is>
      </c>
      <c r="D25" s="270" t="n">
        <v>1700</v>
      </c>
      <c r="E25" s="270" t="n">
        <v>1821</v>
      </c>
      <c r="F25" s="270" t="n">
        <v>2185</v>
      </c>
      <c r="G25" s="270" t="n">
        <v>2525</v>
      </c>
      <c r="H25" s="270" t="n">
        <v>2817</v>
      </c>
      <c r="I25" s="42" t="n">
        <v>1016</v>
      </c>
      <c r="J25" s="42" t="n">
        <v>1148</v>
      </c>
      <c r="K25" s="42" t="n">
        <v>1454</v>
      </c>
      <c r="L25" s="42" t="n">
        <v>2022</v>
      </c>
      <c r="M25" s="42" t="n">
        <v>2439</v>
      </c>
      <c r="N25" s="42" t="n">
        <v>5400</v>
      </c>
      <c r="O25" s="3">
        <f>+N25+300+22000/Pro_Forma!$C$14</f>
        <v/>
      </c>
      <c r="Q25" s="227" t="n">
        <v>1.03793626707132</v>
      </c>
      <c r="R25" t="n">
        <v>489600</v>
      </c>
    </row>
    <row r="26">
      <c r="B26" t="inlineStr">
        <is>
          <t>Mendocino</t>
        </is>
      </c>
      <c r="C26" t="inlineStr">
        <is>
          <t>None</t>
        </is>
      </c>
      <c r="D26" s="270" t="n">
        <v>1747</v>
      </c>
      <c r="E26" s="270" t="n">
        <v>1872</v>
      </c>
      <c r="F26" s="270" t="n">
        <v>2247</v>
      </c>
      <c r="G26" s="270" t="n">
        <v>2595</v>
      </c>
      <c r="H26" s="270" t="n">
        <v>2895</v>
      </c>
      <c r="I26" s="42" t="n">
        <v>1269</v>
      </c>
      <c r="J26" s="42" t="n">
        <v>1306</v>
      </c>
      <c r="K26" s="42" t="n">
        <v>1713</v>
      </c>
      <c r="L26" s="42" t="n">
        <v>2382</v>
      </c>
      <c r="M26" s="42" t="n">
        <v>2789</v>
      </c>
      <c r="N26" s="42" t="n">
        <v>5400</v>
      </c>
      <c r="O26" s="3">
        <f>+N26+300+22000/Pro_Forma!$C$14</f>
        <v/>
      </c>
      <c r="Q26" s="227" t="n">
        <v>1.110773899848255</v>
      </c>
      <c r="R26" t="n">
        <v>489600</v>
      </c>
    </row>
    <row r="27">
      <c r="B27" t="inlineStr">
        <is>
          <t>Merced</t>
        </is>
      </c>
      <c r="C27" t="inlineStr">
        <is>
          <t>Inland Region</t>
        </is>
      </c>
      <c r="D27" s="270" t="n">
        <v>1700</v>
      </c>
      <c r="E27" s="270" t="n">
        <v>1821</v>
      </c>
      <c r="F27" s="270" t="n">
        <v>2185</v>
      </c>
      <c r="G27" s="270" t="n">
        <v>2525</v>
      </c>
      <c r="H27" s="270" t="n">
        <v>2817</v>
      </c>
      <c r="I27" s="42" t="n">
        <v>1116</v>
      </c>
      <c r="J27" s="42" t="n">
        <v>1213</v>
      </c>
      <c r="K27" s="42" t="n">
        <v>1503</v>
      </c>
      <c r="L27" s="42" t="n">
        <v>2067</v>
      </c>
      <c r="M27" s="42" t="n">
        <v>2503</v>
      </c>
      <c r="N27" s="42" t="n">
        <v>5000</v>
      </c>
      <c r="O27" s="3">
        <f>+N27+300+22000/Pro_Forma!$C$14</f>
        <v/>
      </c>
      <c r="Q27" s="227" t="n">
        <v>1.03793626707132</v>
      </c>
      <c r="R27" t="n">
        <v>428000</v>
      </c>
    </row>
    <row r="28">
      <c r="B28" t="inlineStr">
        <is>
          <t>Modoc</t>
        </is>
      </c>
      <c r="C28" t="inlineStr">
        <is>
          <t>None</t>
        </is>
      </c>
      <c r="D28" s="270" t="n">
        <v>1700</v>
      </c>
      <c r="E28" s="270" t="n">
        <v>1821</v>
      </c>
      <c r="F28" s="270" t="n">
        <v>2185</v>
      </c>
      <c r="G28" s="270" t="n">
        <v>2525</v>
      </c>
      <c r="H28" s="270" t="n">
        <v>2817</v>
      </c>
      <c r="I28" s="42" t="n">
        <v>774</v>
      </c>
      <c r="J28" s="42" t="n">
        <v>883</v>
      </c>
      <c r="K28" s="42" t="n">
        <v>1108</v>
      </c>
      <c r="L28" s="42" t="n">
        <v>1434</v>
      </c>
      <c r="M28" s="42" t="n">
        <v>1831</v>
      </c>
      <c r="N28" s="42" t="n">
        <v>5400</v>
      </c>
      <c r="O28" s="3">
        <f>+N28+300+22000/Pro_Forma!$C$14</f>
        <v/>
      </c>
      <c r="Q28" s="227" t="n">
        <v>1.074355083459788</v>
      </c>
      <c r="R28" t="n">
        <v>489600</v>
      </c>
    </row>
    <row r="29">
      <c r="B29" t="inlineStr">
        <is>
          <t>Mono</t>
        </is>
      </c>
      <c r="C29" t="inlineStr">
        <is>
          <t>None</t>
        </is>
      </c>
      <c r="D29" s="270" t="n">
        <v>1962</v>
      </c>
      <c r="E29" s="270" t="n">
        <v>2103</v>
      </c>
      <c r="F29" s="270" t="n">
        <v>2522</v>
      </c>
      <c r="G29" s="270" t="n">
        <v>2918</v>
      </c>
      <c r="H29" s="270" t="n">
        <v>3255</v>
      </c>
      <c r="I29" s="42" t="n">
        <v>1171</v>
      </c>
      <c r="J29" s="42" t="n">
        <v>1528</v>
      </c>
      <c r="K29" s="42" t="n">
        <v>1675</v>
      </c>
      <c r="L29" s="42" t="n">
        <v>2330</v>
      </c>
      <c r="M29" s="42" t="n">
        <v>2769</v>
      </c>
      <c r="N29" s="42" t="n">
        <v>5400</v>
      </c>
      <c r="O29" s="3">
        <f>+N29+300+22000/Pro_Forma!$C$14</f>
        <v/>
      </c>
      <c r="Q29" s="227" t="n">
        <v>1.028831562974203</v>
      </c>
      <c r="R29" t="n">
        <v>489600</v>
      </c>
    </row>
    <row r="30">
      <c r="B30" t="inlineStr">
        <is>
          <t>Monterey</t>
        </is>
      </c>
      <c r="C30" t="inlineStr">
        <is>
          <t>Coastal Region</t>
        </is>
      </c>
      <c r="D30" s="270" t="n">
        <v>2737</v>
      </c>
      <c r="E30" s="270" t="n">
        <v>2933</v>
      </c>
      <c r="F30" s="270" t="n">
        <v>3520</v>
      </c>
      <c r="G30" s="270" t="n">
        <v>4067</v>
      </c>
      <c r="H30" s="270" t="n">
        <v>4537</v>
      </c>
      <c r="I30" s="42" t="n">
        <v>2173</v>
      </c>
      <c r="J30" s="42" t="n">
        <v>2232</v>
      </c>
      <c r="K30" s="42" t="n">
        <v>2684</v>
      </c>
      <c r="L30" s="42" t="n">
        <v>3623</v>
      </c>
      <c r="M30" s="42" t="n">
        <v>3945</v>
      </c>
      <c r="N30" s="42" t="n">
        <v>5670</v>
      </c>
      <c r="O30" s="3">
        <f>+N30+300+22000/Pro_Forma!$C$14</f>
        <v/>
      </c>
      <c r="Q30" s="227" t="n">
        <v>1.056145675265554</v>
      </c>
      <c r="R30" t="n">
        <v>562400</v>
      </c>
    </row>
    <row r="31">
      <c r="B31" t="inlineStr">
        <is>
          <t>Napa</t>
        </is>
      </c>
      <c r="C31" t="inlineStr">
        <is>
          <t>Coastal Region</t>
        </is>
      </c>
      <c r="D31" s="270" t="n">
        <v>3085</v>
      </c>
      <c r="E31" s="270" t="n">
        <v>3305</v>
      </c>
      <c r="F31" s="270" t="n">
        <v>3967</v>
      </c>
      <c r="G31" s="270" t="n">
        <v>4585</v>
      </c>
      <c r="H31" s="270" t="n">
        <v>5115</v>
      </c>
      <c r="I31" s="42" t="n">
        <v>1912</v>
      </c>
      <c r="J31" s="42" t="n">
        <v>2113</v>
      </c>
      <c r="K31" s="42" t="n">
        <v>2773</v>
      </c>
      <c r="L31" s="42" t="n">
        <v>3532</v>
      </c>
      <c r="M31" s="42" t="n">
        <v>4134</v>
      </c>
      <c r="N31" s="42" t="n">
        <v>5300</v>
      </c>
      <c r="O31" s="3">
        <f>+N31+300+22000/Pro_Forma!$C$14</f>
        <v/>
      </c>
      <c r="Q31" s="227" t="n">
        <v>1.083459787556905</v>
      </c>
      <c r="R31" t="n">
        <v>534400</v>
      </c>
    </row>
    <row r="32">
      <c r="B32" t="inlineStr">
        <is>
          <t>Nevada</t>
        </is>
      </c>
      <c r="C32" t="inlineStr">
        <is>
          <t>None</t>
        </is>
      </c>
      <c r="D32" s="270" t="n">
        <v>2190</v>
      </c>
      <c r="E32" s="270" t="n">
        <v>2346</v>
      </c>
      <c r="F32" s="270" t="n">
        <v>2815</v>
      </c>
      <c r="G32" s="270" t="n">
        <v>3252</v>
      </c>
      <c r="H32" s="270" t="n">
        <v>3630</v>
      </c>
      <c r="I32" s="42" t="n">
        <v>1373</v>
      </c>
      <c r="J32" s="42" t="n">
        <v>1382</v>
      </c>
      <c r="K32" s="42" t="n">
        <v>1813</v>
      </c>
      <c r="L32" s="42" t="n">
        <v>2521</v>
      </c>
      <c r="M32" s="42" t="n">
        <v>3041</v>
      </c>
      <c r="N32" s="42" t="n">
        <v>5400</v>
      </c>
      <c r="O32" s="3">
        <f>+N32+300+22000/Pro_Forma!$C$14</f>
        <v/>
      </c>
      <c r="Q32" s="227" t="n">
        <v>1.047040971168437</v>
      </c>
      <c r="R32" t="n">
        <v>489600</v>
      </c>
    </row>
    <row r="33">
      <c r="B33" t="inlineStr">
        <is>
          <t>Orange</t>
        </is>
      </c>
      <c r="C33" t="inlineStr">
        <is>
          <t>Coastal Region</t>
        </is>
      </c>
      <c r="D33" s="270" t="n">
        <v>3257</v>
      </c>
      <c r="E33" s="270" t="n">
        <v>3490</v>
      </c>
      <c r="F33" s="270" t="n">
        <v>4187</v>
      </c>
      <c r="G33" s="270" t="n">
        <v>4838</v>
      </c>
      <c r="H33" s="270" t="n">
        <v>5397</v>
      </c>
      <c r="I33" s="42" t="n">
        <v>2682</v>
      </c>
      <c r="J33" s="42" t="n">
        <v>2746</v>
      </c>
      <c r="K33" s="42" t="n">
        <v>3236</v>
      </c>
      <c r="L33" s="42" t="n">
        <v>4393</v>
      </c>
      <c r="M33" s="42" t="n">
        <v>5246</v>
      </c>
      <c r="N33" s="42" t="n">
        <v>5500</v>
      </c>
      <c r="O33" s="3">
        <f>+N33+300+22000/Pro_Forma!$C$14</f>
        <v/>
      </c>
      <c r="Q33" s="227" t="n">
        <v>1.006069802731411</v>
      </c>
      <c r="R33" t="n">
        <v>552000</v>
      </c>
    </row>
    <row r="34">
      <c r="B34" t="inlineStr">
        <is>
          <t>Placer</t>
        </is>
      </c>
      <c r="C34" t="inlineStr">
        <is>
          <t>Northern Region</t>
        </is>
      </c>
      <c r="D34" s="270" t="n">
        <v>2300</v>
      </c>
      <c r="E34" s="270" t="n">
        <v>2465</v>
      </c>
      <c r="F34" s="270" t="n">
        <v>2957</v>
      </c>
      <c r="G34" s="270" t="n">
        <v>3417</v>
      </c>
      <c r="H34" s="270" t="n">
        <v>3812</v>
      </c>
      <c r="I34" s="42" t="n">
        <v>1748</v>
      </c>
      <c r="J34" s="42" t="n">
        <v>1832</v>
      </c>
      <c r="K34" s="42" t="n">
        <v>2255</v>
      </c>
      <c r="L34" s="42" t="n">
        <v>3002</v>
      </c>
      <c r="M34" s="42" t="n">
        <v>3460</v>
      </c>
      <c r="N34" s="42" t="n">
        <v>5300</v>
      </c>
      <c r="O34" s="3">
        <f>+N34+300+22000/Pro_Forma!$C$14</f>
        <v/>
      </c>
      <c r="Q34" s="227" t="n">
        <v>1.047040971168437</v>
      </c>
      <c r="R34" t="n">
        <v>461600</v>
      </c>
    </row>
    <row r="35">
      <c r="B35" t="inlineStr">
        <is>
          <t>Plumas</t>
        </is>
      </c>
      <c r="C35" t="inlineStr">
        <is>
          <t>None</t>
        </is>
      </c>
      <c r="D35" s="270" t="n">
        <v>1700</v>
      </c>
      <c r="E35" s="270" t="n">
        <v>1821</v>
      </c>
      <c r="F35" s="270" t="n">
        <v>2185</v>
      </c>
      <c r="G35" s="270" t="n">
        <v>2525</v>
      </c>
      <c r="H35" s="270" t="n">
        <v>2817</v>
      </c>
      <c r="I35" s="42" t="n">
        <v>973</v>
      </c>
      <c r="J35" s="42" t="n">
        <v>1075</v>
      </c>
      <c r="K35" s="42" t="n">
        <v>1411</v>
      </c>
      <c r="L35" s="42" t="n">
        <v>1962</v>
      </c>
      <c r="M35" s="42" t="n">
        <v>1995</v>
      </c>
      <c r="N35" s="42" t="n">
        <v>5400</v>
      </c>
      <c r="O35" s="3">
        <f>+N35+300+22000/Pro_Forma!$C$14</f>
        <v/>
      </c>
      <c r="Q35" s="227" t="n">
        <v>1.03793626707132</v>
      </c>
      <c r="R35" t="n">
        <v>489600</v>
      </c>
    </row>
    <row r="36">
      <c r="B36" t="inlineStr">
        <is>
          <t>Riverside</t>
        </is>
      </c>
      <c r="C36" t="inlineStr">
        <is>
          <t>Inland Region</t>
        </is>
      </c>
      <c r="D36" s="270" t="n">
        <v>2152</v>
      </c>
      <c r="E36" s="270" t="n">
        <v>2306</v>
      </c>
      <c r="F36" s="270" t="n">
        <v>2767</v>
      </c>
      <c r="G36" s="270" t="n">
        <v>3198</v>
      </c>
      <c r="H36" s="270" t="n">
        <v>3567</v>
      </c>
      <c r="I36" s="42" t="n">
        <v>1692</v>
      </c>
      <c r="J36" s="42" t="n">
        <v>1777</v>
      </c>
      <c r="K36" s="42" t="n">
        <v>2201</v>
      </c>
      <c r="L36" s="42" t="n">
        <v>2912</v>
      </c>
      <c r="M36" s="42" t="n">
        <v>3514</v>
      </c>
      <c r="N36" s="42" t="n">
        <v>5200</v>
      </c>
      <c r="O36" s="3">
        <f>+N36+300+22000/Pro_Forma!$C$14</f>
        <v/>
      </c>
      <c r="Q36" s="227" t="n">
        <v>0.9969650986342945</v>
      </c>
      <c r="R36" t="n">
        <v>452000</v>
      </c>
    </row>
    <row r="37">
      <c r="B37" t="inlineStr">
        <is>
          <t>Sacramento</t>
        </is>
      </c>
      <c r="C37" t="inlineStr">
        <is>
          <t>Northern Region</t>
        </is>
      </c>
      <c r="D37" s="270" t="n">
        <v>2300</v>
      </c>
      <c r="E37" s="270" t="n">
        <v>2465</v>
      </c>
      <c r="F37" s="270" t="n">
        <v>2957</v>
      </c>
      <c r="G37" s="270" t="n">
        <v>3417</v>
      </c>
      <c r="H37" s="270" t="n">
        <v>3812</v>
      </c>
      <c r="I37" s="42" t="n">
        <v>1748</v>
      </c>
      <c r="J37" s="42" t="n">
        <v>1832</v>
      </c>
      <c r="K37" s="42" t="n">
        <v>2255</v>
      </c>
      <c r="L37" s="42" t="n">
        <v>3002</v>
      </c>
      <c r="M37" s="42" t="n">
        <v>3460</v>
      </c>
      <c r="N37" s="42" t="n">
        <v>5300</v>
      </c>
      <c r="O37" s="3">
        <f>+N37+300+22000/Pro_Forma!$C$14</f>
        <v/>
      </c>
      <c r="Q37" s="227" t="n">
        <v>1.047040971168437</v>
      </c>
      <c r="R37" t="n">
        <v>461600</v>
      </c>
    </row>
    <row r="38">
      <c r="B38" t="inlineStr">
        <is>
          <t>San Benito</t>
        </is>
      </c>
      <c r="C38" t="inlineStr">
        <is>
          <t>Coastal Region</t>
        </is>
      </c>
      <c r="D38" s="270" t="n">
        <v>2572</v>
      </c>
      <c r="E38" s="270" t="n">
        <v>2755</v>
      </c>
      <c r="F38" s="270" t="n">
        <v>3307</v>
      </c>
      <c r="G38" s="270" t="n">
        <v>3820</v>
      </c>
      <c r="H38" s="270" t="n">
        <v>4262</v>
      </c>
      <c r="I38" s="42" t="n">
        <v>2205</v>
      </c>
      <c r="J38" s="42" t="n">
        <v>2212</v>
      </c>
      <c r="K38" s="42" t="n">
        <v>2902</v>
      </c>
      <c r="L38" s="42" t="n">
        <v>3944</v>
      </c>
      <c r="M38" s="42" t="n">
        <v>4190</v>
      </c>
      <c r="N38" s="42" t="n">
        <v>5400</v>
      </c>
      <c r="O38" s="3">
        <f>+N38+300+22000/Pro_Forma!$C$14</f>
        <v/>
      </c>
      <c r="Q38" s="227" t="n">
        <v>1.056145675265554</v>
      </c>
      <c r="R38" t="n">
        <v>489600</v>
      </c>
    </row>
    <row r="39">
      <c r="B39" t="inlineStr">
        <is>
          <t>San Bernardino</t>
        </is>
      </c>
      <c r="C39" t="inlineStr">
        <is>
          <t>Inland Region</t>
        </is>
      </c>
      <c r="D39" s="270" t="n">
        <v>2152</v>
      </c>
      <c r="E39" s="270" t="n">
        <v>2306</v>
      </c>
      <c r="F39" s="270" t="n">
        <v>2767</v>
      </c>
      <c r="G39" s="270" t="n">
        <v>3198</v>
      </c>
      <c r="H39" s="270" t="n">
        <v>3567</v>
      </c>
      <c r="I39" s="42" t="n">
        <v>1692</v>
      </c>
      <c r="J39" s="42" t="n">
        <v>1777</v>
      </c>
      <c r="K39" s="42" t="n">
        <v>2201</v>
      </c>
      <c r="L39" s="42" t="n">
        <v>2912</v>
      </c>
      <c r="M39" s="42" t="n">
        <v>3514</v>
      </c>
      <c r="N39" s="42" t="n">
        <v>5200</v>
      </c>
      <c r="O39" s="3">
        <f>+N39+300+22000/Pro_Forma!$C$14</f>
        <v/>
      </c>
      <c r="Q39" s="227" t="n">
        <v>0.9833080424886194</v>
      </c>
      <c r="R39" t="n">
        <v>452000</v>
      </c>
    </row>
    <row r="40">
      <c r="B40" t="inlineStr">
        <is>
          <t>San Diego</t>
        </is>
      </c>
      <c r="C40" t="inlineStr">
        <is>
          <t>Coastal Region</t>
        </is>
      </c>
      <c r="D40" s="270" t="n">
        <v>3062</v>
      </c>
      <c r="E40" s="270" t="n">
        <v>3281</v>
      </c>
      <c r="F40" s="270" t="n">
        <v>3937</v>
      </c>
      <c r="G40" s="270" t="n">
        <v>4547</v>
      </c>
      <c r="H40" s="270" t="n">
        <v>5072</v>
      </c>
      <c r="I40" s="42" t="n">
        <v>2288</v>
      </c>
      <c r="J40" s="42" t="n">
        <v>2459</v>
      </c>
      <c r="K40" s="42" t="n">
        <v>3001</v>
      </c>
      <c r="L40" s="42" t="n">
        <v>3998</v>
      </c>
      <c r="M40" s="42" t="n">
        <v>4845</v>
      </c>
      <c r="N40" s="42" t="n">
        <v>6100</v>
      </c>
      <c r="O40" s="3">
        <f>+N40+300+22000/Pro_Forma!$C$14</f>
        <v/>
      </c>
      <c r="Q40" s="227" t="n">
        <v>0.9924127465857362</v>
      </c>
      <c r="R40" t="n">
        <v>491200</v>
      </c>
    </row>
    <row r="41">
      <c r="B41" t="inlineStr">
        <is>
          <t>San Francisco</t>
        </is>
      </c>
      <c r="C41" t="inlineStr">
        <is>
          <t>Bay Area Region</t>
        </is>
      </c>
      <c r="D41" s="270" t="n">
        <v>3677</v>
      </c>
      <c r="E41" s="270" t="n">
        <v>3940</v>
      </c>
      <c r="F41" s="270" t="n">
        <v>4727</v>
      </c>
      <c r="G41" s="270" t="n">
        <v>5463</v>
      </c>
      <c r="H41" s="270" t="n">
        <v>6095</v>
      </c>
      <c r="I41" s="42" t="n">
        <v>2485</v>
      </c>
      <c r="J41" s="42" t="n">
        <v>2977</v>
      </c>
      <c r="K41" s="42" t="n">
        <v>3604</v>
      </c>
      <c r="L41" s="42" t="n">
        <v>4604</v>
      </c>
      <c r="M41" s="42" t="n">
        <v>4772</v>
      </c>
      <c r="N41" s="42" t="n">
        <v>8925</v>
      </c>
      <c r="O41" s="3">
        <f>+N41+300+22000/Pro_Forma!$C$14</f>
        <v/>
      </c>
      <c r="Q41" s="227" t="n">
        <v>1.18361153262519</v>
      </c>
      <c r="R41" t="n">
        <v>959200</v>
      </c>
    </row>
    <row r="42">
      <c r="B42" t="inlineStr">
        <is>
          <t>San Joaquin</t>
        </is>
      </c>
      <c r="C42" t="inlineStr">
        <is>
          <t>Northern Region</t>
        </is>
      </c>
      <c r="D42" s="270" t="n">
        <v>1892</v>
      </c>
      <c r="E42" s="270" t="n">
        <v>2027</v>
      </c>
      <c r="F42" s="270" t="n">
        <v>2432</v>
      </c>
      <c r="G42" s="270" t="n">
        <v>2811</v>
      </c>
      <c r="H42" s="270" t="n">
        <v>3135</v>
      </c>
      <c r="I42" s="42" t="n">
        <v>1288</v>
      </c>
      <c r="J42" s="42" t="n">
        <v>1395</v>
      </c>
      <c r="K42" s="42" t="n">
        <v>1742</v>
      </c>
      <c r="L42" s="42" t="n">
        <v>2423</v>
      </c>
      <c r="M42" s="42" t="n">
        <v>2922</v>
      </c>
      <c r="N42" s="42" t="n">
        <v>5000</v>
      </c>
      <c r="O42" s="3">
        <f>+N42+300+22000/Pro_Forma!$C$14</f>
        <v/>
      </c>
      <c r="Q42" s="227" t="n">
        <v>1.03793626707132</v>
      </c>
      <c r="R42" t="n">
        <v>428000</v>
      </c>
    </row>
    <row r="43">
      <c r="B43" t="inlineStr">
        <is>
          <t>San Luis Obispo</t>
        </is>
      </c>
      <c r="C43" t="inlineStr">
        <is>
          <t>Coastal Region</t>
        </is>
      </c>
      <c r="D43" s="270" t="n">
        <v>2675</v>
      </c>
      <c r="E43" s="270" t="n">
        <v>2866</v>
      </c>
      <c r="F43" s="270" t="n">
        <v>3440</v>
      </c>
      <c r="G43" s="270" t="n">
        <v>3975</v>
      </c>
      <c r="H43" s="270" t="n">
        <v>4435</v>
      </c>
      <c r="I43" s="42" t="n">
        <v>1732</v>
      </c>
      <c r="J43" s="42" t="n">
        <v>1914</v>
      </c>
      <c r="K43" s="42" t="n">
        <v>2512</v>
      </c>
      <c r="L43" s="42" t="n">
        <v>3370</v>
      </c>
      <c r="M43" s="42" t="n">
        <v>3861</v>
      </c>
      <c r="N43" s="42" t="n">
        <v>5670</v>
      </c>
      <c r="O43" s="3">
        <f>+N43+300+22000/Pro_Forma!$C$14</f>
        <v/>
      </c>
      <c r="Q43" s="227" t="n">
        <v>1.001517450682853</v>
      </c>
      <c r="R43" t="n">
        <v>562400</v>
      </c>
    </row>
    <row r="44">
      <c r="B44" t="inlineStr">
        <is>
          <t>San Mateo</t>
        </is>
      </c>
      <c r="C44" t="inlineStr">
        <is>
          <t>Bay Area Region</t>
        </is>
      </c>
      <c r="D44" s="270" t="n">
        <v>3677</v>
      </c>
      <c r="E44" s="270" t="n">
        <v>3940</v>
      </c>
      <c r="F44" s="270" t="n">
        <v>4727</v>
      </c>
      <c r="G44" s="270" t="n">
        <v>5463</v>
      </c>
      <c r="H44" s="270" t="n">
        <v>6095</v>
      </c>
      <c r="I44" s="42" t="n">
        <v>2485</v>
      </c>
      <c r="J44" s="42" t="n">
        <v>2977</v>
      </c>
      <c r="K44" s="42" t="n">
        <v>3604</v>
      </c>
      <c r="L44" s="42" t="n">
        <v>4604</v>
      </c>
      <c r="M44" s="42" t="n">
        <v>4772</v>
      </c>
      <c r="N44" s="42" t="n">
        <v>6930</v>
      </c>
      <c r="O44" s="3">
        <f>+N44+300+22000/Pro_Forma!$C$14</f>
        <v/>
      </c>
      <c r="Q44" s="227" t="n">
        <v>1.147192716236723</v>
      </c>
      <c r="R44" t="n">
        <v>740000</v>
      </c>
    </row>
    <row r="45">
      <c r="B45" t="inlineStr">
        <is>
          <t>Santa Barbara</t>
        </is>
      </c>
      <c r="C45" t="inlineStr">
        <is>
          <t>Coastal Region</t>
        </is>
      </c>
      <c r="D45" s="270" t="n">
        <v>3187</v>
      </c>
      <c r="E45" s="270" t="n">
        <v>3415</v>
      </c>
      <c r="F45" s="270" t="n">
        <v>4097</v>
      </c>
      <c r="G45" s="270" t="n">
        <v>4735</v>
      </c>
      <c r="H45" s="270" t="n">
        <v>5282</v>
      </c>
      <c r="I45" s="42" t="n">
        <v>2459</v>
      </c>
      <c r="J45" s="42" t="n">
        <v>2746</v>
      </c>
      <c r="K45" s="42" t="n">
        <v>3124</v>
      </c>
      <c r="L45" s="42" t="n">
        <v>4075</v>
      </c>
      <c r="M45" s="42" t="n">
        <v>4647</v>
      </c>
      <c r="N45" s="42" t="n">
        <v>5670</v>
      </c>
      <c r="O45" s="3">
        <f>+N45+300+22000/Pro_Forma!$C$14</f>
        <v/>
      </c>
      <c r="Q45" s="227" t="n">
        <v>0.9924127465857362</v>
      </c>
      <c r="R45" t="n">
        <v>562400</v>
      </c>
    </row>
    <row r="46">
      <c r="B46" t="inlineStr">
        <is>
          <t>Santa Clara</t>
        </is>
      </c>
      <c r="C46" t="inlineStr">
        <is>
          <t>Bay Area Region</t>
        </is>
      </c>
      <c r="D46" s="270" t="n">
        <v>3597</v>
      </c>
      <c r="E46" s="270" t="n">
        <v>3853</v>
      </c>
      <c r="F46" s="270" t="n">
        <v>4625</v>
      </c>
      <c r="G46" s="270" t="n">
        <v>5343</v>
      </c>
      <c r="H46" s="270" t="n">
        <v>5960</v>
      </c>
      <c r="I46" s="42" t="n">
        <v>2621</v>
      </c>
      <c r="J46" s="42" t="n">
        <v>2982</v>
      </c>
      <c r="K46" s="42" t="n">
        <v>3483</v>
      </c>
      <c r="L46" s="42" t="n">
        <v>4602</v>
      </c>
      <c r="M46" s="42" t="n">
        <v>5010</v>
      </c>
      <c r="N46" s="42" t="n">
        <v>6930</v>
      </c>
      <c r="O46" s="3">
        <f>+N46+300+22000/Pro_Forma!$C$14</f>
        <v/>
      </c>
      <c r="Q46" s="227" t="n">
        <v>1.133535660091047</v>
      </c>
      <c r="R46" t="n">
        <v>740000</v>
      </c>
    </row>
    <row r="47">
      <c r="B47" t="inlineStr">
        <is>
          <t>Santa Cruz</t>
        </is>
      </c>
      <c r="C47" t="inlineStr">
        <is>
          <t>Bay Area Region</t>
        </is>
      </c>
      <c r="D47" s="270" t="n">
        <v>3807</v>
      </c>
      <c r="E47" s="270" t="n">
        <v>4078</v>
      </c>
      <c r="F47" s="270" t="n">
        <v>4895</v>
      </c>
      <c r="G47" s="270" t="n">
        <v>5655</v>
      </c>
      <c r="H47" s="270" t="n">
        <v>6307</v>
      </c>
      <c r="I47" s="42" t="n">
        <v>3179</v>
      </c>
      <c r="J47" s="42" t="n">
        <v>3298</v>
      </c>
      <c r="K47" s="42" t="n">
        <v>4214</v>
      </c>
      <c r="L47" s="42" t="n">
        <v>5377</v>
      </c>
      <c r="M47" s="42" t="n">
        <v>5659</v>
      </c>
      <c r="N47" s="42" t="n">
        <v>5670</v>
      </c>
      <c r="O47" s="3">
        <f>+N47+300+22000/Pro_Forma!$C$14</f>
        <v/>
      </c>
      <c r="Q47" s="227" t="n">
        <v>1.083459787556905</v>
      </c>
      <c r="R47" t="n">
        <v>562400</v>
      </c>
    </row>
    <row r="48">
      <c r="B48" t="inlineStr">
        <is>
          <t>Shasta</t>
        </is>
      </c>
      <c r="C48" t="inlineStr">
        <is>
          <t>Northern Region</t>
        </is>
      </c>
      <c r="D48" s="270" t="n">
        <v>1700</v>
      </c>
      <c r="E48" s="270" t="n">
        <v>1821</v>
      </c>
      <c r="F48" s="270" t="n">
        <v>2185</v>
      </c>
      <c r="G48" s="270" t="n">
        <v>2525</v>
      </c>
      <c r="H48" s="270" t="n">
        <v>2817</v>
      </c>
      <c r="I48" s="42" t="n">
        <v>1172</v>
      </c>
      <c r="J48" s="42" t="n">
        <v>1212</v>
      </c>
      <c r="K48" s="42" t="n">
        <v>1590</v>
      </c>
      <c r="L48" s="42" t="n">
        <v>2211</v>
      </c>
      <c r="M48" s="42" t="n">
        <v>2667</v>
      </c>
      <c r="N48" s="42" t="n">
        <v>5300</v>
      </c>
      <c r="O48" s="3">
        <f>+N48+300+22000/Pro_Forma!$C$14</f>
        <v/>
      </c>
      <c r="Q48" s="227" t="n">
        <v>1.083459787556905</v>
      </c>
      <c r="R48" t="n">
        <v>444000</v>
      </c>
    </row>
    <row r="49">
      <c r="B49" t="inlineStr">
        <is>
          <t>Sierra</t>
        </is>
      </c>
      <c r="C49" t="inlineStr">
        <is>
          <t>None</t>
        </is>
      </c>
      <c r="D49" s="270" t="n">
        <v>1700</v>
      </c>
      <c r="E49" s="270" t="n">
        <v>1821</v>
      </c>
      <c r="F49" s="270" t="n">
        <v>2185</v>
      </c>
      <c r="G49" s="270" t="n">
        <v>2525</v>
      </c>
      <c r="H49" s="270" t="n">
        <v>2817</v>
      </c>
      <c r="I49" s="42" t="n">
        <v>1068</v>
      </c>
      <c r="J49" s="42" t="n">
        <v>1165</v>
      </c>
      <c r="K49" s="42" t="n">
        <v>1529</v>
      </c>
      <c r="L49" s="42" t="n">
        <v>2126</v>
      </c>
      <c r="M49" s="42" t="n">
        <v>2527</v>
      </c>
      <c r="N49" s="42" t="n">
        <v>5400</v>
      </c>
      <c r="O49" s="3">
        <f>+N49+300+22000/Pro_Forma!$C$14</f>
        <v/>
      </c>
      <c r="Q49" s="227" t="n">
        <v>1.03793626707132</v>
      </c>
      <c r="R49" t="n">
        <v>489600</v>
      </c>
    </row>
    <row r="50">
      <c r="B50" t="inlineStr">
        <is>
          <t>Siskiyou</t>
        </is>
      </c>
      <c r="C50" t="inlineStr">
        <is>
          <t>None</t>
        </is>
      </c>
      <c r="D50" s="270" t="n">
        <v>1700</v>
      </c>
      <c r="E50" s="270" t="n">
        <v>1821</v>
      </c>
      <c r="F50" s="270" t="n">
        <v>2185</v>
      </c>
      <c r="G50" s="270" t="n">
        <v>2525</v>
      </c>
      <c r="H50" s="270" t="n">
        <v>2817</v>
      </c>
      <c r="I50" s="42" t="n">
        <v>962</v>
      </c>
      <c r="J50" s="42" t="n">
        <v>969</v>
      </c>
      <c r="K50" s="42" t="n">
        <v>1249</v>
      </c>
      <c r="L50" s="42" t="n">
        <v>1737</v>
      </c>
      <c r="M50" s="42" t="n">
        <v>1915</v>
      </c>
      <c r="N50" s="42" t="n">
        <v>5400</v>
      </c>
      <c r="O50" s="3">
        <f>+N50+300+22000/Pro_Forma!$C$14</f>
        <v/>
      </c>
      <c r="Q50" s="227" t="n">
        <v>1.083459787556905</v>
      </c>
      <c r="R50" t="n">
        <v>489600</v>
      </c>
    </row>
    <row r="51">
      <c r="B51" t="inlineStr">
        <is>
          <t>Solano</t>
        </is>
      </c>
      <c r="C51" t="inlineStr">
        <is>
          <t>Northern Region</t>
        </is>
      </c>
      <c r="D51" s="270" t="n">
        <v>2287</v>
      </c>
      <c r="E51" s="270" t="n">
        <v>2450</v>
      </c>
      <c r="F51" s="270" t="n">
        <v>2940</v>
      </c>
      <c r="G51" s="270" t="n">
        <v>3396</v>
      </c>
      <c r="H51" s="270" t="n">
        <v>3787</v>
      </c>
      <c r="I51" s="42" t="n">
        <v>1567</v>
      </c>
      <c r="J51" s="42" t="n">
        <v>1705</v>
      </c>
      <c r="K51" s="42" t="n">
        <v>2178</v>
      </c>
      <c r="L51" s="42" t="n">
        <v>2911</v>
      </c>
      <c r="M51" s="42" t="n">
        <v>3297</v>
      </c>
      <c r="N51" s="42" t="n">
        <v>5300</v>
      </c>
      <c r="O51" s="3">
        <f>+N51+300+22000/Pro_Forma!$C$14</f>
        <v/>
      </c>
      <c r="Q51" s="227" t="n">
        <v>1.083459787556905</v>
      </c>
      <c r="R51" t="n">
        <v>534400</v>
      </c>
    </row>
    <row r="52">
      <c r="B52" t="inlineStr">
        <is>
          <t>Sonoma</t>
        </is>
      </c>
      <c r="C52" t="inlineStr">
        <is>
          <t>Coastal Region</t>
        </is>
      </c>
      <c r="D52" s="270" t="n">
        <v>2885</v>
      </c>
      <c r="E52" s="270" t="n">
        <v>3091</v>
      </c>
      <c r="F52" s="270" t="n">
        <v>3710</v>
      </c>
      <c r="G52" s="270" t="n">
        <v>4285</v>
      </c>
      <c r="H52" s="270" t="n">
        <v>4780</v>
      </c>
      <c r="I52" s="42" t="n">
        <v>1949</v>
      </c>
      <c r="J52" s="42" t="n">
        <v>2155</v>
      </c>
      <c r="K52" s="42" t="n">
        <v>2827</v>
      </c>
      <c r="L52" s="42" t="n">
        <v>3887</v>
      </c>
      <c r="M52" s="42" t="n">
        <v>4147</v>
      </c>
      <c r="N52" s="42" t="n">
        <v>5300</v>
      </c>
      <c r="O52" s="3">
        <f>+N52+300+22000/Pro_Forma!$C$14</f>
        <v/>
      </c>
      <c r="Q52" s="227" t="n">
        <v>1.110773899848255</v>
      </c>
      <c r="R52" t="n">
        <v>534400</v>
      </c>
    </row>
    <row r="53">
      <c r="B53" t="inlineStr">
        <is>
          <t>Stanislaus</t>
        </is>
      </c>
      <c r="C53" t="inlineStr">
        <is>
          <t>Inland Region</t>
        </is>
      </c>
      <c r="D53" s="270" t="n">
        <v>1795</v>
      </c>
      <c r="E53" s="270" t="n">
        <v>1922</v>
      </c>
      <c r="F53" s="270" t="n">
        <v>2307</v>
      </c>
      <c r="G53" s="270" t="n">
        <v>2665</v>
      </c>
      <c r="H53" s="270" t="n">
        <v>2972</v>
      </c>
      <c r="I53" s="42" t="n">
        <v>1255</v>
      </c>
      <c r="J53" s="42" t="n">
        <v>1356</v>
      </c>
      <c r="K53" s="42" t="n">
        <v>1758</v>
      </c>
      <c r="L53" s="42" t="n">
        <v>2442</v>
      </c>
      <c r="M53" s="42" t="n">
        <v>2823</v>
      </c>
      <c r="N53" s="42" t="n">
        <v>5000</v>
      </c>
      <c r="O53" s="3">
        <f>+N53+300+22000/Pro_Forma!$C$14</f>
        <v/>
      </c>
      <c r="Q53" s="227" t="n">
        <v>1.03793626707132</v>
      </c>
      <c r="R53" t="n">
        <v>428000</v>
      </c>
    </row>
    <row r="54">
      <c r="B54" t="inlineStr">
        <is>
          <t>Sutter</t>
        </is>
      </c>
      <c r="C54" t="inlineStr">
        <is>
          <t>Northern Region</t>
        </is>
      </c>
      <c r="D54" s="270" t="n">
        <v>1785</v>
      </c>
      <c r="E54" s="270" t="n">
        <v>1912</v>
      </c>
      <c r="F54" s="270" t="n">
        <v>2295</v>
      </c>
      <c r="G54" s="270" t="n">
        <v>2650</v>
      </c>
      <c r="H54" s="270" t="n">
        <v>2957</v>
      </c>
      <c r="I54" s="42" t="n">
        <v>1166</v>
      </c>
      <c r="J54" s="42" t="n">
        <v>1272</v>
      </c>
      <c r="K54" s="42" t="n">
        <v>1550</v>
      </c>
      <c r="L54" s="42" t="n">
        <v>2156</v>
      </c>
      <c r="M54" s="42" t="n">
        <v>2600</v>
      </c>
      <c r="N54" s="42" t="n">
        <v>5300</v>
      </c>
      <c r="O54" s="3">
        <f>+N54+300+22000/Pro_Forma!$C$14</f>
        <v/>
      </c>
      <c r="Q54" s="227" t="n">
        <v>1.03793626707132</v>
      </c>
      <c r="R54" t="n">
        <v>461600</v>
      </c>
    </row>
    <row r="55">
      <c r="B55" t="inlineStr">
        <is>
          <t>Tehama</t>
        </is>
      </c>
      <c r="C55" t="inlineStr">
        <is>
          <t>None</t>
        </is>
      </c>
      <c r="D55" s="270" t="n">
        <v>1700</v>
      </c>
      <c r="E55" s="270" t="n">
        <v>1821</v>
      </c>
      <c r="F55" s="270" t="n">
        <v>2185</v>
      </c>
      <c r="G55" s="270" t="n">
        <v>2525</v>
      </c>
      <c r="H55" s="270" t="n">
        <v>2817</v>
      </c>
      <c r="I55" s="42" t="n">
        <v>952</v>
      </c>
      <c r="J55" s="42" t="n">
        <v>1038</v>
      </c>
      <c r="K55" s="42" t="n">
        <v>1362</v>
      </c>
      <c r="L55" s="42" t="n">
        <v>1865</v>
      </c>
      <c r="M55" s="42" t="n">
        <v>2285</v>
      </c>
      <c r="N55" s="42" t="n">
        <v>5400</v>
      </c>
      <c r="O55" s="3">
        <f>+N55+300+22000/Pro_Forma!$C$14</f>
        <v/>
      </c>
      <c r="Q55" s="227" t="n">
        <v>1.083459787556905</v>
      </c>
      <c r="R55" t="n">
        <v>489600</v>
      </c>
    </row>
    <row r="56">
      <c r="B56" t="inlineStr">
        <is>
          <t>Trinity</t>
        </is>
      </c>
      <c r="C56" t="inlineStr">
        <is>
          <t>None</t>
        </is>
      </c>
      <c r="D56" s="270" t="n">
        <v>1700</v>
      </c>
      <c r="E56" s="270" t="n">
        <v>1821</v>
      </c>
      <c r="F56" s="270" t="n">
        <v>2185</v>
      </c>
      <c r="G56" s="270" t="n">
        <v>2525</v>
      </c>
      <c r="H56" s="270" t="n">
        <v>2817</v>
      </c>
      <c r="I56" s="42" t="n">
        <v>829</v>
      </c>
      <c r="J56" s="42" t="n">
        <v>916</v>
      </c>
      <c r="K56" s="42" t="n">
        <v>1202</v>
      </c>
      <c r="L56" s="42" t="n">
        <v>1636</v>
      </c>
      <c r="M56" s="42" t="n">
        <v>1655</v>
      </c>
      <c r="N56" s="42" t="n">
        <v>5400</v>
      </c>
      <c r="O56" s="3">
        <f>+N56+300+22000/Pro_Forma!$C$14</f>
        <v/>
      </c>
      <c r="Q56" s="227" t="n">
        <v>1.083459787556905</v>
      </c>
      <c r="R56" t="n">
        <v>489600</v>
      </c>
    </row>
    <row r="57">
      <c r="B57" t="inlineStr">
        <is>
          <t>Tulare</t>
        </is>
      </c>
      <c r="C57" t="inlineStr">
        <is>
          <t>Inland Region</t>
        </is>
      </c>
      <c r="D57" s="270" t="n">
        <v>1700</v>
      </c>
      <c r="E57" s="270" t="n">
        <v>1821</v>
      </c>
      <c r="F57" s="270" t="n">
        <v>2185</v>
      </c>
      <c r="G57" s="270" t="n">
        <v>2525</v>
      </c>
      <c r="H57" s="270" t="n">
        <v>2817</v>
      </c>
      <c r="I57" s="42" t="n">
        <v>1116</v>
      </c>
      <c r="J57" s="42" t="n">
        <v>1123</v>
      </c>
      <c r="K57" s="42" t="n">
        <v>1474</v>
      </c>
      <c r="L57" s="42" t="n">
        <v>2028</v>
      </c>
      <c r="M57" s="42" t="n">
        <v>2393</v>
      </c>
      <c r="N57" s="42" t="n">
        <v>5000</v>
      </c>
      <c r="O57" s="3">
        <f>+N57+300+22000/Pro_Forma!$C$14</f>
        <v/>
      </c>
      <c r="Q57" s="227" t="n">
        <v>1.028831562974203</v>
      </c>
      <c r="R57" t="n">
        <v>428000</v>
      </c>
    </row>
    <row r="58">
      <c r="B58" t="inlineStr">
        <is>
          <t>Tuolumne</t>
        </is>
      </c>
      <c r="C58" t="inlineStr">
        <is>
          <t>None</t>
        </is>
      </c>
      <c r="D58" s="270" t="n">
        <v>1790</v>
      </c>
      <c r="E58" s="270" t="n">
        <v>1917</v>
      </c>
      <c r="F58" s="270" t="n">
        <v>2300</v>
      </c>
      <c r="G58" s="270" t="n">
        <v>2657</v>
      </c>
      <c r="H58" s="270" t="n">
        <v>2965</v>
      </c>
      <c r="I58" s="42" t="n">
        <v>1096</v>
      </c>
      <c r="J58" s="42" t="n">
        <v>1257</v>
      </c>
      <c r="K58" s="42" t="n">
        <v>1589</v>
      </c>
      <c r="L58" s="42" t="n">
        <v>2078</v>
      </c>
      <c r="M58" s="42" t="n">
        <v>2666</v>
      </c>
      <c r="N58" s="42" t="n">
        <v>5400</v>
      </c>
      <c r="O58" s="3">
        <f>+N58+300+22000/Pro_Forma!$C$14</f>
        <v/>
      </c>
      <c r="Q58" s="227" t="n">
        <v>1.03793626707132</v>
      </c>
      <c r="R58" t="n">
        <v>489600</v>
      </c>
    </row>
    <row r="59">
      <c r="B59" t="inlineStr">
        <is>
          <t>Ventura</t>
        </is>
      </c>
      <c r="C59" t="inlineStr">
        <is>
          <t>Coastal Region</t>
        </is>
      </c>
      <c r="D59" s="270" t="n">
        <v>2747</v>
      </c>
      <c r="E59" s="270" t="n">
        <v>2943</v>
      </c>
      <c r="F59" s="270" t="n">
        <v>3532</v>
      </c>
      <c r="G59" s="270" t="n">
        <v>4082</v>
      </c>
      <c r="H59" s="270" t="n">
        <v>4555</v>
      </c>
      <c r="I59" s="42" t="n">
        <v>1998</v>
      </c>
      <c r="J59" s="42" t="n">
        <v>2250</v>
      </c>
      <c r="K59" s="42" t="n">
        <v>2693</v>
      </c>
      <c r="L59" s="42" t="n">
        <v>3652</v>
      </c>
      <c r="M59" s="42" t="n">
        <v>4240</v>
      </c>
      <c r="N59" s="42" t="n">
        <v>5670</v>
      </c>
      <c r="O59" s="3">
        <f>+N59+300+22000/Pro_Forma!$C$14</f>
        <v/>
      </c>
      <c r="Q59" s="227" t="n">
        <v>1.001517450682853</v>
      </c>
      <c r="R59" t="n">
        <v>562400</v>
      </c>
    </row>
    <row r="60">
      <c r="B60" t="inlineStr">
        <is>
          <t>Yolo</t>
        </is>
      </c>
      <c r="C60" t="inlineStr">
        <is>
          <t>Northern Region</t>
        </is>
      </c>
      <c r="D60" s="270" t="n">
        <v>2270</v>
      </c>
      <c r="E60" s="270" t="n">
        <v>2431</v>
      </c>
      <c r="F60" s="270" t="n">
        <v>2917</v>
      </c>
      <c r="G60" s="270" t="n">
        <v>3370</v>
      </c>
      <c r="H60" s="270" t="n">
        <v>3760</v>
      </c>
      <c r="I60" s="42" t="n">
        <v>1604</v>
      </c>
      <c r="J60" s="42" t="n">
        <v>1615</v>
      </c>
      <c r="K60" s="42" t="n">
        <v>2104</v>
      </c>
      <c r="L60" s="42" t="n">
        <v>2917</v>
      </c>
      <c r="M60" s="42" t="n">
        <v>3178</v>
      </c>
      <c r="N60" s="42" t="n">
        <v>5300</v>
      </c>
      <c r="O60" s="3">
        <f>+N60+300+22000/Pro_Forma!$C$14</f>
        <v/>
      </c>
      <c r="Q60" s="227" t="n">
        <v>1.047040971168437</v>
      </c>
      <c r="R60" t="n">
        <v>461600</v>
      </c>
    </row>
    <row r="61">
      <c r="B61" t="inlineStr">
        <is>
          <t>Yuba</t>
        </is>
      </c>
      <c r="C61" t="inlineStr">
        <is>
          <t>Northern Region</t>
        </is>
      </c>
      <c r="D61" s="270" t="n">
        <v>1785</v>
      </c>
      <c r="E61" s="270" t="n">
        <v>1912</v>
      </c>
      <c r="F61" s="270" t="n">
        <v>2295</v>
      </c>
      <c r="G61" s="270" t="n">
        <v>2650</v>
      </c>
      <c r="H61" s="270" t="n">
        <v>2957</v>
      </c>
      <c r="I61" s="42" t="n">
        <v>1166</v>
      </c>
      <c r="J61" s="42" t="n">
        <v>1272</v>
      </c>
      <c r="K61" s="42" t="n">
        <v>1550</v>
      </c>
      <c r="L61" s="42" t="n">
        <v>2156</v>
      </c>
      <c r="M61" s="42" t="n">
        <v>2600</v>
      </c>
      <c r="N61" s="42" t="n">
        <v>5300</v>
      </c>
      <c r="O61" s="3">
        <f>+N61+300+22000/Pro_Forma!$C$14</f>
        <v/>
      </c>
      <c r="Q61" s="227" t="n">
        <v>1.03793626707132</v>
      </c>
      <c r="R61" t="n">
        <v>461600</v>
      </c>
    </row>
    <row r="62">
      <c r="Q62" s="227" t="n"/>
    </row>
    <row r="63">
      <c r="C63">
        <f t="array" ref="C63:C68">+_xlfn.UNIQUE(C4:C61)</f>
        <v/>
      </c>
    </row>
    <row r="64">
      <c r="C64" t="inlineStr">
        <is>
          <t>None</t>
        </is>
      </c>
    </row>
    <row r="65">
      <c r="C65" t="inlineStr">
        <is>
          <t>Northern Region</t>
        </is>
      </c>
    </row>
    <row r="66">
      <c r="C66" t="inlineStr">
        <is>
          <t>Inland Region</t>
        </is>
      </c>
    </row>
    <row r="67">
      <c r="C67" t="inlineStr">
        <is>
          <t>City of Los Angeles (if within city limits); Balance of Los Angeles County (if outside city limits)</t>
        </is>
      </c>
    </row>
    <row r="68">
      <c r="C68" t="inlineStr">
        <is>
          <t>Coastal Region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Nicolas Cazalis</dc:creator>
  <dcterms:created xsi:type="dcterms:W3CDTF">2025-06-25T18:17:51Z</dcterms:created>
  <dcterms:modified xsi:type="dcterms:W3CDTF">2026-06-16T22:41:33Z</dcterms:modified>
  <cp:lastModifiedBy>Nicolas Cazalis</cp:lastModifiedBy>
  <cp:lastPrinted>2025-10-29T22:58:30Z</cp:lastPrinted>
</cp:coreProperties>
</file>