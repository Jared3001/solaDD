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keys_solaimpact\Downloads\"/>
    </mc:Choice>
  </mc:AlternateContent>
  <xr:revisionPtr revIDLastSave="0" documentId="13_ncr:1_{51E7D1D6-39EF-4AC7-88F7-90A678B6A6DF}" xr6:coauthVersionLast="47" xr6:coauthVersionMax="47" xr10:uidLastSave="{00000000-0000-0000-0000-000000000000}"/>
  <bookViews>
    <workbookView xWindow="59580" yWindow="2190" windowWidth="28770" windowHeight="13200" activeTab="1" xr2:uid="{14B3EB7A-C60F-4215-898D-E6534FF4E917}"/>
  </bookViews>
  <sheets>
    <sheet name="STUDIO MARKET" sheetId="4" r:id="rId1"/>
    <sheet name="1 BEDROOM MARKET" sheetId="1" r:id="rId2"/>
    <sheet name="2 BEDROOM MARKET" sheetId="2" r:id="rId3"/>
  </sheets>
  <calcPr calcId="191029" iterate="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I24" i="1" s="1"/>
  <c r="F24" i="1"/>
  <c r="D24" i="1"/>
  <c r="E9" i="4"/>
  <c r="E9" i="2"/>
  <c r="C22" i="4"/>
  <c r="C17" i="4"/>
  <c r="C16" i="4"/>
  <c r="E16" i="4" s="1"/>
  <c r="C14" i="4"/>
  <c r="E14" i="4" s="1"/>
  <c r="B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0" i="4"/>
  <c r="D59" i="4"/>
  <c r="D58" i="4"/>
  <c r="D57" i="4"/>
  <c r="D56" i="4"/>
  <c r="D55" i="4"/>
  <c r="D54" i="4"/>
  <c r="D52" i="4"/>
  <c r="D51" i="4"/>
  <c r="D50" i="4"/>
  <c r="D49" i="4"/>
  <c r="D48" i="4"/>
  <c r="D47" i="4"/>
  <c r="D46" i="4"/>
  <c r="D44" i="4"/>
  <c r="D43" i="4"/>
  <c r="D42" i="4"/>
  <c r="D41" i="4"/>
  <c r="D40" i="4"/>
  <c r="D39" i="4"/>
  <c r="D38" i="4"/>
  <c r="D37" i="4"/>
  <c r="D36" i="4"/>
  <c r="D35" i="4"/>
  <c r="D30" i="4"/>
  <c r="D26" i="4"/>
  <c r="D24" i="4"/>
  <c r="E24" i="4" s="1"/>
  <c r="B22" i="4"/>
  <c r="D21" i="4"/>
  <c r="B17" i="4"/>
  <c r="I9" i="1"/>
  <c r="B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0" i="2"/>
  <c r="D59" i="2"/>
  <c r="D58" i="2"/>
  <c r="D57" i="2"/>
  <c r="D56" i="2"/>
  <c r="D55" i="2"/>
  <c r="D54" i="2"/>
  <c r="D52" i="2"/>
  <c r="D51" i="2"/>
  <c r="D50" i="2"/>
  <c r="D49" i="2"/>
  <c r="D48" i="2"/>
  <c r="D47" i="2"/>
  <c r="D46" i="2"/>
  <c r="D44" i="2"/>
  <c r="D43" i="2"/>
  <c r="D42" i="2"/>
  <c r="D41" i="2"/>
  <c r="D40" i="2"/>
  <c r="D39" i="2"/>
  <c r="D38" i="2"/>
  <c r="D37" i="2"/>
  <c r="D36" i="2"/>
  <c r="D35" i="2"/>
  <c r="D30" i="2"/>
  <c r="D26" i="2"/>
  <c r="D24" i="2"/>
  <c r="E24" i="2" s="1"/>
  <c r="C22" i="2"/>
  <c r="B22" i="2"/>
  <c r="D21" i="2"/>
  <c r="C17" i="2"/>
  <c r="B17" i="2"/>
  <c r="B82" i="2" s="1"/>
  <c r="C16" i="2"/>
  <c r="E16" i="2" s="1"/>
  <c r="C14" i="2"/>
  <c r="E14" i="2" s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0" i="1"/>
  <c r="H59" i="1"/>
  <c r="H58" i="1"/>
  <c r="H57" i="1"/>
  <c r="H56" i="1"/>
  <c r="H55" i="1"/>
  <c r="H54" i="1"/>
  <c r="H52" i="1"/>
  <c r="H51" i="1"/>
  <c r="H50" i="1"/>
  <c r="H49" i="1"/>
  <c r="H48" i="1"/>
  <c r="H47" i="1"/>
  <c r="H46" i="1"/>
  <c r="H44" i="1"/>
  <c r="H43" i="1"/>
  <c r="H42" i="1"/>
  <c r="H41" i="1"/>
  <c r="H40" i="1"/>
  <c r="H39" i="1"/>
  <c r="H38" i="1"/>
  <c r="H37" i="1"/>
  <c r="H36" i="1"/>
  <c r="H35" i="1"/>
  <c r="H30" i="1"/>
  <c r="H26" i="1"/>
  <c r="G22" i="1"/>
  <c r="H21" i="1"/>
  <c r="G17" i="1"/>
  <c r="G16" i="1"/>
  <c r="G14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0" i="1"/>
  <c r="F59" i="1"/>
  <c r="F58" i="1"/>
  <c r="F57" i="1"/>
  <c r="F56" i="1"/>
  <c r="F55" i="1"/>
  <c r="F54" i="1"/>
  <c r="F52" i="1"/>
  <c r="F51" i="1"/>
  <c r="F50" i="1"/>
  <c r="F49" i="1"/>
  <c r="F48" i="1"/>
  <c r="F47" i="1"/>
  <c r="F46" i="1"/>
  <c r="F44" i="1"/>
  <c r="F43" i="1"/>
  <c r="F42" i="1"/>
  <c r="F41" i="1"/>
  <c r="F40" i="1"/>
  <c r="F39" i="1"/>
  <c r="F38" i="1"/>
  <c r="F37" i="1"/>
  <c r="F36" i="1"/>
  <c r="F35" i="1"/>
  <c r="F30" i="1"/>
  <c r="F26" i="1"/>
  <c r="E22" i="1"/>
  <c r="F21" i="1"/>
  <c r="E17" i="1"/>
  <c r="E16" i="1"/>
  <c r="E14" i="1"/>
  <c r="E13" i="2" l="1"/>
  <c r="E15" i="4"/>
  <c r="F15" i="4" s="1"/>
  <c r="E13" i="4"/>
  <c r="D22" i="4"/>
  <c r="D80" i="4" s="1"/>
  <c r="B82" i="4"/>
  <c r="D22" i="2"/>
  <c r="D80" i="2" s="1"/>
  <c r="D83" i="2" s="1"/>
  <c r="E17" i="2"/>
  <c r="F17" i="2" s="1"/>
  <c r="E15" i="2"/>
  <c r="F15" i="2" s="1"/>
  <c r="E17" i="4" l="1"/>
  <c r="F17" i="4" s="1"/>
  <c r="D81" i="4"/>
  <c r="E81" i="4" s="1"/>
  <c r="E80" i="4" s="1"/>
  <c r="F80" i="4" s="1"/>
  <c r="D82" i="4"/>
  <c r="D83" i="4"/>
  <c r="D81" i="2"/>
  <c r="D82" i="2"/>
  <c r="E82" i="4" l="1"/>
  <c r="F82" i="4" s="1"/>
  <c r="E81" i="2"/>
  <c r="E82" i="2" s="1"/>
  <c r="F82" i="2" s="1"/>
  <c r="E80" i="2" l="1"/>
  <c r="F80" i="2" s="1"/>
  <c r="D79" i="1" l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0" i="1"/>
  <c r="D59" i="1"/>
  <c r="D58" i="1"/>
  <c r="D57" i="1"/>
  <c r="D56" i="1"/>
  <c r="D55" i="1"/>
  <c r="D54" i="1"/>
  <c r="D52" i="1"/>
  <c r="D51" i="1"/>
  <c r="D50" i="1"/>
  <c r="D49" i="1"/>
  <c r="D48" i="1"/>
  <c r="D47" i="1"/>
  <c r="D46" i="1"/>
  <c r="D44" i="1"/>
  <c r="D43" i="1"/>
  <c r="D42" i="1"/>
  <c r="D41" i="1"/>
  <c r="D40" i="1"/>
  <c r="D39" i="1"/>
  <c r="D38" i="1"/>
  <c r="D37" i="1"/>
  <c r="D36" i="1"/>
  <c r="D35" i="1"/>
  <c r="D30" i="1"/>
  <c r="D26" i="1"/>
  <c r="C22" i="1"/>
  <c r="D21" i="1"/>
  <c r="C17" i="1"/>
  <c r="C16" i="1"/>
  <c r="I16" i="1" s="1"/>
  <c r="C14" i="1"/>
  <c r="I14" i="1" s="1"/>
  <c r="B80" i="1"/>
  <c r="B22" i="1"/>
  <c r="B17" i="1"/>
  <c r="H22" i="1" s="1"/>
  <c r="H80" i="1" s="1"/>
  <c r="H83" i="1" s="1"/>
  <c r="H81" i="1" l="1"/>
  <c r="H82" i="1"/>
  <c r="B82" i="1"/>
  <c r="F22" i="1"/>
  <c r="F80" i="1" s="1"/>
  <c r="F83" i="1" s="1"/>
  <c r="D22" i="1"/>
  <c r="D80" i="1" s="1"/>
  <c r="D81" i="1" s="1"/>
  <c r="I13" i="1"/>
  <c r="I17" i="1"/>
  <c r="J17" i="1" s="1"/>
  <c r="I15" i="1"/>
  <c r="J15" i="1" s="1"/>
  <c r="F81" i="1" l="1"/>
  <c r="I81" i="1" s="1"/>
  <c r="F82" i="1"/>
  <c r="D83" i="1"/>
  <c r="D82" i="1"/>
  <c r="I82" i="1" l="1"/>
  <c r="J82" i="1" s="1"/>
  <c r="I80" i="1"/>
  <c r="J8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AOwnby</author>
    <author>State Treasurer's Office</author>
  </authors>
  <commentList>
    <comment ref="A1" authorId="0" shapeId="0" xr:uid="{44C0D081-9F64-4D25-9B36-035FA3AE9CA4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When printing, please either delete or keep unused columns hidden and print on letter sized paper (in a format that does not condense the print out to less than 75% of normal).  Thank you.</t>
        </r>
      </text>
    </comment>
    <comment ref="A23" authorId="0" shapeId="0" xr:uid="{4E27B402-2990-4BD7-9CF5-31FE70EB3B80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Average rent concession value over a 12 month period to derive monthly adjustment.</t>
        </r>
      </text>
    </comment>
    <comment ref="A83" authorId="1" shapeId="0" xr:uid="{790EE59F-6692-4822-A07A-C68944396633}">
      <text>
        <r>
          <rPr>
            <b/>
            <sz val="8"/>
            <color indexed="81"/>
            <rFont val="Tahoma"/>
            <family val="2"/>
          </rPr>
          <t xml:space="preserve">VM:
</t>
        </r>
        <r>
          <rPr>
            <sz val="8"/>
            <color indexed="81"/>
            <rFont val="Tahoma"/>
            <family val="2"/>
          </rPr>
          <t>Comps that exceed 10% (110%) above Adjusted Rent/Base Rent, must be thoroughly justified and explained.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AOwnby</author>
    <author>State Treasurer's Office</author>
  </authors>
  <commentList>
    <comment ref="A1" authorId="0" shapeId="0" xr:uid="{EDD3F96D-F65E-4B9F-AF5D-62F6C82EB2A3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When printing, please either delete or keep unused columns hidden and print on letter sized paper (in a format that does not condense the print out to less than 75% of normal).  Thank you.</t>
        </r>
      </text>
    </comment>
    <comment ref="A23" authorId="0" shapeId="0" xr:uid="{1F9FE878-CFC8-43C2-9728-74698E1D07B3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Average rent concession value over a 12 month period to derive monthly adjustment.</t>
        </r>
      </text>
    </comment>
    <comment ref="A83" authorId="1" shapeId="0" xr:uid="{DDF150B0-7E54-4650-A22F-0CB2C062BAC4}">
      <text>
        <r>
          <rPr>
            <b/>
            <sz val="8"/>
            <color indexed="81"/>
            <rFont val="Tahoma"/>
            <family val="2"/>
          </rPr>
          <t xml:space="preserve">VM:
</t>
        </r>
        <r>
          <rPr>
            <sz val="8"/>
            <color indexed="81"/>
            <rFont val="Tahoma"/>
            <family val="2"/>
          </rPr>
          <t>Comps that exceed 10% (110%) above Adjusted Rent/Base Rent, must be thoroughly justified and explained.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AOwnby</author>
    <author>State Treasurer's Office</author>
  </authors>
  <commentList>
    <comment ref="A1" authorId="0" shapeId="0" xr:uid="{C789F16A-2B9C-4E66-BEED-0C9BF9A578A4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When printing, please either delete or keep unused columns hidden and print on letter sized paper (in a format that does not condense the print out to less than 75% of normal).  Thank you.</t>
        </r>
      </text>
    </comment>
    <comment ref="A23" authorId="0" shapeId="0" xr:uid="{20169BD4-D083-4FE2-B821-9C9AF0720CF5}">
      <text>
        <r>
          <rPr>
            <b/>
            <sz val="8"/>
            <color indexed="81"/>
            <rFont val="Tahoma"/>
            <family val="2"/>
          </rPr>
          <t>VM:</t>
        </r>
        <r>
          <rPr>
            <sz val="8"/>
            <color indexed="81"/>
            <rFont val="Tahoma"/>
            <family val="2"/>
          </rPr>
          <t xml:space="preserve">
Average rent concession value over a 12 month period to derive monthly adjustment.</t>
        </r>
      </text>
    </comment>
    <comment ref="A83" authorId="1" shapeId="0" xr:uid="{B625BAED-6DF5-404A-BA31-187BC3749F40}">
      <text>
        <r>
          <rPr>
            <b/>
            <sz val="8"/>
            <color indexed="81"/>
            <rFont val="Tahoma"/>
            <family val="2"/>
          </rPr>
          <t xml:space="preserve">VM:
</t>
        </r>
        <r>
          <rPr>
            <sz val="8"/>
            <color indexed="81"/>
            <rFont val="Tahoma"/>
            <family val="2"/>
          </rPr>
          <t>Comps that exceed 10% (110%) above Adjusted Rent/Base Rent, must be thoroughly justified and explained.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<sst xmlns="http://schemas.openxmlformats.org/spreadsheetml/2006/main" count="463" uniqueCount="107">
  <si>
    <r>
      <t xml:space="preserve">Enter Data in Blue or Blank Fields </t>
    </r>
    <r>
      <rPr>
        <b/>
        <sz val="10"/>
        <rFont val="Arial"/>
        <family val="2"/>
      </rPr>
      <t xml:space="preserve">                                                        </t>
    </r>
  </si>
  <si>
    <t xml:space="preserve">Date of Market Study: </t>
  </si>
  <si>
    <t xml:space="preserve">Prepared By: </t>
  </si>
  <si>
    <t>Use Subject's Highest Rent</t>
  </si>
  <si>
    <t>Analysis Using Highest Rents for Subject</t>
  </si>
  <si>
    <t>Characteristic</t>
  </si>
  <si>
    <t>Char</t>
  </si>
  <si>
    <t>Adj</t>
  </si>
  <si>
    <t>("M"arket, "L"ow Income)</t>
  </si>
  <si>
    <t>L</t>
  </si>
  <si>
    <t>Distance in Miles from Subject</t>
  </si>
  <si>
    <t>Number of Units</t>
  </si>
  <si>
    <t>Vacancy Rate</t>
  </si>
  <si>
    <r>
      <t xml:space="preserve">Waiting List </t>
    </r>
    <r>
      <rPr>
        <b/>
        <sz val="8"/>
        <rFont val="Arial"/>
        <family val="2"/>
      </rPr>
      <t>("Y"es or "N"o)</t>
    </r>
  </si>
  <si>
    <t>N</t>
  </si>
  <si>
    <t>Turnover Rate</t>
  </si>
  <si>
    <t>Unit Size in SF</t>
  </si>
  <si>
    <t xml:space="preserve">      Aggregate Size in SF</t>
  </si>
  <si>
    <t>Base Rent</t>
  </si>
  <si>
    <t>Aggregate Rent</t>
  </si>
  <si>
    <r>
      <t xml:space="preserve">Value Ratio </t>
    </r>
    <r>
      <rPr>
        <b/>
        <sz val="8"/>
        <rFont val="Arial"/>
        <family val="2"/>
      </rPr>
      <t>($/SF)</t>
    </r>
  </si>
  <si>
    <t># of stories</t>
  </si>
  <si>
    <r>
      <t xml:space="preserve">Elevator </t>
    </r>
    <r>
      <rPr>
        <b/>
        <sz val="8"/>
        <rFont val="Arial"/>
        <family val="2"/>
      </rPr>
      <t>("Y"es or "N"o)</t>
    </r>
  </si>
  <si>
    <t>Y</t>
  </si>
  <si>
    <t># of Bedrooms</t>
  </si>
  <si>
    <t># of Bathrooms</t>
  </si>
  <si>
    <t>Unit Size Adjustment</t>
  </si>
  <si>
    <t>Rent Concessions</t>
  </si>
  <si>
    <r>
      <t xml:space="preserve">Age </t>
    </r>
    <r>
      <rPr>
        <b/>
        <sz val="8"/>
        <rFont val="Arial"/>
        <family val="2"/>
      </rPr>
      <t>(built or last renovated)</t>
    </r>
  </si>
  <si>
    <t>Utilities Paid by Tenant</t>
  </si>
  <si>
    <t>Electricity</t>
  </si>
  <si>
    <t>X</t>
  </si>
  <si>
    <t>Heat ("G"as or "E"lectric)</t>
  </si>
  <si>
    <t>G</t>
  </si>
  <si>
    <t>Hot Water (G or E)</t>
  </si>
  <si>
    <t>Cooking (G or E)</t>
  </si>
  <si>
    <t>TV ("C"able or "S"atellite)</t>
  </si>
  <si>
    <t>C</t>
  </si>
  <si>
    <t>Water</t>
  </si>
  <si>
    <t>Sewer</t>
  </si>
  <si>
    <t>Trash</t>
  </si>
  <si>
    <t>Unit Amenities</t>
  </si>
  <si>
    <t>Central Heat/Cool</t>
  </si>
  <si>
    <t>Blinds</t>
  </si>
  <si>
    <t>Carpet</t>
  </si>
  <si>
    <t>Ceiling Fan</t>
  </si>
  <si>
    <t>Skylight</t>
  </si>
  <si>
    <t>Storage Closet</t>
  </si>
  <si>
    <t>Coat Closet</t>
  </si>
  <si>
    <t>Walk-In Closet</t>
  </si>
  <si>
    <t>Fireplace</t>
  </si>
  <si>
    <t>Patio/Balcony</t>
  </si>
  <si>
    <t>Appliances</t>
  </si>
  <si>
    <t>Refrigerator</t>
  </si>
  <si>
    <t>Stove/Oven</t>
  </si>
  <si>
    <t>Dishwasher</t>
  </si>
  <si>
    <t>Garbage Disposal</t>
  </si>
  <si>
    <t>Microwave</t>
  </si>
  <si>
    <t>Washer/Dryer</t>
  </si>
  <si>
    <t>Washer/Dryer Hook-ups</t>
  </si>
  <si>
    <t>Parking/Transportation</t>
  </si>
  <si>
    <t>Surface Parking</t>
  </si>
  <si>
    <t>Carport</t>
  </si>
  <si>
    <t>Underground Parking</t>
  </si>
  <si>
    <t>Detached Garage</t>
  </si>
  <si>
    <t>Attached Garage</t>
  </si>
  <si>
    <t>Tuck-under Garage</t>
  </si>
  <si>
    <t>Parking Garage</t>
  </si>
  <si>
    <t>Project Amenities</t>
  </si>
  <si>
    <t>Clubhouse/Community Room</t>
  </si>
  <si>
    <t>Swimming Pool</t>
  </si>
  <si>
    <t>Spa/Jacuzzi</t>
  </si>
  <si>
    <t>Exercise Room</t>
  </si>
  <si>
    <t>Picnic Area</t>
  </si>
  <si>
    <t>Tot Lot/Playground</t>
  </si>
  <si>
    <t>Tennis Court</t>
  </si>
  <si>
    <t>Basketball Court</t>
  </si>
  <si>
    <t>Volleyball Court</t>
  </si>
  <si>
    <t>On Site Manager</t>
  </si>
  <si>
    <t>Laundry Room</t>
  </si>
  <si>
    <t>Computer Room</t>
  </si>
  <si>
    <t>Business Center</t>
  </si>
  <si>
    <t>Car Wash Area</t>
  </si>
  <si>
    <t>Security</t>
  </si>
  <si>
    <t>Gated</t>
  </si>
  <si>
    <t>Courtesy Patrol</t>
  </si>
  <si>
    <t>Surveillance Camera</t>
  </si>
  <si>
    <t>Adjusted Rent</t>
  </si>
  <si>
    <t>Aggregate Adjusted Rent</t>
  </si>
  <si>
    <r>
      <t xml:space="preserve">Adjusted Value Ratio </t>
    </r>
    <r>
      <rPr>
        <b/>
        <sz val="8"/>
        <rFont val="Arial"/>
        <family val="2"/>
      </rPr>
      <t>($/SF)</t>
    </r>
  </si>
  <si>
    <t>*Adjusted Rent/Base Rent</t>
  </si>
  <si>
    <t>Totals &amp; Weighted</t>
  </si>
  <si>
    <t>Averages</t>
  </si>
  <si>
    <t>Differential</t>
  </si>
  <si>
    <r>
      <t xml:space="preserve">*Comps that exceed 10% (110%) above the adjusted rent/base rent </t>
    </r>
    <r>
      <rPr>
        <b/>
        <u/>
        <sz val="10"/>
        <color indexed="10"/>
        <rFont val="Arial"/>
        <family val="2"/>
      </rPr>
      <t>must</t>
    </r>
    <r>
      <rPr>
        <b/>
        <sz val="10"/>
        <color indexed="10"/>
        <rFont val="Arial"/>
        <family val="2"/>
      </rPr>
      <t xml:space="preserve"> be thorougly justified and explained.</t>
    </r>
  </si>
  <si>
    <t>SoLa Impact</t>
  </si>
  <si>
    <t>11422 Broadway</t>
  </si>
  <si>
    <t>Los Angeles</t>
  </si>
  <si>
    <t>11630 S Main</t>
  </si>
  <si>
    <t>10811 Compton</t>
  </si>
  <si>
    <t>110 E 116th St</t>
  </si>
  <si>
    <t>10811-10813 S Compton Ave</t>
  </si>
  <si>
    <t>17719 Kinzie Street</t>
  </si>
  <si>
    <t>9810 Zelzah Ave</t>
  </si>
  <si>
    <t>n/a</t>
  </si>
  <si>
    <t>17730 Lassen St</t>
  </si>
  <si>
    <t>17810 Merridy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</si>
</sst>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0.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8"/>
      <color indexed="10"/>
      <name val="Arial"/>
      <family val="2"/>
    </font>
    <font>
      <b/>
      <i/>
      <sz val="8"/>
      <name val="Times New Roman"/>
      <family val="1"/>
    </font>
    <font>
      <b/>
      <sz val="8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u/>
      <sz val="10"/>
      <color indexed="10"/>
      <name val="Arial"/>
      <family val="2"/>
    </font>
    <font>
      <b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 applyAlignment="1" applyProtection="1">
      <alignment vertical="center" wrapText="1"/>
      <protection locked="0"/>
    </xf>
    <xf numFmtId="0" fontId="2" fillId="0" borderId="2" xfId="0" applyFont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Protection="1">
      <protection locked="0"/>
    </xf>
    <xf numFmtId="0" fontId="2" fillId="0" borderId="6" xfId="0" applyFont="1" applyBorder="1" applyAlignment="1" applyProtection="1">
      <alignment horizontal="center" vertical="top" wrapText="1"/>
      <protection locked="0"/>
    </xf>
    <xf numFmtId="14" fontId="2" fillId="2" borderId="9" xfId="0" applyNumberFormat="1" applyFont="1" applyFill="1" applyBorder="1" applyAlignment="1" applyProtection="1">
      <alignment horizontal="left" vertical="top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wrapText="1"/>
      <protection locked="0"/>
    </xf>
    <xf numFmtId="0" fontId="2" fillId="2" borderId="5" xfId="0" applyFont="1" applyFill="1" applyBorder="1" applyAlignment="1" applyProtection="1">
      <alignment horizontal="left" vertical="top" wrapText="1"/>
      <protection locked="0"/>
    </xf>
    <xf numFmtId="0" fontId="5" fillId="0" borderId="6" xfId="0" applyFont="1" applyBorder="1" applyAlignment="1" applyProtection="1">
      <alignment horizontal="center" vertical="top" wrapText="1"/>
      <protection locked="0"/>
    </xf>
    <xf numFmtId="0" fontId="3" fillId="2" borderId="7" xfId="0" applyFont="1" applyFill="1" applyBorder="1" applyAlignment="1" applyProtection="1">
      <alignment horizontal="center" vertical="top" wrapText="1"/>
      <protection locked="0"/>
    </xf>
    <xf numFmtId="0" fontId="3" fillId="2" borderId="8" xfId="0" applyFont="1" applyFill="1" applyBorder="1" applyAlignment="1" applyProtection="1">
      <alignment horizontal="center" vertical="top" wrapText="1"/>
      <protection locked="0"/>
    </xf>
    <xf numFmtId="0" fontId="6" fillId="2" borderId="10" xfId="0" applyFont="1" applyFill="1" applyBorder="1" applyProtection="1">
      <protection locked="0"/>
    </xf>
    <xf numFmtId="0" fontId="3" fillId="2" borderId="11" xfId="0" applyFont="1" applyFill="1" applyBorder="1" applyAlignment="1" applyProtection="1">
      <alignment horizontal="center" wrapText="1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3" fillId="2" borderId="13" xfId="0" applyFont="1" applyFill="1" applyBorder="1" applyAlignment="1" applyProtection="1">
      <alignment horizontal="center"/>
      <protection locked="0"/>
    </xf>
    <xf numFmtId="0" fontId="7" fillId="2" borderId="5" xfId="0" applyFont="1" applyFill="1" applyBorder="1" applyProtection="1">
      <protection locked="0"/>
    </xf>
    <xf numFmtId="0" fontId="3" fillId="0" borderId="6" xfId="0" applyFont="1" applyBorder="1" applyAlignment="1" applyProtection="1">
      <alignment horizontal="center" wrapText="1"/>
      <protection locked="0"/>
    </xf>
    <xf numFmtId="0" fontId="3" fillId="0" borderId="7" xfId="0" applyFont="1" applyBorder="1" applyAlignment="1" applyProtection="1">
      <alignment horizontal="center"/>
      <protection locked="0"/>
    </xf>
    <xf numFmtId="164" fontId="3" fillId="2" borderId="8" xfId="0" applyNumberFormat="1" applyFont="1" applyFill="1" applyBorder="1" applyAlignment="1" applyProtection="1">
      <alignment horizontal="center"/>
      <protection locked="0"/>
    </xf>
    <xf numFmtId="0" fontId="3" fillId="2" borderId="6" xfId="0" applyFont="1" applyFill="1" applyBorder="1" applyAlignment="1" applyProtection="1">
      <alignment horizontal="center" wrapText="1"/>
      <protection locked="0"/>
    </xf>
    <xf numFmtId="2" fontId="3" fillId="0" borderId="7" xfId="0" applyNumberFormat="1" applyFont="1" applyBorder="1" applyAlignment="1" applyProtection="1">
      <alignment horizontal="center"/>
      <protection locked="0"/>
    </xf>
    <xf numFmtId="1" fontId="3" fillId="2" borderId="6" xfId="0" applyNumberFormat="1" applyFont="1" applyFill="1" applyBorder="1" applyAlignment="1" applyProtection="1">
      <alignment horizontal="center" wrapText="1"/>
      <protection locked="0"/>
    </xf>
    <xf numFmtId="1" fontId="3" fillId="0" borderId="7" xfId="0" applyNumberFormat="1" applyFont="1" applyBorder="1" applyAlignment="1" applyProtection="1">
      <alignment horizontal="center"/>
      <protection locked="0"/>
    </xf>
    <xf numFmtId="1" fontId="3" fillId="2" borderId="8" xfId="0" applyNumberFormat="1" applyFont="1" applyFill="1" applyBorder="1" applyAlignment="1" applyProtection="1">
      <alignment horizontal="center"/>
      <protection locked="0"/>
    </xf>
    <xf numFmtId="9" fontId="3" fillId="0" borderId="7" xfId="0" applyNumberFormat="1" applyFont="1" applyBorder="1" applyAlignment="1" applyProtection="1">
      <alignment horizontal="center"/>
      <protection locked="0"/>
    </xf>
    <xf numFmtId="9" fontId="3" fillId="2" borderId="8" xfId="0" applyNumberFormat="1" applyFont="1" applyFill="1" applyBorder="1" applyAlignment="1" applyProtection="1">
      <alignment horizontal="center"/>
      <protection locked="0"/>
    </xf>
    <xf numFmtId="1" fontId="3" fillId="0" borderId="6" xfId="0" applyNumberFormat="1" applyFont="1" applyBorder="1" applyAlignment="1" applyProtection="1">
      <alignment horizontal="center" wrapText="1"/>
      <protection locked="0"/>
    </xf>
    <xf numFmtId="1" fontId="3" fillId="2" borderId="5" xfId="0" applyNumberFormat="1" applyFont="1" applyFill="1" applyBorder="1" applyProtection="1">
      <protection locked="0"/>
    </xf>
    <xf numFmtId="1" fontId="3" fillId="2" borderId="6" xfId="0" applyNumberFormat="1" applyFont="1" applyFill="1" applyBorder="1" applyAlignment="1">
      <alignment horizontal="center" wrapText="1"/>
    </xf>
    <xf numFmtId="1" fontId="3" fillId="2" borderId="7" xfId="0" applyNumberFormat="1" applyFont="1" applyFill="1" applyBorder="1" applyAlignment="1">
      <alignment horizontal="center"/>
    </xf>
    <xf numFmtId="1" fontId="3" fillId="2" borderId="8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 applyProtection="1">
      <alignment horizontal="center" wrapText="1"/>
      <protection locked="0"/>
    </xf>
    <xf numFmtId="164" fontId="3" fillId="0" borderId="7" xfId="0" applyNumberFormat="1" applyFont="1" applyBorder="1" applyAlignment="1" applyProtection="1">
      <alignment horizontal="center"/>
      <protection locked="0"/>
    </xf>
    <xf numFmtId="0" fontId="3" fillId="2" borderId="5" xfId="0" applyFont="1" applyFill="1" applyBorder="1" applyAlignment="1">
      <alignment horizontal="left" indent="2"/>
    </xf>
    <xf numFmtId="0" fontId="3" fillId="2" borderId="6" xfId="0" applyFont="1" applyFill="1" applyBorder="1" applyAlignment="1">
      <alignment horizontal="center" wrapText="1"/>
    </xf>
    <xf numFmtId="164" fontId="3" fillId="2" borderId="7" xfId="0" applyNumberFormat="1" applyFont="1" applyFill="1" applyBorder="1" applyAlignment="1">
      <alignment horizontal="center"/>
    </xf>
    <xf numFmtId="164" fontId="3" fillId="2" borderId="8" xfId="0" applyNumberFormat="1" applyFont="1" applyFill="1" applyBorder="1" applyAlignment="1">
      <alignment horizontal="center"/>
    </xf>
    <xf numFmtId="0" fontId="3" fillId="2" borderId="10" xfId="0" applyFont="1" applyFill="1" applyBorder="1"/>
    <xf numFmtId="165" fontId="3" fillId="2" borderId="11" xfId="0" applyNumberFormat="1" applyFon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65" fontId="3" fillId="2" borderId="13" xfId="0" applyNumberFormat="1" applyFont="1" applyFill="1" applyBorder="1" applyAlignment="1">
      <alignment horizontal="center"/>
    </xf>
    <xf numFmtId="0" fontId="3" fillId="2" borderId="5" xfId="0" applyFont="1" applyFill="1" applyBorder="1" applyAlignment="1" applyProtection="1">
      <alignment horizontal="left"/>
      <protection locked="0"/>
    </xf>
    <xf numFmtId="164" fontId="3" fillId="0" borderId="8" xfId="0" applyNumberFormat="1" applyFont="1" applyBorder="1" applyAlignment="1" applyProtection="1">
      <alignment horizontal="center"/>
      <protection locked="0"/>
    </xf>
    <xf numFmtId="0" fontId="3" fillId="2" borderId="9" xfId="0" applyFont="1" applyFill="1" applyBorder="1" applyProtection="1">
      <protection locked="0"/>
    </xf>
    <xf numFmtId="164" fontId="7" fillId="0" borderId="14" xfId="0" applyNumberFormat="1" applyFont="1" applyBorder="1" applyAlignment="1" applyProtection="1">
      <alignment horizontal="center"/>
      <protection locked="0"/>
    </xf>
    <xf numFmtId="1" fontId="7" fillId="0" borderId="14" xfId="0" applyNumberFormat="1" applyFont="1" applyBorder="1" applyAlignment="1" applyProtection="1">
      <alignment horizontal="center"/>
      <protection locked="0"/>
    </xf>
    <xf numFmtId="0" fontId="3" fillId="2" borderId="10" xfId="0" applyFont="1" applyFill="1" applyBorder="1" applyProtection="1">
      <protection locked="0"/>
    </xf>
    <xf numFmtId="164" fontId="3" fillId="2" borderId="13" xfId="0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left" indent="2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8" fillId="2" borderId="10" xfId="0" applyFont="1" applyFill="1" applyBorder="1" applyAlignment="1" applyProtection="1">
      <alignment horizontal="left" indent="2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2" borderId="5" xfId="0" applyFont="1" applyFill="1" applyBorder="1"/>
    <xf numFmtId="164" fontId="3" fillId="2" borderId="6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left" indent="2"/>
    </xf>
    <xf numFmtId="165" fontId="3" fillId="2" borderId="6" xfId="0" applyNumberFormat="1" applyFont="1" applyFill="1" applyBorder="1" applyAlignment="1">
      <alignment horizontal="center"/>
    </xf>
    <xf numFmtId="165" fontId="3" fillId="2" borderId="7" xfId="0" applyNumberFormat="1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right"/>
    </xf>
    <xf numFmtId="165" fontId="9" fillId="2" borderId="16" xfId="0" applyNumberFormat="1" applyFont="1" applyFill="1" applyBorder="1" applyAlignment="1">
      <alignment horizontal="center"/>
    </xf>
    <xf numFmtId="165" fontId="9" fillId="2" borderId="17" xfId="0" applyNumberFormat="1" applyFont="1" applyFill="1" applyBorder="1" applyAlignment="1">
      <alignment horizontal="center"/>
    </xf>
    <xf numFmtId="9" fontId="9" fillId="2" borderId="18" xfId="0" applyNumberFormat="1" applyFont="1" applyFill="1" applyBorder="1" applyAlignment="1">
      <alignment horizontal="center"/>
    </xf>
    <xf numFmtId="0" fontId="3" fillId="0" borderId="3" xfId="0" applyFont="1" applyBorder="1" applyAlignment="1" applyProtection="1">
      <alignment horizontal="center" vertical="top" wrapText="1"/>
      <protection locked="0"/>
    </xf>
    <xf numFmtId="0" fontId="3" fillId="0" borderId="19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horizontal="center" vertical="top" wrapText="1"/>
      <protection locked="0"/>
    </xf>
    <xf numFmtId="0" fontId="3" fillId="0" borderId="20" xfId="0" applyFont="1" applyBorder="1" applyAlignment="1" applyProtection="1">
      <alignment vertical="top" wrapText="1"/>
      <protection locked="0"/>
    </xf>
    <xf numFmtId="0" fontId="3" fillId="0" borderId="7" xfId="0" applyFont="1" applyBorder="1" applyAlignment="1" applyProtection="1">
      <alignment vertical="top" wrapText="1"/>
      <protection locked="0"/>
    </xf>
    <xf numFmtId="0" fontId="3" fillId="0" borderId="6" xfId="0" applyFont="1" applyBorder="1" applyAlignment="1" applyProtection="1">
      <alignment horizontal="center" vertical="top" wrapText="1"/>
      <protection locked="0"/>
    </xf>
    <xf numFmtId="0" fontId="3" fillId="2" borderId="6" xfId="0" applyFont="1" applyFill="1" applyBorder="1" applyAlignment="1" applyProtection="1">
      <alignment horizontal="center" vertical="top" wrapText="1"/>
      <protection locked="0"/>
    </xf>
    <xf numFmtId="0" fontId="3" fillId="2" borderId="11" xfId="0" applyFont="1" applyFill="1" applyBorder="1" applyProtection="1">
      <protection locked="0"/>
    </xf>
    <xf numFmtId="0" fontId="3" fillId="2" borderId="21" xfId="0" applyFont="1" applyFill="1" applyBorder="1" applyProtection="1">
      <protection locked="0"/>
    </xf>
    <xf numFmtId="0" fontId="3" fillId="2" borderId="7" xfId="0" applyFont="1" applyFill="1" applyBorder="1" applyAlignment="1" applyProtection="1">
      <alignment horizontal="center"/>
      <protection locked="0"/>
    </xf>
    <xf numFmtId="0" fontId="3" fillId="2" borderId="20" xfId="0" applyFont="1" applyFill="1" applyBorder="1" applyProtection="1">
      <protection locked="0"/>
    </xf>
    <xf numFmtId="2" fontId="3" fillId="2" borderId="7" xfId="0" applyNumberFormat="1" applyFont="1" applyFill="1" applyBorder="1" applyAlignment="1" applyProtection="1">
      <alignment horizontal="center"/>
      <protection locked="0"/>
    </xf>
    <xf numFmtId="9" fontId="3" fillId="2" borderId="7" xfId="0" applyNumberFormat="1" applyFont="1" applyFill="1" applyBorder="1" applyAlignment="1" applyProtection="1">
      <alignment horizontal="center"/>
      <protection locked="0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/>
    <xf numFmtId="3" fontId="3" fillId="2" borderId="7" xfId="0" applyNumberFormat="1" applyFont="1" applyFill="1" applyBorder="1" applyAlignment="1">
      <alignment horizontal="center"/>
    </xf>
    <xf numFmtId="1" fontId="3" fillId="2" borderId="20" xfId="0" applyNumberFormat="1" applyFont="1" applyFill="1" applyBorder="1"/>
    <xf numFmtId="10" fontId="9" fillId="2" borderId="20" xfId="0" applyNumberFormat="1" applyFont="1" applyFill="1" applyBorder="1"/>
    <xf numFmtId="10" fontId="3" fillId="2" borderId="20" xfId="0" applyNumberFormat="1" applyFont="1" applyFill="1" applyBorder="1"/>
    <xf numFmtId="10" fontId="9" fillId="2" borderId="21" xfId="0" applyNumberFormat="1" applyFont="1" applyFill="1" applyBorder="1"/>
    <xf numFmtId="0" fontId="3" fillId="2" borderId="20" xfId="0" applyFont="1" applyFill="1" applyBorder="1" applyAlignment="1" applyProtection="1">
      <alignment horizontal="center"/>
      <protection locked="0"/>
    </xf>
    <xf numFmtId="165" fontId="9" fillId="2" borderId="18" xfId="0" applyNumberFormat="1" applyFont="1" applyFill="1" applyBorder="1" applyAlignment="1">
      <alignment horizontal="center"/>
    </xf>
    <xf numFmtId="10" fontId="9" fillId="2" borderId="22" xfId="0" applyNumberFormat="1" applyFont="1" applyFill="1" applyBorder="1"/>
    <xf numFmtId="9" fontId="0" fillId="0" borderId="0" xfId="1" applyFont="1"/>
    <xf numFmtId="166" fontId="3" fillId="0" borderId="7" xfId="0" applyNumberFormat="1" applyFont="1" applyBorder="1" applyAlignment="1" applyProtection="1">
      <alignment horizontal="center"/>
      <protection locked="0"/>
    </xf>
    <xf numFmtId="0" fontId="3" fillId="0" borderId="20" xfId="0" applyFont="1" applyBorder="1" applyAlignment="1" applyProtection="1">
      <alignment vertical="top" wrapText="1"/>
      <protection locked="0"/>
    </xf>
    <xf numFmtId="0" fontId="9" fillId="3" borderId="23" xfId="0" applyFont="1" applyFill="1" applyBorder="1" applyAlignment="1" applyProtection="1">
      <alignment horizontal="left" vertical="center"/>
      <protection locked="0"/>
    </xf>
    <xf numFmtId="0" fontId="9" fillId="3" borderId="24" xfId="0" applyFont="1" applyFill="1" applyBorder="1" applyAlignment="1" applyProtection="1">
      <alignment horizontal="left" vertical="center"/>
      <protection locked="0"/>
    </xf>
    <xf numFmtId="0" fontId="9" fillId="3" borderId="25" xfId="0" applyFont="1" applyFill="1" applyBorder="1" applyAlignment="1" applyProtection="1">
      <alignment horizontal="left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top" wrapText="1"/>
      <protection locked="0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2" fillId="0" borderId="3" xfId="0" applyFont="1" applyBorder="1" applyAlignment="1" applyProtection="1">
      <alignment horizontal="center" vertical="top" wrapText="1"/>
      <protection locked="0"/>
    </xf>
    <xf numFmtId="0" fontId="4" fillId="0" borderId="4" xfId="0" applyFont="1" applyBorder="1" applyAlignment="1" applyProtection="1">
      <alignment horizontal="center" vertical="top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35EB-0D25-4C49-BB3B-FA6490CE5B9C}">
  <dimension ref="A1:F84"/>
  <sheetViews>
    <sheetView workbookViewId="0">
      <selection activeCell="C24" sqref="C24"/>
    </sheetView>
  </sheetViews>
  <sheetFormatPr defaultColWidth="8.85546875" defaultRowHeight="15" x14ac:dyDescent="0.25"/>
  <cols>
    <col min="1" max="1" width="29" bestFit="1" customWidth="1"/>
    <col min="2" max="2" width="15.85546875" bestFit="1" customWidth="1"/>
    <col min="3" max="3" width="12.85546875" customWidth="1"/>
    <col min="4" max="4" width="13.140625" customWidth="1"/>
    <col min="5" max="5" width="9.7109375" bestFit="1" customWidth="1"/>
    <col min="6" max="6" width="11" bestFit="1" customWidth="1"/>
    <col min="7" max="7" width="17.42578125" customWidth="1"/>
  </cols>
  <sheetData>
    <row r="1" spans="1:6" ht="25.5" x14ac:dyDescent="0.25">
      <c r="A1" s="1" t="s">
        <v>0</v>
      </c>
      <c r="B1" s="2" t="s">
        <v>96</v>
      </c>
      <c r="C1" s="98" t="s">
        <v>99</v>
      </c>
      <c r="D1" s="99"/>
      <c r="E1" s="65"/>
      <c r="F1" s="66"/>
    </row>
    <row r="2" spans="1:6" x14ac:dyDescent="0.25">
      <c r="A2" s="3" t="s">
        <v>1</v>
      </c>
      <c r="B2" s="4"/>
      <c r="C2" s="96" t="s">
        <v>101</v>
      </c>
      <c r="D2" s="97"/>
      <c r="E2" s="67"/>
      <c r="F2" s="68"/>
    </row>
    <row r="3" spans="1:6" x14ac:dyDescent="0.25">
      <c r="A3" s="5">
        <v>45882</v>
      </c>
      <c r="B3" s="6" t="s">
        <v>97</v>
      </c>
      <c r="C3" s="94" t="s">
        <v>97</v>
      </c>
      <c r="D3" s="95"/>
      <c r="E3" s="69"/>
      <c r="F3" s="68"/>
    </row>
    <row r="4" spans="1:6" x14ac:dyDescent="0.25">
      <c r="A4" s="7" t="s">
        <v>2</v>
      </c>
      <c r="B4" s="6"/>
      <c r="C4" s="94"/>
      <c r="D4" s="95"/>
      <c r="E4" s="70"/>
      <c r="F4" s="90"/>
    </row>
    <row r="5" spans="1:6" ht="25.5" x14ac:dyDescent="0.25">
      <c r="A5" s="8" t="s">
        <v>95</v>
      </c>
      <c r="B5" s="9" t="s">
        <v>3</v>
      </c>
      <c r="C5" s="10"/>
      <c r="D5" s="11"/>
      <c r="E5" s="71" t="s">
        <v>91</v>
      </c>
      <c r="F5" s="90"/>
    </row>
    <row r="6" spans="1:6" ht="15.75" thickBot="1" x14ac:dyDescent="0.3">
      <c r="A6" s="12" t="s">
        <v>4</v>
      </c>
      <c r="B6" s="13" t="s">
        <v>5</v>
      </c>
      <c r="C6" s="14" t="s">
        <v>6</v>
      </c>
      <c r="D6" s="15" t="s">
        <v>7</v>
      </c>
      <c r="E6" s="72" t="s">
        <v>92</v>
      </c>
      <c r="F6" s="73" t="s">
        <v>93</v>
      </c>
    </row>
    <row r="7" spans="1:6" ht="15.75" thickTop="1" x14ac:dyDescent="0.25">
      <c r="A7" s="16" t="s">
        <v>8</v>
      </c>
      <c r="B7" s="17" t="s">
        <v>9</v>
      </c>
      <c r="C7" s="18" t="s">
        <v>9</v>
      </c>
      <c r="D7" s="19"/>
      <c r="E7" s="74"/>
      <c r="F7" s="75"/>
    </row>
    <row r="8" spans="1:6" x14ac:dyDescent="0.25">
      <c r="A8" s="3" t="s">
        <v>10</v>
      </c>
      <c r="B8" s="20"/>
      <c r="C8" s="21">
        <v>1.91</v>
      </c>
      <c r="D8" s="19"/>
      <c r="E8" s="76"/>
      <c r="F8" s="75"/>
    </row>
    <row r="9" spans="1:6" x14ac:dyDescent="0.25">
      <c r="A9" s="3" t="s">
        <v>11</v>
      </c>
      <c r="B9" s="22"/>
      <c r="C9" s="23">
        <v>3</v>
      </c>
      <c r="D9" s="24"/>
      <c r="E9" s="30">
        <f>SUM(C9:D9)</f>
        <v>3</v>
      </c>
      <c r="F9" s="75"/>
    </row>
    <row r="10" spans="1:6" x14ac:dyDescent="0.25">
      <c r="A10" s="3" t="s">
        <v>12</v>
      </c>
      <c r="B10" s="20"/>
      <c r="C10" s="25">
        <v>0</v>
      </c>
      <c r="D10" s="26"/>
      <c r="E10" s="77"/>
      <c r="F10" s="75"/>
    </row>
    <row r="11" spans="1:6" x14ac:dyDescent="0.25">
      <c r="A11" s="3" t="s">
        <v>13</v>
      </c>
      <c r="B11" s="20"/>
      <c r="C11" s="18" t="s">
        <v>14</v>
      </c>
      <c r="D11" s="19"/>
      <c r="E11" s="74"/>
      <c r="F11" s="75"/>
    </row>
    <row r="12" spans="1:6" x14ac:dyDescent="0.25">
      <c r="A12" s="3" t="s">
        <v>15</v>
      </c>
      <c r="B12" s="20"/>
      <c r="C12" s="25">
        <v>0.2</v>
      </c>
      <c r="D12" s="26"/>
      <c r="E12" s="77"/>
      <c r="F12" s="75"/>
    </row>
    <row r="13" spans="1:6" x14ac:dyDescent="0.25">
      <c r="A13" s="3" t="s">
        <v>16</v>
      </c>
      <c r="B13" s="27">
        <v>338</v>
      </c>
      <c r="C13" s="23">
        <v>200</v>
      </c>
      <c r="D13" s="24"/>
      <c r="E13" s="78">
        <f>E14/E9</f>
        <v>200</v>
      </c>
      <c r="F13" s="79"/>
    </row>
    <row r="14" spans="1:6" x14ac:dyDescent="0.25">
      <c r="A14" s="28" t="s">
        <v>17</v>
      </c>
      <c r="B14" s="29"/>
      <c r="C14" s="30">
        <f>C13*C9</f>
        <v>600</v>
      </c>
      <c r="D14" s="31"/>
      <c r="E14" s="80">
        <f>SUM(C14:D14)</f>
        <v>600</v>
      </c>
      <c r="F14" s="81"/>
    </row>
    <row r="15" spans="1:6" x14ac:dyDescent="0.25">
      <c r="A15" s="3" t="s">
        <v>18</v>
      </c>
      <c r="B15" s="32">
        <v>1350</v>
      </c>
      <c r="C15" s="33">
        <v>2010</v>
      </c>
      <c r="D15" s="19"/>
      <c r="E15" s="36">
        <f>E16/E9</f>
        <v>2010</v>
      </c>
      <c r="F15" s="82">
        <f>(B15/E15)-1</f>
        <v>-0.32835820895522383</v>
      </c>
    </row>
    <row r="16" spans="1:6" x14ac:dyDescent="0.25">
      <c r="A16" s="34" t="s">
        <v>19</v>
      </c>
      <c r="B16" s="35"/>
      <c r="C16" s="36">
        <f>C9*C15</f>
        <v>6030</v>
      </c>
      <c r="D16" s="37"/>
      <c r="E16" s="36">
        <f>SUM(C16:D16)</f>
        <v>6030</v>
      </c>
      <c r="F16" s="83"/>
    </row>
    <row r="17" spans="1:6" ht="15.75" thickBot="1" x14ac:dyDescent="0.3">
      <c r="A17" s="38" t="s">
        <v>20</v>
      </c>
      <c r="B17" s="39">
        <f>B15/B13</f>
        <v>3.9940828402366866</v>
      </c>
      <c r="C17" s="40">
        <f>IF(C13&gt;0,C15/C13,0)</f>
        <v>10.050000000000001</v>
      </c>
      <c r="D17" s="41"/>
      <c r="E17" s="40">
        <f>E16/E14</f>
        <v>10.050000000000001</v>
      </c>
      <c r="F17" s="84">
        <f>(B17/E17)-1</f>
        <v>-0.60257882186699641</v>
      </c>
    </row>
    <row r="18" spans="1:6" ht="15.75" thickTop="1" x14ac:dyDescent="0.25">
      <c r="A18" s="42" t="s">
        <v>21</v>
      </c>
      <c r="B18" s="17">
        <v>5</v>
      </c>
      <c r="C18" s="18">
        <v>4</v>
      </c>
      <c r="D18" s="43"/>
      <c r="E18" s="18"/>
      <c r="F18" s="85"/>
    </row>
    <row r="19" spans="1:6" x14ac:dyDescent="0.25">
      <c r="A19" s="42" t="s">
        <v>22</v>
      </c>
      <c r="B19" s="17" t="s">
        <v>23</v>
      </c>
      <c r="C19" s="18" t="s">
        <v>23</v>
      </c>
      <c r="D19" s="43"/>
      <c r="E19" s="18"/>
      <c r="F19" s="85"/>
    </row>
    <row r="20" spans="1:6" x14ac:dyDescent="0.25">
      <c r="A20" s="44" t="s">
        <v>24</v>
      </c>
      <c r="B20" s="17">
        <v>0</v>
      </c>
      <c r="C20" s="18">
        <v>0</v>
      </c>
      <c r="D20" s="43"/>
      <c r="E20" s="18"/>
      <c r="F20" s="85"/>
    </row>
    <row r="21" spans="1:6" x14ac:dyDescent="0.25">
      <c r="A21" s="44" t="s">
        <v>25</v>
      </c>
      <c r="B21" s="17">
        <v>1</v>
      </c>
      <c r="C21" s="18">
        <v>1</v>
      </c>
      <c r="D21" s="45">
        <f>IF($B21=C21,0)+IF($B21=C21+1,20)+IF($B21+1=C21,-20)+IF($B21=C21+0.5,10)+IF($B21+0.5=C21,-10)+IF($B21=C21+1.5,30)+IF($B21+1.5=C21,-30)+IF($B21=C21+2,40)+IF($B21+2=C21,-40)+IF($B21=C21+2.5,50)+IF($B21+2.5=C21,-50)</f>
        <v>0</v>
      </c>
      <c r="E21" s="18"/>
      <c r="F21" s="85"/>
    </row>
    <row r="22" spans="1:6" x14ac:dyDescent="0.25">
      <c r="A22" s="44" t="s">
        <v>26</v>
      </c>
      <c r="B22" s="29">
        <f>B13</f>
        <v>338</v>
      </c>
      <c r="C22" s="46">
        <f>$B13-C13</f>
        <v>138</v>
      </c>
      <c r="D22" s="45">
        <f>(C22*$B$17)*0.1</f>
        <v>55.118343195266277</v>
      </c>
      <c r="E22" s="18"/>
      <c r="F22" s="85"/>
    </row>
    <row r="23" spans="1:6" x14ac:dyDescent="0.25">
      <c r="A23" s="44" t="s">
        <v>27</v>
      </c>
      <c r="B23" s="22"/>
      <c r="C23" s="18"/>
      <c r="D23" s="43"/>
      <c r="E23" s="18"/>
      <c r="F23" s="85"/>
    </row>
    <row r="24" spans="1:6" x14ac:dyDescent="0.25">
      <c r="A24" s="42" t="s">
        <v>28</v>
      </c>
      <c r="B24" s="17">
        <v>2028</v>
      </c>
      <c r="C24" s="18">
        <v>2025</v>
      </c>
      <c r="D24" s="45">
        <f>($B$24-C24)</f>
        <v>3</v>
      </c>
      <c r="E24" s="45">
        <f>($B$24-D24)</f>
        <v>2025</v>
      </c>
      <c r="F24" s="85"/>
    </row>
    <row r="25" spans="1:6" ht="15.75" thickBot="1" x14ac:dyDescent="0.3">
      <c r="A25" s="47" t="s">
        <v>29</v>
      </c>
      <c r="B25" s="39"/>
      <c r="C25" s="14"/>
      <c r="D25" s="48"/>
      <c r="E25" s="14"/>
      <c r="F25" s="73"/>
    </row>
    <row r="26" spans="1:6" ht="15.75" thickTop="1" x14ac:dyDescent="0.25">
      <c r="A26" s="49" t="s">
        <v>30</v>
      </c>
      <c r="B26" s="50" t="s">
        <v>31</v>
      </c>
      <c r="C26" s="50" t="s">
        <v>31</v>
      </c>
      <c r="D26" s="45">
        <f>IF(C26=$B26,0,"Utility")</f>
        <v>0</v>
      </c>
      <c r="E26" s="18"/>
      <c r="F26" s="75"/>
    </row>
    <row r="27" spans="1:6" x14ac:dyDescent="0.25">
      <c r="A27" s="49" t="s">
        <v>32</v>
      </c>
      <c r="B27" s="50" t="s">
        <v>33</v>
      </c>
      <c r="C27" s="50" t="s">
        <v>33</v>
      </c>
      <c r="D27" s="45">
        <v>0</v>
      </c>
      <c r="E27" s="18"/>
      <c r="F27" s="75"/>
    </row>
    <row r="28" spans="1:6" x14ac:dyDescent="0.25">
      <c r="A28" s="49" t="s">
        <v>34</v>
      </c>
      <c r="B28" s="50" t="s">
        <v>33</v>
      </c>
      <c r="C28" s="50" t="s">
        <v>33</v>
      </c>
      <c r="D28" s="45">
        <v>0</v>
      </c>
      <c r="E28" s="18"/>
      <c r="F28" s="75"/>
    </row>
    <row r="29" spans="1:6" x14ac:dyDescent="0.25">
      <c r="A29" s="49" t="s">
        <v>35</v>
      </c>
      <c r="B29" s="50" t="s">
        <v>33</v>
      </c>
      <c r="C29" s="50" t="s">
        <v>33</v>
      </c>
      <c r="D29" s="45">
        <v>0</v>
      </c>
      <c r="E29" s="18"/>
      <c r="F29" s="75"/>
    </row>
    <row r="30" spans="1:6" x14ac:dyDescent="0.25">
      <c r="A30" s="49" t="s">
        <v>36</v>
      </c>
      <c r="B30" s="50" t="s">
        <v>37</v>
      </c>
      <c r="C30" s="50" t="s">
        <v>37</v>
      </c>
      <c r="D30" s="45">
        <f t="shared" ref="D30" si="0">IF(C30=$B30,0,"Utility")</f>
        <v>0</v>
      </c>
      <c r="E30" s="18"/>
      <c r="F30" s="75"/>
    </row>
    <row r="31" spans="1:6" x14ac:dyDescent="0.25">
      <c r="A31" s="49" t="s">
        <v>38</v>
      </c>
      <c r="B31" s="50">
        <v>0</v>
      </c>
      <c r="C31" s="50">
        <v>0</v>
      </c>
      <c r="D31" s="45">
        <v>96</v>
      </c>
      <c r="E31" s="18"/>
      <c r="F31" s="75"/>
    </row>
    <row r="32" spans="1:6" x14ac:dyDescent="0.25">
      <c r="A32" s="49" t="s">
        <v>39</v>
      </c>
      <c r="B32" s="50">
        <v>0</v>
      </c>
      <c r="C32" s="50">
        <v>0</v>
      </c>
      <c r="D32" s="45">
        <v>64</v>
      </c>
      <c r="E32" s="18"/>
      <c r="F32" s="75"/>
    </row>
    <row r="33" spans="1:6" x14ac:dyDescent="0.25">
      <c r="A33" s="49" t="s">
        <v>40</v>
      </c>
      <c r="B33" s="50">
        <v>0</v>
      </c>
      <c r="C33" s="50">
        <v>0</v>
      </c>
      <c r="D33" s="45">
        <v>10</v>
      </c>
      <c r="E33" s="18"/>
      <c r="F33" s="75"/>
    </row>
    <row r="34" spans="1:6" ht="15.75" thickBot="1" x14ac:dyDescent="0.3">
      <c r="A34" s="47" t="s">
        <v>41</v>
      </c>
      <c r="B34" s="51"/>
      <c r="C34" s="14"/>
      <c r="D34" s="48"/>
      <c r="E34" s="14"/>
      <c r="F34" s="73"/>
    </row>
    <row r="35" spans="1:6" ht="15.75" thickTop="1" x14ac:dyDescent="0.25">
      <c r="A35" s="49" t="s">
        <v>42</v>
      </c>
      <c r="B35" s="50">
        <v>0</v>
      </c>
      <c r="C35" s="50">
        <v>0</v>
      </c>
      <c r="D35" s="45">
        <f>IF($B35="X",25)+IF(C35="X",-25)+IF($B35=C35,0)</f>
        <v>0</v>
      </c>
      <c r="E35" s="18"/>
      <c r="F35" s="75"/>
    </row>
    <row r="36" spans="1:6" x14ac:dyDescent="0.25">
      <c r="A36" s="49" t="s">
        <v>43</v>
      </c>
      <c r="B36" s="50" t="s">
        <v>31</v>
      </c>
      <c r="C36" s="50" t="s">
        <v>31</v>
      </c>
      <c r="D36" s="45">
        <f>IF($B36="X",5,0)+IF(C36="X",-5,0)+IF($B36=C36,0)</f>
        <v>0</v>
      </c>
      <c r="E36" s="18"/>
      <c r="F36" s="75"/>
    </row>
    <row r="37" spans="1:6" x14ac:dyDescent="0.25">
      <c r="A37" s="49" t="s">
        <v>44</v>
      </c>
      <c r="B37" s="50">
        <v>0</v>
      </c>
      <c r="C37" s="50">
        <v>0</v>
      </c>
      <c r="D37" s="45">
        <f>IF($B37="X",5,0)+IF(C37="X",-5,0)+IF($B37=C37,0)</f>
        <v>0</v>
      </c>
      <c r="E37" s="18"/>
      <c r="F37" s="75"/>
    </row>
    <row r="38" spans="1:6" x14ac:dyDescent="0.25">
      <c r="A38" s="49" t="s">
        <v>45</v>
      </c>
      <c r="B38" s="50">
        <v>0</v>
      </c>
      <c r="C38" s="50">
        <v>0</v>
      </c>
      <c r="D38" s="45">
        <f t="shared" ref="D38:D44" si="1">IF($B38="X",5,0)+IF(C38="X",-5,0)+IF($B38=C38,0)</f>
        <v>0</v>
      </c>
      <c r="E38" s="18"/>
      <c r="F38" s="75"/>
    </row>
    <row r="39" spans="1:6" x14ac:dyDescent="0.25">
      <c r="A39" s="49" t="s">
        <v>46</v>
      </c>
      <c r="B39" s="50">
        <v>0</v>
      </c>
      <c r="C39" s="50">
        <v>0</v>
      </c>
      <c r="D39" s="45">
        <f t="shared" si="1"/>
        <v>0</v>
      </c>
      <c r="E39" s="18"/>
      <c r="F39" s="75"/>
    </row>
    <row r="40" spans="1:6" x14ac:dyDescent="0.25">
      <c r="A40" s="49" t="s">
        <v>47</v>
      </c>
      <c r="B40" s="50" t="s">
        <v>31</v>
      </c>
      <c r="C40" s="50" t="s">
        <v>31</v>
      </c>
      <c r="D40" s="45">
        <f t="shared" si="1"/>
        <v>0</v>
      </c>
      <c r="E40" s="18"/>
      <c r="F40" s="75"/>
    </row>
    <row r="41" spans="1:6" x14ac:dyDescent="0.25">
      <c r="A41" s="49" t="s">
        <v>48</v>
      </c>
      <c r="B41" s="50">
        <v>0</v>
      </c>
      <c r="C41" s="50">
        <v>0</v>
      </c>
      <c r="D41" s="45">
        <f t="shared" si="1"/>
        <v>0</v>
      </c>
      <c r="E41" s="18"/>
      <c r="F41" s="75"/>
    </row>
    <row r="42" spans="1:6" x14ac:dyDescent="0.25">
      <c r="A42" s="49" t="s">
        <v>49</v>
      </c>
      <c r="B42" s="50">
        <v>0</v>
      </c>
      <c r="C42" s="50">
        <v>0</v>
      </c>
      <c r="D42" s="45">
        <f t="shared" si="1"/>
        <v>0</v>
      </c>
      <c r="E42" s="18"/>
      <c r="F42" s="75"/>
    </row>
    <row r="43" spans="1:6" x14ac:dyDescent="0.25">
      <c r="A43" s="49" t="s">
        <v>50</v>
      </c>
      <c r="B43" s="50">
        <v>0</v>
      </c>
      <c r="C43" s="50">
        <v>0</v>
      </c>
      <c r="D43" s="45">
        <f t="shared" si="1"/>
        <v>0</v>
      </c>
      <c r="E43" s="18"/>
      <c r="F43" s="75"/>
    </row>
    <row r="44" spans="1:6" x14ac:dyDescent="0.25">
      <c r="A44" s="49" t="s">
        <v>51</v>
      </c>
      <c r="B44" s="50" t="s">
        <v>31</v>
      </c>
      <c r="C44" s="50" t="s">
        <v>31</v>
      </c>
      <c r="D44" s="45">
        <f t="shared" si="1"/>
        <v>0</v>
      </c>
      <c r="E44" s="18"/>
      <c r="F44" s="75"/>
    </row>
    <row r="45" spans="1:6" ht="15.75" thickBot="1" x14ac:dyDescent="0.3">
      <c r="A45" s="47" t="s">
        <v>52</v>
      </c>
      <c r="B45" s="51"/>
      <c r="C45" s="14"/>
      <c r="D45" s="48"/>
      <c r="E45" s="14"/>
      <c r="F45" s="73"/>
    </row>
    <row r="46" spans="1:6" ht="15.75" thickTop="1" x14ac:dyDescent="0.25">
      <c r="A46" s="49" t="s">
        <v>53</v>
      </c>
      <c r="B46" s="50" t="s">
        <v>31</v>
      </c>
      <c r="C46" s="50" t="s">
        <v>31</v>
      </c>
      <c r="D46" s="45">
        <f>IF($B46="X",25,0)+IF(C46="X",-25,0)+IF($B46=C46,0)</f>
        <v>0</v>
      </c>
      <c r="E46" s="18"/>
      <c r="F46" s="75"/>
    </row>
    <row r="47" spans="1:6" x14ac:dyDescent="0.25">
      <c r="A47" s="49" t="s">
        <v>54</v>
      </c>
      <c r="B47" s="50" t="s">
        <v>31</v>
      </c>
      <c r="C47" s="50" t="s">
        <v>31</v>
      </c>
      <c r="D47" s="45">
        <f>IF($B47="X",25,0)+IF(C47="X",-25,0)+IF($B47=C47,0)</f>
        <v>0</v>
      </c>
      <c r="E47" s="18"/>
      <c r="F47" s="75"/>
    </row>
    <row r="48" spans="1:6" x14ac:dyDescent="0.25">
      <c r="A48" s="49" t="s">
        <v>55</v>
      </c>
      <c r="B48" s="50">
        <v>0</v>
      </c>
      <c r="C48" s="50">
        <v>0</v>
      </c>
      <c r="D48" s="45">
        <f>IF($B48="X",15,0)+IF(C48="X",-15,0)+IF($B48=C48,0)</f>
        <v>0</v>
      </c>
      <c r="E48" s="18"/>
      <c r="F48" s="75"/>
    </row>
    <row r="49" spans="1:6" x14ac:dyDescent="0.25">
      <c r="A49" s="49" t="s">
        <v>56</v>
      </c>
      <c r="B49" s="50" t="s">
        <v>31</v>
      </c>
      <c r="C49" s="50" t="s">
        <v>31</v>
      </c>
      <c r="D49" s="45">
        <f>IF($B49="X",5,0)+IF(C49="X",-5,0)+IF($B49=C49,0)</f>
        <v>0</v>
      </c>
      <c r="E49" s="18"/>
      <c r="F49" s="75"/>
    </row>
    <row r="50" spans="1:6" x14ac:dyDescent="0.25">
      <c r="A50" s="49" t="s">
        <v>57</v>
      </c>
      <c r="B50" s="50" t="s">
        <v>31</v>
      </c>
      <c r="C50" s="50" t="s">
        <v>31</v>
      </c>
      <c r="D50" s="45">
        <f>IF($B50="X",5,0)+IF(C50="X",-5,0)+IF($B50=C50,0)</f>
        <v>0</v>
      </c>
      <c r="E50" s="18"/>
      <c r="F50" s="75"/>
    </row>
    <row r="51" spans="1:6" x14ac:dyDescent="0.25">
      <c r="A51" s="49" t="s">
        <v>58</v>
      </c>
      <c r="B51" s="50">
        <v>0</v>
      </c>
      <c r="C51" s="50">
        <v>0</v>
      </c>
      <c r="D51" s="45">
        <f>IF($B51="X",25,0)+IF(C51="X",-25,0)+IF($B51=C51,0)</f>
        <v>0</v>
      </c>
      <c r="E51" s="18"/>
      <c r="F51" s="75"/>
    </row>
    <row r="52" spans="1:6" x14ac:dyDescent="0.25">
      <c r="A52" s="49" t="s">
        <v>59</v>
      </c>
      <c r="B52" s="50">
        <v>0</v>
      </c>
      <c r="C52" s="50">
        <v>0</v>
      </c>
      <c r="D52" s="45">
        <f>IF($B52="X",10,0)+IF(C52="X",-10,0)+IF($B52=C52,0)</f>
        <v>0</v>
      </c>
      <c r="E52" s="18"/>
      <c r="F52" s="75"/>
    </row>
    <row r="53" spans="1:6" ht="15.75" thickBot="1" x14ac:dyDescent="0.3">
      <c r="A53" s="47" t="s">
        <v>60</v>
      </c>
      <c r="B53" s="51"/>
      <c r="C53" s="14"/>
      <c r="D53" s="48"/>
      <c r="E53" s="14"/>
      <c r="F53" s="73"/>
    </row>
    <row r="54" spans="1:6" ht="15.75" thickTop="1" x14ac:dyDescent="0.25">
      <c r="A54" s="49" t="s">
        <v>61</v>
      </c>
      <c r="B54" s="50" t="s">
        <v>31</v>
      </c>
      <c r="C54" s="50" t="s">
        <v>31</v>
      </c>
      <c r="D54" s="45">
        <f>IF($B54="X",0)+IF(C54="X",0)+IF($B54=C54,0)</f>
        <v>0</v>
      </c>
      <c r="E54" s="18"/>
      <c r="F54" s="75"/>
    </row>
    <row r="55" spans="1:6" x14ac:dyDescent="0.25">
      <c r="A55" s="49" t="s">
        <v>62</v>
      </c>
      <c r="B55" s="50">
        <v>0</v>
      </c>
      <c r="C55" s="50">
        <v>0</v>
      </c>
      <c r="D55" s="45">
        <f>IF($B55="X",5,0)+IF(C55="X",-5,0)+IF($B55=C55,0)</f>
        <v>0</v>
      </c>
      <c r="E55" s="18"/>
      <c r="F55" s="75"/>
    </row>
    <row r="56" spans="1:6" x14ac:dyDescent="0.25">
      <c r="A56" s="49" t="s">
        <v>63</v>
      </c>
      <c r="B56" s="50">
        <v>0</v>
      </c>
      <c r="C56" s="50">
        <v>0</v>
      </c>
      <c r="D56" s="45">
        <f>IF($B56="X",15,0)+IF(C56="X",-15,0)+IF($B56=C56,0)</f>
        <v>0</v>
      </c>
      <c r="E56" s="18"/>
      <c r="F56" s="75"/>
    </row>
    <row r="57" spans="1:6" x14ac:dyDescent="0.25">
      <c r="A57" s="49" t="s">
        <v>64</v>
      </c>
      <c r="B57" s="50">
        <v>0</v>
      </c>
      <c r="C57" s="50">
        <v>0</v>
      </c>
      <c r="D57" s="45">
        <f>IF($B57="X",20,0)+IF(C57="X",-20,0)+IF($B57=C57,0)</f>
        <v>0</v>
      </c>
      <c r="E57" s="18"/>
      <c r="F57" s="75"/>
    </row>
    <row r="58" spans="1:6" x14ac:dyDescent="0.25">
      <c r="A58" s="49" t="s">
        <v>65</v>
      </c>
      <c r="B58" s="50">
        <v>0</v>
      </c>
      <c r="C58" s="50">
        <v>0</v>
      </c>
      <c r="D58" s="45">
        <f>IF($B58="X",25,0)+IF(C58="X",-25,0)+IF($B58=C58,0)</f>
        <v>0</v>
      </c>
      <c r="E58" s="18"/>
      <c r="F58" s="75"/>
    </row>
    <row r="59" spans="1:6" x14ac:dyDescent="0.25">
      <c r="A59" s="49" t="s">
        <v>66</v>
      </c>
      <c r="B59" s="50">
        <v>0</v>
      </c>
      <c r="C59" s="50">
        <v>0</v>
      </c>
      <c r="D59" s="45">
        <f>IF($B59="X",15,0)+IF(C59="X",-15,0)+IF($B59=C59,0)</f>
        <v>0</v>
      </c>
      <c r="E59" s="18"/>
      <c r="F59" s="75"/>
    </row>
    <row r="60" spans="1:6" x14ac:dyDescent="0.25">
      <c r="A60" s="49" t="s">
        <v>67</v>
      </c>
      <c r="B60" s="50">
        <v>0</v>
      </c>
      <c r="C60" s="50">
        <v>0</v>
      </c>
      <c r="D60" s="45">
        <f>IF($B60="X",15,0)+IF(C60="X",-15,0)+IF($B60=C60,0)</f>
        <v>0</v>
      </c>
      <c r="E60" s="18"/>
      <c r="F60" s="75"/>
    </row>
    <row r="61" spans="1:6" ht="15.75" thickBot="1" x14ac:dyDescent="0.3">
      <c r="A61" s="47" t="s">
        <v>68</v>
      </c>
      <c r="B61" s="51"/>
      <c r="C61" s="51"/>
      <c r="D61" s="48"/>
      <c r="E61" s="14"/>
      <c r="F61" s="73"/>
    </row>
    <row r="62" spans="1:6" ht="15.75" thickTop="1" x14ac:dyDescent="0.25">
      <c r="A62" s="49" t="s">
        <v>69</v>
      </c>
      <c r="B62" s="50">
        <v>0</v>
      </c>
      <c r="C62" s="50">
        <v>0</v>
      </c>
      <c r="D62" s="45">
        <f t="shared" ref="D62:D71" si="2">IF($B62="X",5,0)+IF(C62="X",-5,0)+IF($B62=C62,0)</f>
        <v>0</v>
      </c>
      <c r="E62" s="18"/>
      <c r="F62" s="75"/>
    </row>
    <row r="63" spans="1:6" x14ac:dyDescent="0.25">
      <c r="A63" s="49" t="s">
        <v>70</v>
      </c>
      <c r="B63" s="50">
        <v>0</v>
      </c>
      <c r="C63" s="50">
        <v>0</v>
      </c>
      <c r="D63" s="45">
        <f t="shared" si="2"/>
        <v>0</v>
      </c>
      <c r="E63" s="18"/>
      <c r="F63" s="75"/>
    </row>
    <row r="64" spans="1:6" x14ac:dyDescent="0.25">
      <c r="A64" s="49" t="s">
        <v>71</v>
      </c>
      <c r="B64" s="50">
        <v>0</v>
      </c>
      <c r="C64" s="50">
        <v>0</v>
      </c>
      <c r="D64" s="45">
        <f t="shared" si="2"/>
        <v>0</v>
      </c>
      <c r="E64" s="18"/>
      <c r="F64" s="75"/>
    </row>
    <row r="65" spans="1:6" x14ac:dyDescent="0.25">
      <c r="A65" s="49" t="s">
        <v>72</v>
      </c>
      <c r="B65" s="50">
        <v>0</v>
      </c>
      <c r="C65" s="50">
        <v>0</v>
      </c>
      <c r="D65" s="45">
        <f t="shared" si="2"/>
        <v>0</v>
      </c>
      <c r="E65" s="18"/>
      <c r="F65" s="75"/>
    </row>
    <row r="66" spans="1:6" x14ac:dyDescent="0.25">
      <c r="A66" s="49" t="s">
        <v>73</v>
      </c>
      <c r="B66" s="50" t="s">
        <v>31</v>
      </c>
      <c r="C66" s="50" t="s">
        <v>31</v>
      </c>
      <c r="D66" s="45">
        <f t="shared" si="2"/>
        <v>0</v>
      </c>
      <c r="E66" s="18"/>
      <c r="F66" s="75"/>
    </row>
    <row r="67" spans="1:6" x14ac:dyDescent="0.25">
      <c r="A67" s="49" t="s">
        <v>74</v>
      </c>
      <c r="B67" s="50">
        <v>0</v>
      </c>
      <c r="C67" s="50">
        <v>0</v>
      </c>
      <c r="D67" s="45">
        <f t="shared" si="2"/>
        <v>0</v>
      </c>
      <c r="E67" s="18"/>
      <c r="F67" s="75"/>
    </row>
    <row r="68" spans="1:6" x14ac:dyDescent="0.25">
      <c r="A68" s="49" t="s">
        <v>75</v>
      </c>
      <c r="B68" s="50">
        <v>0</v>
      </c>
      <c r="C68" s="50">
        <v>0</v>
      </c>
      <c r="D68" s="45">
        <f t="shared" si="2"/>
        <v>0</v>
      </c>
      <c r="E68" s="18"/>
      <c r="F68" s="75"/>
    </row>
    <row r="69" spans="1:6" x14ac:dyDescent="0.25">
      <c r="A69" s="49" t="s">
        <v>76</v>
      </c>
      <c r="B69" s="50">
        <v>0</v>
      </c>
      <c r="C69" s="50">
        <v>0</v>
      </c>
      <c r="D69" s="45">
        <f t="shared" si="2"/>
        <v>0</v>
      </c>
      <c r="E69" s="18"/>
      <c r="F69" s="75"/>
    </row>
    <row r="70" spans="1:6" x14ac:dyDescent="0.25">
      <c r="A70" s="49" t="s">
        <v>77</v>
      </c>
      <c r="B70" s="50">
        <v>0</v>
      </c>
      <c r="C70" s="50">
        <v>0</v>
      </c>
      <c r="D70" s="45">
        <f t="shared" si="2"/>
        <v>0</v>
      </c>
      <c r="E70" s="18"/>
      <c r="F70" s="75"/>
    </row>
    <row r="71" spans="1:6" x14ac:dyDescent="0.25">
      <c r="A71" s="49" t="s">
        <v>78</v>
      </c>
      <c r="B71" s="50" t="s">
        <v>31</v>
      </c>
      <c r="C71" s="50" t="s">
        <v>31</v>
      </c>
      <c r="D71" s="45">
        <f t="shared" si="2"/>
        <v>0</v>
      </c>
      <c r="E71" s="18"/>
      <c r="F71" s="75"/>
    </row>
    <row r="72" spans="1:6" x14ac:dyDescent="0.25">
      <c r="A72" s="49" t="s">
        <v>79</v>
      </c>
      <c r="B72" s="50" t="s">
        <v>31</v>
      </c>
      <c r="C72" s="50" t="s">
        <v>31</v>
      </c>
      <c r="D72" s="45">
        <f>IF($B72="X",5,0)+IF(C72="X",-5,0)+IF($B72=C72,0)</f>
        <v>0</v>
      </c>
      <c r="E72" s="18"/>
      <c r="F72" s="75"/>
    </row>
    <row r="73" spans="1:6" x14ac:dyDescent="0.25">
      <c r="A73" s="49" t="s">
        <v>80</v>
      </c>
      <c r="B73" s="50">
        <v>0</v>
      </c>
      <c r="C73" s="50">
        <v>0</v>
      </c>
      <c r="D73" s="45">
        <f>IF($B73="X",10,0)+IF(C73="X",-10,0)+IF($B73=C73,0)</f>
        <v>0</v>
      </c>
      <c r="E73" s="18"/>
      <c r="F73" s="75"/>
    </row>
    <row r="74" spans="1:6" x14ac:dyDescent="0.25">
      <c r="A74" s="49" t="s">
        <v>81</v>
      </c>
      <c r="B74" s="50">
        <v>0</v>
      </c>
      <c r="C74" s="50">
        <v>0</v>
      </c>
      <c r="D74" s="45">
        <f t="shared" ref="D74:D76" si="3">IF($B74="X",5,0)+IF(C74="X",-5,0)+IF($B74=C74,0)</f>
        <v>0</v>
      </c>
      <c r="E74" s="18"/>
      <c r="F74" s="75"/>
    </row>
    <row r="75" spans="1:6" x14ac:dyDescent="0.25">
      <c r="A75" s="49" t="s">
        <v>82</v>
      </c>
      <c r="B75" s="50">
        <v>0</v>
      </c>
      <c r="C75" s="50">
        <v>0</v>
      </c>
      <c r="D75" s="45">
        <f t="shared" si="3"/>
        <v>0</v>
      </c>
      <c r="E75" s="18"/>
      <c r="F75" s="75"/>
    </row>
    <row r="76" spans="1:6" ht="15.75" thickBot="1" x14ac:dyDescent="0.3">
      <c r="A76" s="47" t="s">
        <v>83</v>
      </c>
      <c r="B76" s="51"/>
      <c r="C76" s="51"/>
      <c r="D76" s="14">
        <f t="shared" si="3"/>
        <v>0</v>
      </c>
      <c r="E76" s="14"/>
      <c r="F76" s="73"/>
    </row>
    <row r="77" spans="1:6" ht="15.75" thickTop="1" x14ac:dyDescent="0.25">
      <c r="A77" s="49" t="s">
        <v>84</v>
      </c>
      <c r="B77" s="50" t="s">
        <v>31</v>
      </c>
      <c r="C77" s="50" t="s">
        <v>31</v>
      </c>
      <c r="D77" s="45">
        <f>IF($B77="X",5,0)+IF(C77="X",-5,0)+IF($B77=C77,0)</f>
        <v>0</v>
      </c>
      <c r="E77" s="18"/>
      <c r="F77" s="75"/>
    </row>
    <row r="78" spans="1:6" x14ac:dyDescent="0.25">
      <c r="A78" s="49" t="s">
        <v>85</v>
      </c>
      <c r="B78" s="50">
        <v>0</v>
      </c>
      <c r="C78" s="50">
        <v>0</v>
      </c>
      <c r="D78" s="45">
        <f>IF($B78="X",5,0)+IF(C78="X",-5,0)+IF($B78=C78,0)</f>
        <v>0</v>
      </c>
      <c r="E78" s="18"/>
      <c r="F78" s="75"/>
    </row>
    <row r="79" spans="1:6" ht="15.75" thickBot="1" x14ac:dyDescent="0.3">
      <c r="A79" s="52" t="s">
        <v>86</v>
      </c>
      <c r="B79" s="53">
        <v>0</v>
      </c>
      <c r="C79" s="53">
        <v>0</v>
      </c>
      <c r="D79" s="45">
        <f>IF($B79="X",5,0)+IF(C79="X",-5,0)+IF($B79=C79,0)</f>
        <v>0</v>
      </c>
      <c r="E79" s="54"/>
      <c r="F79" s="73"/>
    </row>
    <row r="80" spans="1:6" ht="15.75" thickTop="1" x14ac:dyDescent="0.25">
      <c r="A80" s="55" t="s">
        <v>87</v>
      </c>
      <c r="B80" s="56">
        <f>B15</f>
        <v>1350</v>
      </c>
      <c r="C80" s="36"/>
      <c r="D80" s="37">
        <f>C15+(SUM(D18:D79))</f>
        <v>2238.1183431952663</v>
      </c>
      <c r="E80" s="37">
        <f>E81/E9</f>
        <v>2238.1183431952663</v>
      </c>
      <c r="F80" s="82">
        <f>(B80/E80)-1</f>
        <v>-0.39681473765472897</v>
      </c>
    </row>
    <row r="81" spans="1:6" x14ac:dyDescent="0.25">
      <c r="A81" s="57" t="s">
        <v>88</v>
      </c>
      <c r="B81" s="56"/>
      <c r="C81" s="36"/>
      <c r="D81" s="37">
        <f>D80*C9</f>
        <v>6714.3550295857985</v>
      </c>
      <c r="E81" s="37">
        <f>SUM(C81:D81)</f>
        <v>6714.3550295857985</v>
      </c>
      <c r="F81" s="82"/>
    </row>
    <row r="82" spans="1:6" ht="15.75" thickBot="1" x14ac:dyDescent="0.3">
      <c r="A82" s="55" t="s">
        <v>89</v>
      </c>
      <c r="B82" s="58">
        <f>B17</f>
        <v>3.9940828402366866</v>
      </c>
      <c r="C82" s="59"/>
      <c r="D82" s="60">
        <f>IF(C13&gt;0,D80/C13,0)</f>
        <v>11.190591715976332</v>
      </c>
      <c r="E82" s="60">
        <f>E81/E14</f>
        <v>11.19059171597633</v>
      </c>
      <c r="F82" s="82">
        <f>(B82/E82)-1</f>
        <v>-0.64308564358267983</v>
      </c>
    </row>
    <row r="83" spans="1:6" ht="15.75" thickBot="1" x14ac:dyDescent="0.3">
      <c r="A83" s="61" t="s">
        <v>90</v>
      </c>
      <c r="B83" s="62"/>
      <c r="C83" s="63"/>
      <c r="D83" s="64">
        <f>IF(C15=0,0,D80/C15)</f>
        <v>1.1134917130324709</v>
      </c>
      <c r="E83" s="86"/>
      <c r="F83" s="87"/>
    </row>
    <row r="84" spans="1:6" ht="15.75" thickBot="1" x14ac:dyDescent="0.3">
      <c r="A84" s="91" t="s">
        <v>94</v>
      </c>
      <c r="B84" s="92"/>
      <c r="C84" s="92"/>
      <c r="D84" s="92"/>
      <c r="E84" s="92"/>
      <c r="F84" s="93"/>
    </row>
  </sheetData>
  <mergeCells count="6">
    <mergeCell ref="F4:F5"/>
    <mergeCell ref="A84:F84"/>
    <mergeCell ref="C3:D3"/>
    <mergeCell ref="C4:D4"/>
    <mergeCell ref="C1:D1"/>
    <mergeCell ref="C2:D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6FD32-90E8-479A-BE44-CE67021F3457}">
  <dimension ref="A1:M84"/>
  <sheetViews>
    <sheetView tabSelected="1" zoomScale="150" workbookViewId="0">
      <selection activeCell="G79" sqref="G79"/>
    </sheetView>
  </sheetViews>
  <sheetFormatPr defaultColWidth="8.85546875" defaultRowHeight="15" x14ac:dyDescent="0.25"/>
  <cols>
    <col min="1" max="1" width="29" bestFit="1" customWidth="1"/>
    <col min="2" max="2" width="10" customWidth="1"/>
    <col min="7" max="7" width="7.42578125" bestFit="1" customWidth="1"/>
    <col min="8" max="8" width="21.42578125" customWidth="1"/>
    <col min="9" max="9" width="12" bestFit="1" customWidth="1"/>
    <col min="10" max="10" width="11" bestFit="1" customWidth="1"/>
  </cols>
  <sheetData>
    <row r="1" spans="1:13" ht="38.25" x14ac:dyDescent="0.25">
      <c r="A1" s="1" t="s">
        <v>0</v>
      </c>
      <c r="B1" s="2" t="s">
        <v>102</v>
      </c>
      <c r="C1" s="98" t="s">
        <v>103</v>
      </c>
      <c r="D1" s="99"/>
      <c r="E1" s="98" t="s">
        <v>105</v>
      </c>
      <c r="F1" s="99"/>
      <c r="G1" s="98" t="s">
        <v>106</v>
      </c>
      <c r="H1" s="99"/>
      <c r="I1" s="65"/>
      <c r="J1" s="66"/>
    </row>
    <row r="2" spans="1:13" x14ac:dyDescent="0.25">
      <c r="A2" s="3" t="s">
        <v>1</v>
      </c>
      <c r="B2" s="4"/>
      <c r="C2" s="96"/>
      <c r="D2" s="97"/>
      <c r="E2" s="96"/>
      <c r="F2" s="97"/>
      <c r="G2" s="96"/>
      <c r="H2" s="97"/>
      <c r="I2" s="67"/>
      <c r="J2" s="68"/>
    </row>
    <row r="3" spans="1:13" ht="24" x14ac:dyDescent="0.25">
      <c r="A3" s="5">
        <v>45882</v>
      </c>
      <c r="B3" s="100" t="s">
        <v>97</v>
      </c>
      <c r="C3" s="94" t="s">
        <v>97</v>
      </c>
      <c r="D3" s="101"/>
      <c r="E3" s="94" t="s">
        <v>97</v>
      </c>
      <c r="F3" s="101"/>
      <c r="G3" s="94" t="s">
        <v>97</v>
      </c>
      <c r="H3" s="101"/>
      <c r="I3" s="69"/>
      <c r="J3" s="68"/>
    </row>
    <row r="4" spans="1:13" x14ac:dyDescent="0.25">
      <c r="A4" s="7" t="s">
        <v>2</v>
      </c>
      <c r="B4" s="6"/>
      <c r="C4" s="94"/>
      <c r="D4" s="95"/>
      <c r="E4" s="94"/>
      <c r="F4" s="95"/>
      <c r="G4" s="94"/>
      <c r="H4" s="95"/>
      <c r="I4" s="70"/>
      <c r="J4" s="90"/>
    </row>
    <row r="5" spans="1:13" ht="45" x14ac:dyDescent="0.25">
      <c r="A5" s="8" t="s">
        <v>95</v>
      </c>
      <c r="B5" s="9" t="s">
        <v>3</v>
      </c>
      <c r="C5" s="10"/>
      <c r="D5" s="11"/>
      <c r="E5" s="10"/>
      <c r="F5" s="11"/>
      <c r="G5" s="10"/>
      <c r="H5" s="11"/>
      <c r="I5" s="71" t="s">
        <v>91</v>
      </c>
      <c r="J5" s="90"/>
    </row>
    <row r="6" spans="1:13" ht="27" thickBot="1" x14ac:dyDescent="0.3">
      <c r="A6" s="12" t="s">
        <v>4</v>
      </c>
      <c r="B6" s="13" t="s">
        <v>5</v>
      </c>
      <c r="C6" s="14" t="s">
        <v>6</v>
      </c>
      <c r="D6" s="15" t="s">
        <v>7</v>
      </c>
      <c r="E6" s="14" t="s">
        <v>6</v>
      </c>
      <c r="F6" s="15" t="s">
        <v>7</v>
      </c>
      <c r="G6" s="14" t="s">
        <v>6</v>
      </c>
      <c r="H6" s="15" t="s">
        <v>7</v>
      </c>
      <c r="I6" s="72" t="s">
        <v>92</v>
      </c>
      <c r="J6" s="73" t="s">
        <v>93</v>
      </c>
    </row>
    <row r="7" spans="1:13" ht="15.75" thickTop="1" x14ac:dyDescent="0.25">
      <c r="A7" s="16" t="s">
        <v>8</v>
      </c>
      <c r="B7" s="17" t="s">
        <v>9</v>
      </c>
      <c r="C7" s="18" t="s">
        <v>9</v>
      </c>
      <c r="D7" s="19"/>
      <c r="E7" s="18" t="s">
        <v>9</v>
      </c>
      <c r="F7" s="19"/>
      <c r="G7" s="18" t="s">
        <v>9</v>
      </c>
      <c r="H7" s="19"/>
      <c r="I7" s="74"/>
      <c r="J7" s="75"/>
    </row>
    <row r="8" spans="1:13" x14ac:dyDescent="0.25">
      <c r="A8" s="3" t="s">
        <v>10</v>
      </c>
      <c r="B8" s="20"/>
      <c r="C8" s="21">
        <v>0.2</v>
      </c>
      <c r="D8" s="19"/>
      <c r="E8" s="89">
        <v>0.06</v>
      </c>
      <c r="F8" s="19"/>
      <c r="G8" s="89">
        <v>0.2</v>
      </c>
      <c r="H8" s="19"/>
      <c r="I8" s="76"/>
      <c r="J8" s="75"/>
      <c r="M8" s="88"/>
    </row>
    <row r="9" spans="1:13" x14ac:dyDescent="0.25">
      <c r="A9" s="3" t="s">
        <v>11</v>
      </c>
      <c r="B9" s="22">
        <v>163</v>
      </c>
      <c r="C9" s="23">
        <v>151</v>
      </c>
      <c r="D9" s="24"/>
      <c r="E9" s="23">
        <v>125</v>
      </c>
      <c r="F9" s="24"/>
      <c r="G9" s="23">
        <v>40</v>
      </c>
      <c r="H9" s="24"/>
      <c r="I9" s="30">
        <f>SUM(C9:H9)</f>
        <v>316</v>
      </c>
      <c r="J9" s="75"/>
    </row>
    <row r="10" spans="1:13" x14ac:dyDescent="0.25">
      <c r="A10" s="3" t="s">
        <v>12</v>
      </c>
      <c r="B10" s="20"/>
      <c r="C10" s="25" t="s">
        <v>104</v>
      </c>
      <c r="D10" s="26"/>
      <c r="E10" s="25" t="s">
        <v>104</v>
      </c>
      <c r="F10" s="26"/>
      <c r="G10" s="25" t="s">
        <v>104</v>
      </c>
      <c r="H10" s="26"/>
      <c r="I10" s="77"/>
      <c r="J10" s="75"/>
    </row>
    <row r="11" spans="1:13" x14ac:dyDescent="0.25">
      <c r="A11" s="3" t="s">
        <v>13</v>
      </c>
      <c r="B11" s="20"/>
      <c r="C11" s="18" t="s">
        <v>14</v>
      </c>
      <c r="D11" s="19"/>
      <c r="E11" s="18" t="s">
        <v>14</v>
      </c>
      <c r="F11" s="19"/>
      <c r="G11" s="18" t="s">
        <v>14</v>
      </c>
      <c r="H11" s="19"/>
      <c r="I11" s="74"/>
      <c r="J11" s="75"/>
    </row>
    <row r="12" spans="1:13" x14ac:dyDescent="0.25">
      <c r="A12" s="3" t="s">
        <v>15</v>
      </c>
      <c r="B12" s="20"/>
      <c r="C12" s="25" t="s">
        <v>104</v>
      </c>
      <c r="D12" s="26"/>
      <c r="E12" s="25" t="s">
        <v>104</v>
      </c>
      <c r="F12" s="26"/>
      <c r="G12" s="25" t="s">
        <v>104</v>
      </c>
      <c r="H12" s="26"/>
      <c r="I12" s="77"/>
      <c r="J12" s="75"/>
    </row>
    <row r="13" spans="1:13" x14ac:dyDescent="0.25">
      <c r="A13" s="3" t="s">
        <v>16</v>
      </c>
      <c r="B13" s="27">
        <v>420</v>
      </c>
      <c r="C13" s="23">
        <v>754</v>
      </c>
      <c r="D13" s="24"/>
      <c r="E13" s="23">
        <v>837</v>
      </c>
      <c r="F13" s="24"/>
      <c r="G13" s="23">
        <v>850</v>
      </c>
      <c r="H13" s="24"/>
      <c r="I13" s="30">
        <f>I14/I9</f>
        <v>798.9841772151899</v>
      </c>
      <c r="J13" s="79"/>
    </row>
    <row r="14" spans="1:13" x14ac:dyDescent="0.25">
      <c r="A14" s="28" t="s">
        <v>17</v>
      </c>
      <c r="B14" s="29"/>
      <c r="C14" s="30">
        <f>C13*C9</f>
        <v>113854</v>
      </c>
      <c r="D14" s="31"/>
      <c r="E14" s="30">
        <f>E13*E9</f>
        <v>104625</v>
      </c>
      <c r="F14" s="31"/>
      <c r="G14" s="30">
        <f>G13*G9</f>
        <v>34000</v>
      </c>
      <c r="H14" s="31"/>
      <c r="I14" s="80">
        <f>SUM(C14:H14)</f>
        <v>252479</v>
      </c>
      <c r="J14" s="81"/>
    </row>
    <row r="15" spans="1:13" x14ac:dyDescent="0.25">
      <c r="A15" s="3" t="s">
        <v>18</v>
      </c>
      <c r="B15" s="32">
        <v>1491</v>
      </c>
      <c r="C15" s="33">
        <v>2200</v>
      </c>
      <c r="D15" s="19"/>
      <c r="E15" s="33">
        <v>2370</v>
      </c>
      <c r="F15" s="19"/>
      <c r="G15" s="33">
        <v>2175</v>
      </c>
      <c r="H15" s="19"/>
      <c r="I15" s="36">
        <f>I16/I9</f>
        <v>2264.0822784810125</v>
      </c>
      <c r="J15" s="82">
        <f>(B15/I15)-1</f>
        <v>-0.34145502830386465</v>
      </c>
    </row>
    <row r="16" spans="1:13" x14ac:dyDescent="0.25">
      <c r="A16" s="34" t="s">
        <v>19</v>
      </c>
      <c r="B16" s="35"/>
      <c r="C16" s="36">
        <f>C9*C15</f>
        <v>332200</v>
      </c>
      <c r="D16" s="37"/>
      <c r="E16" s="36">
        <f>E9*E15</f>
        <v>296250</v>
      </c>
      <c r="F16" s="37"/>
      <c r="G16" s="36">
        <f>G9*G15</f>
        <v>87000</v>
      </c>
      <c r="H16" s="37"/>
      <c r="I16" s="36">
        <f>SUM(C16:H16)</f>
        <v>715450</v>
      </c>
      <c r="J16" s="83"/>
    </row>
    <row r="17" spans="1:10" ht="15.75" thickBot="1" x14ac:dyDescent="0.3">
      <c r="A17" s="38" t="s">
        <v>20</v>
      </c>
      <c r="B17" s="39">
        <f>B15/B13</f>
        <v>3.55</v>
      </c>
      <c r="C17" s="40">
        <f>IF(C13&gt;0,C15/C13,0)</f>
        <v>2.9177718832891246</v>
      </c>
      <c r="D17" s="41"/>
      <c r="E17" s="40">
        <f>IF(E13&gt;0,E15/E13,0)</f>
        <v>2.8315412186379927</v>
      </c>
      <c r="F17" s="41"/>
      <c r="G17" s="40">
        <f>IF(G13&gt;0,G15/G13,0)</f>
        <v>2.5588235294117645</v>
      </c>
      <c r="H17" s="41"/>
      <c r="I17" s="40">
        <f>I16/I14</f>
        <v>2.8337010206789475</v>
      </c>
      <c r="J17" s="84">
        <f>(B17/I17)-1</f>
        <v>0.25277860088056459</v>
      </c>
    </row>
    <row r="18" spans="1:10" ht="15.75" thickTop="1" x14ac:dyDescent="0.25">
      <c r="A18" s="42" t="s">
        <v>21</v>
      </c>
      <c r="B18" s="17">
        <v>5</v>
      </c>
      <c r="C18" s="18">
        <v>3</v>
      </c>
      <c r="D18" s="43"/>
      <c r="E18" s="18">
        <v>3</v>
      </c>
      <c r="F18" s="43"/>
      <c r="G18" s="18">
        <v>2</v>
      </c>
      <c r="H18" s="43"/>
      <c r="I18" s="18"/>
      <c r="J18" s="85"/>
    </row>
    <row r="19" spans="1:10" x14ac:dyDescent="0.25">
      <c r="A19" s="42" t="s">
        <v>22</v>
      </c>
      <c r="B19" s="17" t="s">
        <v>23</v>
      </c>
      <c r="C19" s="18" t="s">
        <v>23</v>
      </c>
      <c r="D19" s="43"/>
      <c r="E19" s="18" t="s">
        <v>23</v>
      </c>
      <c r="F19" s="43"/>
      <c r="G19" s="18" t="s">
        <v>14</v>
      </c>
      <c r="H19" s="43"/>
      <c r="I19" s="18"/>
      <c r="J19" s="85"/>
    </row>
    <row r="20" spans="1:10" x14ac:dyDescent="0.25">
      <c r="A20" s="44" t="s">
        <v>24</v>
      </c>
      <c r="B20" s="17">
        <v>1</v>
      </c>
      <c r="C20" s="18">
        <v>1</v>
      </c>
      <c r="D20" s="43"/>
      <c r="E20" s="18">
        <v>1</v>
      </c>
      <c r="F20" s="43"/>
      <c r="G20" s="18">
        <v>1</v>
      </c>
      <c r="H20" s="43"/>
      <c r="I20" s="18"/>
      <c r="J20" s="85"/>
    </row>
    <row r="21" spans="1:10" x14ac:dyDescent="0.25">
      <c r="A21" s="44" t="s">
        <v>25</v>
      </c>
      <c r="B21" s="17">
        <v>1</v>
      </c>
      <c r="C21" s="18">
        <v>1</v>
      </c>
      <c r="D21" s="45">
        <f>IF($B21=C21,0)+IF($B21=C21+1,20)+IF($B21+1=C21,-20)+IF($B21=C21+0.5,10)+IF($B21+0.5=C21,-10)+IF($B21=C21+1.5,30)+IF($B21+1.5=C21,-30)+IF($B21=C21+2,40)+IF($B21+2=C21,-40)+IF($B21=C21+2.5,50)+IF($B21+2.5=C21,-50)</f>
        <v>0</v>
      </c>
      <c r="E21" s="18">
        <v>1</v>
      </c>
      <c r="F21" s="45">
        <f>IF($B21=E21,0)+IF($B21=E21+1,20)+IF($B21+1=E21,-20)+IF($B21=E21+0.5,10)+IF($B21+0.5=E21,-10)+IF($B21=E21+1.5,30)+IF($B21+1.5=E21,-30)+IF($B21=E21+2,40)+IF($B21+2=E21,-40)+IF($B21=E21+2.5,50)+IF($B21+2.5=E21,-50)</f>
        <v>0</v>
      </c>
      <c r="G21" s="18">
        <v>1</v>
      </c>
      <c r="H21" s="45">
        <f>IF($B21=G21,0)+IF($B21=G21+1,20)+IF($B21+1=G21,-20)+IF($B21=G21+0.5,10)+IF($B21+0.5=G21,-10)+IF($B21=G21+1.5,30)+IF($B21+1.5=G21,-30)+IF($B21=G21+2,40)+IF($B21+2=G21,-40)+IF($B21=G21+2.5,50)+IF($B21+2.5=G21,-50)</f>
        <v>0</v>
      </c>
      <c r="I21" s="18"/>
      <c r="J21" s="85"/>
    </row>
    <row r="22" spans="1:10" x14ac:dyDescent="0.25">
      <c r="A22" s="44" t="s">
        <v>26</v>
      </c>
      <c r="B22" s="29">
        <f>B13</f>
        <v>420</v>
      </c>
      <c r="C22" s="46">
        <f>$B13-C13</f>
        <v>-334</v>
      </c>
      <c r="D22" s="45">
        <f>(C22*$B$17)*0.1</f>
        <v>-118.57000000000001</v>
      </c>
      <c r="E22" s="46">
        <f>$B13-E13</f>
        <v>-417</v>
      </c>
      <c r="F22" s="45">
        <f>(E22*$B$17)*0.1</f>
        <v>-148.035</v>
      </c>
      <c r="G22" s="46">
        <f>$B13-G13</f>
        <v>-430</v>
      </c>
      <c r="H22" s="45">
        <f>(G22*$B$17)*0.1</f>
        <v>-152.65</v>
      </c>
      <c r="I22" s="18"/>
      <c r="J22" s="85"/>
    </row>
    <row r="23" spans="1:10" x14ac:dyDescent="0.25">
      <c r="A23" s="44" t="s">
        <v>27</v>
      </c>
      <c r="B23" s="22"/>
      <c r="C23" s="18"/>
      <c r="D23" s="43"/>
      <c r="E23" s="18"/>
      <c r="F23" s="43"/>
      <c r="G23" s="18"/>
      <c r="H23" s="43"/>
      <c r="I23" s="18"/>
      <c r="J23" s="85"/>
    </row>
    <row r="24" spans="1:10" x14ac:dyDescent="0.25">
      <c r="A24" s="42" t="s">
        <v>28</v>
      </c>
      <c r="B24" s="17">
        <v>2028</v>
      </c>
      <c r="C24" s="18">
        <v>1984</v>
      </c>
      <c r="D24" s="45">
        <f>($B$24-C24)*5</f>
        <v>220</v>
      </c>
      <c r="E24" s="18">
        <v>1978</v>
      </c>
      <c r="F24" s="45">
        <f>($B$24-E24)*5</f>
        <v>250</v>
      </c>
      <c r="G24" s="18">
        <v>1987</v>
      </c>
      <c r="H24" s="45">
        <f>($B$24-G24)*5</f>
        <v>205</v>
      </c>
      <c r="I24" s="45">
        <f>($B$24-H24)</f>
        <v>1823</v>
      </c>
      <c r="J24" s="85"/>
    </row>
    <row r="25" spans="1:10" ht="15.75" thickBot="1" x14ac:dyDescent="0.3">
      <c r="A25" s="47" t="s">
        <v>29</v>
      </c>
      <c r="B25" s="39"/>
      <c r="C25" s="14"/>
      <c r="D25" s="48"/>
      <c r="E25" s="14"/>
      <c r="F25" s="48"/>
      <c r="G25" s="14"/>
      <c r="H25" s="48"/>
      <c r="I25" s="14"/>
      <c r="J25" s="73"/>
    </row>
    <row r="26" spans="1:10" ht="15.75" thickTop="1" x14ac:dyDescent="0.25">
      <c r="A26" s="49" t="s">
        <v>30</v>
      </c>
      <c r="B26" s="50" t="s">
        <v>31</v>
      </c>
      <c r="C26" s="50" t="s">
        <v>31</v>
      </c>
      <c r="D26" s="45">
        <f>IF(C26=$B26,0,"Utility")</f>
        <v>0</v>
      </c>
      <c r="E26" s="50" t="s">
        <v>31</v>
      </c>
      <c r="F26" s="45">
        <f>IF(E26=$B26,0,"Utility")</f>
        <v>0</v>
      </c>
      <c r="G26" s="50" t="s">
        <v>31</v>
      </c>
      <c r="H26" s="45">
        <f>IF(G26=$B26,0,"Utility")</f>
        <v>0</v>
      </c>
      <c r="I26" s="18"/>
      <c r="J26" s="75"/>
    </row>
    <row r="27" spans="1:10" x14ac:dyDescent="0.25">
      <c r="A27" s="49" t="s">
        <v>32</v>
      </c>
      <c r="B27" s="50" t="s">
        <v>33</v>
      </c>
      <c r="C27" s="50" t="s">
        <v>33</v>
      </c>
      <c r="D27" s="45">
        <v>0</v>
      </c>
      <c r="E27" s="50" t="s">
        <v>33</v>
      </c>
      <c r="F27" s="45">
        <v>0</v>
      </c>
      <c r="G27" s="50" t="s">
        <v>33</v>
      </c>
      <c r="H27" s="45">
        <v>0</v>
      </c>
      <c r="I27" s="18"/>
      <c r="J27" s="75"/>
    </row>
    <row r="28" spans="1:10" x14ac:dyDescent="0.25">
      <c r="A28" s="49" t="s">
        <v>34</v>
      </c>
      <c r="B28" s="50" t="s">
        <v>33</v>
      </c>
      <c r="C28" s="50" t="s">
        <v>33</v>
      </c>
      <c r="D28" s="45">
        <v>0</v>
      </c>
      <c r="E28" s="50" t="s">
        <v>33</v>
      </c>
      <c r="F28" s="45">
        <v>0</v>
      </c>
      <c r="G28" s="50" t="s">
        <v>33</v>
      </c>
      <c r="H28" s="45">
        <v>0</v>
      </c>
      <c r="I28" s="18"/>
      <c r="J28" s="75"/>
    </row>
    <row r="29" spans="1:10" x14ac:dyDescent="0.25">
      <c r="A29" s="49" t="s">
        <v>35</v>
      </c>
      <c r="B29" s="50" t="s">
        <v>33</v>
      </c>
      <c r="C29" s="50" t="s">
        <v>33</v>
      </c>
      <c r="D29" s="45">
        <v>0</v>
      </c>
      <c r="E29" s="50" t="s">
        <v>33</v>
      </c>
      <c r="F29" s="45">
        <v>0</v>
      </c>
      <c r="G29" s="50" t="s">
        <v>33</v>
      </c>
      <c r="H29" s="45">
        <v>0</v>
      </c>
      <c r="I29" s="18"/>
      <c r="J29" s="75"/>
    </row>
    <row r="30" spans="1:10" x14ac:dyDescent="0.25">
      <c r="A30" s="49" t="s">
        <v>36</v>
      </c>
      <c r="B30" s="50" t="s">
        <v>37</v>
      </c>
      <c r="C30" s="50" t="s">
        <v>37</v>
      </c>
      <c r="D30" s="45">
        <f t="shared" ref="D30" si="0">IF(C30=$B30,0,"Utility")</f>
        <v>0</v>
      </c>
      <c r="E30" s="50" t="s">
        <v>37</v>
      </c>
      <c r="F30" s="45">
        <f t="shared" ref="F30" si="1">IF(E30=$B30,0,"Utility")</f>
        <v>0</v>
      </c>
      <c r="G30" s="50" t="s">
        <v>37</v>
      </c>
      <c r="H30" s="45">
        <f t="shared" ref="H30" si="2">IF(G30=$B30,0,"Utility")</f>
        <v>0</v>
      </c>
      <c r="I30" s="18"/>
      <c r="J30" s="75"/>
    </row>
    <row r="31" spans="1:10" x14ac:dyDescent="0.25">
      <c r="A31" s="49" t="s">
        <v>38</v>
      </c>
      <c r="B31" s="50">
        <v>0</v>
      </c>
      <c r="C31" s="50">
        <v>0</v>
      </c>
      <c r="D31" s="45">
        <v>0</v>
      </c>
      <c r="E31" s="50">
        <v>0</v>
      </c>
      <c r="F31" s="45">
        <v>0</v>
      </c>
      <c r="G31" s="50">
        <v>0</v>
      </c>
      <c r="H31" s="45">
        <v>0</v>
      </c>
      <c r="I31" s="18"/>
      <c r="J31" s="75"/>
    </row>
    <row r="32" spans="1:10" x14ac:dyDescent="0.25">
      <c r="A32" s="49" t="s">
        <v>39</v>
      </c>
      <c r="B32" s="50">
        <v>0</v>
      </c>
      <c r="C32" s="50">
        <v>0</v>
      </c>
      <c r="D32" s="45">
        <v>0</v>
      </c>
      <c r="E32" s="50">
        <v>0</v>
      </c>
      <c r="F32" s="45">
        <v>0</v>
      </c>
      <c r="G32" s="50">
        <v>0</v>
      </c>
      <c r="H32" s="45">
        <v>0</v>
      </c>
      <c r="I32" s="18"/>
      <c r="J32" s="75"/>
    </row>
    <row r="33" spans="1:10" x14ac:dyDescent="0.25">
      <c r="A33" s="49" t="s">
        <v>40</v>
      </c>
      <c r="B33" s="50">
        <v>0</v>
      </c>
      <c r="C33" s="50">
        <v>0</v>
      </c>
      <c r="D33" s="45">
        <v>0</v>
      </c>
      <c r="E33" s="50">
        <v>0</v>
      </c>
      <c r="F33" s="45">
        <v>0</v>
      </c>
      <c r="G33" s="50">
        <v>0</v>
      </c>
      <c r="H33" s="45">
        <v>0</v>
      </c>
      <c r="I33" s="18"/>
      <c r="J33" s="75"/>
    </row>
    <row r="34" spans="1:10" ht="15.75" thickBot="1" x14ac:dyDescent="0.3">
      <c r="A34" s="47" t="s">
        <v>41</v>
      </c>
      <c r="B34" s="51"/>
      <c r="C34" s="51"/>
      <c r="D34" s="48"/>
      <c r="E34" s="51"/>
      <c r="F34" s="48"/>
      <c r="G34" s="51"/>
      <c r="H34" s="48"/>
      <c r="I34" s="14"/>
      <c r="J34" s="73"/>
    </row>
    <row r="35" spans="1:10" ht="15.75" thickTop="1" x14ac:dyDescent="0.25">
      <c r="A35" s="49" t="s">
        <v>42</v>
      </c>
      <c r="B35" s="50">
        <v>0</v>
      </c>
      <c r="C35" s="50">
        <v>0</v>
      </c>
      <c r="D35" s="45">
        <f>IF($B35="X",25)+IF(C35="X",-25)+IF($B35=C35,0)</f>
        <v>0</v>
      </c>
      <c r="E35" s="50" t="s">
        <v>31</v>
      </c>
      <c r="F35" s="45">
        <f>IF($B35="X",25)+IF(E35="X",-25)+IF($B35=E35,0)</f>
        <v>-25</v>
      </c>
      <c r="G35" s="50" t="s">
        <v>31</v>
      </c>
      <c r="H35" s="45">
        <f>IF($B35="X",25)+IF(G35="X",-25)+IF($B35=G35,0)</f>
        <v>-25</v>
      </c>
      <c r="I35" s="18"/>
      <c r="J35" s="75"/>
    </row>
    <row r="36" spans="1:10" x14ac:dyDescent="0.25">
      <c r="A36" s="49" t="s">
        <v>43</v>
      </c>
      <c r="B36" s="50">
        <v>0</v>
      </c>
      <c r="C36" s="50" t="s">
        <v>31</v>
      </c>
      <c r="D36" s="45">
        <f>IF($B36="X",5,0)+IF(C36="X",-5,0)+IF($B36=C36,0)</f>
        <v>-5</v>
      </c>
      <c r="E36" s="50" t="s">
        <v>31</v>
      </c>
      <c r="F36" s="45">
        <f>IF($B36="X",5,0)+IF(E36="X",-5,0)+IF($B36=E36,0)</f>
        <v>-5</v>
      </c>
      <c r="G36" s="50" t="s">
        <v>31</v>
      </c>
      <c r="H36" s="45">
        <f>IF($B36="X",5,0)+IF(G36="X",-5,0)+IF($B36=G36,0)</f>
        <v>-5</v>
      </c>
      <c r="I36" s="18"/>
      <c r="J36" s="75"/>
    </row>
    <row r="37" spans="1:10" x14ac:dyDescent="0.25">
      <c r="A37" s="49" t="s">
        <v>44</v>
      </c>
      <c r="B37" s="50">
        <v>0</v>
      </c>
      <c r="C37" s="50">
        <v>0</v>
      </c>
      <c r="D37" s="45">
        <f>IF($B37="X",5,0)+IF(C37="X",-5,0)+IF($B37=C37,0)</f>
        <v>0</v>
      </c>
      <c r="E37" s="50" t="s">
        <v>31</v>
      </c>
      <c r="F37" s="45">
        <f>IF($B37="X",5,0)+IF(E37="X",-5,0)+IF($B37=E37,0)</f>
        <v>-5</v>
      </c>
      <c r="G37" s="50" t="s">
        <v>31</v>
      </c>
      <c r="H37" s="45">
        <f>IF($B37="X",5,0)+IF(G37="X",-5,0)+IF($B37=G37,0)</f>
        <v>-5</v>
      </c>
      <c r="I37" s="18"/>
      <c r="J37" s="75"/>
    </row>
    <row r="38" spans="1:10" x14ac:dyDescent="0.25">
      <c r="A38" s="49" t="s">
        <v>45</v>
      </c>
      <c r="B38" s="50">
        <v>0</v>
      </c>
      <c r="C38" s="50">
        <v>0</v>
      </c>
      <c r="D38" s="45">
        <f t="shared" ref="D38:D44" si="3">IF($B38="X",5,0)+IF(C38="X",-5,0)+IF($B38=C38,0)</f>
        <v>0</v>
      </c>
      <c r="E38" s="50" t="s">
        <v>31</v>
      </c>
      <c r="F38" s="45">
        <f t="shared" ref="F38:F44" si="4">IF($B38="X",5,0)+IF(E38="X",-5,0)+IF($B38=E38,0)</f>
        <v>-5</v>
      </c>
      <c r="G38" s="50" t="s">
        <v>31</v>
      </c>
      <c r="H38" s="45">
        <f t="shared" ref="H38:H44" si="5">IF($B38="X",5,0)+IF(G38="X",-5,0)+IF($B38=G38,0)</f>
        <v>-5</v>
      </c>
      <c r="I38" s="18"/>
      <c r="J38" s="75"/>
    </row>
    <row r="39" spans="1:10" x14ac:dyDescent="0.25">
      <c r="A39" s="49" t="s">
        <v>46</v>
      </c>
      <c r="B39" s="50">
        <v>0</v>
      </c>
      <c r="C39" s="50">
        <v>0</v>
      </c>
      <c r="D39" s="45">
        <f t="shared" si="3"/>
        <v>0</v>
      </c>
      <c r="E39" s="50">
        <v>0</v>
      </c>
      <c r="F39" s="45">
        <f t="shared" si="4"/>
        <v>0</v>
      </c>
      <c r="G39" s="50">
        <v>0</v>
      </c>
      <c r="H39" s="45">
        <f t="shared" si="5"/>
        <v>0</v>
      </c>
      <c r="I39" s="18"/>
      <c r="J39" s="75"/>
    </row>
    <row r="40" spans="1:10" x14ac:dyDescent="0.25">
      <c r="A40" s="49" t="s">
        <v>47</v>
      </c>
      <c r="B40" s="50">
        <v>0</v>
      </c>
      <c r="C40" s="50" t="s">
        <v>31</v>
      </c>
      <c r="D40" s="45">
        <f t="shared" si="3"/>
        <v>-5</v>
      </c>
      <c r="E40" s="50" t="s">
        <v>31</v>
      </c>
      <c r="F40" s="45">
        <f t="shared" si="4"/>
        <v>-5</v>
      </c>
      <c r="G40" s="50">
        <v>0</v>
      </c>
      <c r="H40" s="45">
        <f t="shared" si="5"/>
        <v>0</v>
      </c>
      <c r="I40" s="18"/>
      <c r="J40" s="75"/>
    </row>
    <row r="41" spans="1:10" x14ac:dyDescent="0.25">
      <c r="A41" s="49" t="s">
        <v>48</v>
      </c>
      <c r="B41" s="50">
        <v>0</v>
      </c>
      <c r="C41" s="50">
        <v>0</v>
      </c>
      <c r="D41" s="45">
        <f t="shared" si="3"/>
        <v>0</v>
      </c>
      <c r="E41" s="50" t="s">
        <v>31</v>
      </c>
      <c r="F41" s="45">
        <f t="shared" si="4"/>
        <v>-5</v>
      </c>
      <c r="G41" s="50">
        <v>0</v>
      </c>
      <c r="H41" s="45">
        <f t="shared" si="5"/>
        <v>0</v>
      </c>
      <c r="I41" s="18"/>
      <c r="J41" s="75"/>
    </row>
    <row r="42" spans="1:10" x14ac:dyDescent="0.25">
      <c r="A42" s="49" t="s">
        <v>49</v>
      </c>
      <c r="B42" s="50">
        <v>0</v>
      </c>
      <c r="C42" s="50">
        <v>0</v>
      </c>
      <c r="D42" s="45">
        <f t="shared" si="3"/>
        <v>0</v>
      </c>
      <c r="E42" s="50" t="s">
        <v>31</v>
      </c>
      <c r="F42" s="45">
        <f t="shared" si="4"/>
        <v>-5</v>
      </c>
      <c r="G42" s="50" t="s">
        <v>31</v>
      </c>
      <c r="H42" s="45">
        <f t="shared" si="5"/>
        <v>-5</v>
      </c>
      <c r="I42" s="18"/>
      <c r="J42" s="75"/>
    </row>
    <row r="43" spans="1:10" x14ac:dyDescent="0.25">
      <c r="A43" s="49" t="s">
        <v>50</v>
      </c>
      <c r="B43" s="50">
        <v>0</v>
      </c>
      <c r="C43" s="50">
        <v>0</v>
      </c>
      <c r="D43" s="45">
        <f t="shared" si="3"/>
        <v>0</v>
      </c>
      <c r="E43" s="50">
        <v>0</v>
      </c>
      <c r="F43" s="45">
        <f t="shared" si="4"/>
        <v>0</v>
      </c>
      <c r="G43" s="50" t="s">
        <v>31</v>
      </c>
      <c r="H43" s="45">
        <f t="shared" si="5"/>
        <v>-5</v>
      </c>
      <c r="I43" s="18"/>
      <c r="J43" s="75"/>
    </row>
    <row r="44" spans="1:10" x14ac:dyDescent="0.25">
      <c r="A44" s="49" t="s">
        <v>51</v>
      </c>
      <c r="B44" s="50">
        <v>0</v>
      </c>
      <c r="C44" s="50" t="s">
        <v>31</v>
      </c>
      <c r="D44" s="45">
        <f t="shared" si="3"/>
        <v>-5</v>
      </c>
      <c r="E44" s="50" t="s">
        <v>31</v>
      </c>
      <c r="F44" s="45">
        <f t="shared" si="4"/>
        <v>-5</v>
      </c>
      <c r="G44" s="50" t="s">
        <v>31</v>
      </c>
      <c r="H44" s="45">
        <f t="shared" si="5"/>
        <v>-5</v>
      </c>
      <c r="I44" s="18"/>
      <c r="J44" s="75"/>
    </row>
    <row r="45" spans="1:10" ht="15.75" thickBot="1" x14ac:dyDescent="0.3">
      <c r="A45" s="47" t="s">
        <v>52</v>
      </c>
      <c r="B45" s="51"/>
      <c r="C45" s="51"/>
      <c r="D45" s="48"/>
      <c r="E45" s="51"/>
      <c r="F45" s="48"/>
      <c r="G45" s="51"/>
      <c r="H45" s="48"/>
      <c r="I45" s="14"/>
      <c r="J45" s="73"/>
    </row>
    <row r="46" spans="1:10" ht="15.75" thickTop="1" x14ac:dyDescent="0.25">
      <c r="A46" s="49" t="s">
        <v>53</v>
      </c>
      <c r="B46" s="50">
        <v>0</v>
      </c>
      <c r="C46" s="50" t="s">
        <v>31</v>
      </c>
      <c r="D46" s="45">
        <f>IF($B46="X",25,0)+IF(C46="X",-25,0)+IF($B46=C46,0)</f>
        <v>-25</v>
      </c>
      <c r="E46" s="50" t="s">
        <v>31</v>
      </c>
      <c r="F46" s="45">
        <f>IF($B46="X",25,0)+IF(E46="X",-25,0)+IF($B46=E46,0)</f>
        <v>-25</v>
      </c>
      <c r="G46" s="50" t="s">
        <v>31</v>
      </c>
      <c r="H46" s="45">
        <f>IF($B46="X",25,0)+IF(G46="X",-25,0)+IF($B46=G46,0)</f>
        <v>-25</v>
      </c>
      <c r="I46" s="18"/>
      <c r="J46" s="75"/>
    </row>
    <row r="47" spans="1:10" x14ac:dyDescent="0.25">
      <c r="A47" s="49" t="s">
        <v>54</v>
      </c>
      <c r="B47" s="50">
        <v>0</v>
      </c>
      <c r="C47" s="50" t="s">
        <v>31</v>
      </c>
      <c r="D47" s="45">
        <f>IF($B47="X",25,0)+IF(C47="X",-25,0)+IF($B47=C47,0)</f>
        <v>-25</v>
      </c>
      <c r="E47" s="50" t="s">
        <v>31</v>
      </c>
      <c r="F47" s="45">
        <f>IF($B47="X",25,0)+IF(E47="X",-25,0)+IF($B47=E47,0)</f>
        <v>-25</v>
      </c>
      <c r="G47" s="50" t="s">
        <v>31</v>
      </c>
      <c r="H47" s="45">
        <f>IF($B47="X",25,0)+IF(G47="X",-25,0)+IF($B47=G47,0)</f>
        <v>-25</v>
      </c>
      <c r="I47" s="18"/>
      <c r="J47" s="75"/>
    </row>
    <row r="48" spans="1:10" x14ac:dyDescent="0.25">
      <c r="A48" s="49" t="s">
        <v>55</v>
      </c>
      <c r="B48" s="50">
        <v>0</v>
      </c>
      <c r="C48" s="50" t="s">
        <v>31</v>
      </c>
      <c r="D48" s="45">
        <f>IF($B48="X",15,0)+IF(C48="X",-15,0)+IF($B48=C48,0)</f>
        <v>-15</v>
      </c>
      <c r="E48" s="50" t="s">
        <v>31</v>
      </c>
      <c r="F48" s="45">
        <f>IF($B48="X",15,0)+IF(E48="X",-15,0)+IF($B48=E48,0)</f>
        <v>-15</v>
      </c>
      <c r="G48" s="50" t="s">
        <v>31</v>
      </c>
      <c r="H48" s="45">
        <f>IF($B48="X",15,0)+IF(G48="X",-15,0)+IF($B48=G48,0)</f>
        <v>-15</v>
      </c>
      <c r="I48" s="18"/>
      <c r="J48" s="75"/>
    </row>
    <row r="49" spans="1:10" x14ac:dyDescent="0.25">
      <c r="A49" s="49" t="s">
        <v>56</v>
      </c>
      <c r="B49" s="50">
        <v>0</v>
      </c>
      <c r="C49" s="50" t="s">
        <v>31</v>
      </c>
      <c r="D49" s="45">
        <f>IF($B49="X",5,0)+IF(C49="X",-5,0)+IF($B49=C49,0)</f>
        <v>-5</v>
      </c>
      <c r="E49" s="50" t="s">
        <v>31</v>
      </c>
      <c r="F49" s="45">
        <f>IF($B49="X",5,0)+IF(E49="X",-5,0)+IF($B49=E49,0)</f>
        <v>-5</v>
      </c>
      <c r="G49" s="50" t="s">
        <v>31</v>
      </c>
      <c r="H49" s="45">
        <f>IF($B49="X",5,0)+IF(G49="X",-5,0)+IF($B49=G49,0)</f>
        <v>-5</v>
      </c>
      <c r="I49" s="18"/>
      <c r="J49" s="75"/>
    </row>
    <row r="50" spans="1:10" x14ac:dyDescent="0.25">
      <c r="A50" s="49" t="s">
        <v>57</v>
      </c>
      <c r="B50" s="50">
        <v>0</v>
      </c>
      <c r="C50" s="50" t="s">
        <v>31</v>
      </c>
      <c r="D50" s="45">
        <f>IF($B50="X",5,0)+IF(C50="X",-5,0)+IF($B50=C50,0)</f>
        <v>-5</v>
      </c>
      <c r="E50" s="50" t="s">
        <v>31</v>
      </c>
      <c r="F50" s="45">
        <f>IF($B50="X",5,0)+IF(E50="X",-5,0)+IF($B50=E50,0)</f>
        <v>-5</v>
      </c>
      <c r="G50" s="50" t="s">
        <v>31</v>
      </c>
      <c r="H50" s="45">
        <f>IF($B50="X",5,0)+IF(G50="X",-5,0)+IF($B50=G50,0)</f>
        <v>-5</v>
      </c>
      <c r="I50" s="18"/>
      <c r="J50" s="75"/>
    </row>
    <row r="51" spans="1:10" x14ac:dyDescent="0.25">
      <c r="A51" s="49" t="s">
        <v>58</v>
      </c>
      <c r="B51" s="50">
        <v>0</v>
      </c>
      <c r="C51" s="50">
        <v>0</v>
      </c>
      <c r="D51" s="45">
        <f>IF($B51="X",25,0)+IF(C51="X",-25,0)+IF($B51=C51,0)</f>
        <v>0</v>
      </c>
      <c r="E51" s="50" t="s">
        <v>31</v>
      </c>
      <c r="F51" s="45">
        <f>IF($B51="X",25,0)+IF(E51="X",-25,0)+IF($B51=E51,0)</f>
        <v>-25</v>
      </c>
      <c r="G51" s="50">
        <v>0</v>
      </c>
      <c r="H51" s="45">
        <f>IF($B51="X",25,0)+IF(G51="X",-25,0)+IF($B51=G51,0)</f>
        <v>0</v>
      </c>
      <c r="I51" s="18"/>
      <c r="J51" s="75"/>
    </row>
    <row r="52" spans="1:10" x14ac:dyDescent="0.25">
      <c r="A52" s="49" t="s">
        <v>59</v>
      </c>
      <c r="B52" s="50">
        <v>0</v>
      </c>
      <c r="C52" s="50">
        <v>0</v>
      </c>
      <c r="D52" s="45">
        <f>IF($B52="X",10,0)+IF(C52="X",-10,0)+IF($B52=C52,0)</f>
        <v>0</v>
      </c>
      <c r="E52" s="50" t="s">
        <v>31</v>
      </c>
      <c r="F52" s="45">
        <f>IF($B52="X",10,0)+IF(E52="X",-10,0)+IF($B52=E52,0)</f>
        <v>-10</v>
      </c>
      <c r="G52" s="50">
        <v>0</v>
      </c>
      <c r="H52" s="45">
        <f>IF($B52="X",10,0)+IF(G52="X",-10,0)+IF($B52=G52,0)</f>
        <v>0</v>
      </c>
      <c r="I52" s="18"/>
      <c r="J52" s="75"/>
    </row>
    <row r="53" spans="1:10" ht="15.75" thickBot="1" x14ac:dyDescent="0.3">
      <c r="A53" s="47" t="s">
        <v>60</v>
      </c>
      <c r="B53" s="51"/>
      <c r="C53" s="51"/>
      <c r="D53" s="48"/>
      <c r="E53" s="51"/>
      <c r="F53" s="48"/>
      <c r="G53" s="51"/>
      <c r="H53" s="48"/>
      <c r="I53" s="14"/>
      <c r="J53" s="73"/>
    </row>
    <row r="54" spans="1:10" ht="15.75" thickTop="1" x14ac:dyDescent="0.25">
      <c r="A54" s="49" t="s">
        <v>61</v>
      </c>
      <c r="B54" s="50">
        <v>0</v>
      </c>
      <c r="C54" s="50" t="s">
        <v>31</v>
      </c>
      <c r="D54" s="45">
        <f>IF($B54="X",0)+IF(C54="X",0)+IF($B54=C54,0)</f>
        <v>0</v>
      </c>
      <c r="E54" s="50" t="s">
        <v>31</v>
      </c>
      <c r="F54" s="45">
        <f>IF($B54="X",0)+IF(E54="X",0)+IF($B54=E54,0)</f>
        <v>0</v>
      </c>
      <c r="G54" s="50">
        <v>0</v>
      </c>
      <c r="H54" s="45">
        <f>IF($B54="X",0)+IF(G54="X",0)+IF($B54=G54,0)</f>
        <v>0</v>
      </c>
      <c r="I54" s="18"/>
      <c r="J54" s="75"/>
    </row>
    <row r="55" spans="1:10" x14ac:dyDescent="0.25">
      <c r="A55" s="49" t="s">
        <v>62</v>
      </c>
      <c r="B55" s="50">
        <v>0</v>
      </c>
      <c r="C55" s="50">
        <v>0</v>
      </c>
      <c r="D55" s="45">
        <f>IF($B55="X",5,0)+IF(C55="X",-5,0)+IF($B55=C55,0)</f>
        <v>0</v>
      </c>
      <c r="E55" s="50">
        <v>0</v>
      </c>
      <c r="F55" s="45">
        <f>IF($B55="X",5,0)+IF(E55="X",-5,0)+IF($B55=E55,0)</f>
        <v>0</v>
      </c>
      <c r="G55" s="50" t="s">
        <v>31</v>
      </c>
      <c r="H55" s="45">
        <f>IF($B55="X",5,0)+IF(G55="X",-5,0)+IF($B55=G55,0)</f>
        <v>-5</v>
      </c>
      <c r="I55" s="18"/>
      <c r="J55" s="75"/>
    </row>
    <row r="56" spans="1:10" x14ac:dyDescent="0.25">
      <c r="A56" s="49" t="s">
        <v>63</v>
      </c>
      <c r="B56" s="50">
        <v>0</v>
      </c>
      <c r="C56" s="50">
        <v>0</v>
      </c>
      <c r="D56" s="45">
        <f>IF($B56="X",15,0)+IF(C56="X",-15,0)+IF($B56=C56,0)</f>
        <v>0</v>
      </c>
      <c r="E56" s="50">
        <v>0</v>
      </c>
      <c r="F56" s="45">
        <f>IF($B56="X",15,0)+IF(E56="X",-15,0)+IF($B56=E56,0)</f>
        <v>0</v>
      </c>
      <c r="G56" s="50">
        <v>0</v>
      </c>
      <c r="H56" s="45">
        <f>IF($B56="X",15,0)+IF(G56="X",-15,0)+IF($B56=G56,0)</f>
        <v>0</v>
      </c>
      <c r="I56" s="18"/>
      <c r="J56" s="75"/>
    </row>
    <row r="57" spans="1:10" x14ac:dyDescent="0.25">
      <c r="A57" s="49" t="s">
        <v>64</v>
      </c>
      <c r="B57" s="50">
        <v>0</v>
      </c>
      <c r="C57" s="50">
        <v>0</v>
      </c>
      <c r="D57" s="45">
        <f>IF($B57="X",20,0)+IF(C57="X",-20,0)+IF($B57=C57,0)</f>
        <v>0</v>
      </c>
      <c r="E57" s="50">
        <v>0</v>
      </c>
      <c r="F57" s="45">
        <f>IF($B57="X",20,0)+IF(E57="X",-20,0)+IF($B57=E57,0)</f>
        <v>0</v>
      </c>
      <c r="G57" s="50">
        <v>0</v>
      </c>
      <c r="H57" s="45">
        <f>IF($B57="X",20,0)+IF(G57="X",-20,0)+IF($B57=G57,0)</f>
        <v>0</v>
      </c>
      <c r="I57" s="18"/>
      <c r="J57" s="75"/>
    </row>
    <row r="58" spans="1:10" x14ac:dyDescent="0.25">
      <c r="A58" s="49" t="s">
        <v>65</v>
      </c>
      <c r="B58" s="50">
        <v>0</v>
      </c>
      <c r="C58" s="50">
        <v>0</v>
      </c>
      <c r="D58" s="45">
        <f>IF($B58="X",25,0)+IF(C58="X",-25,0)+IF($B58=C58,0)</f>
        <v>0</v>
      </c>
      <c r="E58" s="50">
        <v>0</v>
      </c>
      <c r="F58" s="45">
        <f>IF($B58="X",25,0)+IF(E58="X",-25,0)+IF($B58=E58,0)</f>
        <v>0</v>
      </c>
      <c r="G58" s="50">
        <v>0</v>
      </c>
      <c r="H58" s="45">
        <f>IF($B58="X",25,0)+IF(G58="X",-25,0)+IF($B58=G58,0)</f>
        <v>0</v>
      </c>
      <c r="I58" s="18"/>
      <c r="J58" s="75"/>
    </row>
    <row r="59" spans="1:10" x14ac:dyDescent="0.25">
      <c r="A59" s="49" t="s">
        <v>66</v>
      </c>
      <c r="B59" s="50">
        <v>0</v>
      </c>
      <c r="C59" s="50">
        <v>0</v>
      </c>
      <c r="D59" s="45">
        <f>IF($B59="X",15,0)+IF(C59="X",-15,0)+IF($B59=C59,0)</f>
        <v>0</v>
      </c>
      <c r="E59" s="50" t="s">
        <v>31</v>
      </c>
      <c r="F59" s="45">
        <f>IF($B59="X",15,0)+IF(E59="X",-15,0)+IF($B59=E59,0)</f>
        <v>-15</v>
      </c>
      <c r="G59" s="50">
        <v>0</v>
      </c>
      <c r="H59" s="45">
        <f>IF($B59="X",15,0)+IF(G59="X",-15,0)+IF($B59=G59,0)</f>
        <v>0</v>
      </c>
      <c r="I59" s="18"/>
      <c r="J59" s="75"/>
    </row>
    <row r="60" spans="1:10" x14ac:dyDescent="0.25">
      <c r="A60" s="49" t="s">
        <v>67</v>
      </c>
      <c r="B60" s="50">
        <v>0</v>
      </c>
      <c r="C60" s="50">
        <v>0</v>
      </c>
      <c r="D60" s="45">
        <f>IF($B60="X",15,0)+IF(C60="X",-15,0)+IF($B60=C60,0)</f>
        <v>0</v>
      </c>
      <c r="E60" s="50">
        <v>0</v>
      </c>
      <c r="F60" s="45">
        <f>IF($B60="X",15,0)+IF(E60="X",-15,0)+IF($B60=E60,0)</f>
        <v>0</v>
      </c>
      <c r="G60" s="50">
        <v>0</v>
      </c>
      <c r="H60" s="45">
        <f>IF($B60="X",15,0)+IF(G60="X",-15,0)+IF($B60=G60,0)</f>
        <v>0</v>
      </c>
      <c r="I60" s="18"/>
      <c r="J60" s="75"/>
    </row>
    <row r="61" spans="1:10" ht="15.75" thickBot="1" x14ac:dyDescent="0.3">
      <c r="A61" s="47" t="s">
        <v>68</v>
      </c>
      <c r="B61" s="51"/>
      <c r="C61" s="51"/>
      <c r="D61" s="48"/>
      <c r="E61" s="51"/>
      <c r="F61" s="48"/>
      <c r="G61" s="51"/>
      <c r="H61" s="48"/>
      <c r="I61" s="14"/>
      <c r="J61" s="73"/>
    </row>
    <row r="62" spans="1:10" ht="15.75" thickTop="1" x14ac:dyDescent="0.25">
      <c r="A62" s="49" t="s">
        <v>69</v>
      </c>
      <c r="B62" s="50">
        <v>0</v>
      </c>
      <c r="C62" s="50">
        <v>0</v>
      </c>
      <c r="D62" s="45">
        <f t="shared" ref="D62:D71" si="6">IF($B62="X",5,0)+IF(C62="X",-5,0)+IF($B62=C62,0)</f>
        <v>0</v>
      </c>
      <c r="E62" s="50" t="s">
        <v>31</v>
      </c>
      <c r="F62" s="45">
        <f t="shared" ref="F62:F71" si="7">IF($B62="X",5,0)+IF(E62="X",-5,0)+IF($B62=E62,0)</f>
        <v>-5</v>
      </c>
      <c r="G62" s="50">
        <v>0</v>
      </c>
      <c r="H62" s="45">
        <f t="shared" ref="H62:H71" si="8">IF($B62="X",5,0)+IF(G62="X",-5,0)+IF($B62=G62,0)</f>
        <v>0</v>
      </c>
      <c r="I62" s="18"/>
      <c r="J62" s="75"/>
    </row>
    <row r="63" spans="1:10" x14ac:dyDescent="0.25">
      <c r="A63" s="49" t="s">
        <v>70</v>
      </c>
      <c r="B63" s="50">
        <v>0</v>
      </c>
      <c r="C63" s="50" t="s">
        <v>31</v>
      </c>
      <c r="D63" s="45">
        <f t="shared" si="6"/>
        <v>-5</v>
      </c>
      <c r="E63" s="50" t="s">
        <v>31</v>
      </c>
      <c r="F63" s="45">
        <f t="shared" si="7"/>
        <v>-5</v>
      </c>
      <c r="G63" s="50" t="s">
        <v>31</v>
      </c>
      <c r="H63" s="45">
        <f t="shared" si="8"/>
        <v>-5</v>
      </c>
      <c r="I63" s="18"/>
      <c r="J63" s="75"/>
    </row>
    <row r="64" spans="1:10" x14ac:dyDescent="0.25">
      <c r="A64" s="49" t="s">
        <v>71</v>
      </c>
      <c r="B64" s="50">
        <v>0</v>
      </c>
      <c r="C64" s="50">
        <v>0</v>
      </c>
      <c r="D64" s="45">
        <f t="shared" si="6"/>
        <v>0</v>
      </c>
      <c r="E64" s="50">
        <v>0</v>
      </c>
      <c r="F64" s="45">
        <f t="shared" si="7"/>
        <v>0</v>
      </c>
      <c r="G64" s="50">
        <v>0</v>
      </c>
      <c r="H64" s="45">
        <f t="shared" si="8"/>
        <v>0</v>
      </c>
      <c r="I64" s="18"/>
      <c r="J64" s="75"/>
    </row>
    <row r="65" spans="1:10" x14ac:dyDescent="0.25">
      <c r="A65" s="49" t="s">
        <v>72</v>
      </c>
      <c r="B65" s="50">
        <v>0</v>
      </c>
      <c r="C65" s="50" t="s">
        <v>31</v>
      </c>
      <c r="D65" s="45">
        <f t="shared" si="6"/>
        <v>-5</v>
      </c>
      <c r="E65" s="50" t="s">
        <v>31</v>
      </c>
      <c r="F65" s="45">
        <f t="shared" si="7"/>
        <v>-5</v>
      </c>
      <c r="G65" s="50">
        <v>0</v>
      </c>
      <c r="H65" s="45">
        <f t="shared" si="8"/>
        <v>0</v>
      </c>
      <c r="I65" s="18"/>
      <c r="J65" s="75"/>
    </row>
    <row r="66" spans="1:10" x14ac:dyDescent="0.25">
      <c r="A66" s="49" t="s">
        <v>73</v>
      </c>
      <c r="B66" s="50">
        <v>0</v>
      </c>
      <c r="C66" s="50" t="s">
        <v>31</v>
      </c>
      <c r="D66" s="45">
        <f t="shared" si="6"/>
        <v>-5</v>
      </c>
      <c r="E66" s="50" t="s">
        <v>31</v>
      </c>
      <c r="F66" s="45">
        <f t="shared" si="7"/>
        <v>-5</v>
      </c>
      <c r="G66" s="50" t="s">
        <v>31</v>
      </c>
      <c r="H66" s="45">
        <f t="shared" si="8"/>
        <v>-5</v>
      </c>
      <c r="I66" s="18"/>
      <c r="J66" s="75"/>
    </row>
    <row r="67" spans="1:10" x14ac:dyDescent="0.25">
      <c r="A67" s="49" t="s">
        <v>74</v>
      </c>
      <c r="B67" s="50">
        <v>0</v>
      </c>
      <c r="C67" s="50">
        <v>0</v>
      </c>
      <c r="D67" s="45">
        <f t="shared" si="6"/>
        <v>0</v>
      </c>
      <c r="E67" s="50">
        <v>0</v>
      </c>
      <c r="F67" s="45">
        <f t="shared" si="7"/>
        <v>0</v>
      </c>
      <c r="G67" s="50">
        <v>0</v>
      </c>
      <c r="H67" s="45">
        <f t="shared" si="8"/>
        <v>0</v>
      </c>
      <c r="I67" s="18"/>
      <c r="J67" s="75"/>
    </row>
    <row r="68" spans="1:10" x14ac:dyDescent="0.25">
      <c r="A68" s="49" t="s">
        <v>75</v>
      </c>
      <c r="B68" s="50">
        <v>0</v>
      </c>
      <c r="C68" s="50">
        <v>0</v>
      </c>
      <c r="D68" s="45">
        <f t="shared" si="6"/>
        <v>0</v>
      </c>
      <c r="E68" s="50">
        <v>0</v>
      </c>
      <c r="F68" s="45">
        <f t="shared" si="7"/>
        <v>0</v>
      </c>
      <c r="G68" s="50">
        <v>0</v>
      </c>
      <c r="H68" s="45">
        <f t="shared" si="8"/>
        <v>0</v>
      </c>
      <c r="I68" s="18"/>
      <c r="J68" s="75"/>
    </row>
    <row r="69" spans="1:10" x14ac:dyDescent="0.25">
      <c r="A69" s="49" t="s">
        <v>76</v>
      </c>
      <c r="B69" s="50">
        <v>0</v>
      </c>
      <c r="C69" s="50">
        <v>0</v>
      </c>
      <c r="D69" s="45">
        <f t="shared" si="6"/>
        <v>0</v>
      </c>
      <c r="E69" s="50">
        <v>0</v>
      </c>
      <c r="F69" s="45">
        <f t="shared" si="7"/>
        <v>0</v>
      </c>
      <c r="G69" s="50">
        <v>0</v>
      </c>
      <c r="H69" s="45">
        <f t="shared" si="8"/>
        <v>0</v>
      </c>
      <c r="I69" s="18"/>
      <c r="J69" s="75"/>
    </row>
    <row r="70" spans="1:10" x14ac:dyDescent="0.25">
      <c r="A70" s="49" t="s">
        <v>77</v>
      </c>
      <c r="B70" s="50">
        <v>0</v>
      </c>
      <c r="C70" s="50">
        <v>0</v>
      </c>
      <c r="D70" s="45">
        <f t="shared" si="6"/>
        <v>0</v>
      </c>
      <c r="E70" s="50">
        <v>0</v>
      </c>
      <c r="F70" s="45">
        <f t="shared" si="7"/>
        <v>0</v>
      </c>
      <c r="G70" s="50">
        <v>0</v>
      </c>
      <c r="H70" s="45">
        <f t="shared" si="8"/>
        <v>0</v>
      </c>
      <c r="I70" s="18"/>
      <c r="J70" s="75"/>
    </row>
    <row r="71" spans="1:10" x14ac:dyDescent="0.25">
      <c r="A71" s="49" t="s">
        <v>78</v>
      </c>
      <c r="B71" s="50">
        <v>0</v>
      </c>
      <c r="C71" s="50" t="s">
        <v>31</v>
      </c>
      <c r="D71" s="45">
        <f t="shared" si="6"/>
        <v>-5</v>
      </c>
      <c r="E71" s="50" t="s">
        <v>31</v>
      </c>
      <c r="F71" s="45">
        <f t="shared" si="7"/>
        <v>-5</v>
      </c>
      <c r="G71" s="50" t="s">
        <v>31</v>
      </c>
      <c r="H71" s="45">
        <f t="shared" si="8"/>
        <v>-5</v>
      </c>
      <c r="I71" s="18"/>
      <c r="J71" s="75"/>
    </row>
    <row r="72" spans="1:10" x14ac:dyDescent="0.25">
      <c r="A72" s="49" t="s">
        <v>79</v>
      </c>
      <c r="B72" s="50">
        <v>0</v>
      </c>
      <c r="C72" s="50">
        <v>0</v>
      </c>
      <c r="D72" s="45">
        <f>IF($B72="X",5,0)+IF(C72="X",-5,0)+IF($B72=C72,0)</f>
        <v>0</v>
      </c>
      <c r="E72" s="50">
        <v>0</v>
      </c>
      <c r="F72" s="45">
        <f>IF($B72="X",5,0)+IF(E72="X",-5,0)+IF($B72=E72,0)</f>
        <v>0</v>
      </c>
      <c r="G72" s="50" t="s">
        <v>31</v>
      </c>
      <c r="H72" s="45">
        <f>IF($B72="X",5,0)+IF(G72="X",-5,0)+IF($B72=G72,0)</f>
        <v>-5</v>
      </c>
      <c r="I72" s="18"/>
      <c r="J72" s="75"/>
    </row>
    <row r="73" spans="1:10" x14ac:dyDescent="0.25">
      <c r="A73" s="49" t="s">
        <v>80</v>
      </c>
      <c r="B73" s="50">
        <v>0</v>
      </c>
      <c r="C73" s="50">
        <v>0</v>
      </c>
      <c r="D73" s="45">
        <f>IF($B73="X",10,0)+IF(C73="X",-10,0)+IF($B73=C73,0)</f>
        <v>0</v>
      </c>
      <c r="E73" s="50">
        <v>0</v>
      </c>
      <c r="F73" s="45">
        <f>IF($B73="X",10,0)+IF(E73="X",-10,0)+IF($B73=E73,0)</f>
        <v>0</v>
      </c>
      <c r="G73" s="50">
        <v>0</v>
      </c>
      <c r="H73" s="45">
        <f>IF($B73="X",10,0)+IF(G73="X",-10,0)+IF($B73=G73,0)</f>
        <v>0</v>
      </c>
      <c r="I73" s="18"/>
      <c r="J73" s="75"/>
    </row>
    <row r="74" spans="1:10" x14ac:dyDescent="0.25">
      <c r="A74" s="49" t="s">
        <v>81</v>
      </c>
      <c r="B74" s="50">
        <v>0</v>
      </c>
      <c r="C74" s="50">
        <v>0</v>
      </c>
      <c r="D74" s="45">
        <f t="shared" ref="D74:D76" si="9">IF($B74="X",5,0)+IF(C74="X",-5,0)+IF($B74=C74,0)</f>
        <v>0</v>
      </c>
      <c r="E74" s="50">
        <v>0</v>
      </c>
      <c r="F74" s="45">
        <f t="shared" ref="F74:F76" si="10">IF($B74="X",5,0)+IF(E74="X",-5,0)+IF($B74=E74,0)</f>
        <v>0</v>
      </c>
      <c r="G74" s="50">
        <v>0</v>
      </c>
      <c r="H74" s="45">
        <f t="shared" ref="H74:H76" si="11">IF($B74="X",5,0)+IF(G74="X",-5,0)+IF($B74=G74,0)</f>
        <v>0</v>
      </c>
      <c r="I74" s="18"/>
      <c r="J74" s="75"/>
    </row>
    <row r="75" spans="1:10" x14ac:dyDescent="0.25">
      <c r="A75" s="49" t="s">
        <v>82</v>
      </c>
      <c r="B75" s="50">
        <v>0</v>
      </c>
      <c r="C75" s="50">
        <v>0</v>
      </c>
      <c r="D75" s="45">
        <f t="shared" si="9"/>
        <v>0</v>
      </c>
      <c r="E75" s="50">
        <v>0</v>
      </c>
      <c r="F75" s="45">
        <f t="shared" si="10"/>
        <v>0</v>
      </c>
      <c r="G75" s="50">
        <v>0</v>
      </c>
      <c r="H75" s="45">
        <f t="shared" si="11"/>
        <v>0</v>
      </c>
      <c r="I75" s="18"/>
      <c r="J75" s="75"/>
    </row>
    <row r="76" spans="1:10" ht="15.75" thickBot="1" x14ac:dyDescent="0.3">
      <c r="A76" s="47" t="s">
        <v>83</v>
      </c>
      <c r="B76" s="51"/>
      <c r="C76" s="51"/>
      <c r="D76" s="14">
        <f t="shared" si="9"/>
        <v>0</v>
      </c>
      <c r="E76" s="51"/>
      <c r="F76" s="14">
        <f t="shared" si="10"/>
        <v>0</v>
      </c>
      <c r="G76" s="51"/>
      <c r="H76" s="14">
        <f t="shared" si="11"/>
        <v>0</v>
      </c>
      <c r="I76" s="14"/>
      <c r="J76" s="73"/>
    </row>
    <row r="77" spans="1:10" ht="15.75" thickTop="1" x14ac:dyDescent="0.25">
      <c r="A77" s="49" t="s">
        <v>84</v>
      </c>
      <c r="B77" s="50">
        <v>0</v>
      </c>
      <c r="C77" s="50" t="s">
        <v>31</v>
      </c>
      <c r="D77" s="45">
        <f>IF($B77="X",5,0)+IF(C77="X",-5,0)+IF($B77=C77,0)</f>
        <v>-5</v>
      </c>
      <c r="E77" s="50" t="s">
        <v>31</v>
      </c>
      <c r="F77" s="45">
        <f>IF($B77="X",5,0)+IF(E77="X",-5,0)+IF($B77=E77,0)</f>
        <v>-5</v>
      </c>
      <c r="G77" s="50" t="s">
        <v>31</v>
      </c>
      <c r="H77" s="45">
        <f>IF($B77="X",5,0)+IF(G77="X",-5,0)+IF($B77=G77,0)</f>
        <v>-5</v>
      </c>
      <c r="I77" s="18"/>
      <c r="J77" s="75"/>
    </row>
    <row r="78" spans="1:10" x14ac:dyDescent="0.25">
      <c r="A78" s="49" t="s">
        <v>85</v>
      </c>
      <c r="B78" s="50">
        <v>0</v>
      </c>
      <c r="C78" s="50">
        <v>0</v>
      </c>
      <c r="D78" s="45">
        <f>IF($B78="X",5,0)+IF(C78="X",-5,0)+IF($B78=C78,0)</f>
        <v>0</v>
      </c>
      <c r="E78" s="50" t="s">
        <v>31</v>
      </c>
      <c r="F78" s="45">
        <f>IF($B78="X",5,0)+IF(E78="X",-5,0)+IF($B78=E78,0)</f>
        <v>-5</v>
      </c>
      <c r="G78" s="50">
        <v>0</v>
      </c>
      <c r="H78" s="45">
        <f>IF($B78="X",5,0)+IF(G78="X",-5,0)+IF($B78=G78,0)</f>
        <v>0</v>
      </c>
      <c r="I78" s="18"/>
      <c r="J78" s="75"/>
    </row>
    <row r="79" spans="1:10" ht="15.75" thickBot="1" x14ac:dyDescent="0.3">
      <c r="A79" s="52" t="s">
        <v>86</v>
      </c>
      <c r="B79" s="50">
        <v>0</v>
      </c>
      <c r="C79" s="53">
        <v>0</v>
      </c>
      <c r="D79" s="45">
        <f>IF($B79="X",5,0)+IF(C79="X",-5,0)+IF($B79=C79,0)</f>
        <v>0</v>
      </c>
      <c r="E79" s="53">
        <v>0</v>
      </c>
      <c r="F79" s="45">
        <f>IF($B79="X",5,0)+IF(E79="X",-5,0)+IF($B79=E79,0)</f>
        <v>0</v>
      </c>
      <c r="G79" s="53">
        <v>0</v>
      </c>
      <c r="H79" s="45">
        <f>IF($B79="X",5,0)+IF(G79="X",-5,0)+IF($B79=G79,0)</f>
        <v>0</v>
      </c>
      <c r="I79" s="54"/>
      <c r="J79" s="73"/>
    </row>
    <row r="80" spans="1:10" ht="15.75" thickTop="1" x14ac:dyDescent="0.25">
      <c r="A80" s="55" t="s">
        <v>87</v>
      </c>
      <c r="B80" s="56">
        <f>B15</f>
        <v>1491</v>
      </c>
      <c r="C80" s="36"/>
      <c r="D80" s="37">
        <f>C15+(SUM(D18:D79))</f>
        <v>2186.4299999999998</v>
      </c>
      <c r="E80" s="36"/>
      <c r="F80" s="37">
        <f>E15+(SUM(F18:F79))</f>
        <v>2251.9650000000001</v>
      </c>
      <c r="G80" s="36"/>
      <c r="H80" s="37">
        <f>G15+(SUM(H18:H79))</f>
        <v>2067.35</v>
      </c>
      <c r="I80" s="37">
        <f>I81/I9</f>
        <v>2197.2802373417721</v>
      </c>
      <c r="J80" s="82">
        <f>(B80/I80)-1</f>
        <v>-0.32143384596050273</v>
      </c>
    </row>
    <row r="81" spans="1:10" x14ac:dyDescent="0.25">
      <c r="A81" s="57" t="s">
        <v>88</v>
      </c>
      <c r="B81" s="56"/>
      <c r="C81" s="36"/>
      <c r="D81" s="37">
        <f>D80*C9</f>
        <v>330150.93</v>
      </c>
      <c r="E81" s="36"/>
      <c r="F81" s="37">
        <f>F80*E9</f>
        <v>281495.625</v>
      </c>
      <c r="G81" s="36"/>
      <c r="H81" s="37">
        <f>H80*G9</f>
        <v>82694</v>
      </c>
      <c r="I81" s="37">
        <f>SUM(D81:H81)</f>
        <v>694340.55499999993</v>
      </c>
      <c r="J81" s="82"/>
    </row>
    <row r="82" spans="1:10" ht="15.75" thickBot="1" x14ac:dyDescent="0.3">
      <c r="A82" s="55" t="s">
        <v>89</v>
      </c>
      <c r="B82" s="58">
        <f>B17</f>
        <v>3.55</v>
      </c>
      <c r="C82" s="59"/>
      <c r="D82" s="60">
        <f>IF(C13&gt;0,D80/C13,0)</f>
        <v>2.8997745358090183</v>
      </c>
      <c r="E82" s="59"/>
      <c r="F82" s="60">
        <f>IF(E13&gt;0,F80/E13,0)</f>
        <v>2.690519713261649</v>
      </c>
      <c r="G82" s="59"/>
      <c r="H82" s="60">
        <f>IF(G13&gt;0,H80/G13,0)</f>
        <v>2.4321764705882352</v>
      </c>
      <c r="I82" s="60">
        <f>I81/I14</f>
        <v>2.7500923047065298</v>
      </c>
      <c r="J82" s="82">
        <f>(B82/I82)-1</f>
        <v>0.29086576255077023</v>
      </c>
    </row>
    <row r="83" spans="1:10" ht="15.75" thickBot="1" x14ac:dyDescent="0.3">
      <c r="A83" s="61" t="s">
        <v>90</v>
      </c>
      <c r="B83" s="62"/>
      <c r="C83" s="63"/>
      <c r="D83" s="64">
        <f>IF(C15=0,0,D80/C15)</f>
        <v>0.99383181818181809</v>
      </c>
      <c r="E83" s="63"/>
      <c r="F83" s="64">
        <f>IF(E15=0,0,F80/E15)</f>
        <v>0.95019620253164561</v>
      </c>
      <c r="G83" s="63"/>
      <c r="H83" s="64">
        <f>IF(G15=0,0,H80/G15)</f>
        <v>0.95050574712643676</v>
      </c>
      <c r="I83" s="86"/>
      <c r="J83" s="87"/>
    </row>
    <row r="84" spans="1:10" ht="15.75" thickBot="1" x14ac:dyDescent="0.3">
      <c r="A84" s="91" t="s">
        <v>94</v>
      </c>
      <c r="B84" s="92"/>
      <c r="C84" s="92"/>
      <c r="D84" s="92"/>
      <c r="E84" s="92"/>
      <c r="F84" s="92"/>
      <c r="G84" s="92"/>
      <c r="H84" s="92"/>
      <c r="I84" s="92"/>
      <c r="J84" s="93"/>
    </row>
  </sheetData>
  <mergeCells count="14">
    <mergeCell ref="J4:J5"/>
    <mergeCell ref="A84:J84"/>
    <mergeCell ref="G3:H3"/>
    <mergeCell ref="G2:H2"/>
    <mergeCell ref="G1:H1"/>
    <mergeCell ref="G4:H4"/>
    <mergeCell ref="C1:D1"/>
    <mergeCell ref="C2:D2"/>
    <mergeCell ref="C3:D3"/>
    <mergeCell ref="C4:D4"/>
    <mergeCell ref="E1:F1"/>
    <mergeCell ref="E2:F2"/>
    <mergeCell ref="E3:F3"/>
    <mergeCell ref="E4:F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E48E3-5449-4C35-A091-49651AE611C2}">
  <dimension ref="A1:F84"/>
  <sheetViews>
    <sheetView workbookViewId="0">
      <selection activeCell="D38" sqref="D38"/>
    </sheetView>
  </sheetViews>
  <sheetFormatPr defaultColWidth="8.85546875" defaultRowHeight="15" x14ac:dyDescent="0.25"/>
  <cols>
    <col min="1" max="1" width="29" bestFit="1" customWidth="1"/>
    <col min="2" max="2" width="13.42578125" customWidth="1"/>
    <col min="3" max="4" width="7.42578125" bestFit="1" customWidth="1"/>
    <col min="5" max="5" width="9.7109375" bestFit="1" customWidth="1"/>
    <col min="6" max="6" width="11" bestFit="1" customWidth="1"/>
  </cols>
  <sheetData>
    <row r="1" spans="1:6" ht="25.5" x14ac:dyDescent="0.25">
      <c r="A1" s="1" t="s">
        <v>0</v>
      </c>
      <c r="B1" s="2" t="s">
        <v>96</v>
      </c>
      <c r="C1" s="98" t="s">
        <v>98</v>
      </c>
      <c r="D1" s="99"/>
      <c r="E1" s="65"/>
      <c r="F1" s="66"/>
    </row>
    <row r="2" spans="1:6" x14ac:dyDescent="0.25">
      <c r="A2" s="3" t="s">
        <v>1</v>
      </c>
      <c r="B2" s="4"/>
      <c r="C2" s="96" t="s">
        <v>100</v>
      </c>
      <c r="D2" s="97"/>
      <c r="E2" s="67"/>
      <c r="F2" s="68"/>
    </row>
    <row r="3" spans="1:6" x14ac:dyDescent="0.25">
      <c r="A3" s="5">
        <v>45882</v>
      </c>
      <c r="B3" s="6" t="s">
        <v>97</v>
      </c>
      <c r="C3" s="94" t="s">
        <v>97</v>
      </c>
      <c r="D3" s="95"/>
      <c r="E3" s="69"/>
      <c r="F3" s="68"/>
    </row>
    <row r="4" spans="1:6" x14ac:dyDescent="0.25">
      <c r="A4" s="7" t="s">
        <v>2</v>
      </c>
      <c r="B4" s="6"/>
      <c r="C4" s="94"/>
      <c r="D4" s="95"/>
      <c r="E4" s="70"/>
      <c r="F4" s="90"/>
    </row>
    <row r="5" spans="1:6" ht="25.5" x14ac:dyDescent="0.25">
      <c r="A5" s="8" t="s">
        <v>95</v>
      </c>
      <c r="B5" s="9" t="s">
        <v>3</v>
      </c>
      <c r="C5" s="10"/>
      <c r="D5" s="11"/>
      <c r="E5" s="71" t="s">
        <v>91</v>
      </c>
      <c r="F5" s="90"/>
    </row>
    <row r="6" spans="1:6" ht="15.75" thickBot="1" x14ac:dyDescent="0.3">
      <c r="A6" s="12" t="s">
        <v>4</v>
      </c>
      <c r="B6" s="13" t="s">
        <v>5</v>
      </c>
      <c r="C6" s="14" t="s">
        <v>6</v>
      </c>
      <c r="D6" s="15" t="s">
        <v>7</v>
      </c>
      <c r="E6" s="72" t="s">
        <v>92</v>
      </c>
      <c r="F6" s="73" t="s">
        <v>93</v>
      </c>
    </row>
    <row r="7" spans="1:6" ht="15.75" thickTop="1" x14ac:dyDescent="0.25">
      <c r="A7" s="16" t="s">
        <v>8</v>
      </c>
      <c r="B7" s="17" t="s">
        <v>9</v>
      </c>
      <c r="C7" s="18" t="s">
        <v>9</v>
      </c>
      <c r="D7" s="19"/>
      <c r="E7" s="74"/>
      <c r="F7" s="75"/>
    </row>
    <row r="8" spans="1:6" x14ac:dyDescent="0.25">
      <c r="A8" s="3" t="s">
        <v>10</v>
      </c>
      <c r="B8" s="20"/>
      <c r="C8" s="21">
        <v>0.25</v>
      </c>
      <c r="D8" s="19"/>
      <c r="E8" s="76"/>
      <c r="F8" s="75"/>
    </row>
    <row r="9" spans="1:6" x14ac:dyDescent="0.25">
      <c r="A9" s="3" t="s">
        <v>11</v>
      </c>
      <c r="B9" s="22"/>
      <c r="C9" s="23">
        <v>9</v>
      </c>
      <c r="D9" s="24"/>
      <c r="E9" s="30">
        <f>SUM(C9:D9)</f>
        <v>9</v>
      </c>
      <c r="F9" s="75"/>
    </row>
    <row r="10" spans="1:6" x14ac:dyDescent="0.25">
      <c r="A10" s="3" t="s">
        <v>12</v>
      </c>
      <c r="B10" s="20"/>
      <c r="C10" s="25">
        <v>0</v>
      </c>
      <c r="D10" s="26"/>
      <c r="E10" s="77"/>
      <c r="F10" s="75"/>
    </row>
    <row r="11" spans="1:6" x14ac:dyDescent="0.25">
      <c r="A11" s="3" t="s">
        <v>13</v>
      </c>
      <c r="B11" s="20"/>
      <c r="C11" s="18" t="s">
        <v>14</v>
      </c>
      <c r="D11" s="19"/>
      <c r="E11" s="74"/>
      <c r="F11" s="75"/>
    </row>
    <row r="12" spans="1:6" x14ac:dyDescent="0.25">
      <c r="A12" s="3" t="s">
        <v>15</v>
      </c>
      <c r="B12" s="20"/>
      <c r="C12" s="25">
        <v>0.2</v>
      </c>
      <c r="D12" s="26"/>
      <c r="E12" s="77"/>
      <c r="F12" s="75"/>
    </row>
    <row r="13" spans="1:6" x14ac:dyDescent="0.25">
      <c r="A13" s="3" t="s">
        <v>16</v>
      </c>
      <c r="B13" s="27">
        <v>533</v>
      </c>
      <c r="C13" s="23">
        <v>661.55555555555554</v>
      </c>
      <c r="D13" s="24"/>
      <c r="E13" s="30">
        <f>E14/E9</f>
        <v>661.55555555555554</v>
      </c>
      <c r="F13" s="79"/>
    </row>
    <row r="14" spans="1:6" x14ac:dyDescent="0.25">
      <c r="A14" s="28" t="s">
        <v>17</v>
      </c>
      <c r="B14" s="29"/>
      <c r="C14" s="30">
        <f>C13*C9</f>
        <v>5954</v>
      </c>
      <c r="D14" s="31"/>
      <c r="E14" s="80">
        <f>SUM(C14:D14)</f>
        <v>5954</v>
      </c>
      <c r="F14" s="81"/>
    </row>
    <row r="15" spans="1:6" x14ac:dyDescent="0.25">
      <c r="A15" s="3" t="s">
        <v>18</v>
      </c>
      <c r="B15" s="32">
        <v>1703</v>
      </c>
      <c r="C15" s="33">
        <v>2839.6666666666665</v>
      </c>
      <c r="D15" s="19"/>
      <c r="E15" s="36">
        <f>E16/E9</f>
        <v>2839.6666666666665</v>
      </c>
      <c r="F15" s="82">
        <f>(B15/E15)-1</f>
        <v>-0.4002817232069491</v>
      </c>
    </row>
    <row r="16" spans="1:6" x14ac:dyDescent="0.25">
      <c r="A16" s="34" t="s">
        <v>19</v>
      </c>
      <c r="B16" s="35"/>
      <c r="C16" s="36">
        <f>C9*C15</f>
        <v>25557</v>
      </c>
      <c r="D16" s="37"/>
      <c r="E16" s="36">
        <f>SUM(C16:D16)</f>
        <v>25557</v>
      </c>
      <c r="F16" s="83"/>
    </row>
    <row r="17" spans="1:6" ht="15.75" thickBot="1" x14ac:dyDescent="0.3">
      <c r="A17" s="38" t="s">
        <v>20</v>
      </c>
      <c r="B17" s="39">
        <f>B15/B13</f>
        <v>3.1951219512195124</v>
      </c>
      <c r="C17" s="40">
        <f>IF(C13&gt;0,C15/C13,0)</f>
        <v>4.292408464897548</v>
      </c>
      <c r="D17" s="41"/>
      <c r="E17" s="40">
        <f>E16/E14</f>
        <v>4.292408464897548</v>
      </c>
      <c r="F17" s="84">
        <f>(B17/E17)-1</f>
        <v>-0.25563422555225668</v>
      </c>
    </row>
    <row r="18" spans="1:6" ht="15.75" thickTop="1" x14ac:dyDescent="0.25">
      <c r="A18" s="42" t="s">
        <v>21</v>
      </c>
      <c r="B18" s="17">
        <v>5</v>
      </c>
      <c r="C18" s="18">
        <v>5</v>
      </c>
      <c r="D18" s="43"/>
      <c r="E18" s="18"/>
      <c r="F18" s="85"/>
    </row>
    <row r="19" spans="1:6" x14ac:dyDescent="0.25">
      <c r="A19" s="42" t="s">
        <v>22</v>
      </c>
      <c r="B19" s="17" t="s">
        <v>23</v>
      </c>
      <c r="C19" s="18" t="s">
        <v>23</v>
      </c>
      <c r="D19" s="43"/>
      <c r="E19" s="18"/>
      <c r="F19" s="85"/>
    </row>
    <row r="20" spans="1:6" x14ac:dyDescent="0.25">
      <c r="A20" s="44" t="s">
        <v>24</v>
      </c>
      <c r="B20" s="17">
        <v>2</v>
      </c>
      <c r="C20" s="18">
        <v>2</v>
      </c>
      <c r="D20" s="43"/>
      <c r="E20" s="18"/>
      <c r="F20" s="85"/>
    </row>
    <row r="21" spans="1:6" x14ac:dyDescent="0.25">
      <c r="A21" s="44" t="s">
        <v>25</v>
      </c>
      <c r="B21" s="17">
        <v>1</v>
      </c>
      <c r="C21" s="18">
        <v>1</v>
      </c>
      <c r="D21" s="45">
        <f>IF($B21=C21,0)+IF($B21=C21+1,20)+IF($B21+1=C21,-20)+IF($B21=C21+0.5,10)+IF($B21+0.5=C21,-10)+IF($B21=C21+1.5,30)+IF($B21+1.5=C21,-30)+IF($B21=C21+2,40)+IF($B21+2=C21,-40)+IF($B21=C21+2.5,50)+IF($B21+2.5=C21,-50)</f>
        <v>0</v>
      </c>
      <c r="E21" s="18"/>
      <c r="F21" s="85"/>
    </row>
    <row r="22" spans="1:6" x14ac:dyDescent="0.25">
      <c r="A22" s="44" t="s">
        <v>26</v>
      </c>
      <c r="B22" s="29">
        <f>B13</f>
        <v>533</v>
      </c>
      <c r="C22" s="46">
        <f>$B13-C13</f>
        <v>-128.55555555555554</v>
      </c>
      <c r="D22" s="45">
        <f>(C22*$B$17)*0.1</f>
        <v>-41.075067750677505</v>
      </c>
      <c r="E22" s="18"/>
      <c r="F22" s="85"/>
    </row>
    <row r="23" spans="1:6" x14ac:dyDescent="0.25">
      <c r="A23" s="44" t="s">
        <v>27</v>
      </c>
      <c r="B23" s="22"/>
      <c r="C23" s="18"/>
      <c r="D23" s="43"/>
      <c r="E23" s="18"/>
      <c r="F23" s="85"/>
    </row>
    <row r="24" spans="1:6" x14ac:dyDescent="0.25">
      <c r="A24" s="42" t="s">
        <v>28</v>
      </c>
      <c r="B24" s="17">
        <v>2028</v>
      </c>
      <c r="C24" s="18">
        <v>2025</v>
      </c>
      <c r="D24" s="45">
        <f>($B$24-C24)</f>
        <v>3</v>
      </c>
      <c r="E24" s="45">
        <f>($B$24-D24)</f>
        <v>2025</v>
      </c>
      <c r="F24" s="85"/>
    </row>
    <row r="25" spans="1:6" ht="15.75" thickBot="1" x14ac:dyDescent="0.3">
      <c r="A25" s="47" t="s">
        <v>29</v>
      </c>
      <c r="B25" s="39"/>
      <c r="C25" s="14"/>
      <c r="D25" s="48"/>
      <c r="E25" s="14"/>
      <c r="F25" s="73"/>
    </row>
    <row r="26" spans="1:6" ht="15.75" thickTop="1" x14ac:dyDescent="0.25">
      <c r="A26" s="49" t="s">
        <v>30</v>
      </c>
      <c r="B26" s="50" t="s">
        <v>31</v>
      </c>
      <c r="C26" s="50" t="s">
        <v>31</v>
      </c>
      <c r="D26" s="45">
        <f>IF(C26=$B26,0,"Utility")</f>
        <v>0</v>
      </c>
      <c r="E26" s="18"/>
      <c r="F26" s="75"/>
    </row>
    <row r="27" spans="1:6" x14ac:dyDescent="0.25">
      <c r="A27" s="49" t="s">
        <v>32</v>
      </c>
      <c r="B27" s="50" t="s">
        <v>33</v>
      </c>
      <c r="C27" s="50" t="s">
        <v>33</v>
      </c>
      <c r="D27" s="45">
        <v>0</v>
      </c>
      <c r="E27" s="18"/>
      <c r="F27" s="75"/>
    </row>
    <row r="28" spans="1:6" x14ac:dyDescent="0.25">
      <c r="A28" s="49" t="s">
        <v>34</v>
      </c>
      <c r="B28" s="50" t="s">
        <v>33</v>
      </c>
      <c r="C28" s="50" t="s">
        <v>33</v>
      </c>
      <c r="D28" s="45">
        <v>0</v>
      </c>
      <c r="E28" s="18"/>
      <c r="F28" s="75"/>
    </row>
    <row r="29" spans="1:6" x14ac:dyDescent="0.25">
      <c r="A29" s="49" t="s">
        <v>35</v>
      </c>
      <c r="B29" s="50" t="s">
        <v>33</v>
      </c>
      <c r="C29" s="50" t="s">
        <v>33</v>
      </c>
      <c r="D29" s="45">
        <v>0</v>
      </c>
      <c r="E29" s="18"/>
      <c r="F29" s="75"/>
    </row>
    <row r="30" spans="1:6" x14ac:dyDescent="0.25">
      <c r="A30" s="49" t="s">
        <v>36</v>
      </c>
      <c r="B30" s="50" t="s">
        <v>37</v>
      </c>
      <c r="C30" s="50" t="s">
        <v>37</v>
      </c>
      <c r="D30" s="45">
        <f t="shared" ref="D30" si="0">IF(C30=$B30,0,"Utility")</f>
        <v>0</v>
      </c>
      <c r="E30" s="18"/>
      <c r="F30" s="75"/>
    </row>
    <row r="31" spans="1:6" x14ac:dyDescent="0.25">
      <c r="A31" s="49" t="s">
        <v>38</v>
      </c>
      <c r="B31" s="50">
        <v>0</v>
      </c>
      <c r="C31" s="50">
        <v>0</v>
      </c>
      <c r="D31" s="45">
        <v>96</v>
      </c>
      <c r="E31" s="18"/>
      <c r="F31" s="75"/>
    </row>
    <row r="32" spans="1:6" x14ac:dyDescent="0.25">
      <c r="A32" s="49" t="s">
        <v>39</v>
      </c>
      <c r="B32" s="50">
        <v>0</v>
      </c>
      <c r="C32" s="50">
        <v>0</v>
      </c>
      <c r="D32" s="45">
        <v>64</v>
      </c>
      <c r="E32" s="18"/>
      <c r="F32" s="75"/>
    </row>
    <row r="33" spans="1:6" x14ac:dyDescent="0.25">
      <c r="A33" s="49" t="s">
        <v>40</v>
      </c>
      <c r="B33" s="50">
        <v>0</v>
      </c>
      <c r="C33" s="50">
        <v>0</v>
      </c>
      <c r="D33" s="45">
        <v>10</v>
      </c>
      <c r="E33" s="18"/>
      <c r="F33" s="75"/>
    </row>
    <row r="34" spans="1:6" ht="15.75" thickBot="1" x14ac:dyDescent="0.3">
      <c r="A34" s="47" t="s">
        <v>41</v>
      </c>
      <c r="B34" s="51"/>
      <c r="C34" s="51"/>
      <c r="D34" s="48"/>
      <c r="E34" s="14"/>
      <c r="F34" s="73"/>
    </row>
    <row r="35" spans="1:6" ht="15.75" thickTop="1" x14ac:dyDescent="0.25">
      <c r="A35" s="49" t="s">
        <v>42</v>
      </c>
      <c r="B35" s="50">
        <v>0</v>
      </c>
      <c r="C35" s="50">
        <v>0</v>
      </c>
      <c r="D35" s="45">
        <f>IF($B35="X",25)+IF(C35="X",-25)+IF($B35=C35,0)</f>
        <v>0</v>
      </c>
      <c r="E35" s="18"/>
      <c r="F35" s="75"/>
    </row>
    <row r="36" spans="1:6" x14ac:dyDescent="0.25">
      <c r="A36" s="49" t="s">
        <v>43</v>
      </c>
      <c r="B36" s="50" t="s">
        <v>31</v>
      </c>
      <c r="C36" s="50" t="s">
        <v>31</v>
      </c>
      <c r="D36" s="45">
        <f>IF($B36="X",5,0)+IF(C36="X",-5,0)+IF($B36=C36,0)</f>
        <v>0</v>
      </c>
      <c r="E36" s="18"/>
      <c r="F36" s="75"/>
    </row>
    <row r="37" spans="1:6" x14ac:dyDescent="0.25">
      <c r="A37" s="49" t="s">
        <v>44</v>
      </c>
      <c r="B37" s="50">
        <v>0</v>
      </c>
      <c r="C37" s="50">
        <v>0</v>
      </c>
      <c r="D37" s="45">
        <f>IF($B37="X",5,0)+IF(C37="X",-5,0)+IF($B37=C37,0)</f>
        <v>0</v>
      </c>
      <c r="E37" s="18"/>
      <c r="F37" s="75"/>
    </row>
    <row r="38" spans="1:6" x14ac:dyDescent="0.25">
      <c r="A38" s="49" t="s">
        <v>45</v>
      </c>
      <c r="B38" s="50">
        <v>0</v>
      </c>
      <c r="C38" s="50">
        <v>0</v>
      </c>
      <c r="D38" s="45">
        <f t="shared" ref="D38:D44" si="1">IF($B38="X",5,0)+IF(C38="X",-5,0)+IF($B38=C38,0)</f>
        <v>0</v>
      </c>
      <c r="E38" s="18"/>
      <c r="F38" s="75"/>
    </row>
    <row r="39" spans="1:6" x14ac:dyDescent="0.25">
      <c r="A39" s="49" t="s">
        <v>46</v>
      </c>
      <c r="B39" s="50">
        <v>0</v>
      </c>
      <c r="C39" s="50">
        <v>0</v>
      </c>
      <c r="D39" s="45">
        <f t="shared" si="1"/>
        <v>0</v>
      </c>
      <c r="E39" s="18"/>
      <c r="F39" s="75"/>
    </row>
    <row r="40" spans="1:6" x14ac:dyDescent="0.25">
      <c r="A40" s="49" t="s">
        <v>47</v>
      </c>
      <c r="B40" s="50" t="s">
        <v>31</v>
      </c>
      <c r="C40" s="50" t="s">
        <v>31</v>
      </c>
      <c r="D40" s="45">
        <f t="shared" si="1"/>
        <v>0</v>
      </c>
      <c r="E40" s="18"/>
      <c r="F40" s="75"/>
    </row>
    <row r="41" spans="1:6" x14ac:dyDescent="0.25">
      <c r="A41" s="49" t="s">
        <v>48</v>
      </c>
      <c r="B41" s="50">
        <v>0</v>
      </c>
      <c r="C41" s="50">
        <v>0</v>
      </c>
      <c r="D41" s="45">
        <f t="shared" si="1"/>
        <v>0</v>
      </c>
      <c r="E41" s="18"/>
      <c r="F41" s="75"/>
    </row>
    <row r="42" spans="1:6" x14ac:dyDescent="0.25">
      <c r="A42" s="49" t="s">
        <v>49</v>
      </c>
      <c r="B42" s="50">
        <v>0</v>
      </c>
      <c r="C42" s="50">
        <v>0</v>
      </c>
      <c r="D42" s="45">
        <f t="shared" si="1"/>
        <v>0</v>
      </c>
      <c r="E42" s="18"/>
      <c r="F42" s="75"/>
    </row>
    <row r="43" spans="1:6" x14ac:dyDescent="0.25">
      <c r="A43" s="49" t="s">
        <v>50</v>
      </c>
      <c r="B43" s="50">
        <v>0</v>
      </c>
      <c r="C43" s="50">
        <v>0</v>
      </c>
      <c r="D43" s="45">
        <f t="shared" si="1"/>
        <v>0</v>
      </c>
      <c r="E43" s="18"/>
      <c r="F43" s="75"/>
    </row>
    <row r="44" spans="1:6" x14ac:dyDescent="0.25">
      <c r="A44" s="49" t="s">
        <v>51</v>
      </c>
      <c r="B44" s="50" t="s">
        <v>31</v>
      </c>
      <c r="C44" s="50" t="s">
        <v>31</v>
      </c>
      <c r="D44" s="45">
        <f t="shared" si="1"/>
        <v>0</v>
      </c>
      <c r="E44" s="18"/>
      <c r="F44" s="75"/>
    </row>
    <row r="45" spans="1:6" ht="15.75" thickBot="1" x14ac:dyDescent="0.3">
      <c r="A45" s="47" t="s">
        <v>52</v>
      </c>
      <c r="B45" s="51"/>
      <c r="C45" s="51"/>
      <c r="D45" s="48"/>
      <c r="E45" s="14"/>
      <c r="F45" s="73"/>
    </row>
    <row r="46" spans="1:6" ht="15.75" thickTop="1" x14ac:dyDescent="0.25">
      <c r="A46" s="49" t="s">
        <v>53</v>
      </c>
      <c r="B46" s="50" t="s">
        <v>31</v>
      </c>
      <c r="C46" s="50" t="s">
        <v>31</v>
      </c>
      <c r="D46" s="45">
        <f>IF($B46="X",25,0)+IF(C46="X",-25,0)+IF($B46=C46,0)</f>
        <v>0</v>
      </c>
      <c r="E46" s="18"/>
      <c r="F46" s="75"/>
    </row>
    <row r="47" spans="1:6" x14ac:dyDescent="0.25">
      <c r="A47" s="49" t="s">
        <v>54</v>
      </c>
      <c r="B47" s="50" t="s">
        <v>31</v>
      </c>
      <c r="C47" s="50" t="s">
        <v>31</v>
      </c>
      <c r="D47" s="45">
        <f>IF($B47="X",25,0)+IF(C47="X",-25,0)+IF($B47=C47,0)</f>
        <v>0</v>
      </c>
      <c r="E47" s="18"/>
      <c r="F47" s="75"/>
    </row>
    <row r="48" spans="1:6" x14ac:dyDescent="0.25">
      <c r="A48" s="49" t="s">
        <v>55</v>
      </c>
      <c r="B48" s="50">
        <v>0</v>
      </c>
      <c r="C48" s="50">
        <v>0</v>
      </c>
      <c r="D48" s="45">
        <f>IF($B48="X",15,0)+IF(C48="X",-15,0)+IF($B48=C48,0)</f>
        <v>0</v>
      </c>
      <c r="E48" s="18"/>
      <c r="F48" s="75"/>
    </row>
    <row r="49" spans="1:6" x14ac:dyDescent="0.25">
      <c r="A49" s="49" t="s">
        <v>56</v>
      </c>
      <c r="B49" s="50" t="s">
        <v>31</v>
      </c>
      <c r="C49" s="50" t="s">
        <v>31</v>
      </c>
      <c r="D49" s="45">
        <f>IF($B49="X",5,0)+IF(C49="X",-5,0)+IF($B49=C49,0)</f>
        <v>0</v>
      </c>
      <c r="E49" s="18"/>
      <c r="F49" s="75"/>
    </row>
    <row r="50" spans="1:6" x14ac:dyDescent="0.25">
      <c r="A50" s="49" t="s">
        <v>57</v>
      </c>
      <c r="B50" s="50" t="s">
        <v>31</v>
      </c>
      <c r="C50" s="50" t="s">
        <v>31</v>
      </c>
      <c r="D50" s="45">
        <f>IF($B50="X",5,0)+IF(C50="X",-5,0)+IF($B50=C50,0)</f>
        <v>0</v>
      </c>
      <c r="E50" s="18"/>
      <c r="F50" s="75"/>
    </row>
    <row r="51" spans="1:6" x14ac:dyDescent="0.25">
      <c r="A51" s="49" t="s">
        <v>58</v>
      </c>
      <c r="B51" s="50">
        <v>0</v>
      </c>
      <c r="C51" s="50">
        <v>0</v>
      </c>
      <c r="D51" s="45">
        <f>IF($B51="X",25,0)+IF(C51="X",-25,0)+IF($B51=C51,0)</f>
        <v>0</v>
      </c>
      <c r="E51" s="18"/>
      <c r="F51" s="75"/>
    </row>
    <row r="52" spans="1:6" x14ac:dyDescent="0.25">
      <c r="A52" s="49" t="s">
        <v>59</v>
      </c>
      <c r="B52" s="50">
        <v>0</v>
      </c>
      <c r="C52" s="50">
        <v>0</v>
      </c>
      <c r="D52" s="45">
        <f>IF($B52="X",10,0)+IF(C52="X",-10,0)+IF($B52=C52,0)</f>
        <v>0</v>
      </c>
      <c r="E52" s="18"/>
      <c r="F52" s="75"/>
    </row>
    <row r="53" spans="1:6" ht="15.75" thickBot="1" x14ac:dyDescent="0.3">
      <c r="A53" s="47" t="s">
        <v>60</v>
      </c>
      <c r="B53" s="51"/>
      <c r="C53" s="51"/>
      <c r="D53" s="48"/>
      <c r="E53" s="14"/>
      <c r="F53" s="73"/>
    </row>
    <row r="54" spans="1:6" ht="15.75" thickTop="1" x14ac:dyDescent="0.25">
      <c r="A54" s="49" t="s">
        <v>61</v>
      </c>
      <c r="B54" s="50" t="s">
        <v>31</v>
      </c>
      <c r="C54" s="50" t="s">
        <v>31</v>
      </c>
      <c r="D54" s="45">
        <f>IF($B54="X",0)+IF(C54="X",0)+IF($B54=C54,0)</f>
        <v>0</v>
      </c>
      <c r="E54" s="18"/>
      <c r="F54" s="75"/>
    </row>
    <row r="55" spans="1:6" x14ac:dyDescent="0.25">
      <c r="A55" s="49" t="s">
        <v>62</v>
      </c>
      <c r="B55" s="50">
        <v>0</v>
      </c>
      <c r="C55" s="50">
        <v>0</v>
      </c>
      <c r="D55" s="45">
        <f>IF($B55="X",5,0)+IF(C55="X",-5,0)+IF($B55=C55,0)</f>
        <v>0</v>
      </c>
      <c r="E55" s="18"/>
      <c r="F55" s="75"/>
    </row>
    <row r="56" spans="1:6" x14ac:dyDescent="0.25">
      <c r="A56" s="49" t="s">
        <v>63</v>
      </c>
      <c r="B56" s="50">
        <v>0</v>
      </c>
      <c r="C56" s="50">
        <v>0</v>
      </c>
      <c r="D56" s="45">
        <f>IF($B56="X",15,0)+IF(C56="X",-15,0)+IF($B56=C56,0)</f>
        <v>0</v>
      </c>
      <c r="E56" s="18"/>
      <c r="F56" s="75"/>
    </row>
    <row r="57" spans="1:6" x14ac:dyDescent="0.25">
      <c r="A57" s="49" t="s">
        <v>64</v>
      </c>
      <c r="B57" s="50">
        <v>0</v>
      </c>
      <c r="C57" s="50">
        <v>0</v>
      </c>
      <c r="D57" s="45">
        <f>IF($B57="X",20,0)+IF(C57="X",-20,0)+IF($B57=C57,0)</f>
        <v>0</v>
      </c>
      <c r="E57" s="18"/>
      <c r="F57" s="75"/>
    </row>
    <row r="58" spans="1:6" x14ac:dyDescent="0.25">
      <c r="A58" s="49" t="s">
        <v>65</v>
      </c>
      <c r="B58" s="50">
        <v>0</v>
      </c>
      <c r="C58" s="50">
        <v>0</v>
      </c>
      <c r="D58" s="45">
        <f>IF($B58="X",25,0)+IF(C58="X",-25,0)+IF($B58=C58,0)</f>
        <v>0</v>
      </c>
      <c r="E58" s="18"/>
      <c r="F58" s="75"/>
    </row>
    <row r="59" spans="1:6" x14ac:dyDescent="0.25">
      <c r="A59" s="49" t="s">
        <v>66</v>
      </c>
      <c r="B59" s="50">
        <v>0</v>
      </c>
      <c r="C59" s="50">
        <v>0</v>
      </c>
      <c r="D59" s="45">
        <f>IF($B59="X",15,0)+IF(C59="X",-15,0)+IF($B59=C59,0)</f>
        <v>0</v>
      </c>
      <c r="E59" s="18"/>
      <c r="F59" s="75"/>
    </row>
    <row r="60" spans="1:6" x14ac:dyDescent="0.25">
      <c r="A60" s="49" t="s">
        <v>67</v>
      </c>
      <c r="B60" s="50">
        <v>0</v>
      </c>
      <c r="C60" s="50">
        <v>0</v>
      </c>
      <c r="D60" s="45">
        <f>IF($B60="X",15,0)+IF(C60="X",-15,0)+IF($B60=C60,0)</f>
        <v>0</v>
      </c>
      <c r="E60" s="18"/>
      <c r="F60" s="75"/>
    </row>
    <row r="61" spans="1:6" ht="15.75" thickBot="1" x14ac:dyDescent="0.3">
      <c r="A61" s="47" t="s">
        <v>68</v>
      </c>
      <c r="B61" s="51"/>
      <c r="C61" s="51"/>
      <c r="D61" s="48"/>
      <c r="E61" s="14"/>
      <c r="F61" s="73"/>
    </row>
    <row r="62" spans="1:6" ht="15.75" thickTop="1" x14ac:dyDescent="0.25">
      <c r="A62" s="49" t="s">
        <v>69</v>
      </c>
      <c r="B62" s="50">
        <v>0</v>
      </c>
      <c r="C62" s="50">
        <v>0</v>
      </c>
      <c r="D62" s="45">
        <f t="shared" ref="D62:D71" si="2">IF($B62="X",5,0)+IF(C62="X",-5,0)+IF($B62=C62,0)</f>
        <v>0</v>
      </c>
      <c r="E62" s="18"/>
      <c r="F62" s="75"/>
    </row>
    <row r="63" spans="1:6" x14ac:dyDescent="0.25">
      <c r="A63" s="49" t="s">
        <v>70</v>
      </c>
      <c r="B63" s="50">
        <v>0</v>
      </c>
      <c r="C63" s="50">
        <v>0</v>
      </c>
      <c r="D63" s="45">
        <f t="shared" si="2"/>
        <v>0</v>
      </c>
      <c r="E63" s="18"/>
      <c r="F63" s="75"/>
    </row>
    <row r="64" spans="1:6" x14ac:dyDescent="0.25">
      <c r="A64" s="49" t="s">
        <v>71</v>
      </c>
      <c r="B64" s="50">
        <v>0</v>
      </c>
      <c r="C64" s="50">
        <v>0</v>
      </c>
      <c r="D64" s="45">
        <f t="shared" si="2"/>
        <v>0</v>
      </c>
      <c r="E64" s="18"/>
      <c r="F64" s="75"/>
    </row>
    <row r="65" spans="1:6" x14ac:dyDescent="0.25">
      <c r="A65" s="49" t="s">
        <v>72</v>
      </c>
      <c r="B65" s="50">
        <v>0</v>
      </c>
      <c r="C65" s="50">
        <v>0</v>
      </c>
      <c r="D65" s="45">
        <f t="shared" si="2"/>
        <v>0</v>
      </c>
      <c r="E65" s="18"/>
      <c r="F65" s="75"/>
    </row>
    <row r="66" spans="1:6" x14ac:dyDescent="0.25">
      <c r="A66" s="49" t="s">
        <v>73</v>
      </c>
      <c r="B66" s="50" t="s">
        <v>31</v>
      </c>
      <c r="C66" s="50" t="s">
        <v>31</v>
      </c>
      <c r="D66" s="45">
        <f t="shared" si="2"/>
        <v>0</v>
      </c>
      <c r="E66" s="18"/>
      <c r="F66" s="75"/>
    </row>
    <row r="67" spans="1:6" x14ac:dyDescent="0.25">
      <c r="A67" s="49" t="s">
        <v>74</v>
      </c>
      <c r="B67" s="50">
        <v>0</v>
      </c>
      <c r="C67" s="50">
        <v>0</v>
      </c>
      <c r="D67" s="45">
        <f t="shared" si="2"/>
        <v>0</v>
      </c>
      <c r="E67" s="18"/>
      <c r="F67" s="75"/>
    </row>
    <row r="68" spans="1:6" x14ac:dyDescent="0.25">
      <c r="A68" s="49" t="s">
        <v>75</v>
      </c>
      <c r="B68" s="50">
        <v>0</v>
      </c>
      <c r="C68" s="50">
        <v>0</v>
      </c>
      <c r="D68" s="45">
        <f t="shared" si="2"/>
        <v>0</v>
      </c>
      <c r="E68" s="18"/>
      <c r="F68" s="75"/>
    </row>
    <row r="69" spans="1:6" x14ac:dyDescent="0.25">
      <c r="A69" s="49" t="s">
        <v>76</v>
      </c>
      <c r="B69" s="50">
        <v>0</v>
      </c>
      <c r="C69" s="50">
        <v>0</v>
      </c>
      <c r="D69" s="45">
        <f t="shared" si="2"/>
        <v>0</v>
      </c>
      <c r="E69" s="18"/>
      <c r="F69" s="75"/>
    </row>
    <row r="70" spans="1:6" x14ac:dyDescent="0.25">
      <c r="A70" s="49" t="s">
        <v>77</v>
      </c>
      <c r="B70" s="50">
        <v>0</v>
      </c>
      <c r="C70" s="50">
        <v>0</v>
      </c>
      <c r="D70" s="45">
        <f t="shared" si="2"/>
        <v>0</v>
      </c>
      <c r="E70" s="18"/>
      <c r="F70" s="75"/>
    </row>
    <row r="71" spans="1:6" x14ac:dyDescent="0.25">
      <c r="A71" s="49" t="s">
        <v>78</v>
      </c>
      <c r="B71" s="50" t="s">
        <v>31</v>
      </c>
      <c r="C71" s="50" t="s">
        <v>31</v>
      </c>
      <c r="D71" s="45">
        <f t="shared" si="2"/>
        <v>0</v>
      </c>
      <c r="E71" s="18"/>
      <c r="F71" s="75"/>
    </row>
    <row r="72" spans="1:6" x14ac:dyDescent="0.25">
      <c r="A72" s="49" t="s">
        <v>79</v>
      </c>
      <c r="B72" s="50" t="s">
        <v>31</v>
      </c>
      <c r="C72" s="50" t="s">
        <v>31</v>
      </c>
      <c r="D72" s="45">
        <f>IF($B72="X",5,0)+IF(C72="X",-5,0)+IF($B72=C72,0)</f>
        <v>0</v>
      </c>
      <c r="E72" s="18"/>
      <c r="F72" s="75"/>
    </row>
    <row r="73" spans="1:6" x14ac:dyDescent="0.25">
      <c r="A73" s="49" t="s">
        <v>80</v>
      </c>
      <c r="B73" s="50">
        <v>0</v>
      </c>
      <c r="C73" s="50">
        <v>0</v>
      </c>
      <c r="D73" s="45">
        <f>IF($B73="X",10,0)+IF(C73="X",-10,0)+IF($B73=C73,0)</f>
        <v>0</v>
      </c>
      <c r="E73" s="18"/>
      <c r="F73" s="75"/>
    </row>
    <row r="74" spans="1:6" x14ac:dyDescent="0.25">
      <c r="A74" s="49" t="s">
        <v>81</v>
      </c>
      <c r="B74" s="50">
        <v>0</v>
      </c>
      <c r="C74" s="50">
        <v>0</v>
      </c>
      <c r="D74" s="45">
        <f t="shared" ref="D74:D76" si="3">IF($B74="X",5,0)+IF(C74="X",-5,0)+IF($B74=C74,0)</f>
        <v>0</v>
      </c>
      <c r="E74" s="18"/>
      <c r="F74" s="75"/>
    </row>
    <row r="75" spans="1:6" x14ac:dyDescent="0.25">
      <c r="A75" s="49" t="s">
        <v>82</v>
      </c>
      <c r="B75" s="50">
        <v>0</v>
      </c>
      <c r="C75" s="50">
        <v>0</v>
      </c>
      <c r="D75" s="45">
        <f t="shared" si="3"/>
        <v>0</v>
      </c>
      <c r="E75" s="18"/>
      <c r="F75" s="75"/>
    </row>
    <row r="76" spans="1:6" ht="15.75" thickBot="1" x14ac:dyDescent="0.3">
      <c r="A76" s="47" t="s">
        <v>83</v>
      </c>
      <c r="B76" s="51"/>
      <c r="C76" s="14"/>
      <c r="D76" s="14">
        <f t="shared" si="3"/>
        <v>0</v>
      </c>
      <c r="E76" s="14"/>
      <c r="F76" s="73"/>
    </row>
    <row r="77" spans="1:6" ht="15.75" thickTop="1" x14ac:dyDescent="0.25">
      <c r="A77" s="49" t="s">
        <v>84</v>
      </c>
      <c r="B77" s="50" t="s">
        <v>31</v>
      </c>
      <c r="C77" s="50" t="s">
        <v>31</v>
      </c>
      <c r="D77" s="45">
        <f>IF($B77="X",5,0)+IF(C77="X",-5,0)+IF($B77=C77,0)</f>
        <v>0</v>
      </c>
      <c r="E77" s="18"/>
      <c r="F77" s="75"/>
    </row>
    <row r="78" spans="1:6" x14ac:dyDescent="0.25">
      <c r="A78" s="49" t="s">
        <v>85</v>
      </c>
      <c r="B78" s="50">
        <v>0</v>
      </c>
      <c r="C78" s="50">
        <v>0</v>
      </c>
      <c r="D78" s="45">
        <f>IF($B78="X",5,0)+IF(C78="X",-5,0)+IF($B78=C78,0)</f>
        <v>0</v>
      </c>
      <c r="E78" s="18"/>
      <c r="F78" s="75"/>
    </row>
    <row r="79" spans="1:6" ht="15.75" thickBot="1" x14ac:dyDescent="0.3">
      <c r="A79" s="52" t="s">
        <v>86</v>
      </c>
      <c r="B79" s="53">
        <v>0</v>
      </c>
      <c r="C79" s="53">
        <v>0</v>
      </c>
      <c r="D79" s="45">
        <f>IF($B79="X",5,0)+IF(C79="X",-5,0)+IF($B79=C79,0)</f>
        <v>0</v>
      </c>
      <c r="E79" s="54"/>
      <c r="F79" s="73"/>
    </row>
    <row r="80" spans="1:6" ht="15.75" thickTop="1" x14ac:dyDescent="0.25">
      <c r="A80" s="55" t="s">
        <v>87</v>
      </c>
      <c r="B80" s="56">
        <f>B15</f>
        <v>1703</v>
      </c>
      <c r="C80" s="36"/>
      <c r="D80" s="37">
        <f>C15+(SUM(D18:D79))</f>
        <v>2971.5915989159889</v>
      </c>
      <c r="E80" s="37">
        <f>E81/E9</f>
        <v>2971.5915989159889</v>
      </c>
      <c r="F80" s="82">
        <f>(B80/E80)-1</f>
        <v>-0.42690644278936585</v>
      </c>
    </row>
    <row r="81" spans="1:6" x14ac:dyDescent="0.25">
      <c r="A81" s="57" t="s">
        <v>88</v>
      </c>
      <c r="B81" s="56"/>
      <c r="C81" s="36"/>
      <c r="D81" s="37">
        <f>D80*C9</f>
        <v>26744.324390243899</v>
      </c>
      <c r="E81" s="37">
        <f>SUM(C81:D81)</f>
        <v>26744.324390243899</v>
      </c>
      <c r="F81" s="82"/>
    </row>
    <row r="82" spans="1:6" ht="15.75" thickBot="1" x14ac:dyDescent="0.3">
      <c r="A82" s="55" t="s">
        <v>89</v>
      </c>
      <c r="B82" s="58">
        <f>B17</f>
        <v>3.1951219512195124</v>
      </c>
      <c r="C82" s="59"/>
      <c r="D82" s="60">
        <f>IF(C13&gt;0,D80/C13,0)</f>
        <v>4.4918247212367985</v>
      </c>
      <c r="E82" s="60">
        <f>E81/E14</f>
        <v>4.4918247212367985</v>
      </c>
      <c r="F82" s="82">
        <f>(B82/E82)-1</f>
        <v>-0.28868062546755979</v>
      </c>
    </row>
    <row r="83" spans="1:6" ht="15.75" thickBot="1" x14ac:dyDescent="0.3">
      <c r="A83" s="61" t="s">
        <v>90</v>
      </c>
      <c r="B83" s="62"/>
      <c r="C83" s="63"/>
      <c r="D83" s="64">
        <f>IF(C15=0,0,D80/C15)</f>
        <v>1.0464578937372893</v>
      </c>
      <c r="E83" s="86"/>
      <c r="F83" s="87"/>
    </row>
    <row r="84" spans="1:6" ht="15.75" thickBot="1" x14ac:dyDescent="0.3">
      <c r="A84" s="91" t="s">
        <v>94</v>
      </c>
      <c r="B84" s="92"/>
      <c r="C84" s="92"/>
      <c r="D84" s="92"/>
      <c r="E84" s="92"/>
      <c r="F84" s="93"/>
    </row>
  </sheetData>
  <mergeCells count="6">
    <mergeCell ref="F4:F5"/>
    <mergeCell ref="A84:F84"/>
    <mergeCell ref="C3:D3"/>
    <mergeCell ref="C4:D4"/>
    <mergeCell ref="C1:D1"/>
    <mergeCell ref="C2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STUDIO MARKET</vt:lpstr>
      <vt:lpstr>1 BEDROOM MARKET</vt:lpstr>
      <vt:lpstr>2 BEDROOM MARKET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Akhverdyan</dc:creator>
  <cp:lastModifiedBy>Jared Keys</cp:lastModifiedBy>
  <dcterms:created xsi:type="dcterms:W3CDTF">2025-08-13T21:48:29Z</dcterms:created>
  <dcterms:modified xsi:type="dcterms:W3CDTF">2026-06-15T21:38:12Z</dcterms:modified>
</cp:coreProperties>
</file>