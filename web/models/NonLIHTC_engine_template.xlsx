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khverdyan_solaimpa\Downloads\"/>
    </mc:Choice>
  </mc:AlternateContent>
  <xr:revisionPtr revIDLastSave="0" documentId="13_ncr:20001_{BD0A744E-4B67-45F9-BEF7-0000606C24F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puts" sheetId="1" r:id="rId1"/>
    <sheet name="Dashboard" sheetId="2" r:id="rId2"/>
    <sheet name="(Z+) Dev Budget" sheetId="3" r:id="rId3"/>
    <sheet name="(Z+) OpEx" sheetId="4" r:id="rId4"/>
    <sheet name="(Z+) Financing" sheetId="5" r:id="rId5"/>
    <sheet name="(Z+) Rent Roll" sheetId="6" r:id="rId6"/>
    <sheet name="(Z+) Monthly CF" sheetId="7" r:id="rId7"/>
  </sheets>
  <definedNames>
    <definedName name="const_start">Inputs!$D$25</definedName>
    <definedName name="Constr_Finish_Date">Inputs!$E$27</definedName>
    <definedName name="Constr_Finish_Mo">Inputs!$D$27</definedName>
    <definedName name="Construction_Start_Date">Inputs!$E$25</definedName>
    <definedName name="Diligence_Begin_Date">Inputs!$E$20</definedName>
    <definedName name="Greenlight_Date">Inputs!$E$21</definedName>
    <definedName name="Greenlight_Mo">Inputs!$D$21</definedName>
    <definedName name="Land_Closing_Mo">Inputs!$D$22</definedName>
    <definedName name="lease_up_period">Inputs!$E$31</definedName>
    <definedName name="logistics_cost">'(Z+) Monthly CF'!$D$65</definedName>
    <definedName name="mod_costs">'(Z+) Monthly CF'!$D$64</definedName>
    <definedName name="perm_fees">'(Z+) Financing'!$H$22</definedName>
    <definedName name="perm_proceeds">'(Z+) Financing'!$H$19</definedName>
    <definedName name="refinance_date">Inputs!$E$34</definedName>
    <definedName name="sale_month">Inputs!$E$38</definedName>
  </definedNames>
  <calcPr calcId="191029" iterate="1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<sst xmlns="http://schemas.openxmlformats.org/spreadsheetml/2006/main" count="702" uniqueCount="541">
  <si>
    <t>Inputs</t>
  </si>
  <si>
    <t>Location</t>
  </si>
  <si>
    <t>Budget Summary</t>
  </si>
  <si>
    <t>Budget</t>
  </si>
  <si>
    <t>$/Unit</t>
  </si>
  <si>
    <t>Underwriting Assumptions</t>
  </si>
  <si>
    <t>Massing Information</t>
  </si>
  <si>
    <t>Address</t>
  </si>
  <si>
    <t>Acquisition Costs</t>
  </si>
  <si>
    <t>Vacancy &amp; Credit Loss</t>
  </si>
  <si>
    <t>Number of Buildings</t>
  </si>
  <si>
    <t>City</t>
  </si>
  <si>
    <t>Hard Costs</t>
  </si>
  <si>
    <t>Rent Growth</t>
  </si>
  <si>
    <t>Podium SF</t>
  </si>
  <si>
    <t>State</t>
  </si>
  <si>
    <t>Soft Costs</t>
  </si>
  <si>
    <t>OpEx Ratio</t>
  </si>
  <si>
    <t>Podium Levels</t>
  </si>
  <si>
    <t>Zip Code</t>
  </si>
  <si>
    <t>Admin Costs</t>
  </si>
  <si>
    <t>Construction Cost Escalation</t>
  </si>
  <si>
    <t># of Parking Stalls - Surface</t>
  </si>
  <si>
    <t>Financing Costs</t>
  </si>
  <si>
    <t>Rent Trending Begin Mo.</t>
  </si>
  <si>
    <t># of Dwelling Units (Total)</t>
  </si>
  <si>
    <t>Parcel Info</t>
  </si>
  <si>
    <t>Total</t>
  </si>
  <si>
    <t>Precon Soft Cost Expenditure</t>
  </si>
  <si>
    <t>1-BR 1-BA</t>
  </si>
  <si>
    <t>Zoning</t>
  </si>
  <si>
    <t>2-BR 1-BA</t>
  </si>
  <si>
    <t>Gross Lot Size (SF)</t>
  </si>
  <si>
    <t>Effective Development Potential</t>
  </si>
  <si>
    <t>Capital Stack</t>
  </si>
  <si>
    <t>3-BR 2-BA</t>
  </si>
  <si>
    <t>Lot Length (ft)</t>
  </si>
  <si>
    <t>Dwelling Units</t>
  </si>
  <si>
    <t>Acquisition</t>
  </si>
  <si>
    <t>Service Modules (Total)</t>
  </si>
  <si>
    <t>Lot Width (ft)</t>
  </si>
  <si>
    <t>Moduler Units</t>
  </si>
  <si>
    <t>Equity</t>
  </si>
  <si>
    <t>Staircase Unit</t>
  </si>
  <si>
    <t>Gross Building SF</t>
  </si>
  <si>
    <t>Parking Stalls</t>
  </si>
  <si>
    <t>Debt</t>
  </si>
  <si>
    <t>Bike Parking Units</t>
  </si>
  <si>
    <t>Net Rentable SF</t>
  </si>
  <si>
    <t>Total Acquisition Capitalization</t>
  </si>
  <si>
    <t>Laundry Rooms</t>
  </si>
  <si>
    <t>Development</t>
  </si>
  <si>
    <t>Lobbies</t>
  </si>
  <si>
    <t>Timing Assumptions</t>
  </si>
  <si>
    <t>Month</t>
  </si>
  <si>
    <t>Date</t>
  </si>
  <si>
    <t>Exp Growth</t>
  </si>
  <si>
    <t>Mechanical Rooms</t>
  </si>
  <si>
    <t>Diligence Begin Date</t>
  </si>
  <si>
    <t>Senior Debt</t>
  </si>
  <si>
    <t>Other Service Mods</t>
  </si>
  <si>
    <t>Greenlight Date</t>
  </si>
  <si>
    <t>Total Development Capitalization</t>
  </si>
  <si>
    <t>Total # of Modules</t>
  </si>
  <si>
    <t>Land Closing Date</t>
  </si>
  <si>
    <t>Stabilization</t>
  </si>
  <si>
    <t>Preconstruction Period (Months)</t>
  </si>
  <si>
    <t>Affordability/Set-Aside Detail</t>
  </si>
  <si>
    <t>RTI Date</t>
  </si>
  <si>
    <t>Set Aside Options</t>
  </si>
  <si>
    <t># of Units</t>
  </si>
  <si>
    <t>Construction Start</t>
  </si>
  <si>
    <t>Total Stabilized Capitalization</t>
  </si>
  <si>
    <t>Required ELI Units</t>
  </si>
  <si>
    <t>Construction Timeline (Months)</t>
  </si>
  <si>
    <t>Required VLI Units</t>
  </si>
  <si>
    <t>Construction Finishing Date</t>
  </si>
  <si>
    <t>Model Z Schedule</t>
  </si>
  <si>
    <t>Duration (Months)</t>
  </si>
  <si>
    <t>Required LI Units</t>
  </si>
  <si>
    <t>Total Development Timeline</t>
  </si>
  <si>
    <t>Site Acquisition and Planning</t>
  </si>
  <si>
    <t>Required Mod Units</t>
  </si>
  <si>
    <t>Occupancy Date</t>
  </si>
  <si>
    <t>Z/Suite Design</t>
  </si>
  <si>
    <t>Leased Units/Month</t>
  </si>
  <si>
    <t>Permits and Entitlement</t>
  </si>
  <si>
    <t>ED1/100% Affordable?</t>
  </si>
  <si>
    <t>No</t>
  </si>
  <si>
    <t>Lease-Up Period</t>
  </si>
  <si>
    <t>Site Prep and Preconstruction</t>
  </si>
  <si>
    <t>HUD/TCAC AMI</t>
  </si>
  <si>
    <t>Refinancing Period</t>
  </si>
  <si>
    <t>Modular Manufacturing</t>
  </si>
  <si>
    <t>HCD AMI</t>
  </si>
  <si>
    <t>Stabilization Period (Months)</t>
  </si>
  <si>
    <t>Construction</t>
  </si>
  <si>
    <t>Set Aside Restricted Units (HCD)</t>
  </si>
  <si>
    <t>Stabilization/Refinance Date</t>
  </si>
  <si>
    <t>Time to Stabilization</t>
  </si>
  <si>
    <t>Legend</t>
  </si>
  <si>
    <t>Total Hold Period (Months)</t>
  </si>
  <si>
    <t>Inputs (Z/Suite)</t>
  </si>
  <si>
    <t>Light Blue</t>
  </si>
  <si>
    <t>Total Hold Period (Fiscal Years)</t>
  </si>
  <si>
    <t>Editable Variables</t>
  </si>
  <si>
    <t>Blue</t>
  </si>
  <si>
    <t>Sale Month</t>
  </si>
  <si>
    <t>Formulas</t>
  </si>
  <si>
    <t>Black</t>
  </si>
  <si>
    <t>Project Overview</t>
  </si>
  <si>
    <t>Project Info</t>
  </si>
  <si>
    <t>Total Uses</t>
  </si>
  <si>
    <t>/Unit</t>
  </si>
  <si>
    <t>Percentage</t>
  </si>
  <si>
    <t>Assumed Exit Cap Rate</t>
  </si>
  <si>
    <t>IRR</t>
  </si>
  <si>
    <t>Year</t>
  </si>
  <si>
    <t>Land Acquistions</t>
  </si>
  <si>
    <t>Best case</t>
  </si>
  <si>
    <t>Levered IRR</t>
  </si>
  <si>
    <t>Modular Cost</t>
  </si>
  <si>
    <t>Base Case</t>
  </si>
  <si>
    <t>Project Costs</t>
  </si>
  <si>
    <t>Equity Multiple</t>
  </si>
  <si>
    <t>On-Site Hard Costs</t>
  </si>
  <si>
    <t>Worst Case</t>
  </si>
  <si>
    <t>Constr. Loan Proceeds</t>
  </si>
  <si>
    <t>Cash-on-Cash Return</t>
  </si>
  <si>
    <t>Constr. Loan Re-Payment</t>
  </si>
  <si>
    <t>Untrended Return-on-Cost</t>
  </si>
  <si>
    <t>Financing</t>
  </si>
  <si>
    <t>Constr.</t>
  </si>
  <si>
    <t xml:space="preserve">Perm. </t>
  </si>
  <si>
    <t>Gross Rental Income</t>
  </si>
  <si>
    <t>Total Profit</t>
  </si>
  <si>
    <t>Loan Proceeds</t>
  </si>
  <si>
    <t>Operating Expenses</t>
  </si>
  <si>
    <t>Unit Count</t>
  </si>
  <si>
    <t>LTV</t>
  </si>
  <si>
    <t>NOI</t>
  </si>
  <si>
    <t>Parking</t>
  </si>
  <si>
    <t>LTC</t>
  </si>
  <si>
    <t>Perm. Loan Proceeds</t>
  </si>
  <si>
    <t>NRSF</t>
  </si>
  <si>
    <t>Total Sources</t>
  </si>
  <si>
    <t>Int. Rate</t>
  </si>
  <si>
    <t>Debt Service</t>
  </si>
  <si>
    <t>Total Development Cost</t>
  </si>
  <si>
    <t>DSCR</t>
  </si>
  <si>
    <t>N/A</t>
  </si>
  <si>
    <t>Perm. Loan Re-Payment</t>
  </si>
  <si>
    <t>Price per Unit</t>
  </si>
  <si>
    <t>Sale Proceeds</t>
  </si>
  <si>
    <t>Construction Type</t>
  </si>
  <si>
    <t>Modular</t>
  </si>
  <si>
    <t>Levered Cash Flow</t>
  </si>
  <si>
    <t>IRR% - Construction Loan LTC vs Interest Rate</t>
  </si>
  <si>
    <t>IRR% - Hold Period vs Exit Cap</t>
  </si>
  <si>
    <t>Operating Assumptions</t>
  </si>
  <si>
    <t>/Unit /Month</t>
  </si>
  <si>
    <t>Annual</t>
  </si>
  <si>
    <t>Drivers</t>
  </si>
  <si>
    <t>IRR%</t>
  </si>
  <si>
    <t>Interest Rate</t>
  </si>
  <si>
    <t>Exit Cap</t>
  </si>
  <si>
    <t>Rent</t>
  </si>
  <si>
    <t>OnSite$</t>
  </si>
  <si>
    <t>Other Income</t>
  </si>
  <si>
    <t>Constr. Time</t>
  </si>
  <si>
    <t>Total Rental Income</t>
  </si>
  <si>
    <t>Hold Period</t>
  </si>
  <si>
    <t>Constr. LTC</t>
  </si>
  <si>
    <t>Effective Gross Income</t>
  </si>
  <si>
    <t>Property Tax Exemption</t>
  </si>
  <si>
    <t>Yes</t>
  </si>
  <si>
    <t>IRR% - Constr. Timeline vs On-Site Cost</t>
  </si>
  <si>
    <t>IRR % - Hold Period vs Perm. Interest Rate</t>
  </si>
  <si>
    <t>On-site Cost $/unit</t>
  </si>
  <si>
    <t>Perm Int. Rate</t>
  </si>
  <si>
    <t>Construction Timeline</t>
  </si>
  <si>
    <t>IRR% - Rent Growth vs Exit Cap</t>
  </si>
  <si>
    <t>IRR % - Hold Period vs Constr. Interest Rate</t>
  </si>
  <si>
    <t>Contstruction Int. Rate</t>
  </si>
  <si>
    <t>Rent Growth Post-Occ</t>
  </si>
  <si>
    <t>Development Budget</t>
  </si>
  <si>
    <t>Category</t>
  </si>
  <si>
    <t>Factor</t>
  </si>
  <si>
    <t>Unit</t>
  </si>
  <si>
    <t>$/GSF</t>
  </si>
  <si>
    <t>$/NRSF</t>
  </si>
  <si>
    <t>$/LSF</t>
  </si>
  <si>
    <t>% of Tot.</t>
  </si>
  <si>
    <t xml:space="preserve"> Land Cost</t>
  </si>
  <si>
    <t xml:space="preserve"> Escrow/Closing</t>
  </si>
  <si>
    <t xml:space="preserve"> Acquisition Fee</t>
  </si>
  <si>
    <t>Total Acquisition Costs</t>
  </si>
  <si>
    <t>Module Costs</t>
  </si>
  <si>
    <t xml:space="preserve"> 1-BED 1-BA (420 SF)</t>
  </si>
  <si>
    <t>DU</t>
  </si>
  <si>
    <t xml:space="preserve"> 2-BED 1-BA (840 SF)</t>
  </si>
  <si>
    <t xml:space="preserve"> 3-BED 2-BA (840 SF)</t>
  </si>
  <si>
    <t xml:space="preserve"> Service Mods</t>
  </si>
  <si>
    <t xml:space="preserve"> Staircases</t>
  </si>
  <si>
    <t xml:space="preserve"> Onsite Costs</t>
  </si>
  <si>
    <t xml:space="preserve">  Podium Cost</t>
  </si>
  <si>
    <t>Footprint SF</t>
  </si>
  <si>
    <t xml:space="preserve"> Transport &amp; Insurance</t>
  </si>
  <si>
    <t xml:space="preserve"> Cost Escalation Allowance</t>
  </si>
  <si>
    <t>GC Contr</t>
  </si>
  <si>
    <t>Subtotal - GC Contract Prelim</t>
  </si>
  <si>
    <t xml:space="preserve"> Enviro Contingency</t>
  </si>
  <si>
    <t xml:space="preserve"> Owner's Construction Security</t>
  </si>
  <si>
    <t>Constr Mo</t>
  </si>
  <si>
    <t xml:space="preserve"> Quality Control Peer (Inspections)</t>
  </si>
  <si>
    <t xml:space="preserve"> Commercial / Tenant Improvements</t>
  </si>
  <si>
    <t>Comm NRSF</t>
  </si>
  <si>
    <t xml:space="preserve"> Demolition</t>
  </si>
  <si>
    <t>Land SF</t>
  </si>
  <si>
    <t xml:space="preserve"> Owner's Contingency</t>
  </si>
  <si>
    <t>Total Hard Costs</t>
  </si>
  <si>
    <t xml:space="preserve"> Environmental - Phase I Report</t>
  </si>
  <si>
    <t xml:space="preserve"> Environmental - Phase II Report</t>
  </si>
  <si>
    <t xml:space="preserve"> Geotech-Soils - Soils Investigation</t>
  </si>
  <si>
    <t xml:space="preserve"> ALTA Survey</t>
  </si>
  <si>
    <t xml:space="preserve"> Soil Management Plan</t>
  </si>
  <si>
    <t xml:space="preserve"> Architectural - Pre-Conceptual/Massing</t>
  </si>
  <si>
    <t xml:space="preserve"> Construction Estimating/ROM</t>
  </si>
  <si>
    <t xml:space="preserve"> Dry/Wet Utility Study</t>
  </si>
  <si>
    <t xml:space="preserve"> Fee Study</t>
  </si>
  <si>
    <t xml:space="preserve"> Entitlement Consultant - Land Use Report</t>
  </si>
  <si>
    <t xml:space="preserve"> Historical</t>
  </si>
  <si>
    <t xml:space="preserve"> Appraisal</t>
  </si>
  <si>
    <t xml:space="preserve"> Lead &amp; Asbestos - Report</t>
  </si>
  <si>
    <t>Subtotal - Due Diligence</t>
  </si>
  <si>
    <t xml:space="preserve"> Consulting - Architectural</t>
  </si>
  <si>
    <t xml:space="preserve"> Consulting - Structural</t>
  </si>
  <si>
    <t xml:space="preserve"> Consulting - MEP</t>
  </si>
  <si>
    <t xml:space="preserve"> Consulting - Civil</t>
  </si>
  <si>
    <t xml:space="preserve"> Consulting - Landscaping</t>
  </si>
  <si>
    <t xml:space="preserve"> Consulting - Disabled Access</t>
  </si>
  <si>
    <t xml:space="preserve"> Consulting - Wet &amp; Dry Utilities</t>
  </si>
  <si>
    <t xml:space="preserve"> Consulting - Acoustical</t>
  </si>
  <si>
    <t xml:space="preserve"> Consulting - Surveying</t>
  </si>
  <si>
    <t xml:space="preserve"> Consulting - External Building Maintenance</t>
  </si>
  <si>
    <t xml:space="preserve"> Consulting - CEQA</t>
  </si>
  <si>
    <t xml:space="preserve"> Consulting - Expeditor</t>
  </si>
  <si>
    <t xml:space="preserve"> Consulting - Fire</t>
  </si>
  <si>
    <t xml:space="preserve"> Consulting - Geotech-Soils</t>
  </si>
  <si>
    <t xml:space="preserve"> Consulting - Interior Design</t>
  </si>
  <si>
    <t xml:space="preserve"> Consulting - IT (Low voltage)</t>
  </si>
  <si>
    <t xml:space="preserve"> Consulting - Land Use</t>
  </si>
  <si>
    <t xml:space="preserve"> Consulting - Lead &amp; Asbestos</t>
  </si>
  <si>
    <t xml:space="preserve"> Consulting - Legal</t>
  </si>
  <si>
    <t xml:space="preserve"> Consulting - Lighting</t>
  </si>
  <si>
    <t xml:space="preserve"> Consulting - Market Research</t>
  </si>
  <si>
    <t xml:space="preserve"> Consulting - Marketing</t>
  </si>
  <si>
    <t xml:space="preserve"> Consulting - Methane</t>
  </si>
  <si>
    <t xml:space="preserve"> Consulting - Misc Engineering</t>
  </si>
  <si>
    <t xml:space="preserve"> Consulting - GC Precon/Estimating</t>
  </si>
  <si>
    <t xml:space="preserve"> Consulting - Photography-Video</t>
  </si>
  <si>
    <t xml:space="preserve"> Consulting - Property Tax</t>
  </si>
  <si>
    <t xml:space="preserve"> Consulting - Public Outreach</t>
  </si>
  <si>
    <t xml:space="preserve"> Consulting - Quality Control Peer (Inspections)</t>
  </si>
  <si>
    <t xml:space="preserve"> Consulting - Traffic Studies</t>
  </si>
  <si>
    <t xml:space="preserve"> Consulting - Water Proofing</t>
  </si>
  <si>
    <t xml:space="preserve"> Consulting - Reimbursables</t>
  </si>
  <si>
    <t xml:space="preserve"> Other Consultant (Consulting - Misc)</t>
  </si>
  <si>
    <t>Subtotal - Consultants</t>
  </si>
  <si>
    <t xml:space="preserve"> Fees - Plan Check, Demo, Building Permits</t>
  </si>
  <si>
    <t xml:space="preserve"> Fees - Municipal Agency Engineering</t>
  </si>
  <si>
    <t xml:space="preserve"> Fees - School</t>
  </si>
  <si>
    <t xml:space="preserve"> Fees - Planning &amp; Entitlements</t>
  </si>
  <si>
    <t xml:space="preserve"> Fees - Housing</t>
  </si>
  <si>
    <t xml:space="preserve"> Fees - Misc</t>
  </si>
  <si>
    <t xml:space="preserve"> Fees - Water Meters</t>
  </si>
  <si>
    <t xml:space="preserve"> Fees - Gas Meters</t>
  </si>
  <si>
    <t xml:space="preserve"> Fees - Impact</t>
  </si>
  <si>
    <t xml:space="preserve"> Bond</t>
  </si>
  <si>
    <t xml:space="preserve"> Fees - Park</t>
  </si>
  <si>
    <t>Subtotal - City Fees</t>
  </si>
  <si>
    <t xml:space="preserve"> Relocation Expense</t>
  </si>
  <si>
    <t xml:space="preserve"> FF&amp;E</t>
  </si>
  <si>
    <t xml:space="preserve"> Insurance</t>
  </si>
  <si>
    <t xml:space="preserve"> Leasing</t>
  </si>
  <si>
    <t>Mkt DU</t>
  </si>
  <si>
    <t xml:space="preserve"> Leasing Commission</t>
  </si>
  <si>
    <t xml:space="preserve"> Model Unit</t>
  </si>
  <si>
    <t xml:space="preserve"> Rental Concession Reserve</t>
  </si>
  <si>
    <t xml:space="preserve"> CMFA/HOM Fees</t>
  </si>
  <si>
    <t xml:space="preserve"> Marketing</t>
  </si>
  <si>
    <t xml:space="preserve"> Operating Shortfall Reserve</t>
  </si>
  <si>
    <t xml:space="preserve"> Owner Reimbursables</t>
  </si>
  <si>
    <t xml:space="preserve"> Owner Printing</t>
  </si>
  <si>
    <t xml:space="preserve"> Temp Utilities</t>
  </si>
  <si>
    <t xml:space="preserve"> Precon Maintenance &amp; Security</t>
  </si>
  <si>
    <t>Subtotal - Misc &amp; Carrying Costs</t>
  </si>
  <si>
    <t xml:space="preserve"> Soft Cost Contingency</t>
  </si>
  <si>
    <t>Total Soft Costs</t>
  </si>
  <si>
    <t xml:space="preserve"> Property Taxes</t>
  </si>
  <si>
    <t xml:space="preserve"> Admin Costs</t>
  </si>
  <si>
    <t xml:space="preserve"> Construction Management Fee</t>
  </si>
  <si>
    <t>Total Admin Costs</t>
  </si>
  <si>
    <t>TOTAL UNLEVERED PROJECT COSTS</t>
  </si>
  <si>
    <t xml:space="preserve"> Interest - Mezz/Construction Loan</t>
  </si>
  <si>
    <t xml:space="preserve"> Interest - Acquisition/Bridge Loan</t>
  </si>
  <si>
    <t xml:space="preserve"> Loan Closing Costs</t>
  </si>
  <si>
    <t>Total Financing Costs</t>
  </si>
  <si>
    <t>TOTAL LEVERED PROJECT COSTS</t>
  </si>
  <si>
    <t>Expected Income During Lease-Up</t>
  </si>
  <si>
    <t>Net Project Cost At Stabilization</t>
  </si>
  <si>
    <t>Operating Expenses &amp; Reserves</t>
  </si>
  <si>
    <t>Non-Control. Expenses</t>
  </si>
  <si>
    <t>PUPM</t>
  </si>
  <si>
    <t>PUPY</t>
  </si>
  <si>
    <t>Growth (LU)</t>
  </si>
  <si>
    <t>Growth (Stab)</t>
  </si>
  <si>
    <t xml:space="preserve">   Prop. Taxes</t>
  </si>
  <si>
    <t xml:space="preserve">   Insurance</t>
  </si>
  <si>
    <t xml:space="preserve">   Management</t>
  </si>
  <si>
    <t xml:space="preserve">   CMFA - Fee</t>
  </si>
  <si>
    <t xml:space="preserve">   Non-Profit Partner - Fee</t>
  </si>
  <si>
    <t>Controllable Expenses</t>
  </si>
  <si>
    <t xml:space="preserve">   Electric</t>
  </si>
  <si>
    <t xml:space="preserve">   Water/Sewer</t>
  </si>
  <si>
    <t xml:space="preserve">   Gas</t>
  </si>
  <si>
    <t xml:space="preserve">   Trash</t>
  </si>
  <si>
    <t xml:space="preserve">   Landscape</t>
  </si>
  <si>
    <t xml:space="preserve">   M&amp;R/Turnover</t>
  </si>
  <si>
    <t>1</t>
  </si>
  <si>
    <t xml:space="preserve">   Payroll/Security</t>
  </si>
  <si>
    <t xml:space="preserve">   HCID Fee</t>
  </si>
  <si>
    <t xml:space="preserve">   Elevator Maint.</t>
  </si>
  <si>
    <t xml:space="preserve">   Legal</t>
  </si>
  <si>
    <t xml:space="preserve">   Misc.</t>
  </si>
  <si>
    <t xml:space="preserve">   Mgr's Rent Credit</t>
  </si>
  <si>
    <t xml:space="preserve">   Reserves</t>
  </si>
  <si>
    <t>Untrended (Today)</t>
  </si>
  <si>
    <t>Trended (Stabilization)</t>
  </si>
  <si>
    <t>Operating Summary</t>
  </si>
  <si>
    <t>Covenants</t>
  </si>
  <si>
    <t>As Rented</t>
  </si>
  <si>
    <t>Tax Exempt</t>
  </si>
  <si>
    <t>Residential Rents (GPR)</t>
  </si>
  <si>
    <t>Commercial Rents (MG, net of Vac)</t>
  </si>
  <si>
    <t>Residential Losses</t>
  </si>
  <si>
    <t>Net Operating Income</t>
  </si>
  <si>
    <t>Return on Cost</t>
  </si>
  <si>
    <t>Cash-on-Cash</t>
  </si>
  <si>
    <t>Operating Ratio</t>
  </si>
  <si>
    <t>Valuation</t>
  </si>
  <si>
    <t xml:space="preserve">   Per Unit</t>
  </si>
  <si>
    <t xml:space="preserve">   Value-Add</t>
  </si>
  <si>
    <t>Acquisition Financing</t>
  </si>
  <si>
    <t>Permanent Financing</t>
  </si>
  <si>
    <t>LP Returns</t>
  </si>
  <si>
    <t>Underwriting Method</t>
  </si>
  <si>
    <t>Project Unlevered IRR</t>
  </si>
  <si>
    <t>Underwritten NOI</t>
  </si>
  <si>
    <t>Project Levered IRR</t>
  </si>
  <si>
    <t>Closing Costs %</t>
  </si>
  <si>
    <t>Cap Rate</t>
  </si>
  <si>
    <t>Going-In Cash/Cash</t>
  </si>
  <si>
    <t>Closing Costs</t>
  </si>
  <si>
    <t>Valuation at Refi</t>
  </si>
  <si>
    <t>Stabilized Project Cash/Cash</t>
  </si>
  <si>
    <t>Value-Add</t>
  </si>
  <si>
    <t>Going-In Return on Cost</t>
  </si>
  <si>
    <t>Minimum DSCR</t>
  </si>
  <si>
    <t>Stabilized Return on Cost</t>
  </si>
  <si>
    <t>Mezzanine Financing</t>
  </si>
  <si>
    <t>OFF</t>
  </si>
  <si>
    <t>DSCR Rate Margin</t>
  </si>
  <si>
    <t>Equity Multiple (Project-Level)</t>
  </si>
  <si>
    <t>DSCR Loan Amount</t>
  </si>
  <si>
    <t>Gross Profit</t>
  </si>
  <si>
    <t>Max LTV</t>
  </si>
  <si>
    <t>Levered Profit</t>
  </si>
  <si>
    <t>LTV Loan Amount</t>
  </si>
  <si>
    <t>Max LTC</t>
  </si>
  <si>
    <t>LTC Loan Amount</t>
  </si>
  <si>
    <t xml:space="preserve"> Max LTC</t>
  </si>
  <si>
    <t xml:space="preserve"> LTC Loan Amount</t>
  </si>
  <si>
    <t xml:space="preserve"> Debt Yield</t>
  </si>
  <si>
    <t>Net After Fees</t>
  </si>
  <si>
    <t xml:space="preserve"> DY Loan Amount</t>
  </si>
  <si>
    <t>Amortization</t>
  </si>
  <si>
    <t>Fees</t>
  </si>
  <si>
    <t xml:space="preserve"> Closing Costs %</t>
  </si>
  <si>
    <t xml:space="preserve"> Closing Costs</t>
  </si>
  <si>
    <t xml:space="preserve"> LTC</t>
  </si>
  <si>
    <t>Exit Valuation</t>
  </si>
  <si>
    <t>Construction Financing</t>
  </si>
  <si>
    <t>Exit Month</t>
  </si>
  <si>
    <t>Cap Rate (Exit)</t>
  </si>
  <si>
    <t>Fwd EGI at Exit</t>
  </si>
  <si>
    <t>Fwd NOI at Exit</t>
  </si>
  <si>
    <t>Adj NOI at Exit</t>
  </si>
  <si>
    <t>Value at Exit</t>
  </si>
  <si>
    <t>GSF</t>
  </si>
  <si>
    <t xml:space="preserve"> Max LTV</t>
  </si>
  <si>
    <t>LSF</t>
  </si>
  <si>
    <t xml:space="preserve"> LTV Loan Amount</t>
  </si>
  <si>
    <t>RSF</t>
  </si>
  <si>
    <t>Appreciation to Cost</t>
  </si>
  <si>
    <t>Sale Costs</t>
  </si>
  <si>
    <t>Sales Proceeds</t>
  </si>
  <si>
    <t>Rent Roll</t>
  </si>
  <si>
    <t>Rent Roll - Residential</t>
  </si>
  <si>
    <t>Unit Type</t>
  </si>
  <si>
    <t>Beds</t>
  </si>
  <si>
    <t>Units</t>
  </si>
  <si>
    <t>Utility Allowance</t>
  </si>
  <si>
    <t>Natural Rent</t>
  </si>
  <si>
    <t>Nat. Income</t>
  </si>
  <si>
    <t>Voucher Pmt</t>
  </si>
  <si>
    <t>% Subsid.</t>
  </si>
  <si>
    <t>Adj. Rents</t>
  </si>
  <si>
    <t>Adj. Income</t>
  </si>
  <si>
    <t>Growth</t>
  </si>
  <si>
    <t>Stab. Vac.</t>
  </si>
  <si>
    <t>Avg SF</t>
  </si>
  <si>
    <t>PSF Rent</t>
  </si>
  <si>
    <t>OS/Unit</t>
  </si>
  <si>
    <t>Tot. OS</t>
  </si>
  <si>
    <t>Manager 1BR</t>
  </si>
  <si>
    <t>Market Rate 0BR</t>
  </si>
  <si>
    <t>Market Rate 1BR</t>
  </si>
  <si>
    <t>Market Rate 2BR</t>
  </si>
  <si>
    <t>Market Rate 3BR</t>
  </si>
  <si>
    <t>HUD/TCAC 80% AMI 0BR</t>
  </si>
  <si>
    <t>HUD/TCAC 80% AMI 1BR</t>
  </si>
  <si>
    <t>HUD/TCAC 80% AMI 2BR</t>
  </si>
  <si>
    <t>HUD/TCAC 80% AMI 3BR</t>
  </si>
  <si>
    <t>HCD 110% AMI 0BR</t>
  </si>
  <si>
    <t>HCD 110% AMI 1BR</t>
  </si>
  <si>
    <t>HCD 110% AMI 2BR</t>
  </si>
  <si>
    <t>HCD 110% AMI 3BR</t>
  </si>
  <si>
    <t>Summary/Blended</t>
  </si>
  <si>
    <t>Rent Roll - Commercial (Modified Gross)</t>
  </si>
  <si>
    <t>Untrended</t>
  </si>
  <si>
    <t>Market</t>
  </si>
  <si>
    <t>Restricted</t>
  </si>
  <si>
    <t>SF</t>
  </si>
  <si>
    <t>$/SF/M</t>
  </si>
  <si>
    <t>$/SF/Y</t>
  </si>
  <si>
    <t>Vacancy</t>
  </si>
  <si>
    <t>Net Tot. (M)</t>
  </si>
  <si>
    <t>Unit Mix Summary</t>
  </si>
  <si>
    <t>%</t>
  </si>
  <si>
    <t>#</t>
  </si>
  <si>
    <t>PSF</t>
  </si>
  <si>
    <t>Base Rent</t>
  </si>
  <si>
    <t>Eff Rent</t>
  </si>
  <si>
    <t>Single</t>
  </si>
  <si>
    <t>1B</t>
  </si>
  <si>
    <t>Basis</t>
  </si>
  <si>
    <t>2B</t>
  </si>
  <si>
    <t>Parking Income</t>
  </si>
  <si>
    <t>Spaces</t>
  </si>
  <si>
    <t>3B</t>
  </si>
  <si>
    <t>Electric Reimbursement</t>
  </si>
  <si>
    <t>Water/Sewer Reimbursement</t>
  </si>
  <si>
    <t>Gas Reimbursement</t>
  </si>
  <si>
    <t>Trended(Stabilization)</t>
  </si>
  <si>
    <t>Trash Reimbursement</t>
  </si>
  <si>
    <t>Storage</t>
  </si>
  <si>
    <t>Sto. Units</t>
  </si>
  <si>
    <t>Pet Rent</t>
  </si>
  <si>
    <t>% of Units</t>
  </si>
  <si>
    <t>Laundry</t>
  </si>
  <si>
    <t>ICMS Subsidy</t>
  </si>
  <si>
    <t>ICMS Exp.</t>
  </si>
  <si>
    <t>Total Other Income</t>
  </si>
  <si>
    <t>Payroll Expense</t>
  </si>
  <si>
    <t>Quantity</t>
  </si>
  <si>
    <t>Hourly</t>
  </si>
  <si>
    <t>Bonus</t>
  </si>
  <si>
    <t>Load</t>
  </si>
  <si>
    <t>Full-Time Manager</t>
  </si>
  <si>
    <t>Assistant Manager</t>
  </si>
  <si>
    <t>Maintenance Tech</t>
  </si>
  <si>
    <t>Full-Time Leasing</t>
  </si>
  <si>
    <t>2828 STANFORD AVE, LOS ANGELES CA, 90011-2018</t>
  </si>
  <si>
    <t>Monthly Cash Flow</t>
  </si>
  <si>
    <t>Totals</t>
  </si>
  <si>
    <t>Calendar Year</t>
  </si>
  <si>
    <t>Rent Growth Factor</t>
  </si>
  <si>
    <t>Expense Growth Factor</t>
  </si>
  <si>
    <t>Chunk Rent</t>
  </si>
  <si>
    <t>Structural Occupancy</t>
  </si>
  <si>
    <t>Commercial Rent</t>
  </si>
  <si>
    <t>Residential Rent</t>
  </si>
  <si>
    <t>Residential Vacancy/Credit Loss</t>
  </si>
  <si>
    <t>Total Vacancy/Credit Loss</t>
  </si>
  <si>
    <t>Covenanted Exit</t>
  </si>
  <si>
    <t>Commercial Vacancy/Credit Loss</t>
  </si>
  <si>
    <t>Operating Expense</t>
  </si>
  <si>
    <t>Covenanted Net Operating Income</t>
  </si>
  <si>
    <t>Covenanted Operating Ratio</t>
  </si>
  <si>
    <t>Release of Operating Shortfall Reserve</t>
  </si>
  <si>
    <t>Total Unlevered Income</t>
  </si>
  <si>
    <t>% Hard Costs</t>
  </si>
  <si>
    <t>% Soft Costs - Preconstruction Period</t>
  </si>
  <si>
    <t>% Soft Costs - Construction Period</t>
  </si>
  <si>
    <t>Land/Acquisition Costs</t>
  </si>
  <si>
    <t>Modular Factory Costs</t>
  </si>
  <si>
    <t>Modular Logistics Costs</t>
  </si>
  <si>
    <t>Due Diligence Costs</t>
  </si>
  <si>
    <t>Soft Costs - Preconstruction Period</t>
  </si>
  <si>
    <t>Soft Costs - Construction Period</t>
  </si>
  <si>
    <t>Total Unlevered Costs</t>
  </si>
  <si>
    <t>Cumulative Unlevered Costs</t>
  </si>
  <si>
    <t>Unlevered Project Cash Flow</t>
  </si>
  <si>
    <t>Unlevered IIR</t>
  </si>
  <si>
    <t>LEVERED PRO FORMA</t>
  </si>
  <si>
    <t>Interest</t>
  </si>
  <si>
    <t>Loan Closing Costs</t>
  </si>
  <si>
    <t>Total Levered Costs</t>
  </si>
  <si>
    <t>Equity Contributions</t>
  </si>
  <si>
    <t>Cumulative Equity Contributions</t>
  </si>
  <si>
    <t>Max Equity Committed</t>
  </si>
  <si>
    <t>Bridge Financing Rate</t>
  </si>
  <si>
    <t>Beginning Balance</t>
  </si>
  <si>
    <t>Loan Draw - Acquisition Loan</t>
  </si>
  <si>
    <t>Financing Closing Cost - Acquisition Loan</t>
  </si>
  <si>
    <t>Loan Draw - Construction Loan</t>
  </si>
  <si>
    <t>Financing Closing Cost - Construction Loan</t>
  </si>
  <si>
    <t>Interest Reserve</t>
  </si>
  <si>
    <t>Paydown</t>
  </si>
  <si>
    <t>Ending Balance</t>
  </si>
  <si>
    <t>Permanent Loan Proceeds</t>
  </si>
  <si>
    <t>Loan Amortization</t>
  </si>
  <si>
    <t>Levered Project Cash Flow</t>
  </si>
  <si>
    <t>Gross Unlevered IRR</t>
  </si>
  <si>
    <t>Gross Levered IRR</t>
  </si>
  <si>
    <t>2828 STANFORD AVE</t>
  </si>
  <si>
    <t>Los Angeles</t>
  </si>
  <si>
    <t>California</t>
  </si>
  <si>
    <t>90011-2018</t>
  </si>
  <si>
    <t>R3-1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</si>
</sst>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\$* #,##0;\$* #,##0;\$* \-"/>
    <numFmt numFmtId="165" formatCode="0.0%"/>
    <numFmt numFmtId="166" formatCode="_(* #,##0_);_(* \(#,##0\);_(* \-??_);_(@_)"/>
    <numFmt numFmtId="167" formatCode="0.0"/>
    <numFmt numFmtId="168" formatCode="\$* #,##0;\$* #,##0;\$* \-;\-"/>
    <numFmt numFmtId="169" formatCode="mmm\-yyyy"/>
    <numFmt numFmtId="170" formatCode="0;0"/>
    <numFmt numFmtId="171" formatCode="\$#,##0_);[Red]&quot;($&quot;#,##0\)"/>
    <numFmt numFmtId="172" formatCode="&quot;$ &quot;#,##0;&quot;$ &quot;#,##0;\$* \-;\-"/>
    <numFmt numFmtId="173" formatCode="0.00\x"/>
    <numFmt numFmtId="174" formatCode="&quot;&quot;"/>
    <numFmt numFmtId="175" formatCode="0&quot; Months&quot;"/>
    <numFmt numFmtId="176" formatCode="\$#,##0"/>
    <numFmt numFmtId="177" formatCode="_([$$-409]* #,##0_);_([$$-409]* \(#,##0\);_([$$-409]* \-??_);_(@_)"/>
    <numFmt numFmtId="178" formatCode="\-"/>
    <numFmt numFmtId="179" formatCode="\$#,##0&quot;/ut&quot;;;&quot;$0/ut&quot;"/>
    <numFmt numFmtId="180" formatCode="\$* #,##0;\$* #,##0;\$* \-;* &quot;$0&quot;"/>
    <numFmt numFmtId="181" formatCode="\$* #,##0.00;\$* #,##0.00;\$* \-;\-"/>
    <numFmt numFmtId="182" formatCode="0.000"/>
    <numFmt numFmtId="183" formatCode="0.0%;\-0.0%;0.0%"/>
    <numFmt numFmtId="184" formatCode="_(\$* #,##0.00_);_(\$* \(#,##0.00\);_(\$* \-??_);_(@_)"/>
    <numFmt numFmtId="185" formatCode="0.00%;\-0.00%;0.00%"/>
  </numFmts>
  <fonts count="30" x14ac:knownFonts="1">
    <font>
      <sz val="11"/>
      <color theme="1"/>
      <name val="Calibri"/>
      <family val="2"/>
      <charset val="1"/>
    </font>
    <font>
      <b/>
      <sz val="12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color rgb="FF00B0F0"/>
      <name val="Calibri"/>
      <charset val="1"/>
    </font>
    <font>
      <sz val="11"/>
      <color rgb="FF0000FF"/>
      <name val="Calibri"/>
      <charset val="1"/>
    </font>
    <font>
      <sz val="11"/>
      <color rgb="FF00B0F0"/>
      <name val="Calibri"/>
      <charset val="1"/>
    </font>
    <font>
      <b/>
      <sz val="11"/>
      <name val="Calibri"/>
      <charset val="1"/>
    </font>
    <font>
      <sz val="11"/>
      <color rgb="FF000000"/>
      <name val="Calibri"/>
      <charset val="1"/>
    </font>
    <font>
      <i/>
      <u/>
      <sz val="11"/>
      <name val="Calibri"/>
      <charset val="1"/>
    </font>
    <font>
      <b/>
      <sz val="11"/>
      <color rgb="FF0000FF"/>
      <name val="Calibri"/>
      <charset val="1"/>
    </font>
    <font>
      <b/>
      <sz val="11"/>
      <color rgb="FF000000"/>
      <name val="Calibri"/>
      <charset val="1"/>
    </font>
    <font>
      <sz val="11"/>
      <color rgb="FF7830A0"/>
      <name val="Calibri"/>
      <charset val="1"/>
    </font>
    <font>
      <b/>
      <sz val="11"/>
      <color rgb="FF7830A0"/>
      <name val="Calibri"/>
      <charset val="1"/>
    </font>
    <font>
      <sz val="11"/>
      <color rgb="FFC00000"/>
      <name val="Calibri"/>
      <charset val="1"/>
    </font>
    <font>
      <b/>
      <sz val="11"/>
      <color rgb="FFC00000"/>
      <name val="Calibri"/>
      <charset val="1"/>
    </font>
    <font>
      <sz val="11"/>
      <color rgb="FF007E3F"/>
      <name val="Calibri"/>
      <charset val="1"/>
    </font>
    <font>
      <sz val="11"/>
      <color rgb="FF0000E1"/>
      <name val="Calibri"/>
      <charset val="1"/>
    </font>
    <font>
      <b/>
      <sz val="16"/>
      <color rgb="FFFFFFFF"/>
      <name val="Calibri"/>
      <charset val="1"/>
    </font>
    <font>
      <sz val="11"/>
      <color rgb="FF0023FF"/>
      <name val="Calibri"/>
      <charset val="1"/>
    </font>
    <font>
      <sz val="11"/>
      <name val="Cambria"/>
      <charset val="1"/>
    </font>
    <font>
      <b/>
      <sz val="11"/>
      <color rgb="FF0000E1"/>
      <name val="Calibri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i/>
      <sz val="11"/>
      <name val="Calibri"/>
      <charset val="1"/>
    </font>
    <font>
      <b/>
      <i/>
      <sz val="11"/>
      <color rgb="FF0000E1"/>
      <name val="Calibri"/>
      <charset val="1"/>
    </font>
    <font>
      <b/>
      <i/>
      <sz val="11"/>
      <color rgb="FF000000"/>
      <name val="Calibri"/>
      <charset val="1"/>
    </font>
    <font>
      <sz val="11"/>
      <color rgb="FF000000"/>
      <name val="Yu Gothic UI"/>
      <charset val="1"/>
    </font>
    <font>
      <sz val="11"/>
      <color rgb="FF000000"/>
      <name val="Calibri Italic"/>
      <charset val="1"/>
    </font>
    <font>
      <sz val="11"/>
      <color theme="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015258"/>
        <bgColor rgb="FF007E3F"/>
      </patternFill>
    </fill>
    <fill>
      <patternFill patternType="solid">
        <fgColor rgb="FFFFFFFF"/>
        <bgColor rgb="FFEDF7F9"/>
      </patternFill>
    </fill>
    <fill>
      <patternFill patternType="solid">
        <fgColor rgb="FFF2F2F2"/>
        <bgColor rgb="FFF1F6E8"/>
      </patternFill>
    </fill>
    <fill>
      <patternFill patternType="solid">
        <fgColor rgb="FFEDF7F9"/>
        <bgColor rgb="FFF2F2F2"/>
      </patternFill>
    </fill>
    <fill>
      <patternFill patternType="solid">
        <fgColor rgb="FFD9D9D9"/>
        <bgColor rgb="FFD3D3D3"/>
      </patternFill>
    </fill>
    <fill>
      <patternFill patternType="solid">
        <fgColor rgb="FFEBF1DE"/>
        <bgColor rgb="FFF1F6E8"/>
      </patternFill>
    </fill>
    <fill>
      <patternFill patternType="solid">
        <fgColor rgb="FFDCE6F1"/>
        <bgColor rgb="FFDCE6F2"/>
      </patternFill>
    </fill>
    <fill>
      <patternFill patternType="solid">
        <fgColor theme="4" tint="0.79989013336588644"/>
        <bgColor rgb="FFDCE6F1"/>
      </patternFill>
    </fill>
    <fill>
      <patternFill patternType="solid">
        <fgColor rgb="FFFFFF00"/>
        <bgColor rgb="FFFFC000"/>
      </patternFill>
    </fill>
    <fill>
      <patternFill patternType="solid">
        <fgColor rgb="FFE1F0FF"/>
        <bgColor rgb="FFEDF7F9"/>
      </patternFill>
    </fill>
    <fill>
      <patternFill patternType="solid">
        <fgColor rgb="FFFFC7CE"/>
        <bgColor rgb="FFFFE0D2"/>
      </patternFill>
    </fill>
    <fill>
      <patternFill patternType="solid">
        <fgColor rgb="FFCCC0DA"/>
        <bgColor rgb="FFD3D3D3"/>
      </patternFill>
    </fill>
    <fill>
      <patternFill patternType="solid">
        <fgColor rgb="FFFFE0D2"/>
        <bgColor rgb="FFE6E0EC"/>
      </patternFill>
    </fill>
    <fill>
      <patternFill patternType="solid">
        <fgColor rgb="FFF1F6E8"/>
        <bgColor rgb="FFF2F2F2"/>
      </patternFill>
    </fill>
    <fill>
      <patternFill patternType="solid">
        <fgColor rgb="FFD3D3D3"/>
        <bgColor rgb="FFD9D9D9"/>
      </patternFill>
    </fill>
    <fill>
      <patternFill patternType="solid">
        <fgColor rgb="FFFFFFCC"/>
        <bgColor rgb="FFF1F6E8"/>
      </patternFill>
    </fill>
    <fill>
      <patternFill patternType="solid">
        <fgColor rgb="FF87CEFA"/>
        <bgColor rgb="FFCCC0DA"/>
      </patternFill>
    </fill>
    <fill>
      <patternFill patternType="solid">
        <fgColor rgb="FF98FB98"/>
        <bgColor rgb="FF87CEFA"/>
      </patternFill>
    </fill>
    <fill>
      <patternFill patternType="solid">
        <fgColor rgb="FF33FF99"/>
        <bgColor rgb="FF00FFFF"/>
      </patternFill>
    </fill>
    <fill>
      <patternFill patternType="solid">
        <fgColor theme="0" tint="-4.9989318521683403E-2"/>
        <bgColor rgb="FFEDF7F9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9" fontId="29" fillId="0" borderId="0"/>
  </cellStyleXfs>
  <cellXfs count="488">
    <xf numFmtId="0" fontId="0" fillId="0" borderId="0" xfId="0"/>
    <xf numFmtId="0" fontId="2" fillId="2" borderId="18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170" fontId="7" fillId="6" borderId="23" xfId="0" applyNumberFormat="1" applyFont="1" applyFill="1" applyBorder="1" applyAlignment="1">
      <alignment horizontal="left"/>
    </xf>
    <xf numFmtId="170" fontId="3" fillId="6" borderId="21" xfId="0" applyNumberFormat="1" applyFont="1" applyFill="1" applyBorder="1" applyAlignment="1">
      <alignment horizontal="left"/>
    </xf>
    <xf numFmtId="0" fontId="2" fillId="2" borderId="11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 readingOrder="1"/>
    </xf>
    <xf numFmtId="0" fontId="4" fillId="3" borderId="10" xfId="0" applyFont="1" applyFill="1" applyBorder="1" applyAlignment="1">
      <alignment horizontal="right" readingOrder="1"/>
    </xf>
    <xf numFmtId="0" fontId="3" fillId="3" borderId="9" xfId="0" applyFont="1" applyFill="1" applyBorder="1" applyAlignment="1">
      <alignment horizontal="left"/>
    </xf>
    <xf numFmtId="164" fontId="3" fillId="3" borderId="0" xfId="0" applyNumberFormat="1" applyFont="1" applyFill="1" applyAlignment="1">
      <alignment horizontal="right"/>
    </xf>
    <xf numFmtId="164" fontId="3" fillId="3" borderId="10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165" fontId="5" fillId="3" borderId="10" xfId="0" applyNumberFormat="1" applyFont="1" applyFill="1" applyBorder="1" applyAlignment="1">
      <alignment horizontal="right"/>
    </xf>
    <xf numFmtId="1" fontId="6" fillId="3" borderId="10" xfId="0" applyNumberFormat="1" applyFont="1" applyFill="1" applyBorder="1" applyAlignment="1">
      <alignment horizontal="right" readingOrder="1"/>
    </xf>
    <xf numFmtId="0" fontId="3" fillId="4" borderId="9" xfId="0" applyFont="1" applyFill="1" applyBorder="1" applyAlignment="1">
      <alignment horizontal="left" readingOrder="1"/>
    </xf>
    <xf numFmtId="0" fontId="4" fillId="4" borderId="10" xfId="0" applyFont="1" applyFill="1" applyBorder="1" applyAlignment="1">
      <alignment horizontal="right" readingOrder="1"/>
    </xf>
    <xf numFmtId="0" fontId="3" fillId="4" borderId="9" xfId="0" applyFont="1" applyFill="1" applyBorder="1" applyAlignment="1">
      <alignment horizontal="left"/>
    </xf>
    <xf numFmtId="164" fontId="3" fillId="4" borderId="0" xfId="0" applyNumberFormat="1" applyFont="1" applyFill="1" applyAlignment="1">
      <alignment horizontal="right"/>
    </xf>
    <xf numFmtId="164" fontId="3" fillId="4" borderId="10" xfId="0" applyNumberFormat="1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165" fontId="5" fillId="4" borderId="10" xfId="0" applyNumberFormat="1" applyFont="1" applyFill="1" applyBorder="1" applyAlignment="1">
      <alignment horizontal="right"/>
    </xf>
    <xf numFmtId="166" fontId="6" fillId="4" borderId="10" xfId="0" applyNumberFormat="1" applyFont="1" applyFill="1" applyBorder="1" applyAlignment="1">
      <alignment horizontal="right" readingOrder="1"/>
    </xf>
    <xf numFmtId="165" fontId="3" fillId="3" borderId="10" xfId="0" applyNumberFormat="1" applyFont="1" applyFill="1" applyBorder="1" applyAlignment="1">
      <alignment horizontal="right"/>
    </xf>
    <xf numFmtId="0" fontId="3" fillId="4" borderId="11" xfId="0" applyFont="1" applyFill="1" applyBorder="1" applyAlignment="1">
      <alignment horizontal="left" readingOrder="1"/>
    </xf>
    <xf numFmtId="0" fontId="4" fillId="4" borderId="12" xfId="0" applyFont="1" applyFill="1" applyBorder="1" applyAlignment="1">
      <alignment horizontal="right" readingOrder="1"/>
    </xf>
    <xf numFmtId="1" fontId="6" fillId="4" borderId="10" xfId="0" applyNumberFormat="1" applyFont="1" applyFill="1" applyBorder="1" applyAlignment="1">
      <alignment horizontal="right" readingOrder="1"/>
    </xf>
    <xf numFmtId="1" fontId="5" fillId="3" borderId="10" xfId="0" applyNumberFormat="1" applyFont="1" applyFill="1" applyBorder="1" applyAlignment="1">
      <alignment horizontal="right"/>
    </xf>
    <xf numFmtId="0" fontId="7" fillId="3" borderId="9" xfId="0" applyFont="1" applyFill="1" applyBorder="1" applyAlignment="1">
      <alignment horizontal="left" readingOrder="1"/>
    </xf>
    <xf numFmtId="1" fontId="7" fillId="3" borderId="10" xfId="0" applyNumberFormat="1" applyFont="1" applyFill="1" applyBorder="1" applyAlignment="1">
      <alignment horizontal="right" readingOrder="1"/>
    </xf>
    <xf numFmtId="0" fontId="3" fillId="4" borderId="11" xfId="0" applyFont="1" applyFill="1" applyBorder="1" applyAlignment="1">
      <alignment horizontal="left"/>
    </xf>
    <xf numFmtId="164" fontId="3" fillId="4" borderId="13" xfId="0" applyNumberFormat="1" applyFont="1" applyFill="1" applyBorder="1" applyAlignment="1">
      <alignment horizontal="right"/>
    </xf>
    <xf numFmtId="164" fontId="3" fillId="4" borderId="12" xfId="0" applyNumberFormat="1" applyFont="1" applyFill="1" applyBorder="1" applyAlignment="1">
      <alignment horizontal="right"/>
    </xf>
    <xf numFmtId="0" fontId="3" fillId="4" borderId="13" xfId="0" applyFont="1" applyFill="1" applyBorder="1" applyAlignment="1">
      <alignment horizontal="right"/>
    </xf>
    <xf numFmtId="165" fontId="5" fillId="4" borderId="12" xfId="0" applyNumberFormat="1" applyFont="1" applyFill="1" applyBorder="1" applyAlignment="1">
      <alignment horizontal="right"/>
    </xf>
    <xf numFmtId="0" fontId="8" fillId="0" borderId="9" xfId="0" applyFont="1" applyBorder="1" applyAlignment="1">
      <alignment horizontal="left"/>
    </xf>
    <xf numFmtId="167" fontId="6" fillId="0" borderId="10" xfId="0" applyNumberFormat="1" applyFont="1" applyBorder="1" applyAlignment="1">
      <alignment horizontal="right"/>
    </xf>
    <xf numFmtId="0" fontId="8" fillId="0" borderId="4" xfId="0" applyFont="1" applyBorder="1"/>
    <xf numFmtId="166" fontId="6" fillId="0" borderId="10" xfId="0" applyNumberFormat="1" applyFont="1" applyBorder="1" applyAlignment="1">
      <alignment horizontal="right"/>
    </xf>
    <xf numFmtId="1" fontId="0" fillId="3" borderId="9" xfId="0" applyNumberFormat="1" applyFill="1" applyBorder="1" applyAlignment="1">
      <alignment horizontal="left"/>
    </xf>
    <xf numFmtId="1" fontId="0" fillId="3" borderId="0" xfId="0" applyNumberFormat="1" applyFill="1" applyAlignment="1">
      <alignment horizontal="right"/>
    </xf>
    <xf numFmtId="1" fontId="0" fillId="3" borderId="10" xfId="0" applyNumberFormat="1" applyFill="1" applyBorder="1" applyAlignment="1">
      <alignment horizontal="right"/>
    </xf>
    <xf numFmtId="0" fontId="9" fillId="3" borderId="9" xfId="0" applyFont="1" applyFill="1" applyBorder="1" applyAlignment="1">
      <alignment horizontal="left"/>
    </xf>
    <xf numFmtId="165" fontId="9" fillId="3" borderId="0" xfId="0" applyNumberFormat="1" applyFont="1" applyFill="1" applyAlignment="1">
      <alignment horizontal="right"/>
    </xf>
    <xf numFmtId="168" fontId="9" fillId="3" borderId="10" xfId="0" applyNumberFormat="1" applyFont="1" applyFill="1" applyBorder="1" applyAlignment="1">
      <alignment horizontal="right"/>
    </xf>
    <xf numFmtId="1" fontId="0" fillId="4" borderId="9" xfId="0" applyNumberFormat="1" applyFill="1" applyBorder="1" applyAlignment="1">
      <alignment horizontal="left"/>
    </xf>
    <xf numFmtId="1" fontId="0" fillId="4" borderId="0" xfId="0" applyNumberFormat="1" applyFill="1" applyAlignment="1">
      <alignment horizontal="right"/>
    </xf>
    <xf numFmtId="1" fontId="0" fillId="4" borderId="10" xfId="0" applyNumberFormat="1" applyFill="1" applyBorder="1" applyAlignment="1">
      <alignment horizontal="right"/>
    </xf>
    <xf numFmtId="0" fontId="7" fillId="4" borderId="9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8" fontId="3" fillId="4" borderId="10" xfId="0" applyNumberFormat="1" applyFont="1" applyFill="1" applyBorder="1" applyAlignment="1">
      <alignment horizontal="right"/>
    </xf>
    <xf numFmtId="1" fontId="0" fillId="3" borderId="11" xfId="0" applyNumberFormat="1" applyFill="1" applyBorder="1" applyAlignment="1">
      <alignment horizontal="left"/>
    </xf>
    <xf numFmtId="1" fontId="0" fillId="3" borderId="13" xfId="0" applyNumberFormat="1" applyFill="1" applyBorder="1" applyAlignment="1">
      <alignment horizontal="right"/>
    </xf>
    <xf numFmtId="1" fontId="0" fillId="3" borderId="12" xfId="0" applyNumberFormat="1" applyFill="1" applyBorder="1" applyAlignment="1">
      <alignment horizontal="right"/>
    </xf>
    <xf numFmtId="0" fontId="7" fillId="3" borderId="9" xfId="0" applyFont="1" applyFill="1" applyBorder="1" applyAlignment="1">
      <alignment horizontal="left"/>
    </xf>
    <xf numFmtId="165" fontId="3" fillId="3" borderId="0" xfId="0" applyNumberFormat="1" applyFont="1" applyFill="1" applyAlignment="1">
      <alignment horizontal="right"/>
    </xf>
    <xf numFmtId="168" fontId="3" fillId="3" borderId="10" xfId="0" applyNumberFormat="1" applyFont="1" applyFill="1" applyBorder="1" applyAlignment="1">
      <alignment horizontal="right"/>
    </xf>
    <xf numFmtId="0" fontId="8" fillId="0" borderId="11" xfId="0" applyFont="1" applyBorder="1" applyAlignment="1">
      <alignment horizontal="left"/>
    </xf>
    <xf numFmtId="166" fontId="6" fillId="0" borderId="12" xfId="0" applyNumberFormat="1" applyFont="1" applyBorder="1" applyAlignment="1">
      <alignment horizontal="right"/>
    </xf>
    <xf numFmtId="165" fontId="7" fillId="4" borderId="0" xfId="0" applyNumberFormat="1" applyFont="1" applyFill="1" applyAlignment="1">
      <alignment horizontal="right"/>
    </xf>
    <xf numFmtId="168" fontId="7" fillId="4" borderId="10" xfId="0" applyNumberFormat="1" applyFont="1" applyFill="1" applyBorder="1" applyAlignment="1">
      <alignment horizontal="right"/>
    </xf>
    <xf numFmtId="0" fontId="0" fillId="3" borderId="7" xfId="0" applyFill="1" applyBorder="1" applyAlignment="1">
      <alignment horizontal="left"/>
    </xf>
    <xf numFmtId="0" fontId="6" fillId="3" borderId="8" xfId="0" applyFont="1" applyFill="1" applyBorder="1" applyAlignment="1">
      <alignment horizontal="center"/>
    </xf>
    <xf numFmtId="169" fontId="5" fillId="3" borderId="8" xfId="0" applyNumberFormat="1" applyFon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6" fillId="4" borderId="8" xfId="0" applyFont="1" applyFill="1" applyBorder="1" applyAlignment="1">
      <alignment horizontal="center"/>
    </xf>
    <xf numFmtId="169" fontId="0" fillId="4" borderId="8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2" fontId="0" fillId="4" borderId="14" xfId="0" applyNumberFormat="1" applyFill="1" applyBorder="1" applyAlignment="1">
      <alignment horizontal="center"/>
    </xf>
    <xf numFmtId="0" fontId="7" fillId="4" borderId="11" xfId="0" applyFont="1" applyFill="1" applyBorder="1" applyAlignment="1">
      <alignment horizontal="left" readingOrder="1"/>
    </xf>
    <xf numFmtId="1" fontId="7" fillId="4" borderId="12" xfId="0" applyNumberFormat="1" applyFont="1" applyFill="1" applyBorder="1" applyAlignment="1">
      <alignment horizontal="right" readingOrder="1"/>
    </xf>
    <xf numFmtId="0" fontId="0" fillId="3" borderId="8" xfId="0" applyFill="1" applyBorder="1" applyAlignment="1">
      <alignment horizontal="center"/>
    </xf>
    <xf numFmtId="169" fontId="0" fillId="3" borderId="8" xfId="0" applyNumberFormat="1" applyFill="1" applyBorder="1" applyAlignment="1">
      <alignment horizontal="center"/>
    </xf>
    <xf numFmtId="165" fontId="7" fillId="3" borderId="0" xfId="0" applyNumberFormat="1" applyFont="1" applyFill="1" applyAlignment="1">
      <alignment horizontal="right"/>
    </xf>
    <xf numFmtId="168" fontId="7" fillId="3" borderId="10" xfId="0" applyNumberFormat="1" applyFont="1" applyFill="1" applyBorder="1" applyAlignment="1">
      <alignment horizontal="right"/>
    </xf>
    <xf numFmtId="0" fontId="8" fillId="4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left"/>
    </xf>
    <xf numFmtId="165" fontId="9" fillId="4" borderId="0" xfId="0" applyNumberFormat="1" applyFont="1" applyFill="1" applyAlignment="1">
      <alignment horizontal="right"/>
    </xf>
    <xf numFmtId="168" fontId="9" fillId="4" borderId="10" xfId="0" applyNumberFormat="1" applyFont="1" applyFill="1" applyBorder="1" applyAlignment="1">
      <alignment horizontal="right"/>
    </xf>
    <xf numFmtId="0" fontId="8" fillId="3" borderId="8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left"/>
    </xf>
    <xf numFmtId="165" fontId="3" fillId="4" borderId="13" xfId="0" applyNumberFormat="1" applyFont="1" applyFill="1" applyBorder="1" applyAlignment="1">
      <alignment horizontal="right"/>
    </xf>
    <xf numFmtId="168" fontId="3" fillId="4" borderId="12" xfId="0" applyNumberFormat="1" applyFont="1" applyFill="1" applyBorder="1" applyAlignment="1">
      <alignment horizontal="right"/>
    </xf>
    <xf numFmtId="1" fontId="5" fillId="3" borderId="8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10" fillId="0" borderId="0" xfId="0" applyFont="1" applyAlignment="1">
      <alignment horizontal="center"/>
    </xf>
    <xf numFmtId="169" fontId="3" fillId="0" borderId="10" xfId="0" applyNumberFormat="1" applyFont="1" applyBorder="1" applyAlignment="1">
      <alignment horizontal="right"/>
    </xf>
    <xf numFmtId="0" fontId="5" fillId="3" borderId="8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169" fontId="3" fillId="0" borderId="12" xfId="0" applyNumberFormat="1" applyFont="1" applyBorder="1" applyAlignment="1">
      <alignment horizontal="right"/>
    </xf>
    <xf numFmtId="1" fontId="0" fillId="3" borderId="8" xfId="0" applyNumberFormat="1" applyFill="1" applyBorder="1" applyAlignment="1">
      <alignment horizontal="center"/>
    </xf>
    <xf numFmtId="0" fontId="10" fillId="4" borderId="10" xfId="0" applyFont="1" applyFill="1" applyBorder="1" applyAlignment="1">
      <alignment horizontal="right" readingOrder="1"/>
    </xf>
    <xf numFmtId="0" fontId="3" fillId="3" borderId="11" xfId="0" applyFont="1" applyFill="1" applyBorder="1" applyAlignment="1">
      <alignment horizontal="left" readingOrder="1"/>
    </xf>
    <xf numFmtId="0" fontId="11" fillId="3" borderId="12" xfId="0" applyFont="1" applyFill="1" applyBorder="1" applyAlignment="1">
      <alignment horizontal="right" readingOrder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7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2" borderId="0" xfId="0" applyFont="1" applyFill="1" applyAlignment="1">
      <alignment horizontal="left"/>
    </xf>
    <xf numFmtId="0" fontId="0" fillId="2" borderId="0" xfId="0" applyFill="1"/>
    <xf numFmtId="0" fontId="2" fillId="2" borderId="14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1" fontId="8" fillId="6" borderId="10" xfId="0" applyNumberFormat="1" applyFont="1" applyFill="1" applyBorder="1" applyAlignment="1">
      <alignment horizontal="right"/>
    </xf>
    <xf numFmtId="1" fontId="11" fillId="7" borderId="10" xfId="0" applyNumberFormat="1" applyFont="1" applyFill="1" applyBorder="1" applyAlignment="1">
      <alignment horizontal="center"/>
    </xf>
    <xf numFmtId="170" fontId="3" fillId="6" borderId="21" xfId="0" applyNumberFormat="1" applyFont="1" applyFill="1" applyBorder="1" applyAlignment="1">
      <alignment horizontal="right"/>
    </xf>
    <xf numFmtId="168" fontId="3" fillId="8" borderId="21" xfId="0" applyNumberFormat="1" applyFont="1" applyFill="1" applyBorder="1" applyAlignment="1">
      <alignment horizontal="center"/>
    </xf>
    <xf numFmtId="10" fontId="3" fillId="8" borderId="21" xfId="0" applyNumberFormat="1" applyFont="1" applyFill="1" applyBorder="1" applyAlignment="1">
      <alignment horizontal="center"/>
    </xf>
    <xf numFmtId="1" fontId="8" fillId="6" borderId="21" xfId="0" applyNumberFormat="1" applyFont="1" applyFill="1" applyBorder="1" applyAlignment="1">
      <alignment horizontal="right" vertical="center"/>
    </xf>
    <xf numFmtId="10" fontId="8" fillId="0" borderId="21" xfId="0" applyNumberFormat="1" applyFont="1" applyBorder="1" applyAlignment="1">
      <alignment horizontal="center" vertical="center"/>
    </xf>
    <xf numFmtId="165" fontId="8" fillId="0" borderId="21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165" fontId="11" fillId="7" borderId="10" xfId="0" applyNumberFormat="1" applyFont="1" applyFill="1" applyBorder="1" applyAlignment="1">
      <alignment horizontal="center"/>
    </xf>
    <xf numFmtId="171" fontId="14" fillId="8" borderId="0" xfId="0" applyNumberFormat="1" applyFont="1" applyFill="1" applyAlignment="1">
      <alignment horizontal="center"/>
    </xf>
    <xf numFmtId="171" fontId="3" fillId="8" borderId="0" xfId="0" applyNumberFormat="1" applyFont="1" applyFill="1" applyAlignment="1">
      <alignment horizontal="center"/>
    </xf>
    <xf numFmtId="171" fontId="3" fillId="8" borderId="10" xfId="0" applyNumberFormat="1" applyFont="1" applyFill="1" applyBorder="1" applyAlignment="1">
      <alignment horizontal="center"/>
    </xf>
    <xf numFmtId="1" fontId="8" fillId="6" borderId="22" xfId="0" applyNumberFormat="1" applyFont="1" applyFill="1" applyBorder="1" applyAlignment="1">
      <alignment horizontal="right" vertical="center"/>
    </xf>
    <xf numFmtId="10" fontId="8" fillId="0" borderId="22" xfId="0" applyNumberFormat="1" applyFont="1" applyBorder="1" applyAlignment="1">
      <alignment horizontal="center" vertical="center"/>
    </xf>
    <xf numFmtId="165" fontId="8" fillId="0" borderId="22" xfId="0" applyNumberFormat="1" applyFont="1" applyBorder="1" applyAlignment="1">
      <alignment horizontal="center" vertical="center"/>
    </xf>
    <xf numFmtId="171" fontId="14" fillId="8" borderId="10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72" fontId="11" fillId="7" borderId="10" xfId="0" applyNumberFormat="1" applyFont="1" applyFill="1" applyBorder="1" applyAlignment="1">
      <alignment horizontal="center"/>
    </xf>
    <xf numFmtId="170" fontId="8" fillId="6" borderId="21" xfId="0" applyNumberFormat="1" applyFont="1" applyFill="1" applyBorder="1" applyAlignment="1">
      <alignment horizontal="left"/>
    </xf>
    <xf numFmtId="168" fontId="8" fillId="8" borderId="21" xfId="0" applyNumberFormat="1" applyFont="1" applyFill="1" applyBorder="1" applyAlignment="1">
      <alignment horizontal="center"/>
    </xf>
    <xf numFmtId="170" fontId="11" fillId="6" borderId="18" xfId="0" applyNumberFormat="1" applyFont="1" applyFill="1" applyBorder="1" applyAlignment="1">
      <alignment horizontal="right"/>
    </xf>
    <xf numFmtId="168" fontId="11" fillId="8" borderId="18" xfId="0" applyNumberFormat="1" applyFont="1" applyFill="1" applyBorder="1" applyAlignment="1">
      <alignment horizontal="center"/>
    </xf>
    <xf numFmtId="10" fontId="11" fillId="8" borderId="18" xfId="0" applyNumberFormat="1" applyFont="1" applyFill="1" applyBorder="1" applyAlignment="1">
      <alignment horizontal="center"/>
    </xf>
    <xf numFmtId="10" fontId="8" fillId="8" borderId="21" xfId="0" applyNumberFormat="1" applyFont="1" applyFill="1" applyBorder="1" applyAlignment="1">
      <alignment horizontal="center"/>
    </xf>
    <xf numFmtId="10" fontId="19" fillId="8" borderId="21" xfId="0" applyNumberFormat="1" applyFont="1" applyFill="1" applyBorder="1" applyAlignment="1">
      <alignment horizontal="center"/>
    </xf>
    <xf numFmtId="170" fontId="8" fillId="6" borderId="22" xfId="0" applyNumberFormat="1" applyFont="1" applyFill="1" applyBorder="1" applyAlignment="1">
      <alignment horizontal="left"/>
    </xf>
    <xf numFmtId="170" fontId="8" fillId="8" borderId="22" xfId="0" applyNumberFormat="1" applyFont="1" applyFill="1" applyBorder="1" applyAlignment="1">
      <alignment horizontal="center"/>
    </xf>
    <xf numFmtId="173" fontId="8" fillId="8" borderId="22" xfId="0" applyNumberFormat="1" applyFont="1" applyFill="1" applyBorder="1" applyAlignment="1">
      <alignment horizontal="center"/>
    </xf>
    <xf numFmtId="1" fontId="8" fillId="6" borderId="12" xfId="0" applyNumberFormat="1" applyFont="1" applyFill="1" applyBorder="1" applyAlignment="1">
      <alignment horizontal="right"/>
    </xf>
    <xf numFmtId="1" fontId="11" fillId="7" borderId="12" xfId="0" applyNumberFormat="1" applyFont="1" applyFill="1" applyBorder="1" applyAlignment="1">
      <alignment horizontal="center"/>
    </xf>
    <xf numFmtId="171" fontId="15" fillId="8" borderId="24" xfId="0" applyNumberFormat="1" applyFont="1" applyFill="1" applyBorder="1" applyAlignment="1">
      <alignment horizontal="center"/>
    </xf>
    <xf numFmtId="171" fontId="7" fillId="8" borderId="24" xfId="0" applyNumberFormat="1" applyFont="1" applyFill="1" applyBorder="1" applyAlignment="1">
      <alignment horizontal="center"/>
    </xf>
    <xf numFmtId="171" fontId="7" fillId="8" borderId="25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left"/>
    </xf>
    <xf numFmtId="1" fontId="11" fillId="6" borderId="0" xfId="0" applyNumberFormat="1" applyFont="1" applyFill="1" applyAlignment="1">
      <alignment horizontal="center"/>
    </xf>
    <xf numFmtId="1" fontId="11" fillId="6" borderId="13" xfId="0" applyNumberFormat="1" applyFont="1" applyFill="1" applyBorder="1" applyAlignment="1">
      <alignment horizontal="center"/>
    </xf>
    <xf numFmtId="1" fontId="11" fillId="6" borderId="9" xfId="0" applyNumberFormat="1" applyFont="1" applyFill="1" applyBorder="1" applyAlignment="1">
      <alignment horizontal="center"/>
    </xf>
    <xf numFmtId="1" fontId="11" fillId="6" borderId="12" xfId="0" applyNumberFormat="1" applyFont="1" applyFill="1" applyBorder="1" applyAlignment="1">
      <alignment horizontal="center"/>
    </xf>
    <xf numFmtId="38" fontId="8" fillId="8" borderId="21" xfId="0" applyNumberFormat="1" applyFont="1" applyFill="1" applyBorder="1" applyAlignment="1">
      <alignment horizontal="center"/>
    </xf>
    <xf numFmtId="1" fontId="8" fillId="6" borderId="21" xfId="0" applyNumberFormat="1" applyFont="1" applyFill="1" applyBorder="1" applyAlignment="1">
      <alignment horizontal="center"/>
    </xf>
    <xf numFmtId="168" fontId="19" fillId="8" borderId="21" xfId="0" applyNumberFormat="1" applyFont="1" applyFill="1" applyBorder="1" applyAlignment="1">
      <alignment horizontal="center"/>
    </xf>
    <xf numFmtId="174" fontId="11" fillId="7" borderId="18" xfId="0" applyNumberFormat="1" applyFont="1" applyFill="1" applyBorder="1" applyAlignment="1">
      <alignment horizontal="center"/>
    </xf>
    <xf numFmtId="165" fontId="11" fillId="7" borderId="18" xfId="0" applyNumberFormat="1" applyFont="1" applyFill="1" applyBorder="1" applyAlignment="1">
      <alignment horizontal="center"/>
    </xf>
    <xf numFmtId="1" fontId="11" fillId="6" borderId="21" xfId="0" applyNumberFormat="1" applyFont="1" applyFill="1" applyBorder="1" applyAlignment="1">
      <alignment horizontal="center"/>
    </xf>
    <xf numFmtId="10" fontId="11" fillId="7" borderId="18" xfId="0" applyNumberFormat="1" applyFont="1" applyFill="1" applyBorder="1" applyAlignment="1">
      <alignment horizontal="center"/>
    </xf>
    <xf numFmtId="1" fontId="19" fillId="8" borderId="21" xfId="0" applyNumberFormat="1" applyFont="1" applyFill="1" applyBorder="1" applyAlignment="1">
      <alignment horizontal="center"/>
    </xf>
    <xf numFmtId="10" fontId="0" fillId="7" borderId="18" xfId="0" applyNumberFormat="1" applyFill="1" applyBorder="1" applyAlignment="1">
      <alignment horizontal="center"/>
    </xf>
    <xf numFmtId="175" fontId="11" fillId="7" borderId="18" xfId="0" applyNumberFormat="1" applyFont="1" applyFill="1" applyBorder="1" applyAlignment="1">
      <alignment horizontal="center"/>
    </xf>
    <xf numFmtId="10" fontId="8" fillId="7" borderId="18" xfId="0" applyNumberFormat="1" applyFont="1" applyFill="1" applyBorder="1" applyAlignment="1">
      <alignment horizontal="center"/>
    </xf>
    <xf numFmtId="38" fontId="14" fillId="8" borderId="21" xfId="0" applyNumberFormat="1" applyFont="1" applyFill="1" applyBorder="1" applyAlignment="1">
      <alignment horizontal="center"/>
    </xf>
    <xf numFmtId="1" fontId="8" fillId="6" borderId="22" xfId="0" applyNumberFormat="1" applyFont="1" applyFill="1" applyBorder="1" applyAlignment="1">
      <alignment horizontal="center"/>
    </xf>
    <xf numFmtId="165" fontId="19" fillId="9" borderId="22" xfId="0" applyNumberFormat="1" applyFont="1" applyFill="1" applyBorder="1" applyAlignment="1">
      <alignment horizontal="center"/>
    </xf>
    <xf numFmtId="1" fontId="11" fillId="6" borderId="22" xfId="0" applyNumberFormat="1" applyFont="1" applyFill="1" applyBorder="1" applyAlignment="1">
      <alignment horizontal="center"/>
    </xf>
    <xf numFmtId="170" fontId="8" fillId="8" borderId="21" xfId="0" applyNumberFormat="1" applyFont="1" applyFill="1" applyBorder="1" applyAlignment="1">
      <alignment horizontal="center"/>
    </xf>
    <xf numFmtId="170" fontId="3" fillId="6" borderId="22" xfId="0" applyNumberFormat="1" applyFont="1" applyFill="1" applyBorder="1" applyAlignment="1">
      <alignment horizontal="right"/>
    </xf>
    <xf numFmtId="38" fontId="8" fillId="8" borderId="22" xfId="0" applyNumberFormat="1" applyFont="1" applyFill="1" applyBorder="1" applyAlignment="1">
      <alignment horizontal="center"/>
    </xf>
    <xf numFmtId="176" fontId="8" fillId="8" borderId="22" xfId="0" applyNumberFormat="1" applyFont="1" applyFill="1" applyBorder="1" applyAlignment="1">
      <alignment horizontal="center"/>
    </xf>
    <xf numFmtId="168" fontId="11" fillId="7" borderId="18" xfId="0" applyNumberFormat="1" applyFont="1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0" xfId="0" applyFill="1"/>
    <xf numFmtId="178" fontId="7" fillId="3" borderId="19" xfId="0" applyNumberFormat="1" applyFont="1" applyFill="1" applyBorder="1" applyAlignment="1">
      <alignment horizontal="left"/>
    </xf>
    <xf numFmtId="178" fontId="7" fillId="3" borderId="20" xfId="0" applyNumberFormat="1" applyFont="1" applyFill="1" applyBorder="1" applyAlignment="1">
      <alignment horizontal="right"/>
    </xf>
    <xf numFmtId="178" fontId="7" fillId="3" borderId="26" xfId="0" applyNumberFormat="1" applyFont="1" applyFill="1" applyBorder="1" applyAlignment="1">
      <alignment horizontal="right"/>
    </xf>
    <xf numFmtId="178" fontId="3" fillId="4" borderId="9" xfId="0" applyNumberFormat="1" applyFont="1" applyFill="1" applyBorder="1" applyAlignment="1">
      <alignment horizontal="left"/>
    </xf>
    <xf numFmtId="178" fontId="3" fillId="4" borderId="0" xfId="0" applyNumberFormat="1" applyFont="1" applyFill="1" applyAlignment="1">
      <alignment horizontal="right"/>
    </xf>
    <xf numFmtId="168" fontId="17" fillId="4" borderId="0" xfId="0" applyNumberFormat="1" applyFont="1" applyFill="1" applyAlignment="1">
      <alignment horizontal="right"/>
    </xf>
    <xf numFmtId="168" fontId="3" fillId="4" borderId="0" xfId="0" applyNumberFormat="1" applyFont="1" applyFill="1" applyAlignment="1">
      <alignment horizontal="right"/>
    </xf>
    <xf numFmtId="165" fontId="3" fillId="4" borderId="10" xfId="0" applyNumberFormat="1" applyFont="1" applyFill="1" applyBorder="1" applyAlignment="1">
      <alignment horizontal="right"/>
    </xf>
    <xf numFmtId="178" fontId="3" fillId="3" borderId="9" xfId="0" applyNumberFormat="1" applyFont="1" applyFill="1" applyBorder="1" applyAlignment="1">
      <alignment horizontal="left"/>
    </xf>
    <xf numFmtId="178" fontId="3" fillId="3" borderId="0" xfId="0" applyNumberFormat="1" applyFont="1" applyFill="1" applyAlignment="1">
      <alignment horizontal="right"/>
    </xf>
    <xf numFmtId="168" fontId="3" fillId="3" borderId="0" xfId="0" applyNumberFormat="1" applyFont="1" applyFill="1" applyAlignment="1">
      <alignment horizontal="right"/>
    </xf>
    <xf numFmtId="168" fontId="7" fillId="3" borderId="20" xfId="0" applyNumberFormat="1" applyFont="1" applyFill="1" applyBorder="1" applyAlignment="1">
      <alignment horizontal="right"/>
    </xf>
    <xf numFmtId="165" fontId="7" fillId="3" borderId="26" xfId="0" applyNumberFormat="1" applyFont="1" applyFill="1" applyBorder="1" applyAlignment="1">
      <alignment horizontal="right"/>
    </xf>
    <xf numFmtId="178" fontId="3" fillId="4" borderId="10" xfId="0" applyNumberFormat="1" applyFont="1" applyFill="1" applyBorder="1" applyAlignment="1">
      <alignment horizontal="right"/>
    </xf>
    <xf numFmtId="178" fontId="14" fillId="4" borderId="0" xfId="0" applyNumberFormat="1" applyFont="1" applyFill="1" applyAlignment="1">
      <alignment horizontal="right"/>
    </xf>
    <xf numFmtId="168" fontId="17" fillId="3" borderId="0" xfId="0" applyNumberFormat="1" applyFont="1" applyFill="1" applyAlignment="1">
      <alignment horizontal="right"/>
    </xf>
    <xf numFmtId="178" fontId="17" fillId="3" borderId="0" xfId="0" applyNumberFormat="1" applyFont="1" applyFill="1" applyAlignment="1">
      <alignment horizontal="right"/>
    </xf>
    <xf numFmtId="178" fontId="17" fillId="4" borderId="0" xfId="0" applyNumberFormat="1" applyFont="1" applyFill="1" applyAlignment="1">
      <alignment horizontal="right"/>
    </xf>
    <xf numFmtId="165" fontId="17" fillId="3" borderId="0" xfId="0" applyNumberFormat="1" applyFont="1" applyFill="1" applyAlignment="1">
      <alignment horizontal="right"/>
    </xf>
    <xf numFmtId="1" fontId="3" fillId="4" borderId="0" xfId="0" applyNumberFormat="1" applyFont="1" applyFill="1" applyAlignment="1">
      <alignment horizontal="right"/>
    </xf>
    <xf numFmtId="1" fontId="7" fillId="3" borderId="20" xfId="0" applyNumberFormat="1" applyFont="1" applyFill="1" applyBorder="1" applyAlignment="1">
      <alignment horizontal="right"/>
    </xf>
    <xf numFmtId="178" fontId="21" fillId="3" borderId="20" xfId="0" applyNumberFormat="1" applyFont="1" applyFill="1" applyBorder="1" applyAlignment="1">
      <alignment horizontal="right"/>
    </xf>
    <xf numFmtId="165" fontId="17" fillId="4" borderId="0" xfId="0" applyNumberFormat="1" applyFont="1" applyFill="1" applyAlignment="1">
      <alignment horizontal="right"/>
    </xf>
    <xf numFmtId="178" fontId="7" fillId="4" borderId="19" xfId="0" applyNumberFormat="1" applyFont="1" applyFill="1" applyBorder="1" applyAlignment="1">
      <alignment horizontal="left"/>
    </xf>
    <xf numFmtId="178" fontId="7" fillId="4" borderId="20" xfId="0" applyNumberFormat="1" applyFont="1" applyFill="1" applyBorder="1" applyAlignment="1">
      <alignment horizontal="right"/>
    </xf>
    <xf numFmtId="178" fontId="21" fillId="4" borderId="20" xfId="0" applyNumberFormat="1" applyFont="1" applyFill="1" applyBorder="1" applyAlignment="1">
      <alignment horizontal="right"/>
    </xf>
    <xf numFmtId="178" fontId="7" fillId="4" borderId="26" xfId="0" applyNumberFormat="1" applyFont="1" applyFill="1" applyBorder="1" applyAlignment="1">
      <alignment horizontal="right"/>
    </xf>
    <xf numFmtId="178" fontId="22" fillId="3" borderId="11" xfId="0" applyNumberFormat="1" applyFont="1" applyFill="1" applyBorder="1" applyAlignment="1">
      <alignment horizontal="left"/>
    </xf>
    <xf numFmtId="178" fontId="3" fillId="3" borderId="13" xfId="0" applyNumberFormat="1" applyFont="1" applyFill="1" applyBorder="1" applyAlignment="1">
      <alignment horizontal="right"/>
    </xf>
    <xf numFmtId="178" fontId="17" fillId="3" borderId="13" xfId="0" applyNumberFormat="1" applyFont="1" applyFill="1" applyBorder="1" applyAlignment="1">
      <alignment horizontal="right"/>
    </xf>
    <xf numFmtId="178" fontId="3" fillId="3" borderId="12" xfId="0" applyNumberFormat="1" applyFont="1" applyFill="1" applyBorder="1" applyAlignment="1">
      <alignment horizontal="right"/>
    </xf>
    <xf numFmtId="178" fontId="23" fillId="4" borderId="19" xfId="0" applyNumberFormat="1" applyFont="1" applyFill="1" applyBorder="1" applyAlignment="1">
      <alignment horizontal="left"/>
    </xf>
    <xf numFmtId="178" fontId="23" fillId="4" borderId="20" xfId="0" applyNumberFormat="1" applyFont="1" applyFill="1" applyBorder="1" applyAlignment="1">
      <alignment horizontal="right"/>
    </xf>
    <xf numFmtId="168" fontId="23" fillId="4" borderId="20" xfId="0" applyNumberFormat="1" applyFont="1" applyFill="1" applyBorder="1" applyAlignment="1">
      <alignment horizontal="right"/>
    </xf>
    <xf numFmtId="165" fontId="23" fillId="4" borderId="26" xfId="0" applyNumberFormat="1" applyFont="1" applyFill="1" applyBorder="1" applyAlignment="1">
      <alignment horizontal="right"/>
    </xf>
    <xf numFmtId="168" fontId="7" fillId="4" borderId="20" xfId="0" applyNumberFormat="1" applyFont="1" applyFill="1" applyBorder="1" applyAlignment="1">
      <alignment horizontal="right"/>
    </xf>
    <xf numFmtId="165" fontId="7" fillId="4" borderId="26" xfId="0" applyNumberFormat="1" applyFont="1" applyFill="1" applyBorder="1" applyAlignment="1">
      <alignment horizontal="right"/>
    </xf>
    <xf numFmtId="1" fontId="3" fillId="3" borderId="0" xfId="0" applyNumberFormat="1" applyFont="1" applyFill="1" applyAlignment="1">
      <alignment horizontal="right"/>
    </xf>
    <xf numFmtId="168" fontId="21" fillId="4" borderId="20" xfId="0" applyNumberFormat="1" applyFont="1" applyFill="1" applyBorder="1" applyAlignment="1">
      <alignment horizontal="right"/>
    </xf>
    <xf numFmtId="165" fontId="7" fillId="3" borderId="20" xfId="0" applyNumberFormat="1" applyFont="1" applyFill="1" applyBorder="1" applyAlignment="1">
      <alignment horizontal="right"/>
    </xf>
    <xf numFmtId="1" fontId="17" fillId="4" borderId="0" xfId="0" applyNumberFormat="1" applyFont="1" applyFill="1" applyAlignment="1">
      <alignment horizontal="right"/>
    </xf>
    <xf numFmtId="165" fontId="21" fillId="3" borderId="20" xfId="0" applyNumberFormat="1" applyFont="1" applyFill="1" applyBorder="1" applyAlignment="1">
      <alignment horizontal="right"/>
    </xf>
    <xf numFmtId="178" fontId="3" fillId="3" borderId="10" xfId="0" applyNumberFormat="1" applyFont="1" applyFill="1" applyBorder="1" applyAlignment="1">
      <alignment horizontal="right"/>
    </xf>
    <xf numFmtId="178" fontId="7" fillId="4" borderId="9" xfId="0" applyNumberFormat="1" applyFont="1" applyFill="1" applyBorder="1" applyAlignment="1">
      <alignment horizontal="left"/>
    </xf>
    <xf numFmtId="178" fontId="7" fillId="4" borderId="0" xfId="0" applyNumberFormat="1" applyFont="1" applyFill="1" applyAlignment="1">
      <alignment horizontal="right"/>
    </xf>
    <xf numFmtId="168" fontId="7" fillId="4" borderId="0" xfId="0" applyNumberFormat="1" applyFont="1" applyFill="1" applyAlignment="1">
      <alignment horizontal="right"/>
    </xf>
    <xf numFmtId="165" fontId="7" fillId="4" borderId="10" xfId="0" applyNumberFormat="1" applyFont="1" applyFill="1" applyBorder="1" applyAlignment="1">
      <alignment horizontal="right"/>
    </xf>
    <xf numFmtId="165" fontId="3" fillId="10" borderId="10" xfId="0" applyNumberFormat="1" applyFont="1" applyFill="1" applyBorder="1" applyAlignment="1">
      <alignment horizontal="right"/>
    </xf>
    <xf numFmtId="178" fontId="7" fillId="10" borderId="26" xfId="0" applyNumberFormat="1" applyFont="1" applyFill="1" applyBorder="1" applyAlignment="1">
      <alignment horizontal="right"/>
    </xf>
    <xf numFmtId="178" fontId="7" fillId="3" borderId="7" xfId="0" applyNumberFormat="1" applyFont="1" applyFill="1" applyBorder="1" applyAlignment="1">
      <alignment horizontal="left"/>
    </xf>
    <xf numFmtId="178" fontId="7" fillId="3" borderId="8" xfId="0" applyNumberFormat="1" applyFont="1" applyFill="1" applyBorder="1" applyAlignment="1">
      <alignment horizontal="right"/>
    </xf>
    <xf numFmtId="1" fontId="7" fillId="3" borderId="8" xfId="0" applyNumberFormat="1" applyFont="1" applyFill="1" applyBorder="1" applyAlignment="1">
      <alignment horizontal="right"/>
    </xf>
    <xf numFmtId="168" fontId="7" fillId="3" borderId="8" xfId="0" applyNumberFormat="1" applyFont="1" applyFill="1" applyBorder="1" applyAlignment="1">
      <alignment horizontal="right"/>
    </xf>
    <xf numFmtId="165" fontId="7" fillId="3" borderId="14" xfId="0" applyNumberFormat="1" applyFont="1" applyFill="1" applyBorder="1" applyAlignment="1">
      <alignment horizontal="right"/>
    </xf>
    <xf numFmtId="0" fontId="7" fillId="5" borderId="0" xfId="0" applyFont="1" applyFill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1" fontId="3" fillId="3" borderId="21" xfId="0" applyNumberFormat="1" applyFont="1" applyFill="1" applyBorder="1" applyAlignment="1">
      <alignment horizontal="left"/>
    </xf>
    <xf numFmtId="1" fontId="3" fillId="3" borderId="10" xfId="0" applyNumberFormat="1" applyFont="1" applyFill="1" applyBorder="1" applyAlignment="1">
      <alignment horizontal="right"/>
    </xf>
    <xf numFmtId="1" fontId="24" fillId="4" borderId="22" xfId="0" applyNumberFormat="1" applyFont="1" applyFill="1" applyBorder="1" applyAlignment="1">
      <alignment horizontal="left"/>
    </xf>
    <xf numFmtId="1" fontId="24" fillId="4" borderId="13" xfId="0" applyNumberFormat="1" applyFont="1" applyFill="1" applyBorder="1" applyAlignment="1">
      <alignment horizontal="right"/>
    </xf>
    <xf numFmtId="1" fontId="24" fillId="4" borderId="12" xfId="0" applyNumberFormat="1" applyFont="1" applyFill="1" applyBorder="1" applyAlignment="1">
      <alignment horizontal="right"/>
    </xf>
    <xf numFmtId="1" fontId="3" fillId="4" borderId="21" xfId="0" applyNumberFormat="1" applyFont="1" applyFill="1" applyBorder="1" applyAlignment="1">
      <alignment horizontal="left"/>
    </xf>
    <xf numFmtId="179" fontId="17" fillId="4" borderId="0" xfId="0" applyNumberFormat="1" applyFont="1" applyFill="1" applyAlignment="1">
      <alignment horizontal="right"/>
    </xf>
    <xf numFmtId="1" fontId="17" fillId="3" borderId="0" xfId="0" applyNumberFormat="1" applyFont="1" applyFill="1" applyAlignment="1">
      <alignment horizontal="right"/>
    </xf>
    <xf numFmtId="1" fontId="25" fillId="4" borderId="13" xfId="0" applyNumberFormat="1" applyFont="1" applyFill="1" applyBorder="1" applyAlignment="1">
      <alignment horizontal="right"/>
    </xf>
    <xf numFmtId="179" fontId="17" fillId="3" borderId="0" xfId="0" applyNumberFormat="1" applyFont="1" applyFill="1" applyAlignment="1">
      <alignment horizontal="right"/>
    </xf>
    <xf numFmtId="0" fontId="17" fillId="0" borderId="0" xfId="0" applyFont="1" applyAlignment="1">
      <alignment horizontal="right" vertical="center"/>
    </xf>
    <xf numFmtId="1" fontId="24" fillId="4" borderId="7" xfId="0" applyNumberFormat="1" applyFont="1" applyFill="1" applyBorder="1" applyAlignment="1">
      <alignment horizontal="left"/>
    </xf>
    <xf numFmtId="165" fontId="24" fillId="4" borderId="8" xfId="0" applyNumberFormat="1" applyFont="1" applyFill="1" applyBorder="1" applyAlignment="1">
      <alignment horizontal="right"/>
    </xf>
    <xf numFmtId="168" fontId="24" fillId="4" borderId="8" xfId="0" applyNumberFormat="1" applyFont="1" applyFill="1" applyBorder="1" applyAlignment="1">
      <alignment horizontal="right"/>
    </xf>
    <xf numFmtId="165" fontId="24" fillId="4" borderId="14" xfId="0" applyNumberFormat="1" applyFont="1" applyFill="1" applyBorder="1" applyAlignment="1">
      <alignment horizontal="right"/>
    </xf>
    <xf numFmtId="0" fontId="26" fillId="4" borderId="7" xfId="0" applyFont="1" applyFill="1" applyBorder="1" applyAlignment="1">
      <alignment horizontal="left"/>
    </xf>
    <xf numFmtId="0" fontId="26" fillId="4" borderId="8" xfId="0" applyFont="1" applyFill="1" applyBorder="1" applyAlignment="1">
      <alignment horizontal="left"/>
    </xf>
    <xf numFmtId="0" fontId="26" fillId="4" borderId="14" xfId="0" applyFont="1" applyFill="1" applyBorder="1" applyAlignment="1">
      <alignment horizontal="left"/>
    </xf>
    <xf numFmtId="1" fontId="3" fillId="3" borderId="9" xfId="0" applyNumberFormat="1" applyFont="1" applyFill="1" applyBorder="1" applyAlignment="1">
      <alignment horizontal="left"/>
    </xf>
    <xf numFmtId="1" fontId="3" fillId="4" borderId="9" xfId="0" applyNumberFormat="1" applyFont="1" applyFill="1" applyBorder="1" applyAlignment="1">
      <alignment horizontal="left"/>
    </xf>
    <xf numFmtId="1" fontId="3" fillId="4" borderId="10" xfId="0" applyNumberFormat="1" applyFont="1" applyFill="1" applyBorder="1" applyAlignment="1">
      <alignment horizontal="right"/>
    </xf>
    <xf numFmtId="1" fontId="7" fillId="3" borderId="7" xfId="0" applyNumberFormat="1" applyFont="1" applyFill="1" applyBorder="1" applyAlignment="1">
      <alignment horizontal="left"/>
    </xf>
    <xf numFmtId="1" fontId="7" fillId="3" borderId="14" xfId="0" applyNumberFormat="1" applyFont="1" applyFill="1" applyBorder="1" applyAlignment="1">
      <alignment horizontal="right"/>
    </xf>
    <xf numFmtId="168" fontId="7" fillId="3" borderId="14" xfId="0" applyNumberFormat="1" applyFont="1" applyFill="1" applyBorder="1" applyAlignment="1">
      <alignment horizontal="right"/>
    </xf>
    <xf numFmtId="1" fontId="3" fillId="4" borderId="11" xfId="0" applyNumberFormat="1" applyFont="1" applyFill="1" applyBorder="1" applyAlignment="1">
      <alignment horizontal="left"/>
    </xf>
    <xf numFmtId="1" fontId="3" fillId="4" borderId="13" xfId="0" applyNumberFormat="1" applyFont="1" applyFill="1" applyBorder="1" applyAlignment="1">
      <alignment horizontal="right"/>
    </xf>
    <xf numFmtId="1" fontId="3" fillId="4" borderId="12" xfId="0" applyNumberFormat="1" applyFont="1" applyFill="1" applyBorder="1" applyAlignment="1">
      <alignment horizontal="right"/>
    </xf>
    <xf numFmtId="165" fontId="3" fillId="4" borderId="12" xfId="0" applyNumberFormat="1" applyFont="1" applyFill="1" applyBorder="1" applyAlignment="1">
      <alignment horizontal="right"/>
    </xf>
    <xf numFmtId="1" fontId="3" fillId="3" borderId="11" xfId="0" applyNumberFormat="1" applyFont="1" applyFill="1" applyBorder="1" applyAlignment="1">
      <alignment horizontal="left"/>
    </xf>
    <xf numFmtId="1" fontId="3" fillId="3" borderId="13" xfId="0" applyNumberFormat="1" applyFont="1" applyFill="1" applyBorder="1" applyAlignment="1">
      <alignment horizontal="right"/>
    </xf>
    <xf numFmtId="1" fontId="3" fillId="3" borderId="12" xfId="0" applyNumberFormat="1" applyFont="1" applyFill="1" applyBorder="1" applyAlignment="1">
      <alignment horizontal="right"/>
    </xf>
    <xf numFmtId="165" fontId="3" fillId="3" borderId="13" xfId="0" applyNumberFormat="1" applyFont="1" applyFill="1" applyBorder="1" applyAlignment="1">
      <alignment horizontal="right"/>
    </xf>
    <xf numFmtId="165" fontId="3" fillId="3" borderId="12" xfId="0" applyNumberFormat="1" applyFont="1" applyFill="1" applyBorder="1" applyAlignment="1">
      <alignment horizontal="right"/>
    </xf>
    <xf numFmtId="1" fontId="8" fillId="3" borderId="9" xfId="0" applyNumberFormat="1" applyFont="1" applyFill="1" applyBorder="1" applyAlignment="1">
      <alignment horizontal="left"/>
    </xf>
    <xf numFmtId="2" fontId="3" fillId="3" borderId="9" xfId="0" applyNumberFormat="1" applyFont="1" applyFill="1" applyBorder="1" applyAlignment="1">
      <alignment horizontal="left"/>
    </xf>
    <xf numFmtId="2" fontId="3" fillId="3" borderId="0" xfId="0" applyNumberFormat="1" applyFont="1" applyFill="1" applyAlignment="1">
      <alignment horizontal="right"/>
    </xf>
    <xf numFmtId="2" fontId="5" fillId="3" borderId="10" xfId="0" applyNumberFormat="1" applyFont="1" applyFill="1" applyBorder="1" applyAlignment="1">
      <alignment horizontal="right"/>
    </xf>
    <xf numFmtId="167" fontId="7" fillId="3" borderId="9" xfId="0" applyNumberFormat="1" applyFont="1" applyFill="1" applyBorder="1" applyAlignment="1">
      <alignment horizontal="left"/>
    </xf>
    <xf numFmtId="10" fontId="7" fillId="3" borderId="10" xfId="0" applyNumberFormat="1" applyFont="1" applyFill="1" applyBorder="1" applyAlignment="1">
      <alignment horizontal="right"/>
    </xf>
    <xf numFmtId="1" fontId="8" fillId="4" borderId="9" xfId="0" applyNumberFormat="1" applyFont="1" applyFill="1" applyBorder="1" applyAlignment="1">
      <alignment horizontal="left"/>
    </xf>
    <xf numFmtId="2" fontId="3" fillId="4" borderId="9" xfId="0" applyNumberFormat="1" applyFont="1" applyFill="1" applyBorder="1" applyAlignment="1">
      <alignment horizontal="left"/>
    </xf>
    <xf numFmtId="2" fontId="3" fillId="4" borderId="0" xfId="0" applyNumberFormat="1" applyFont="1" applyFill="1" applyAlignment="1">
      <alignment horizontal="right"/>
    </xf>
    <xf numFmtId="168" fontId="8" fillId="4" borderId="10" xfId="0" applyNumberFormat="1" applyFont="1" applyFill="1" applyBorder="1" applyAlignment="1">
      <alignment horizontal="right"/>
    </xf>
    <xf numFmtId="167" fontId="7" fillId="4" borderId="9" xfId="0" applyNumberFormat="1" applyFont="1" applyFill="1" applyBorder="1" applyAlignment="1">
      <alignment horizontal="left"/>
    </xf>
    <xf numFmtId="10" fontId="7" fillId="4" borderId="10" xfId="0" applyNumberFormat="1" applyFont="1" applyFill="1" applyBorder="1" applyAlignment="1">
      <alignment horizontal="right"/>
    </xf>
    <xf numFmtId="10" fontId="5" fillId="3" borderId="10" xfId="0" applyNumberFormat="1" applyFont="1" applyFill="1" applyBorder="1" applyAlignment="1">
      <alignment horizontal="right"/>
    </xf>
    <xf numFmtId="168" fontId="5" fillId="4" borderId="10" xfId="0" applyNumberFormat="1" applyFont="1" applyFill="1" applyBorder="1" applyAlignment="1">
      <alignment horizontal="right"/>
    </xf>
    <xf numFmtId="1" fontId="8" fillId="3" borderId="11" xfId="0" applyNumberFormat="1" applyFont="1" applyFill="1" applyBorder="1" applyAlignment="1">
      <alignment horizontal="left"/>
    </xf>
    <xf numFmtId="168" fontId="5" fillId="3" borderId="12" xfId="0" applyNumberFormat="1" applyFont="1" applyFill="1" applyBorder="1" applyAlignment="1">
      <alignment horizontal="right"/>
    </xf>
    <xf numFmtId="10" fontId="8" fillId="3" borderId="10" xfId="0" applyNumberFormat="1" applyFont="1" applyFill="1" applyBorder="1" applyAlignment="1">
      <alignment horizontal="right"/>
    </xf>
    <xf numFmtId="2" fontId="5" fillId="4" borderId="10" xfId="0" applyNumberFormat="1" applyFont="1" applyFill="1" applyBorder="1" applyAlignment="1">
      <alignment horizontal="right"/>
    </xf>
    <xf numFmtId="167" fontId="7" fillId="3" borderId="10" xfId="0" applyNumberFormat="1" applyFont="1" applyFill="1" applyBorder="1" applyAlignment="1">
      <alignment horizontal="right"/>
    </xf>
    <xf numFmtId="10" fontId="3" fillId="3" borderId="9" xfId="0" applyNumberFormat="1" applyFont="1" applyFill="1" applyBorder="1" applyAlignment="1">
      <alignment horizontal="left"/>
    </xf>
    <xf numFmtId="180" fontId="7" fillId="4" borderId="10" xfId="0" applyNumberFormat="1" applyFont="1" applyFill="1" applyBorder="1" applyAlignment="1">
      <alignment horizontal="right"/>
    </xf>
    <xf numFmtId="10" fontId="3" fillId="4" borderId="9" xfId="0" applyNumberFormat="1" applyFont="1" applyFill="1" applyBorder="1" applyAlignment="1">
      <alignment horizontal="left"/>
    </xf>
    <xf numFmtId="167" fontId="7" fillId="3" borderId="11" xfId="0" applyNumberFormat="1" applyFont="1" applyFill="1" applyBorder="1" applyAlignment="1">
      <alignment horizontal="left"/>
    </xf>
    <xf numFmtId="180" fontId="7" fillId="3" borderId="12" xfId="0" applyNumberFormat="1" applyFont="1" applyFill="1" applyBorder="1" applyAlignment="1">
      <alignment horizontal="right"/>
    </xf>
    <xf numFmtId="10" fontId="8" fillId="4" borderId="10" xfId="0" applyNumberFormat="1" applyFont="1" applyFill="1" applyBorder="1" applyAlignment="1">
      <alignment horizontal="right"/>
    </xf>
    <xf numFmtId="0" fontId="20" fillId="5" borderId="0" xfId="0" applyFont="1" applyFill="1" applyAlignment="1">
      <alignment horizontal="left"/>
    </xf>
    <xf numFmtId="168" fontId="8" fillId="3" borderId="10" xfId="0" applyNumberFormat="1" applyFont="1" applyFill="1" applyBorder="1" applyAlignment="1">
      <alignment horizontal="right"/>
    </xf>
    <xf numFmtId="1" fontId="20" fillId="5" borderId="0" xfId="0" applyNumberFormat="1" applyFont="1" applyFill="1" applyAlignment="1">
      <alignment horizontal="left"/>
    </xf>
    <xf numFmtId="168" fontId="20" fillId="5" borderId="0" xfId="0" applyNumberFormat="1" applyFont="1" applyFill="1" applyAlignment="1">
      <alignment horizontal="right"/>
    </xf>
    <xf numFmtId="10" fontId="5" fillId="4" borderId="10" xfId="0" applyNumberFormat="1" applyFont="1" applyFill="1" applyBorder="1" applyAlignment="1">
      <alignment horizontal="right"/>
    </xf>
    <xf numFmtId="9" fontId="20" fillId="5" borderId="0" xfId="1" applyFont="1" applyFill="1" applyAlignment="1">
      <alignment horizontal="right"/>
    </xf>
    <xf numFmtId="181" fontId="20" fillId="5" borderId="0" xfId="0" applyNumberFormat="1" applyFont="1" applyFill="1" applyAlignment="1">
      <alignment horizontal="right"/>
    </xf>
    <xf numFmtId="2" fontId="3" fillId="3" borderId="11" xfId="0" applyNumberFormat="1" applyFont="1" applyFill="1" applyBorder="1" applyAlignment="1">
      <alignment horizontal="left"/>
    </xf>
    <xf numFmtId="2" fontId="3" fillId="3" borderId="13" xfId="0" applyNumberFormat="1" applyFont="1" applyFill="1" applyBorder="1" applyAlignment="1">
      <alignment horizontal="right"/>
    </xf>
    <xf numFmtId="10" fontId="8" fillId="3" borderId="12" xfId="0" applyNumberFormat="1" applyFont="1" applyFill="1" applyBorder="1" applyAlignment="1">
      <alignment horizontal="right"/>
    </xf>
    <xf numFmtId="10" fontId="3" fillId="3" borderId="11" xfId="0" applyNumberFormat="1" applyFont="1" applyFill="1" applyBorder="1" applyAlignment="1">
      <alignment horizontal="left"/>
    </xf>
    <xf numFmtId="17" fontId="3" fillId="3" borderId="0" xfId="0" applyNumberFormat="1" applyFont="1" applyFill="1" applyAlignment="1">
      <alignment horizontal="right"/>
    </xf>
    <xf numFmtId="17" fontId="3" fillId="3" borderId="10" xfId="0" applyNumberFormat="1" applyFont="1" applyFill="1" applyBorder="1" applyAlignment="1">
      <alignment horizontal="right"/>
    </xf>
    <xf numFmtId="10" fontId="3" fillId="4" borderId="0" xfId="0" applyNumberFormat="1" applyFont="1" applyFill="1" applyAlignment="1">
      <alignment horizontal="right"/>
    </xf>
    <xf numFmtId="10" fontId="3" fillId="4" borderId="10" xfId="0" applyNumberFormat="1" applyFont="1" applyFill="1" applyBorder="1" applyAlignment="1">
      <alignment horizontal="right"/>
    </xf>
    <xf numFmtId="180" fontId="3" fillId="3" borderId="0" xfId="0" applyNumberFormat="1" applyFont="1" applyFill="1" applyAlignment="1">
      <alignment horizontal="right"/>
    </xf>
    <xf numFmtId="180" fontId="3" fillId="3" borderId="10" xfId="0" applyNumberFormat="1" applyFont="1" applyFill="1" applyBorder="1" applyAlignment="1">
      <alignment horizontal="right"/>
    </xf>
    <xf numFmtId="180" fontId="3" fillId="4" borderId="0" xfId="0" applyNumberFormat="1" applyFont="1" applyFill="1" applyAlignment="1">
      <alignment horizontal="right"/>
    </xf>
    <xf numFmtId="180" fontId="3" fillId="4" borderId="10" xfId="0" applyNumberFormat="1" applyFont="1" applyFill="1" applyBorder="1" applyAlignment="1">
      <alignment horizontal="right"/>
    </xf>
    <xf numFmtId="10" fontId="7" fillId="4" borderId="9" xfId="0" applyNumberFormat="1" applyFont="1" applyFill="1" applyBorder="1" applyAlignment="1">
      <alignment horizontal="left"/>
    </xf>
    <xf numFmtId="180" fontId="7" fillId="4" borderId="0" xfId="0" applyNumberFormat="1" applyFont="1" applyFill="1" applyAlignment="1">
      <alignment horizontal="right"/>
    </xf>
    <xf numFmtId="10" fontId="3" fillId="3" borderId="0" xfId="0" applyNumberFormat="1" applyFont="1" applyFill="1" applyAlignment="1">
      <alignment horizontal="right"/>
    </xf>
    <xf numFmtId="10" fontId="3" fillId="3" borderId="10" xfId="0" applyNumberFormat="1" applyFont="1" applyFill="1" applyBorder="1" applyAlignment="1">
      <alignment horizontal="right"/>
    </xf>
    <xf numFmtId="10" fontId="7" fillId="3" borderId="9" xfId="0" applyNumberFormat="1" applyFont="1" applyFill="1" applyBorder="1" applyAlignment="1">
      <alignment horizontal="left"/>
    </xf>
    <xf numFmtId="180" fontId="7" fillId="3" borderId="0" xfId="0" applyNumberFormat="1" applyFont="1" applyFill="1" applyAlignment="1">
      <alignment horizontal="right"/>
    </xf>
    <xf numFmtId="180" fontId="7" fillId="3" borderId="10" xfId="0" applyNumberFormat="1" applyFont="1" applyFill="1" applyBorder="1" applyAlignment="1">
      <alignment horizontal="right"/>
    </xf>
    <xf numFmtId="10" fontId="7" fillId="4" borderId="11" xfId="0" applyNumberFormat="1" applyFont="1" applyFill="1" applyBorder="1" applyAlignment="1">
      <alignment horizontal="left"/>
    </xf>
    <xf numFmtId="10" fontId="7" fillId="4" borderId="13" xfId="0" applyNumberFormat="1" applyFont="1" applyFill="1" applyBorder="1" applyAlignment="1">
      <alignment horizontal="right"/>
    </xf>
    <xf numFmtId="180" fontId="7" fillId="4" borderId="12" xfId="0" applyNumberFormat="1" applyFont="1" applyFill="1" applyBorder="1" applyAlignment="1">
      <alignment horizontal="right"/>
    </xf>
    <xf numFmtId="10" fontId="3" fillId="4" borderId="11" xfId="0" applyNumberFormat="1" applyFont="1" applyFill="1" applyBorder="1" applyAlignment="1">
      <alignment horizontal="left"/>
    </xf>
    <xf numFmtId="10" fontId="8" fillId="4" borderId="12" xfId="0" applyNumberFormat="1" applyFont="1" applyFill="1" applyBorder="1" applyAlignment="1">
      <alignment horizontal="right"/>
    </xf>
    <xf numFmtId="1" fontId="3" fillId="5" borderId="18" xfId="0" applyNumberFormat="1" applyFont="1" applyFill="1" applyBorder="1" applyAlignment="1">
      <alignment horizontal="left"/>
    </xf>
    <xf numFmtId="1" fontId="3" fillId="5" borderId="18" xfId="0" applyNumberFormat="1" applyFont="1" applyFill="1" applyBorder="1" applyAlignment="1">
      <alignment horizontal="right"/>
    </xf>
    <xf numFmtId="1" fontId="3" fillId="11" borderId="18" xfId="0" applyNumberFormat="1" applyFont="1" applyFill="1" applyBorder="1" applyAlignment="1">
      <alignment horizontal="left"/>
    </xf>
    <xf numFmtId="168" fontId="3" fillId="5" borderId="18" xfId="0" applyNumberFormat="1" applyFont="1" applyFill="1" applyBorder="1" applyAlignment="1">
      <alignment horizontal="right"/>
    </xf>
    <xf numFmtId="165" fontId="3" fillId="5" borderId="18" xfId="0" applyNumberFormat="1" applyFont="1" applyFill="1" applyBorder="1" applyAlignment="1">
      <alignment horizontal="right"/>
    </xf>
    <xf numFmtId="1" fontId="3" fillId="12" borderId="18" xfId="0" applyNumberFormat="1" applyFont="1" applyFill="1" applyBorder="1" applyAlignment="1">
      <alignment horizontal="left"/>
    </xf>
    <xf numFmtId="168" fontId="3" fillId="13" borderId="27" xfId="0" applyNumberFormat="1" applyFont="1" applyFill="1" applyBorder="1" applyAlignment="1">
      <alignment horizontal="right"/>
    </xf>
    <xf numFmtId="168" fontId="3" fillId="5" borderId="27" xfId="0" applyNumberFormat="1" applyFont="1" applyFill="1" applyBorder="1" applyAlignment="1">
      <alignment horizontal="right"/>
    </xf>
    <xf numFmtId="1" fontId="3" fillId="13" borderId="27" xfId="0" applyNumberFormat="1" applyFont="1" applyFill="1" applyBorder="1" applyAlignment="1">
      <alignment horizontal="right"/>
    </xf>
    <xf numFmtId="168" fontId="3" fillId="13" borderId="28" xfId="0" applyNumberFormat="1" applyFont="1" applyFill="1" applyBorder="1" applyAlignment="1">
      <alignment horizontal="right"/>
    </xf>
    <xf numFmtId="168" fontId="3" fillId="5" borderId="28" xfId="0" applyNumberFormat="1" applyFont="1" applyFill="1" applyBorder="1" applyAlignment="1">
      <alignment horizontal="right"/>
    </xf>
    <xf numFmtId="1" fontId="3" fillId="13" borderId="28" xfId="0" applyNumberFormat="1" applyFont="1" applyFill="1" applyBorder="1" applyAlignment="1">
      <alignment horizontal="right"/>
    </xf>
    <xf numFmtId="168" fontId="3" fillId="13" borderId="29" xfId="0" applyNumberFormat="1" applyFont="1" applyFill="1" applyBorder="1" applyAlignment="1">
      <alignment horizontal="right"/>
    </xf>
    <xf numFmtId="168" fontId="3" fillId="5" borderId="29" xfId="0" applyNumberFormat="1" applyFont="1" applyFill="1" applyBorder="1" applyAlignment="1">
      <alignment horizontal="right"/>
    </xf>
    <xf numFmtId="1" fontId="3" fillId="13" borderId="29" xfId="0" applyNumberFormat="1" applyFont="1" applyFill="1" applyBorder="1" applyAlignment="1">
      <alignment horizontal="right"/>
    </xf>
    <xf numFmtId="1" fontId="3" fillId="14" borderId="18" xfId="0" applyNumberFormat="1" applyFont="1" applyFill="1" applyBorder="1" applyAlignment="1">
      <alignment horizontal="left"/>
    </xf>
    <xf numFmtId="165" fontId="3" fillId="5" borderId="5" xfId="0" applyNumberFormat="1" applyFont="1" applyFill="1" applyBorder="1" applyAlignment="1">
      <alignment horizontal="right"/>
    </xf>
    <xf numFmtId="1" fontId="3" fillId="15" borderId="18" xfId="0" applyNumberFormat="1" applyFont="1" applyFill="1" applyBorder="1" applyAlignment="1">
      <alignment horizontal="left"/>
    </xf>
    <xf numFmtId="1" fontId="7" fillId="5" borderId="30" xfId="0" applyNumberFormat="1" applyFont="1" applyFill="1" applyBorder="1" applyAlignment="1">
      <alignment horizontal="left"/>
    </xf>
    <xf numFmtId="1" fontId="7" fillId="5" borderId="30" xfId="0" applyNumberFormat="1" applyFont="1" applyFill="1" applyBorder="1" applyAlignment="1">
      <alignment horizontal="right"/>
    </xf>
    <xf numFmtId="168" fontId="7" fillId="5" borderId="30" xfId="0" applyNumberFormat="1" applyFont="1" applyFill="1" applyBorder="1" applyAlignment="1">
      <alignment horizontal="right"/>
    </xf>
    <xf numFmtId="165" fontId="7" fillId="5" borderId="30" xfId="0" applyNumberFormat="1" applyFont="1" applyFill="1" applyBorder="1" applyAlignment="1">
      <alignment horizontal="right"/>
    </xf>
    <xf numFmtId="1" fontId="3" fillId="3" borderId="18" xfId="0" applyNumberFormat="1" applyFont="1" applyFill="1" applyBorder="1" applyAlignment="1">
      <alignment horizontal="center"/>
    </xf>
    <xf numFmtId="1" fontId="3" fillId="4" borderId="18" xfId="0" applyNumberFormat="1" applyFont="1" applyFill="1" applyBorder="1" applyAlignment="1">
      <alignment horizontal="center"/>
    </xf>
    <xf numFmtId="168" fontId="3" fillId="4" borderId="18" xfId="0" applyNumberFormat="1" applyFont="1" applyFill="1" applyBorder="1" applyAlignment="1">
      <alignment horizontal="center"/>
    </xf>
    <xf numFmtId="165" fontId="3" fillId="4" borderId="18" xfId="0" applyNumberFormat="1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left"/>
    </xf>
    <xf numFmtId="1" fontId="3" fillId="3" borderId="8" xfId="0" applyNumberFormat="1" applyFont="1" applyFill="1" applyBorder="1" applyAlignment="1">
      <alignment horizontal="right"/>
    </xf>
    <xf numFmtId="165" fontId="3" fillId="3" borderId="8" xfId="0" applyNumberFormat="1" applyFont="1" applyFill="1" applyBorder="1" applyAlignment="1">
      <alignment horizontal="right"/>
    </xf>
    <xf numFmtId="1" fontId="3" fillId="3" borderId="14" xfId="0" applyNumberFormat="1" applyFont="1" applyFill="1" applyBorder="1" applyAlignment="1">
      <alignment horizontal="right"/>
    </xf>
    <xf numFmtId="168" fontId="3" fillId="3" borderId="8" xfId="0" applyNumberFormat="1" applyFont="1" applyFill="1" applyBorder="1" applyAlignment="1">
      <alignment horizontal="right"/>
    </xf>
    <xf numFmtId="168" fontId="3" fillId="3" borderId="14" xfId="0" applyNumberFormat="1" applyFont="1" applyFill="1" applyBorder="1" applyAlignment="1">
      <alignment horizontal="right"/>
    </xf>
    <xf numFmtId="0" fontId="11" fillId="4" borderId="7" xfId="0" applyFont="1" applyFill="1" applyBorder="1" applyAlignment="1">
      <alignment horizontal="left"/>
    </xf>
    <xf numFmtId="0" fontId="11" fillId="4" borderId="8" xfId="0" applyFont="1" applyFill="1" applyBorder="1" applyAlignment="1">
      <alignment horizontal="left"/>
    </xf>
    <xf numFmtId="0" fontId="11" fillId="4" borderId="14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" fontId="7" fillId="4" borderId="7" xfId="0" applyNumberFormat="1" applyFont="1" applyFill="1" applyBorder="1" applyAlignment="1">
      <alignment horizontal="left"/>
    </xf>
    <xf numFmtId="1" fontId="7" fillId="4" borderId="8" xfId="0" applyNumberFormat="1" applyFont="1" applyFill="1" applyBorder="1" applyAlignment="1">
      <alignment horizontal="right"/>
    </xf>
    <xf numFmtId="1" fontId="21" fillId="4" borderId="8" xfId="0" applyNumberFormat="1" applyFont="1" applyFill="1" applyBorder="1" applyAlignment="1">
      <alignment horizontal="right"/>
    </xf>
    <xf numFmtId="168" fontId="7" fillId="4" borderId="8" xfId="0" applyNumberFormat="1" applyFont="1" applyFill="1" applyBorder="1" applyAlignment="1">
      <alignment horizontal="right"/>
    </xf>
    <xf numFmtId="165" fontId="7" fillId="4" borderId="14" xfId="0" applyNumberFormat="1" applyFont="1" applyFill="1" applyBorder="1" applyAlignment="1">
      <alignment horizontal="right"/>
    </xf>
    <xf numFmtId="168" fontId="3" fillId="3" borderId="21" xfId="0" applyNumberFormat="1" applyFont="1" applyFill="1" applyBorder="1" applyAlignment="1">
      <alignment horizontal="right"/>
    </xf>
    <xf numFmtId="168" fontId="3" fillId="4" borderId="21" xfId="0" applyNumberFormat="1" applyFont="1" applyFill="1" applyBorder="1" applyAlignment="1">
      <alignment horizontal="right"/>
    </xf>
    <xf numFmtId="168" fontId="7" fillId="3" borderId="18" xfId="0" applyNumberFormat="1" applyFont="1" applyFill="1" applyBorder="1" applyAlignment="1">
      <alignment horizontal="right"/>
    </xf>
    <xf numFmtId="0" fontId="0" fillId="0" borderId="0" xfId="0" applyAlignment="1">
      <alignment horizontal="left" wrapText="1"/>
    </xf>
    <xf numFmtId="0" fontId="11" fillId="0" borderId="0" xfId="0" applyFont="1" applyAlignment="1">
      <alignment horizontal="left" wrapText="1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27" fillId="0" borderId="13" xfId="0" applyFont="1" applyBorder="1" applyAlignment="1">
      <alignment horizontal="left" vertical="top"/>
    </xf>
    <xf numFmtId="0" fontId="28" fillId="16" borderId="0" xfId="0" applyFont="1" applyFill="1" applyAlignment="1">
      <alignment horizontal="center" vertical="top"/>
    </xf>
    <xf numFmtId="0" fontId="8" fillId="0" borderId="13" xfId="0" applyFont="1" applyBorder="1" applyAlignment="1">
      <alignment horizontal="left" vertical="top"/>
    </xf>
    <xf numFmtId="0" fontId="0" fillId="0" borderId="13" xfId="0" applyBorder="1"/>
    <xf numFmtId="0" fontId="0" fillId="16" borderId="13" xfId="0" applyFill="1" applyBorder="1"/>
    <xf numFmtId="17" fontId="8" fillId="17" borderId="13" xfId="0" applyNumberFormat="1" applyFont="1" applyFill="1" applyBorder="1" applyAlignment="1">
      <alignment horizontal="right" vertical="top"/>
    </xf>
    <xf numFmtId="17" fontId="8" fillId="18" borderId="13" xfId="0" applyNumberFormat="1" applyFont="1" applyFill="1" applyBorder="1" applyAlignment="1">
      <alignment horizontal="right" vertical="top"/>
    </xf>
    <xf numFmtId="17" fontId="8" fillId="19" borderId="13" xfId="0" applyNumberFormat="1" applyFont="1" applyFill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1" fontId="8" fillId="17" borderId="0" xfId="0" applyNumberFormat="1" applyFont="1" applyFill="1" applyAlignment="1">
      <alignment horizontal="right" vertical="top"/>
    </xf>
    <xf numFmtId="1" fontId="8" fillId="18" borderId="0" xfId="0" applyNumberFormat="1" applyFont="1" applyFill="1" applyAlignment="1">
      <alignment horizontal="right" vertical="top"/>
    </xf>
    <xf numFmtId="1" fontId="8" fillId="19" borderId="0" xfId="0" applyNumberFormat="1" applyFont="1" applyFill="1" applyAlignment="1">
      <alignment horizontal="right" vertical="top"/>
    </xf>
    <xf numFmtId="1" fontId="8" fillId="17" borderId="13" xfId="0" applyNumberFormat="1" applyFont="1" applyFill="1" applyBorder="1" applyAlignment="1">
      <alignment horizontal="right" vertical="top"/>
    </xf>
    <xf numFmtId="1" fontId="8" fillId="18" borderId="13" xfId="0" applyNumberFormat="1" applyFont="1" applyFill="1" applyBorder="1" applyAlignment="1">
      <alignment horizontal="right" vertical="top"/>
    </xf>
    <xf numFmtId="1" fontId="8" fillId="19" borderId="13" xfId="0" applyNumberFormat="1" applyFont="1" applyFill="1" applyBorder="1" applyAlignment="1">
      <alignment horizontal="right" vertical="top"/>
    </xf>
    <xf numFmtId="182" fontId="8" fillId="17" borderId="0" xfId="0" applyNumberFormat="1" applyFont="1" applyFill="1" applyAlignment="1">
      <alignment horizontal="right" vertical="top"/>
    </xf>
    <xf numFmtId="182" fontId="8" fillId="18" borderId="0" xfId="0" applyNumberFormat="1" applyFont="1" applyFill="1" applyAlignment="1">
      <alignment horizontal="right" vertical="top"/>
    </xf>
    <xf numFmtId="182" fontId="8" fillId="19" borderId="0" xfId="0" applyNumberFormat="1" applyFont="1" applyFill="1" applyAlignment="1">
      <alignment horizontal="right" vertical="top"/>
    </xf>
    <xf numFmtId="168" fontId="8" fillId="17" borderId="0" xfId="0" applyNumberFormat="1" applyFont="1" applyFill="1" applyAlignment="1">
      <alignment horizontal="right" vertical="top"/>
    </xf>
    <xf numFmtId="168" fontId="8" fillId="18" borderId="0" xfId="0" applyNumberFormat="1" applyFont="1" applyFill="1" applyAlignment="1">
      <alignment horizontal="right" vertical="top"/>
    </xf>
    <xf numFmtId="168" fontId="8" fillId="19" borderId="0" xfId="0" applyNumberFormat="1" applyFont="1" applyFill="1" applyAlignment="1">
      <alignment horizontal="right" vertical="top"/>
    </xf>
    <xf numFmtId="183" fontId="8" fillId="17" borderId="13" xfId="0" applyNumberFormat="1" applyFont="1" applyFill="1" applyBorder="1" applyAlignment="1">
      <alignment horizontal="right" vertical="top"/>
    </xf>
    <xf numFmtId="183" fontId="8" fillId="18" borderId="13" xfId="0" applyNumberFormat="1" applyFont="1" applyFill="1" applyBorder="1" applyAlignment="1">
      <alignment horizontal="right" vertical="top"/>
    </xf>
    <xf numFmtId="183" fontId="8" fillId="19" borderId="13" xfId="0" applyNumberFormat="1" applyFont="1" applyFill="1" applyBorder="1" applyAlignment="1">
      <alignment horizontal="right" vertical="top"/>
    </xf>
    <xf numFmtId="168" fontId="8" fillId="17" borderId="13" xfId="0" applyNumberFormat="1" applyFont="1" applyFill="1" applyBorder="1" applyAlignment="1">
      <alignment horizontal="right" vertical="top"/>
    </xf>
    <xf numFmtId="168" fontId="8" fillId="18" borderId="13" xfId="0" applyNumberFormat="1" applyFont="1" applyFill="1" applyBorder="1" applyAlignment="1">
      <alignment horizontal="right" vertical="top"/>
    </xf>
    <xf numFmtId="168" fontId="8" fillId="19" borderId="13" xfId="0" applyNumberFormat="1" applyFont="1" applyFill="1" applyBorder="1" applyAlignment="1">
      <alignment horizontal="right" vertical="top"/>
    </xf>
    <xf numFmtId="0" fontId="0" fillId="0" borderId="16" xfId="0" applyBorder="1" applyAlignment="1">
      <alignment horizontal="left" wrapText="1"/>
    </xf>
    <xf numFmtId="0" fontId="0" fillId="16" borderId="16" xfId="0" applyFill="1" applyBorder="1"/>
    <xf numFmtId="0" fontId="0" fillId="17" borderId="16" xfId="0" applyFill="1" applyBorder="1"/>
    <xf numFmtId="0" fontId="0" fillId="18" borderId="16" xfId="0" applyFill="1" applyBorder="1"/>
    <xf numFmtId="0" fontId="0" fillId="19" borderId="16" xfId="0" applyFill="1" applyBorder="1"/>
    <xf numFmtId="0" fontId="11" fillId="0" borderId="13" xfId="0" applyFont="1" applyBorder="1" applyAlignment="1">
      <alignment horizontal="left" vertical="top"/>
    </xf>
    <xf numFmtId="0" fontId="8" fillId="17" borderId="13" xfId="0" applyFont="1" applyFill="1" applyBorder="1" applyAlignment="1">
      <alignment horizontal="right" vertical="top"/>
    </xf>
    <xf numFmtId="0" fontId="8" fillId="18" borderId="13" xfId="0" applyFont="1" applyFill="1" applyBorder="1" applyAlignment="1">
      <alignment horizontal="right" vertical="top"/>
    </xf>
    <xf numFmtId="0" fontId="8" fillId="19" borderId="13" xfId="0" applyFont="1" applyFill="1" applyBorder="1" applyAlignment="1">
      <alignment horizontal="right" vertical="top"/>
    </xf>
    <xf numFmtId="0" fontId="0" fillId="0" borderId="13" xfId="0" applyBorder="1" applyAlignment="1">
      <alignment horizontal="left" wrapText="1"/>
    </xf>
    <xf numFmtId="0" fontId="0" fillId="17" borderId="13" xfId="0" applyFill="1" applyBorder="1"/>
    <xf numFmtId="0" fontId="0" fillId="18" borderId="13" xfId="0" applyFill="1" applyBorder="1"/>
    <xf numFmtId="0" fontId="0" fillId="19" borderId="13" xfId="0" applyFill="1" applyBorder="1"/>
    <xf numFmtId="183" fontId="0" fillId="0" borderId="13" xfId="0" applyNumberFormat="1" applyBorder="1"/>
    <xf numFmtId="168" fontId="0" fillId="17" borderId="13" xfId="0" applyNumberFormat="1" applyFill="1" applyBorder="1"/>
    <xf numFmtId="168" fontId="0" fillId="18" borderId="13" xfId="0" applyNumberFormat="1" applyFill="1" applyBorder="1"/>
    <xf numFmtId="168" fontId="0" fillId="19" borderId="13" xfId="0" applyNumberFormat="1" applyFill="1" applyBorder="1"/>
    <xf numFmtId="179" fontId="0" fillId="0" borderId="13" xfId="0" applyNumberFormat="1" applyBorder="1"/>
    <xf numFmtId="0" fontId="8" fillId="0" borderId="16" xfId="0" applyFont="1" applyBorder="1" applyAlignment="1">
      <alignment horizontal="left" vertical="top"/>
    </xf>
    <xf numFmtId="179" fontId="0" fillId="0" borderId="16" xfId="0" applyNumberFormat="1" applyBorder="1"/>
    <xf numFmtId="168" fontId="0" fillId="17" borderId="16" xfId="0" applyNumberFormat="1" applyFill="1" applyBorder="1"/>
    <xf numFmtId="168" fontId="0" fillId="18" borderId="16" xfId="0" applyNumberFormat="1" applyFill="1" applyBorder="1"/>
    <xf numFmtId="168" fontId="0" fillId="19" borderId="16" xfId="0" applyNumberFormat="1" applyFill="1" applyBorder="1"/>
    <xf numFmtId="168" fontId="0" fillId="17" borderId="0" xfId="0" applyNumberFormat="1" applyFill="1"/>
    <xf numFmtId="168" fontId="0" fillId="18" borderId="0" xfId="0" applyNumberFormat="1" applyFill="1"/>
    <xf numFmtId="168" fontId="0" fillId="19" borderId="0" xfId="0" applyNumberFormat="1" applyFill="1"/>
    <xf numFmtId="2" fontId="0" fillId="17" borderId="13" xfId="0" applyNumberFormat="1" applyFill="1" applyBorder="1"/>
    <xf numFmtId="2" fontId="0" fillId="18" borderId="13" xfId="0" applyNumberFormat="1" applyFill="1" applyBorder="1"/>
    <xf numFmtId="2" fontId="0" fillId="19" borderId="13" xfId="0" applyNumberFormat="1" applyFill="1" applyBorder="1"/>
    <xf numFmtId="164" fontId="0" fillId="16" borderId="13" xfId="0" applyNumberFormat="1" applyFill="1" applyBorder="1"/>
    <xf numFmtId="183" fontId="0" fillId="16" borderId="0" xfId="0" applyNumberFormat="1" applyFill="1"/>
    <xf numFmtId="183" fontId="0" fillId="17" borderId="0" xfId="0" applyNumberFormat="1" applyFill="1"/>
    <xf numFmtId="183" fontId="0" fillId="18" borderId="0" xfId="0" applyNumberFormat="1" applyFill="1"/>
    <xf numFmtId="183" fontId="0" fillId="19" borderId="0" xfId="0" applyNumberFormat="1" applyFill="1"/>
    <xf numFmtId="183" fontId="0" fillId="16" borderId="13" xfId="0" applyNumberFormat="1" applyFill="1" applyBorder="1"/>
    <xf numFmtId="183" fontId="0" fillId="17" borderId="13" xfId="0" applyNumberFormat="1" applyFill="1" applyBorder="1"/>
    <xf numFmtId="183" fontId="0" fillId="18" borderId="13" xfId="0" applyNumberFormat="1" applyFill="1" applyBorder="1"/>
    <xf numFmtId="183" fontId="0" fillId="19" borderId="13" xfId="0" applyNumberFormat="1" applyFill="1" applyBorder="1"/>
    <xf numFmtId="0" fontId="0" fillId="0" borderId="31" xfId="0" applyBorder="1" applyAlignment="1">
      <alignment horizontal="left" wrapText="1"/>
    </xf>
    <xf numFmtId="0" fontId="0" fillId="0" borderId="31" xfId="0" applyBorder="1"/>
    <xf numFmtId="183" fontId="0" fillId="16" borderId="31" xfId="0" applyNumberFormat="1" applyFill="1" applyBorder="1"/>
    <xf numFmtId="183" fontId="0" fillId="17" borderId="31" xfId="0" applyNumberFormat="1" applyFill="1" applyBorder="1"/>
    <xf numFmtId="183" fontId="0" fillId="18" borderId="31" xfId="0" applyNumberFormat="1" applyFill="1" applyBorder="1"/>
    <xf numFmtId="183" fontId="0" fillId="19" borderId="31" xfId="0" applyNumberFormat="1" applyFill="1" applyBorder="1"/>
    <xf numFmtId="168" fontId="0" fillId="16" borderId="0" xfId="0" applyNumberFormat="1" applyFill="1"/>
    <xf numFmtId="164" fontId="0" fillId="16" borderId="0" xfId="0" applyNumberFormat="1" applyFill="1"/>
    <xf numFmtId="168" fontId="0" fillId="16" borderId="16" xfId="0" applyNumberFormat="1" applyFill="1" applyBorder="1"/>
    <xf numFmtId="168" fontId="0" fillId="16" borderId="13" xfId="0" applyNumberFormat="1" applyFill="1" applyBorder="1"/>
    <xf numFmtId="40" fontId="0" fillId="17" borderId="0" xfId="0" applyNumberFormat="1" applyFill="1"/>
    <xf numFmtId="40" fontId="0" fillId="18" borderId="0" xfId="0" applyNumberFormat="1" applyFill="1"/>
    <xf numFmtId="40" fontId="0" fillId="19" borderId="0" xfId="0" applyNumberFormat="1" applyFill="1"/>
    <xf numFmtId="184" fontId="0" fillId="17" borderId="0" xfId="0" applyNumberFormat="1" applyFill="1"/>
    <xf numFmtId="184" fontId="0" fillId="18" borderId="0" xfId="0" applyNumberFormat="1" applyFill="1"/>
    <xf numFmtId="184" fontId="0" fillId="19" borderId="0" xfId="0" applyNumberFormat="1" applyFill="1"/>
    <xf numFmtId="185" fontId="0" fillId="17" borderId="0" xfId="0" applyNumberFormat="1" applyFill="1"/>
    <xf numFmtId="185" fontId="0" fillId="18" borderId="0" xfId="0" applyNumberFormat="1" applyFill="1"/>
    <xf numFmtId="185" fontId="0" fillId="19" borderId="0" xfId="0" applyNumberFormat="1" applyFill="1"/>
    <xf numFmtId="184" fontId="0" fillId="0" borderId="0" xfId="0" applyNumberFormat="1"/>
    <xf numFmtId="183" fontId="0" fillId="20" borderId="0" xfId="0" applyNumberFormat="1" applyFill="1"/>
    <xf numFmtId="2" fontId="0" fillId="20" borderId="0" xfId="0" applyNumberFormat="1" applyFill="1"/>
    <xf numFmtId="1" fontId="0" fillId="0" borderId="9" xfId="0" applyNumberFormat="1" applyFill="1" applyBorder="1" applyAlignment="1">
      <alignment horizontal="left"/>
    </xf>
    <xf numFmtId="1" fontId="8" fillId="0" borderId="10" xfId="0" applyNumberFormat="1" applyFont="1" applyFill="1" applyBorder="1" applyAlignment="1">
      <alignment horizontal="right"/>
    </xf>
    <xf numFmtId="1" fontId="0" fillId="0" borderId="11" xfId="0" applyNumberFormat="1" applyFill="1" applyBorder="1" applyAlignment="1">
      <alignment horizontal="left"/>
    </xf>
    <xf numFmtId="1" fontId="0" fillId="0" borderId="12" xfId="0" applyNumberFormat="1" applyFill="1" applyBorder="1" applyAlignment="1">
      <alignment horizontal="right"/>
    </xf>
    <xf numFmtId="1" fontId="0" fillId="21" borderId="9" xfId="0" applyNumberFormat="1" applyFill="1" applyBorder="1" applyAlignment="1">
      <alignment horizontal="left"/>
    </xf>
    <xf numFmtId="1" fontId="0" fillId="21" borderId="10" xfId="0" applyNumberFormat="1" applyFill="1" applyBorder="1" applyAlignment="1">
      <alignment horizontal="right"/>
    </xf>
    <xf numFmtId="1" fontId="0" fillId="22" borderId="9" xfId="0" applyNumberFormat="1" applyFill="1" applyBorder="1" applyAlignment="1">
      <alignment horizontal="left"/>
    </xf>
    <xf numFmtId="1" fontId="8" fillId="22" borderId="10" xfId="0" applyNumberFormat="1" applyFont="1" applyFill="1" applyBorder="1" applyAlignment="1">
      <alignment horizontal="right"/>
    </xf>
    <xf numFmtId="0" fontId="20" fillId="0" borderId="0" xfId="0" applyFont="1" applyFill="1"/>
    <xf numFmtId="177" fontId="20" fillId="0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E3F"/>
      <rgbColor rgb="FF000080"/>
      <rgbColor rgb="FF808000"/>
      <rgbColor rgb="FF800080"/>
      <rgbColor rgb="FF008080"/>
      <rgbColor rgb="FFCCC0DA"/>
      <rgbColor rgb="FF808080"/>
      <rgbColor rgb="FFE6E0EC"/>
      <rgbColor rgb="FF7830A0"/>
      <rgbColor rgb="FFFFFFCC"/>
      <rgbColor rgb="FFE1F0FF"/>
      <rgbColor rgb="FF660066"/>
      <rgbColor rgb="FFDCE6F2"/>
      <rgbColor rgb="FF0066CC"/>
      <rgbColor rgb="FFD3D3D3"/>
      <rgbColor rgb="FF000080"/>
      <rgbColor rgb="FFFF00FF"/>
      <rgbColor rgb="FFF2F2F2"/>
      <rgbColor rgb="FF00FFFF"/>
      <rgbColor rgb="FF800080"/>
      <rgbColor rgb="FF800000"/>
      <rgbColor rgb="FF008080"/>
      <rgbColor rgb="FF0000E1"/>
      <rgbColor rgb="FF00B0F0"/>
      <rgbColor rgb="FFEDF7F9"/>
      <rgbColor rgb="FFEBF1DE"/>
      <rgbColor rgb="FFF1F6E8"/>
      <rgbColor rgb="FF87CEFA"/>
      <rgbColor rgb="FFFFE0D2"/>
      <rgbColor rgb="FFD9D9D9"/>
      <rgbColor rgb="FFFFC7CE"/>
      <rgbColor rgb="FF3366FF"/>
      <rgbColor rgb="FF33FF99"/>
      <rgbColor rgb="FF98FB98"/>
      <rgbColor rgb="FFFFC000"/>
      <rgbColor rgb="FFFF9900"/>
      <rgbColor rgb="FFFF6600"/>
      <rgbColor rgb="FF666699"/>
      <rgbColor rgb="FFDCE6F1"/>
      <rgbColor rgb="FF001F4D"/>
      <rgbColor rgb="FF00B050"/>
      <rgbColor rgb="FF015258"/>
      <rgbColor rgb="FF333300"/>
      <rgbColor rgb="FF993300"/>
      <rgbColor rgb="FF7030A0"/>
      <rgbColor rgb="FF0023F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191880</xdr:colOff>
      <xdr:row>1</xdr:row>
      <xdr:rowOff>90000</xdr:rowOff>
    </xdr:from>
    <xdr:to>
      <xdr:col>2</xdr:col>
      <xdr:colOff>1009080</xdr:colOff>
      <xdr:row>1</xdr:row>
      <xdr:rowOff>280080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03520" y="280440"/>
          <a:ext cx="14284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27</xdr:row>
      <xdr:rowOff>0</xdr:rowOff>
    </xdr:from>
    <xdr:to>
      <xdr:col>20</xdr:col>
      <xdr:colOff>464400</xdr:colOff>
      <xdr:row>41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29360" y="5219640"/>
          <a:ext cx="6667200" cy="28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64080</xdr:colOff>
      <xdr:row>39</xdr:row>
      <xdr:rowOff>18000</xdr:rowOff>
    </xdr:from>
    <xdr:to>
      <xdr:col>21</xdr:col>
      <xdr:colOff>540000</xdr:colOff>
      <xdr:row>41</xdr:row>
      <xdr:rowOff>112680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8307520" y="7523640"/>
          <a:ext cx="47592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74880</xdr:rowOff>
    </xdr:from>
    <xdr:to>
      <xdr:col>2</xdr:col>
      <xdr:colOff>1428480</xdr:colOff>
      <xdr:row>1</xdr:row>
      <xdr:rowOff>264960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2920" y="265320"/>
          <a:ext cx="14284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74880</xdr:rowOff>
    </xdr:from>
    <xdr:to>
      <xdr:col>2</xdr:col>
      <xdr:colOff>1428480</xdr:colOff>
      <xdr:row>1</xdr:row>
      <xdr:rowOff>264960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2920" y="265320"/>
          <a:ext cx="14284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74880</xdr:rowOff>
    </xdr:from>
    <xdr:to>
      <xdr:col>2</xdr:col>
      <xdr:colOff>1428480</xdr:colOff>
      <xdr:row>1</xdr:row>
      <xdr:rowOff>264960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2920" y="265320"/>
          <a:ext cx="14284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74880</xdr:rowOff>
    </xdr:from>
    <xdr:to>
      <xdr:col>2</xdr:col>
      <xdr:colOff>1428480</xdr:colOff>
      <xdr:row>1</xdr:row>
      <xdr:rowOff>264960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2920" y="265320"/>
          <a:ext cx="142848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P75"/>
  <sheetViews>
    <sheetView showGridLines="0" tabSelected="1" zoomScaleNormal="100" workbookViewId="0">
      <selection activeCell="B1" sqref="B1"/>
    </sheetView>
  </sheetViews>
  <sheetFormatPr defaultColWidth="8.7109375" defaultRowHeight="15" x14ac:dyDescent="0.25"/>
  <cols>
    <col min="3" max="3" width="32" customWidth="1"/>
    <col min="4" max="4" width="20" customWidth="1"/>
    <col min="5" max="5" width="15" customWidth="1"/>
    <col min="6" max="8" width="20" customWidth="1"/>
    <col min="10" max="10" width="32" customWidth="1"/>
    <col min="11" max="11" width="15" customWidth="1"/>
    <col min="12" max="12" width="18" customWidth="1"/>
    <col min="14" max="14" width="25" customWidth="1"/>
    <col min="15" max="15" width="15" customWidth="1"/>
  </cols>
  <sheetData>
    <row r="2" spans="2:16" ht="24" customHeight="1" x14ac:dyDescent="0.25"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spans="2:16" ht="14.25" customHeight="1" x14ac:dyDescent="0.25">
      <c r="B3" s="13"/>
      <c r="C3" s="9" t="s">
        <v>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4"/>
    </row>
    <row r="4" spans="2:16" x14ac:dyDescent="0.25">
      <c r="B4" s="13"/>
      <c r="P4" s="14"/>
    </row>
    <row r="5" spans="2:16" x14ac:dyDescent="0.25">
      <c r="B5" s="13"/>
      <c r="C5" s="15" t="s">
        <v>1</v>
      </c>
      <c r="D5" s="16"/>
      <c r="F5" s="17" t="s">
        <v>2</v>
      </c>
      <c r="G5" s="18" t="s">
        <v>3</v>
      </c>
      <c r="H5" s="18" t="s">
        <v>4</v>
      </c>
      <c r="J5" s="17" t="s">
        <v>5</v>
      </c>
      <c r="K5" s="18"/>
      <c r="L5" s="18"/>
      <c r="N5" s="15" t="s">
        <v>6</v>
      </c>
      <c r="O5" s="16"/>
      <c r="P5" s="14"/>
    </row>
    <row r="6" spans="2:16" x14ac:dyDescent="0.25">
      <c r="B6" s="13"/>
      <c r="C6" s="19" t="s">
        <v>7</v>
      </c>
      <c r="D6" s="20" t="s">
        <v>536</v>
      </c>
      <c r="F6" s="21" t="s">
        <v>8</v>
      </c>
      <c r="G6" s="22">
        <f>IFERROR('(Z+) Dev Budget'!G10,0)</f>
        <v>1601600</v>
      </c>
      <c r="H6" s="23">
        <f>IFERROR(G6/$H$14,0)</f>
        <v>7150</v>
      </c>
      <c r="J6" s="21" t="s">
        <v>9</v>
      </c>
      <c r="K6" s="24"/>
      <c r="L6" s="25">
        <v>0.03</v>
      </c>
      <c r="N6" s="19" t="s">
        <v>10</v>
      </c>
      <c r="O6" s="26">
        <v>1</v>
      </c>
      <c r="P6" s="14"/>
    </row>
    <row r="7" spans="2:16" x14ac:dyDescent="0.25">
      <c r="B7" s="13"/>
      <c r="C7" s="27" t="s">
        <v>11</v>
      </c>
      <c r="D7" s="28" t="s">
        <v>537</v>
      </c>
      <c r="F7" s="29" t="s">
        <v>12</v>
      </c>
      <c r="G7" s="30">
        <f>IFERROR('(Z+) Dev Budget'!G30,0)</f>
        <v>44063339.915230379</v>
      </c>
      <c r="H7" s="31">
        <f>IFERROR(G7/$H$14,0)</f>
        <v>196711.33890727846</v>
      </c>
      <c r="J7" s="29" t="s">
        <v>13</v>
      </c>
      <c r="K7" s="32"/>
      <c r="L7" s="33">
        <f>Dashboard!W21</f>
        <v>2.5000000000000001E-2</v>
      </c>
      <c r="N7" s="27" t="s">
        <v>14</v>
      </c>
      <c r="O7" s="34">
        <v>14289</v>
      </c>
      <c r="P7" s="14"/>
    </row>
    <row r="8" spans="2:16" x14ac:dyDescent="0.25">
      <c r="B8" s="13"/>
      <c r="C8" s="19" t="s">
        <v>15</v>
      </c>
      <c r="D8" s="20" t="s">
        <v>538</v>
      </c>
      <c r="F8" s="21" t="s">
        <v>16</v>
      </c>
      <c r="G8" s="22">
        <f>'(Z+) Dev Budget'!G109</f>
        <v>3635373</v>
      </c>
      <c r="H8" s="23">
        <f>+IFERROR(G8/$H$14,0)</f>
        <v>16229.34375</v>
      </c>
      <c r="J8" s="21" t="s">
        <v>17</v>
      </c>
      <c r="K8" s="24"/>
      <c r="L8" s="35">
        <f>'(Z+) OpEx'!D27</f>
        <v>0.31681547680972971</v>
      </c>
      <c r="N8" s="19" t="s">
        <v>18</v>
      </c>
      <c r="O8" s="26">
        <v>1</v>
      </c>
      <c r="P8" s="14"/>
    </row>
    <row r="9" spans="2:16" x14ac:dyDescent="0.25">
      <c r="B9" s="13"/>
      <c r="C9" s="36" t="s">
        <v>19</v>
      </c>
      <c r="D9" s="37" t="s">
        <v>539</v>
      </c>
      <c r="F9" s="29" t="s">
        <v>20</v>
      </c>
      <c r="G9" s="30">
        <f>'(Z+) Dev Budget'!G115</f>
        <v>2608935.6457615192</v>
      </c>
      <c r="H9" s="31">
        <f>+IFERROR(G9/$H$14,0)</f>
        <v>11647.034132863924</v>
      </c>
      <c r="J9" s="29" t="s">
        <v>21</v>
      </c>
      <c r="K9" s="32"/>
      <c r="L9" s="33">
        <v>0.04</v>
      </c>
      <c r="N9" s="27" t="s">
        <v>22</v>
      </c>
      <c r="O9" s="38">
        <v>38</v>
      </c>
      <c r="P9" s="14"/>
    </row>
    <row r="10" spans="2:16" x14ac:dyDescent="0.25">
      <c r="B10" s="13"/>
      <c r="F10" s="21" t="s">
        <v>23</v>
      </c>
      <c r="G10" s="22">
        <f>'(Z+) Dev Budget'!G124</f>
        <v>8268359.8934110152</v>
      </c>
      <c r="H10" s="23">
        <f>IFERROR(G10/$H$14,0)</f>
        <v>36912.320952727743</v>
      </c>
      <c r="J10" s="21" t="s">
        <v>24</v>
      </c>
      <c r="K10" s="24"/>
      <c r="L10" s="39">
        <f>1</f>
        <v>1</v>
      </c>
      <c r="N10" s="40" t="s">
        <v>25</v>
      </c>
      <c r="O10" s="41">
        <f>SUM(O11:O13)</f>
        <v>224</v>
      </c>
      <c r="P10" s="14"/>
    </row>
    <row r="11" spans="2:16" x14ac:dyDescent="0.25">
      <c r="B11" s="13"/>
      <c r="C11" s="17" t="s">
        <v>26</v>
      </c>
      <c r="D11" s="18"/>
      <c r="F11" s="42" t="s">
        <v>27</v>
      </c>
      <c r="G11" s="43">
        <f>SUM(G6:G10)</f>
        <v>60177608.454402916</v>
      </c>
      <c r="H11" s="44">
        <f>G11/$H$14</f>
        <v>268650.03774287016</v>
      </c>
      <c r="J11" s="42" t="s">
        <v>28</v>
      </c>
      <c r="K11" s="45"/>
      <c r="L11" s="46">
        <f>60/100</f>
        <v>0.6</v>
      </c>
      <c r="N11" s="27" t="s">
        <v>29</v>
      </c>
      <c r="O11" s="38">
        <v>224</v>
      </c>
      <c r="P11" s="14"/>
    </row>
    <row r="12" spans="2:16" x14ac:dyDescent="0.25">
      <c r="B12" s="13"/>
      <c r="C12" s="47" t="s">
        <v>30</v>
      </c>
      <c r="D12" s="48" t="s">
        <v>540</v>
      </c>
      <c r="N12" s="19" t="s">
        <v>31</v>
      </c>
      <c r="O12" s="26">
        <v>0</v>
      </c>
      <c r="P12" s="14"/>
    </row>
    <row r="13" spans="2:16" x14ac:dyDescent="0.25">
      <c r="B13" s="49"/>
      <c r="C13" s="47" t="s">
        <v>32</v>
      </c>
      <c r="D13" s="50">
        <v>29482</v>
      </c>
      <c r="F13" s="17" t="s">
        <v>33</v>
      </c>
      <c r="G13" s="18"/>
      <c r="H13" s="18"/>
      <c r="J13" s="17" t="s">
        <v>34</v>
      </c>
      <c r="K13" s="18"/>
      <c r="L13" s="18"/>
      <c r="N13" s="27" t="s">
        <v>35</v>
      </c>
      <c r="O13" s="38">
        <v>0</v>
      </c>
      <c r="P13" s="14"/>
    </row>
    <row r="14" spans="2:16" x14ac:dyDescent="0.25">
      <c r="B14" s="49"/>
      <c r="C14" s="47" t="s">
        <v>36</v>
      </c>
      <c r="D14" s="48">
        <v>216</v>
      </c>
      <c r="F14" s="51" t="s">
        <v>37</v>
      </c>
      <c r="G14" s="52"/>
      <c r="H14" s="53">
        <f>O10</f>
        <v>224</v>
      </c>
      <c r="J14" s="54" t="s">
        <v>38</v>
      </c>
      <c r="K14" s="55"/>
      <c r="L14" s="56"/>
      <c r="N14" s="40" t="s">
        <v>39</v>
      </c>
      <c r="O14" s="41">
        <f>SUM(O15:O20)</f>
        <v>17</v>
      </c>
      <c r="P14" s="14"/>
    </row>
    <row r="15" spans="2:16" x14ac:dyDescent="0.25">
      <c r="B15" s="49"/>
      <c r="C15" s="47" t="s">
        <v>40</v>
      </c>
      <c r="D15" s="48">
        <v>135</v>
      </c>
      <c r="F15" s="57" t="s">
        <v>41</v>
      </c>
      <c r="G15" s="58"/>
      <c r="H15" s="59">
        <f>(O11*1)+(O12*2)+(O13*2)</f>
        <v>224</v>
      </c>
      <c r="J15" s="60" t="s">
        <v>42</v>
      </c>
      <c r="K15" s="61">
        <f>L15/SUM($L$15:$L$16)</f>
        <v>1</v>
      </c>
      <c r="L15" s="62">
        <f>'(Z+) Dev Budget'!G118*(1-'(Z+) Financing'!D18)</f>
        <v>15572774.568297572</v>
      </c>
      <c r="N15" s="27" t="s">
        <v>43</v>
      </c>
      <c r="O15" s="38">
        <v>17</v>
      </c>
      <c r="P15" s="14"/>
    </row>
    <row r="16" spans="2:16" x14ac:dyDescent="0.25">
      <c r="B16" s="49"/>
      <c r="C16" s="47" t="s">
        <v>44</v>
      </c>
      <c r="D16" s="50">
        <v>13582.5</v>
      </c>
      <c r="F16" s="63" t="s">
        <v>45</v>
      </c>
      <c r="G16" s="64"/>
      <c r="H16" s="65">
        <f>O9</f>
        <v>38</v>
      </c>
      <c r="J16" s="66" t="s">
        <v>46</v>
      </c>
      <c r="K16" s="67">
        <f>L16/SUM($L$15:$L$16)</f>
        <v>0</v>
      </c>
      <c r="L16" s="68">
        <f>'(Z+) Financing'!D10</f>
        <v>0</v>
      </c>
      <c r="N16" s="19" t="s">
        <v>47</v>
      </c>
      <c r="O16" s="26">
        <v>0</v>
      </c>
      <c r="P16" s="14"/>
    </row>
    <row r="17" spans="2:16" x14ac:dyDescent="0.25">
      <c r="B17" s="13"/>
      <c r="C17" s="69" t="s">
        <v>48</v>
      </c>
      <c r="D17" s="70">
        <v>101416</v>
      </c>
      <c r="J17" s="60" t="s">
        <v>49</v>
      </c>
      <c r="K17" s="71"/>
      <c r="L17" s="72">
        <f>+SUM(L15:L16)</f>
        <v>15572774.568297572</v>
      </c>
      <c r="N17" s="27" t="s">
        <v>50</v>
      </c>
      <c r="O17" s="38">
        <v>0</v>
      </c>
      <c r="P17" s="14"/>
    </row>
    <row r="18" spans="2:16" x14ac:dyDescent="0.25">
      <c r="B18" s="13"/>
      <c r="J18" s="54" t="s">
        <v>51</v>
      </c>
      <c r="K18" s="55"/>
      <c r="L18" s="56"/>
      <c r="N18" s="19" t="s">
        <v>52</v>
      </c>
      <c r="O18" s="26">
        <v>0</v>
      </c>
      <c r="P18" s="14"/>
    </row>
    <row r="19" spans="2:16" x14ac:dyDescent="0.25">
      <c r="B19" s="13"/>
      <c r="C19" s="17" t="s">
        <v>53</v>
      </c>
      <c r="D19" s="18" t="s">
        <v>54</v>
      </c>
      <c r="E19" s="18" t="s">
        <v>55</v>
      </c>
      <c r="F19" s="18" t="s">
        <v>13</v>
      </c>
      <c r="G19" s="18" t="s">
        <v>56</v>
      </c>
      <c r="J19" s="60" t="s">
        <v>42</v>
      </c>
      <c r="K19" s="61">
        <f>L19/SUM($L$19,$L$20)</f>
        <v>0.39618737046467883</v>
      </c>
      <c r="L19" s="62">
        <f>'(Z+) Dev Budget'!G126-L20</f>
        <v>23841608.454402916</v>
      </c>
      <c r="N19" s="27" t="s">
        <v>57</v>
      </c>
      <c r="O19" s="38">
        <v>0</v>
      </c>
      <c r="P19" s="14"/>
    </row>
    <row r="20" spans="2:16" x14ac:dyDescent="0.25">
      <c r="B20" s="13"/>
      <c r="C20" s="73" t="s">
        <v>58</v>
      </c>
      <c r="D20" s="74">
        <v>1</v>
      </c>
      <c r="E20" s="75">
        <v>46357</v>
      </c>
      <c r="F20" s="76">
        <f>+IFERROR(INDEX('(Z+) Monthly CF'!$F$9:$HB$9,1,MATCH(Inputs!$D20,'(Z+) Monthly CF'!$F$5:$HB$5,0)),0)</f>
        <v>1</v>
      </c>
      <c r="G20" s="77">
        <f>+IFERROR(INDEX('(Z+) Monthly CF'!$F$10:$HB$10,1,MATCH(Inputs!D20,'(Z+) Monthly CF'!$F$5:$HB$5,0)),0)</f>
        <v>1</v>
      </c>
      <c r="J20" s="66" t="s">
        <v>59</v>
      </c>
      <c r="K20" s="67">
        <f>L20/SUM($L$19,$L$20)</f>
        <v>0.60381262953532122</v>
      </c>
      <c r="L20" s="68">
        <f>'(Z+) Financing'!D38</f>
        <v>36336000</v>
      </c>
      <c r="N20" s="19" t="s">
        <v>60</v>
      </c>
      <c r="O20" s="26">
        <v>0</v>
      </c>
      <c r="P20" s="14"/>
    </row>
    <row r="21" spans="2:16" x14ac:dyDescent="0.25">
      <c r="B21" s="13"/>
      <c r="C21" s="78" t="s">
        <v>61</v>
      </c>
      <c r="D21" s="79">
        <v>4</v>
      </c>
      <c r="E21" s="80">
        <f>+IFERROR(EOMONTH(E20,D21-1),0)</f>
        <v>46477</v>
      </c>
      <c r="F21" s="81">
        <f>+IFERROR(INDEX('(Z+) Monthly CF'!$F$9:$HB$9,1,MATCH(Inputs!$D21,'(Z+) Monthly CF'!$F$5:$HB$5,0)),0)</f>
        <v>1.0061922463256361</v>
      </c>
      <c r="G21" s="82">
        <f>+IFERROR(INDEX('(Z+) Monthly CF'!$F$10:$HB$10,1,MATCH(Inputs!D21,'(Z+) Monthly CF'!$F$5:$HB$5,0)),0)</f>
        <v>1.0074170717777329</v>
      </c>
      <c r="J21" s="60" t="s">
        <v>62</v>
      </c>
      <c r="K21" s="61"/>
      <c r="L21" s="62">
        <f>+SUM(L19,L20)</f>
        <v>60177608.454402916</v>
      </c>
      <c r="N21" s="83" t="s">
        <v>63</v>
      </c>
      <c r="O21" s="84">
        <f>(O11*1)+(O12*2)+(O13*2)+O14</f>
        <v>241</v>
      </c>
      <c r="P21" s="14"/>
    </row>
    <row r="22" spans="2:16" x14ac:dyDescent="0.25">
      <c r="B22" s="13"/>
      <c r="C22" s="73" t="s">
        <v>64</v>
      </c>
      <c r="D22" s="85">
        <f>Greenlight_Mo</f>
        <v>4</v>
      </c>
      <c r="E22" s="86">
        <f>+IFERROR(EOMONTH(E20,D21-1),0)</f>
        <v>46477</v>
      </c>
      <c r="F22" s="76">
        <f>+IFERROR(INDEX('(Z+) Monthly CF'!$F$9:$HB$9,1,MATCH(Inputs!$D22,'(Z+) Monthly CF'!$F$5:$HB$5,0)),0)</f>
        <v>1.0061922463256361</v>
      </c>
      <c r="G22" s="77">
        <f>+IFERROR(INDEX('(Z+) Monthly CF'!$F$10:$HB$10,1,MATCH(Inputs!D22,'(Z+) Monthly CF'!$F$5:$HB$5,0)),0)</f>
        <v>1.0074170717777329</v>
      </c>
      <c r="J22" s="66" t="s">
        <v>65</v>
      </c>
      <c r="K22" s="87"/>
      <c r="L22" s="88"/>
      <c r="P22" s="14"/>
    </row>
    <row r="23" spans="2:16" x14ac:dyDescent="0.25">
      <c r="B23" s="13"/>
      <c r="C23" s="78" t="s">
        <v>66</v>
      </c>
      <c r="D23" s="89"/>
      <c r="E23" s="90">
        <v>6</v>
      </c>
      <c r="F23" s="81"/>
      <c r="G23" s="82"/>
      <c r="J23" s="91" t="s">
        <v>42</v>
      </c>
      <c r="K23" s="92">
        <f>(L23/SUM($L$23:$L$24))</f>
        <v>0.19206922193117598</v>
      </c>
      <c r="L23" s="93">
        <f>'(Z+) Dev Budget'!G126-L24-'(Z+) Dev Budget'!G129+'(Z+) Financing'!H22*'(Z+) Financing'!H19</f>
        <v>11444788.010567654</v>
      </c>
      <c r="N23" s="17" t="s">
        <v>67</v>
      </c>
      <c r="O23" s="18"/>
      <c r="P23" s="14"/>
    </row>
    <row r="24" spans="2:16" x14ac:dyDescent="0.25">
      <c r="B24" s="13"/>
      <c r="C24" s="73" t="s">
        <v>68</v>
      </c>
      <c r="D24" s="94">
        <f>+IFERROR(D21+E23,0)</f>
        <v>10</v>
      </c>
      <c r="E24" s="86">
        <f>EOMONTH(E21,E23)</f>
        <v>46660</v>
      </c>
      <c r="F24" s="76"/>
      <c r="G24" s="77"/>
      <c r="J24" s="66" t="s">
        <v>46</v>
      </c>
      <c r="K24" s="67">
        <f>(L24/SUM($L$23:$L$24))</f>
        <v>0.80793077806882407</v>
      </c>
      <c r="L24" s="68">
        <f>'(Z+) Financing'!H19</f>
        <v>48142000</v>
      </c>
      <c r="N24" s="51" t="s">
        <v>69</v>
      </c>
      <c r="O24" s="53" t="s">
        <v>70</v>
      </c>
      <c r="P24" s="14"/>
    </row>
    <row r="25" spans="2:16" x14ac:dyDescent="0.25">
      <c r="B25" s="13"/>
      <c r="C25" s="78" t="s">
        <v>71</v>
      </c>
      <c r="D25" s="89">
        <f>+D24</f>
        <v>10</v>
      </c>
      <c r="E25" s="80">
        <f>+EOMONTH(E21,E23)</f>
        <v>46660</v>
      </c>
      <c r="F25" s="81">
        <f>+INDEX('(Z+) Monthly CF'!$F$9:$HB$9,1,MATCH(Inputs!$D25,'(Z+) Monthly CF'!$F$5:$HB$5,0))</f>
        <v>1.0186920081555439</v>
      </c>
      <c r="G25" s="82">
        <f>+INDEX('(Z+) Monthly CF'!$F$10:$HB$10,1,MATCH(Inputs!D25,'(Z+) Monthly CF'!$F$5:$HB$5,0))</f>
        <v>1.0224166622294937</v>
      </c>
      <c r="J25" s="95" t="s">
        <v>72</v>
      </c>
      <c r="K25" s="96"/>
      <c r="L25" s="97">
        <f>+SUM(L23:L24)</f>
        <v>59586788.01056765</v>
      </c>
      <c r="N25" s="57" t="s">
        <v>73</v>
      </c>
      <c r="O25" s="59">
        <v>0</v>
      </c>
      <c r="P25" s="14"/>
    </row>
    <row r="26" spans="2:16" x14ac:dyDescent="0.25">
      <c r="B26" s="13"/>
      <c r="C26" s="73" t="s">
        <v>74</v>
      </c>
      <c r="D26" s="94"/>
      <c r="E26" s="98">
        <f>Dashboard!W19</f>
        <v>11</v>
      </c>
      <c r="F26" s="76"/>
      <c r="G26" s="77"/>
      <c r="N26" s="51" t="s">
        <v>75</v>
      </c>
      <c r="O26" s="53">
        <v>0</v>
      </c>
      <c r="P26" s="14"/>
    </row>
    <row r="27" spans="2:16" x14ac:dyDescent="0.25">
      <c r="B27" s="13"/>
      <c r="C27" s="78" t="s">
        <v>76</v>
      </c>
      <c r="D27" s="89">
        <f>+IFERROR(E26+D25,0)</f>
        <v>21</v>
      </c>
      <c r="E27" s="80">
        <f>EOMONTH(E25,E26)</f>
        <v>46996</v>
      </c>
      <c r="F27" s="81">
        <f>+INDEX('(Z+) Monthly CF'!$F$9:$HB$9,1,MATCH(Inputs!$D27,'(Z+) Monthly CF'!$F$5:$HB$5,0))</f>
        <v>1.0420129323277785</v>
      </c>
      <c r="G27" s="82">
        <f>+INDEX('(Z+) Monthly CF'!$F$10:$HB$10,1,MATCH(Inputs!D27,'(Z+) Monthly CF'!$F$5:$HB$5,0))</f>
        <v>1.0504983497704847</v>
      </c>
      <c r="J27" s="17" t="s">
        <v>77</v>
      </c>
      <c r="K27" s="18" t="s">
        <v>78</v>
      </c>
      <c r="L27" s="18" t="s">
        <v>55</v>
      </c>
      <c r="N27" s="57" t="s">
        <v>79</v>
      </c>
      <c r="O27" s="59">
        <f>ROUNDUP((H14-1)*0.8,0)</f>
        <v>179</v>
      </c>
      <c r="P27" s="14"/>
    </row>
    <row r="28" spans="2:16" x14ac:dyDescent="0.25">
      <c r="B28" s="13"/>
      <c r="C28" s="73" t="s">
        <v>80</v>
      </c>
      <c r="D28" s="94"/>
      <c r="E28" s="85">
        <f>SUM(E26,E23)</f>
        <v>17</v>
      </c>
      <c r="F28" s="76"/>
      <c r="G28" s="77"/>
      <c r="J28" s="99" t="s">
        <v>81</v>
      </c>
      <c r="K28" s="100">
        <v>3</v>
      </c>
      <c r="L28" s="101">
        <f>Greenlight_Date-27</f>
        <v>46450</v>
      </c>
      <c r="N28" s="51" t="s">
        <v>82</v>
      </c>
      <c r="O28" s="53">
        <f>H14-1-O27</f>
        <v>44</v>
      </c>
      <c r="P28" s="14"/>
    </row>
    <row r="29" spans="2:16" x14ac:dyDescent="0.25">
      <c r="B29" s="13"/>
      <c r="C29" s="78" t="s">
        <v>83</v>
      </c>
      <c r="D29" s="89">
        <f>+IFERROR(D27+1,0)</f>
        <v>22</v>
      </c>
      <c r="E29" s="80">
        <f>+EOMONTH(E27,1)</f>
        <v>47026</v>
      </c>
      <c r="F29" s="81">
        <f>+INDEX('(Z+) Monthly CF'!$F$9:$HB$9,1,MATCH(Inputs!$D29,'(Z+) Monthly CF'!$F$5:$HB$5,0))</f>
        <v>1.0441593083594325</v>
      </c>
      <c r="G29" s="82">
        <f>+INDEX('(Z+) Monthly CF'!$F$10:$HB$10,1,MATCH(Inputs!D29,'(Z+) Monthly CF'!$F$5:$HB$5,0))</f>
        <v>1.0530343712110934</v>
      </c>
      <c r="J29" s="99" t="s">
        <v>84</v>
      </c>
      <c r="K29" s="100">
        <v>3</v>
      </c>
      <c r="L29" s="101">
        <f>+L28</f>
        <v>46450</v>
      </c>
      <c r="N29" s="482" t="s">
        <v>87</v>
      </c>
      <c r="O29" s="483" t="s">
        <v>88</v>
      </c>
      <c r="P29" s="14"/>
    </row>
    <row r="30" spans="2:16" x14ac:dyDescent="0.25">
      <c r="B30" s="13"/>
      <c r="C30" s="73" t="s">
        <v>85</v>
      </c>
      <c r="D30" s="94"/>
      <c r="E30" s="102">
        <v>30</v>
      </c>
      <c r="F30" s="76"/>
      <c r="G30" s="77"/>
      <c r="J30" s="99" t="s">
        <v>86</v>
      </c>
      <c r="K30" s="100">
        <v>6</v>
      </c>
      <c r="L30" s="101">
        <f>+EOMONTH(L28,K28-1)</f>
        <v>46538</v>
      </c>
      <c r="N30" s="478" t="s">
        <v>91</v>
      </c>
      <c r="O30" s="479">
        <v>1</v>
      </c>
      <c r="P30" s="14"/>
    </row>
    <row r="31" spans="2:16" x14ac:dyDescent="0.25">
      <c r="B31" s="13"/>
      <c r="C31" s="78" t="s">
        <v>89</v>
      </c>
      <c r="D31" s="89"/>
      <c r="E31" s="103">
        <f>+ROUNDUP('(Z+) Rent Roll'!E20/E30,0)</f>
        <v>8</v>
      </c>
      <c r="F31" s="81"/>
      <c r="G31" s="82"/>
      <c r="J31" s="99" t="s">
        <v>90</v>
      </c>
      <c r="K31" s="100">
        <v>6</v>
      </c>
      <c r="L31" s="101">
        <f>+EOMONTH(L30,K30)</f>
        <v>46721</v>
      </c>
      <c r="N31" s="484" t="s">
        <v>94</v>
      </c>
      <c r="O31" s="485">
        <v>1</v>
      </c>
      <c r="P31" s="14"/>
    </row>
    <row r="32" spans="2:16" x14ac:dyDescent="0.25">
      <c r="B32" s="13"/>
      <c r="C32" s="73" t="s">
        <v>92</v>
      </c>
      <c r="D32" s="94"/>
      <c r="E32" s="85">
        <f>3</f>
        <v>3</v>
      </c>
      <c r="F32" s="76"/>
      <c r="G32" s="77"/>
      <c r="J32" s="99" t="s">
        <v>93</v>
      </c>
      <c r="K32" s="100">
        <v>2</v>
      </c>
      <c r="L32" s="101">
        <f>+EOMONTH(L30,K30+4)</f>
        <v>46843</v>
      </c>
      <c r="N32" s="480" t="s">
        <v>97</v>
      </c>
      <c r="O32" s="481">
        <f>SUM(O25:O28)</f>
        <v>223</v>
      </c>
      <c r="P32" s="14"/>
    </row>
    <row r="33" spans="1:16" x14ac:dyDescent="0.25">
      <c r="B33" s="13"/>
      <c r="C33" s="78" t="s">
        <v>95</v>
      </c>
      <c r="D33" s="89"/>
      <c r="E33" s="103">
        <f>+E32+E31</f>
        <v>11</v>
      </c>
      <c r="F33" s="81"/>
      <c r="G33" s="82"/>
      <c r="J33" s="104" t="s">
        <v>96</v>
      </c>
      <c r="K33" s="105">
        <v>12</v>
      </c>
      <c r="L33" s="106">
        <f>+EOMONTH(L31,K31)</f>
        <v>46904</v>
      </c>
      <c r="P33" s="14"/>
    </row>
    <row r="34" spans="1:16" x14ac:dyDescent="0.25">
      <c r="B34" s="13"/>
      <c r="C34" s="73" t="s">
        <v>98</v>
      </c>
      <c r="D34" s="85">
        <f>33</f>
        <v>33</v>
      </c>
      <c r="E34" s="86">
        <f>EOMONTH(E29,E33)</f>
        <v>47361</v>
      </c>
      <c r="F34" s="76">
        <f>+INDEX('(Z+) Monthly CF'!$F$9:$HB$9,1,MATCH(Inputs!$D34,'(Z+) Monthly CF'!$F$5:$HB$5,0))</f>
        <v>1.0680632556359715</v>
      </c>
      <c r="G34" s="77">
        <f>+INDEX('(Z+) Monthly CF'!$F$10:$HB$10,1,MATCH(Inputs!D34,'(Z+) Monthly CF'!$F$5:$HB$5,0))</f>
        <v>1.081337944288473</v>
      </c>
      <c r="N34" s="15" t="s">
        <v>100</v>
      </c>
      <c r="O34" s="16"/>
      <c r="P34" s="14"/>
    </row>
    <row r="35" spans="1:16" x14ac:dyDescent="0.25">
      <c r="B35" s="13"/>
      <c r="C35" s="78" t="s">
        <v>99</v>
      </c>
      <c r="D35" s="103"/>
      <c r="E35" s="103">
        <f>ROUND(DAYS360(E21,E34)/30,0)</f>
        <v>29</v>
      </c>
      <c r="F35" s="81"/>
      <c r="G35" s="82"/>
      <c r="N35" s="19" t="s">
        <v>102</v>
      </c>
      <c r="O35" s="20" t="s">
        <v>103</v>
      </c>
      <c r="P35" s="14"/>
    </row>
    <row r="36" spans="1:16" x14ac:dyDescent="0.25">
      <c r="B36" s="13"/>
      <c r="C36" s="73" t="s">
        <v>101</v>
      </c>
      <c r="D36" s="85"/>
      <c r="E36" s="107">
        <f>IFERROR(Dashboard!W20,0)</f>
        <v>84</v>
      </c>
      <c r="F36" s="76"/>
      <c r="G36" s="77"/>
      <c r="N36" s="27" t="s">
        <v>105</v>
      </c>
      <c r="O36" s="108" t="s">
        <v>106</v>
      </c>
      <c r="P36" s="14"/>
    </row>
    <row r="37" spans="1:16" x14ac:dyDescent="0.25">
      <c r="B37" s="13"/>
      <c r="C37" s="78" t="s">
        <v>104</v>
      </c>
      <c r="D37" s="103"/>
      <c r="E37" s="103">
        <f>ROUNDUP((E36)/12,1)</f>
        <v>7</v>
      </c>
      <c r="F37" s="81"/>
      <c r="G37" s="82"/>
      <c r="N37" s="109" t="s">
        <v>108</v>
      </c>
      <c r="O37" s="110" t="s">
        <v>109</v>
      </c>
      <c r="P37" s="14"/>
    </row>
    <row r="38" spans="1:16" x14ac:dyDescent="0.25">
      <c r="B38" s="13"/>
      <c r="C38" s="73" t="s">
        <v>107</v>
      </c>
      <c r="D38" s="85">
        <f>+E36+D22</f>
        <v>88</v>
      </c>
      <c r="E38" s="86">
        <f>EOMONTH(E22,E36)</f>
        <v>49034</v>
      </c>
      <c r="F38" s="76">
        <f>+IFERROR(INDEX('(Z+) Monthly CF'!$F$9:$HB$9,1,MATCH(Inputs!$D38,'(Z+) Monthly CF'!$F$5:$HB$5,0)),0)</f>
        <v>1.1960463886586918</v>
      </c>
      <c r="G38" s="77">
        <f>+IFERROR(INDEX('(Z+) Monthly CF'!$F$10:$HB$10,1,MATCH(Inputs!D38,'(Z+) Monthly CF'!$F$5:$HB$5,0)),0)</f>
        <v>1.2346842891218868</v>
      </c>
      <c r="P38" s="14"/>
    </row>
    <row r="39" spans="1:16" x14ac:dyDescent="0.25">
      <c r="B39" s="111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3"/>
    </row>
    <row r="48" spans="1:16" x14ac:dyDescent="0.25">
      <c r="A48" s="114"/>
      <c r="D48" s="114"/>
    </row>
    <row r="49" spans="1:4" x14ac:dyDescent="0.25">
      <c r="B49" s="115"/>
      <c r="C49" s="115"/>
      <c r="D49" s="116"/>
    </row>
    <row r="52" spans="1:4" x14ac:dyDescent="0.25">
      <c r="A52" s="114"/>
      <c r="D52" s="114"/>
    </row>
    <row r="56" spans="1:4" x14ac:dyDescent="0.25">
      <c r="A56" s="114"/>
      <c r="B56" s="117"/>
      <c r="C56" s="117"/>
      <c r="D56" s="117"/>
    </row>
    <row r="57" spans="1:4" x14ac:dyDescent="0.25">
      <c r="B57" s="118"/>
      <c r="C57" s="118"/>
      <c r="D57" s="118"/>
    </row>
    <row r="58" spans="1:4" x14ac:dyDescent="0.25">
      <c r="B58" s="118"/>
      <c r="C58" s="118"/>
      <c r="D58" s="118"/>
    </row>
    <row r="59" spans="1:4" x14ac:dyDescent="0.25">
      <c r="B59" s="118"/>
      <c r="C59" s="118"/>
      <c r="D59" s="118"/>
    </row>
    <row r="62" spans="1:4" x14ac:dyDescent="0.25">
      <c r="B62" s="117"/>
      <c r="C62" s="117"/>
      <c r="D62" s="117"/>
    </row>
    <row r="63" spans="1:4" x14ac:dyDescent="0.25">
      <c r="B63" s="117"/>
      <c r="C63" s="117"/>
      <c r="D63" s="117"/>
    </row>
    <row r="68" spans="1:5" x14ac:dyDescent="0.25">
      <c r="A68" s="114"/>
      <c r="B68" s="114"/>
      <c r="D68" s="119"/>
    </row>
    <row r="69" spans="1:5" x14ac:dyDescent="0.25">
      <c r="A69" s="114"/>
      <c r="B69" s="114"/>
      <c r="D69" s="119"/>
    </row>
    <row r="70" spans="1:5" x14ac:dyDescent="0.25">
      <c r="A70" s="114"/>
      <c r="B70" s="114"/>
      <c r="D70" s="119"/>
    </row>
    <row r="71" spans="1:5" x14ac:dyDescent="0.25">
      <c r="A71" s="114"/>
      <c r="B71" s="114"/>
      <c r="D71" s="119"/>
    </row>
    <row r="73" spans="1:5" x14ac:dyDescent="0.25">
      <c r="D73" s="120"/>
      <c r="E73" s="114"/>
    </row>
    <row r="74" spans="1:5" x14ac:dyDescent="0.25">
      <c r="D74" s="119"/>
      <c r="E74" s="114"/>
    </row>
    <row r="75" spans="1:5" x14ac:dyDescent="0.25">
      <c r="D75" s="119"/>
      <c r="E75" s="114"/>
    </row>
  </sheetData>
  <mergeCells count="1">
    <mergeCell ref="C3:O3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1F4D"/>
  </sheetPr>
  <dimension ref="A1:W49"/>
  <sheetViews>
    <sheetView showGridLines="0" zoomScaleNormal="100" workbookViewId="0"/>
  </sheetViews>
  <sheetFormatPr defaultColWidth="8.7109375" defaultRowHeight="15" x14ac:dyDescent="0.25"/>
  <cols>
    <col min="1" max="2" width="25" customWidth="1"/>
    <col min="4" max="4" width="25" customWidth="1"/>
    <col min="5" max="7" width="20" customWidth="1"/>
    <col min="9" max="9" width="20" customWidth="1"/>
    <col min="10" max="11" width="17" customWidth="1"/>
    <col min="13" max="13" width="23" customWidth="1"/>
    <col min="14" max="20" width="22" customWidth="1"/>
    <col min="22" max="22" width="17" customWidth="1"/>
    <col min="23" max="23" width="15" customWidth="1"/>
  </cols>
  <sheetData>
    <row r="1" spans="1:22" s="122" customFormat="1" ht="21" customHeight="1" x14ac:dyDescent="0.35">
      <c r="A1" s="121" t="s">
        <v>110</v>
      </c>
    </row>
    <row r="3" spans="1:22" x14ac:dyDescent="0.25">
      <c r="A3" s="17" t="s">
        <v>111</v>
      </c>
      <c r="B3" s="123"/>
      <c r="D3" s="8" t="s">
        <v>112</v>
      </c>
      <c r="E3" s="8"/>
      <c r="F3" s="124" t="s">
        <v>113</v>
      </c>
      <c r="G3" s="124" t="s">
        <v>114</v>
      </c>
      <c r="I3" s="8" t="s">
        <v>115</v>
      </c>
      <c r="J3" s="8"/>
      <c r="K3" s="124" t="s">
        <v>116</v>
      </c>
      <c r="M3" s="7" t="s">
        <v>117</v>
      </c>
      <c r="N3" s="7"/>
      <c r="O3" s="125">
        <f>IFERROR(1,0)</f>
        <v>1</v>
      </c>
      <c r="P3" s="125">
        <f t="shared" ref="P3:V3" si="0">IFERROR(O3+1,0)</f>
        <v>2</v>
      </c>
      <c r="Q3" s="125">
        <f t="shared" si="0"/>
        <v>3</v>
      </c>
      <c r="R3" s="125">
        <f t="shared" si="0"/>
        <v>4</v>
      </c>
      <c r="S3" s="125">
        <f t="shared" si="0"/>
        <v>5</v>
      </c>
      <c r="T3" s="125">
        <f t="shared" si="0"/>
        <v>6</v>
      </c>
      <c r="U3" s="125">
        <f t="shared" si="0"/>
        <v>7</v>
      </c>
      <c r="V3" s="125">
        <f t="shared" si="0"/>
        <v>8</v>
      </c>
    </row>
    <row r="4" spans="1:22" x14ac:dyDescent="0.25">
      <c r="A4" s="126" t="s">
        <v>7</v>
      </c>
      <c r="B4" s="127" t="str">
        <f>Inputs!D6</f>
        <v>2828 STANFORD AVE</v>
      </c>
      <c r="D4" s="128" t="s">
        <v>118</v>
      </c>
      <c r="E4" s="129">
        <f>IFERROR(Inputs!G6,0)</f>
        <v>1601600</v>
      </c>
      <c r="F4" s="129">
        <f t="shared" ref="F4:F9" si="1">IFERROR(E4/$B$10,0)</f>
        <v>7150</v>
      </c>
      <c r="G4" s="130">
        <f>IFERROR(E4/$E$10,0)</f>
        <v>2.6614550513644055E-2</v>
      </c>
      <c r="I4" s="131" t="s">
        <v>119</v>
      </c>
      <c r="J4" s="132">
        <f>IFERROR(J5-0.005,0)</f>
        <v>6.25E-2</v>
      </c>
      <c r="K4" s="133">
        <f>IFERROR(22.1/100,0)</f>
        <v>0.221</v>
      </c>
      <c r="M4" s="6" t="s">
        <v>55</v>
      </c>
      <c r="N4" s="6"/>
      <c r="O4" s="134" t="str">
        <f>IFERROR(TEXT(Inputs!E22, "yyyy"),0)</f>
        <v>2027</v>
      </c>
      <c r="P4" s="134" t="str">
        <f>IFERROR(TEXT(Inputs!E22+365, "yyyy"),0)</f>
        <v>2028</v>
      </c>
      <c r="Q4" s="134" t="str">
        <f>IFERROR(TEXT(Inputs!E22+(365*2), "yyyy"),0)</f>
        <v>2029</v>
      </c>
      <c r="R4" s="134" t="str">
        <f>IFERROR(TEXT(Inputs!E22+(365*3), "yyyy"),0)</f>
        <v>2030</v>
      </c>
      <c r="S4" s="134" t="str">
        <f>IFERROR(TEXT(Inputs!E22+(365*4),"yyyy"),0)</f>
        <v>2031</v>
      </c>
      <c r="T4" s="134" t="str">
        <f>IFERROR(TEXT(Inputs!E22+(365*5), "yyyy"),0)</f>
        <v>2032</v>
      </c>
      <c r="U4" s="134" t="str">
        <f>IFERROR(TEXT(Inputs!E22+(365*6), "yyyy"),0)</f>
        <v>2033</v>
      </c>
      <c r="V4" s="134" t="str">
        <f>IFERROR(TEXT(Inputs!E22+(365*7), "yyyy"),0)</f>
        <v>2034</v>
      </c>
    </row>
    <row r="5" spans="1:22" x14ac:dyDescent="0.25">
      <c r="A5" s="126" t="s">
        <v>120</v>
      </c>
      <c r="B5" s="135">
        <f>'(Z+) Financing'!K7</f>
        <v>0.15538478493690497</v>
      </c>
      <c r="D5" s="128" t="s">
        <v>121</v>
      </c>
      <c r="E5" s="129">
        <f>IFERROR('(Z+) Dev Budget'!G14,0)</f>
        <v>20160000</v>
      </c>
      <c r="F5" s="129">
        <f t="shared" si="1"/>
        <v>90000</v>
      </c>
      <c r="G5" s="130">
        <f>IFERROR(E5/$E$10,0)</f>
        <v>0.33500832814377135</v>
      </c>
      <c r="I5" s="131" t="s">
        <v>122</v>
      </c>
      <c r="J5" s="132">
        <v>6.7500000000000004E-2</v>
      </c>
      <c r="K5" s="133">
        <f>IFERROR(B5,0)</f>
        <v>0.15538478493690497</v>
      </c>
      <c r="M5" s="5" t="s">
        <v>123</v>
      </c>
      <c r="N5" s="5"/>
      <c r="O5" s="136">
        <f>IFERROR(SUMIF('(Z+) Monthly CF'!F6:EU6,"=1",'(Z+) Monthly CF'!F70:EU70),0)</f>
        <v>-27147049.051662453</v>
      </c>
      <c r="P5" s="136">
        <f>IFERROR(SUMIF('(Z+) Monthly CF'!F6:EU6,"=2",'(Z+) Monthly CF'!F70:EU70),0)</f>
        <v>-24769287.067413684</v>
      </c>
      <c r="Q5" s="137">
        <f>IFERROR(SUMIF('(Z+) Monthly CF'!F6:EU6,"=3",'(Z+) Monthly CF'!F70:EU70),0)</f>
        <v>0</v>
      </c>
      <c r="R5" s="137">
        <f>IFERROR(SUMIF('(Z+) Monthly CF'!F6:EU6,"=4",'(Z+) Monthly CF'!F70:EU70),0)</f>
        <v>0</v>
      </c>
      <c r="S5" s="137">
        <f>IFERROR(SUMIF('(Z+) Monthly CF'!F6:EU6,"=5",'(Z+) Monthly CF'!F70:EU70),0)</f>
        <v>0</v>
      </c>
      <c r="T5" s="137">
        <f>IFERROR(SUMIF('(Z+) Monthly CF'!F6:EU6,"=6",'(Z+) Monthly CF'!F70:EU70),0)</f>
        <v>0</v>
      </c>
      <c r="U5" s="137">
        <f>IFERROR(SUMIF('(Z+) Monthly CF'!F6:EU6,"=8",'(Z+) Monthly CF'!F70:EU70),0)</f>
        <v>0</v>
      </c>
      <c r="V5" s="138">
        <f>IFERROR(SUMIF('(Z+) Monthly CF'!G6:EV6,"=7",'(Z+) Monthly CF'!G70:EV70),0)</f>
        <v>0</v>
      </c>
    </row>
    <row r="6" spans="1:22" x14ac:dyDescent="0.25">
      <c r="A6" s="126" t="s">
        <v>124</v>
      </c>
      <c r="B6" s="127">
        <f>'(Z+) Financing'!K12</f>
        <v>1.720193531614989</v>
      </c>
      <c r="D6" s="128" t="s">
        <v>125</v>
      </c>
      <c r="E6" s="129">
        <f>IFERROR(Inputs!G7-'(Z+) Dev Budget'!G14,0)</f>
        <v>23903339.915230379</v>
      </c>
      <c r="F6" s="129">
        <f t="shared" si="1"/>
        <v>106711.33890727848</v>
      </c>
      <c r="G6" s="130">
        <f>IFERROR(E6/$E$10,0)</f>
        <v>0.39721319157011936</v>
      </c>
      <c r="I6" s="139" t="s">
        <v>126</v>
      </c>
      <c r="J6" s="140">
        <f>IFERROR(J5+0.005,0)</f>
        <v>7.2500000000000009E-2</v>
      </c>
      <c r="K6" s="141">
        <f>IFERROR(12.6/100,0)</f>
        <v>0.126</v>
      </c>
      <c r="M6" s="5" t="s">
        <v>127</v>
      </c>
      <c r="N6" s="5"/>
      <c r="O6" s="137">
        <f>IFERROR(SUMIF('(Z+) Monthly CF'!F6:EU6,"=1",'(Z+) Monthly CF'!F89:EU89),0)</f>
        <v>3305440.5972595345</v>
      </c>
      <c r="P6" s="137">
        <f>IFERROR(SUMIF('(Z+) Monthly CF'!F6:EU6,"=2",'(Z+) Monthly CF'!F89:EU89),0)</f>
        <v>24769287.067413684</v>
      </c>
      <c r="Q6" s="137">
        <f>IFERROR(SUMIF('(Z+) Monthly CF'!F6:EU6,"=3",'(Z+) Monthly CF'!F89:EU89),0)</f>
        <v>0</v>
      </c>
      <c r="R6" s="137">
        <f>IFERROR(SUMIF('(Z+) Monthly CF'!F6:EU6,"=4",'(Z+) Monthly CF'!F89:EU89),0)</f>
        <v>0</v>
      </c>
      <c r="S6" s="137">
        <f>IFERROR(SUMIF('(Z+) Monthly CF'!F6:EV6,"=5",'(Z+) Monthly CF'!F89:EV89),0)</f>
        <v>0</v>
      </c>
      <c r="T6" s="137">
        <f>IFERROR(SUMIF('(Z+) Monthly CF'!F6:EW6,"=6",'(Z+) Monthly CF'!F89:EW89),0)</f>
        <v>0</v>
      </c>
      <c r="U6" s="137">
        <f>IFERROR(SUMIF('(Z+) Monthly CF'!F6:EX6,"=7",'(Z+) Monthly CF'!F89:EX89),0)</f>
        <v>0</v>
      </c>
      <c r="V6" s="142">
        <f>IFERROR(SUMIF('(Z+) Monthly CF'!G6:EY6,"=8",'(Z+) Monthly CF'!G89:EY89),0)</f>
        <v>0</v>
      </c>
    </row>
    <row r="7" spans="1:22" x14ac:dyDescent="0.25">
      <c r="A7" s="126" t="s">
        <v>128</v>
      </c>
      <c r="B7" s="135">
        <f>'(Z+) Financing'!K9</f>
        <v>0.17628921958588242</v>
      </c>
      <c r="D7" s="128" t="s">
        <v>16</v>
      </c>
      <c r="E7" s="129">
        <f>IFERROR(Inputs!G8,0)</f>
        <v>3635373</v>
      </c>
      <c r="F7" s="129">
        <f t="shared" si="1"/>
        <v>16229.34375</v>
      </c>
      <c r="G7" s="130">
        <f>IFERROR(E7/$E$10,0)</f>
        <v>6.0410725739534051E-2</v>
      </c>
      <c r="M7" s="5" t="s">
        <v>129</v>
      </c>
      <c r="N7" s="5"/>
      <c r="O7" s="136">
        <f>IFERROR(SUMIF('(Z+) Monthly CF'!F6:EU6,"=1",'(Z+) Monthly CF'!F92:EU92)+SUMIF('(Z+) Monthly CF'!F6:EU6,"=1",'(Z+) Monthly CF'!F77:EU77),0)</f>
        <v>5578.6791067576178</v>
      </c>
      <c r="P7" s="136">
        <f>IFERROR(SUMIF('(Z+) Monthly CF'!G6:EV6,"=2",'(Z+) Monthly CF'!G92:EV92)-SUMIF('(Z+) Monthly CF'!G6:EV6,"=2",'(Z+) Monthly CF'!G77:EV77),0)</f>
        <v>-1895624.2580588211</v>
      </c>
      <c r="Q7" s="137">
        <f>IFERROR(SUMIF('(Z+) Monthly CF'!H6:EW6,"=3",'(Z+) Monthly CF'!H92:EW92)-SUMIF('(Z+) Monthly CF'!H6:EW6,"=3",'(Z+) Monthly CF'!H77:EW77),0)</f>
        <v>-34312335.957592599</v>
      </c>
      <c r="R7" s="137">
        <f>IFERROR(SUMIF('(Z+) Monthly CF'!I6:EX6,"=4",'(Z+) Monthly CF'!I92:EX92)-SUMIF('(Z+) Monthly CF'!I6:EX6,"=4",'(Z+) Monthly CF'!I77:EX77),0)</f>
        <v>0</v>
      </c>
      <c r="S7" s="137">
        <f>IFERROR(SUMIF('(Z+) Monthly CF'!G6:EV6,"=5",'(Z+) Monthly CF'!G92:EV92)-SUMIF('(Z+) Monthly CF'!I6:EX6,"=5",'(Z+) Monthly CF'!I77:EX77),0)</f>
        <v>0</v>
      </c>
      <c r="T7" s="137">
        <f>IFERROR(SUMIF('(Z+) Monthly CF'!H6:EW6,"=6",'(Z+) Monthly CF'!H92:EW92)-SUMIF('(Z+) Monthly CF'!I6:EX6,"=6",'(Z+) Monthly CF'!I77:EX77),0)</f>
        <v>0</v>
      </c>
      <c r="U7" s="137">
        <f>IFERROR(SUMIF('(Z+) Monthly CF'!I6:EX6,"=7",'(Z+) Monthly CF'!I92:EX92)-SUMIF('(Z+) Monthly CF'!I6:EX6,"=7",'(Z+) Monthly CF'!I77:EX77),0)</f>
        <v>0</v>
      </c>
      <c r="V7" s="138">
        <f>IFERROR(SUMIF('(Z+) Monthly CF'!J6:EY6,"=8",'(Z+) Monthly CF'!J92:EY92)-SUMIF('(Z+) Monthly CF'!I6:EX6,"=8",'(Z+) Monthly CF'!I77:EX77),0)</f>
        <v>0</v>
      </c>
    </row>
    <row r="8" spans="1:22" x14ac:dyDescent="0.25">
      <c r="A8" s="126" t="s">
        <v>130</v>
      </c>
      <c r="B8" s="135">
        <f>'(Z+) Financing'!K11</f>
        <v>8.0198049466892657E-2</v>
      </c>
      <c r="D8" s="128" t="s">
        <v>20</v>
      </c>
      <c r="E8" s="129">
        <f>IFERROR(Inputs!G9,0)</f>
        <v>2608935.6457615192</v>
      </c>
      <c r="F8" s="129">
        <f t="shared" si="1"/>
        <v>11647.034132863924</v>
      </c>
      <c r="G8" s="130">
        <f>IFERROR(E8/$E$10,0)</f>
        <v>4.3353927029824255E-2</v>
      </c>
      <c r="I8" s="143" t="s">
        <v>131</v>
      </c>
      <c r="J8" s="144" t="s">
        <v>132</v>
      </c>
      <c r="K8" s="144" t="s">
        <v>133</v>
      </c>
      <c r="M8" s="5" t="s">
        <v>134</v>
      </c>
      <c r="N8" s="5"/>
      <c r="O8" s="137">
        <f>IFERROR(SUMIF('(Z+) Monthly CF'!F6:EU6, "=1",'(Z+) Monthly CF'!F19:EU19),0)</f>
        <v>0</v>
      </c>
      <c r="P8" s="137">
        <f>IFERROR(SUMIF('(Z+) Monthly CF'!G6:EV6, "=2",'(Z+) Monthly CF'!G19:EV19),0)</f>
        <v>356945.09361228545</v>
      </c>
      <c r="Q8" s="137">
        <f>IFERROR(SUMIF('(Z+) Monthly CF'!H6:EW6, "=3",'(Z+) Monthly CF'!H19:EW19),0)</f>
        <v>5618733.6478863582</v>
      </c>
      <c r="R8" s="137">
        <f>IFERROR(SUMIF('(Z+) Monthly CF'!I6:EX6, "=4",'(Z+) Monthly CF'!I19:EX19),0)</f>
        <v>6683635.6059353258</v>
      </c>
      <c r="S8" s="137">
        <f>IFERROR(SUMIF('(Z+) Monthly CF'!J6:EY6, "=5",'(Z+) Monthly CF'!J19:EY19),0)</f>
        <v>6850726.4960837029</v>
      </c>
      <c r="T8" s="137">
        <f>IFERROR(SUMIF('(Z+) Monthly CF'!K6:EZ6, "=6",'(Z+) Monthly CF'!K19:EZ19),0)</f>
        <v>7021994.658485787</v>
      </c>
      <c r="U8" s="137">
        <f>IFERROR(SUMIF('(Z+) Monthly CF'!L6:FA6, "=7",'(Z+) Monthly CF'!L19:FA19),0)</f>
        <v>7197544.524947919</v>
      </c>
      <c r="V8" s="138">
        <f>IFERROR(SUMIF('(Z+) Monthly CF'!M6:FB6, "=8",'(Z+) Monthly CF'!M19:FB19),0)</f>
        <v>7377483.1380716059</v>
      </c>
    </row>
    <row r="9" spans="1:22" x14ac:dyDescent="0.25">
      <c r="A9" s="126" t="s">
        <v>135</v>
      </c>
      <c r="B9" s="145">
        <f>'(Z+) Financing'!K14</f>
        <v>17170572.192158204</v>
      </c>
      <c r="D9" s="128" t="s">
        <v>23</v>
      </c>
      <c r="E9" s="129">
        <f>IFERROR(Inputs!G10,0)</f>
        <v>8268359.8934110152</v>
      </c>
      <c r="F9" s="129">
        <f t="shared" si="1"/>
        <v>36912.320952727743</v>
      </c>
      <c r="G9" s="130">
        <f>IFERROR(E4/$E$10,0)</f>
        <v>2.6614550513644055E-2</v>
      </c>
      <c r="I9" s="146" t="s">
        <v>136</v>
      </c>
      <c r="J9" s="147">
        <f>IFERROR('(Z+) Financing'!D38,0)</f>
        <v>36336000</v>
      </c>
      <c r="K9" s="147">
        <f>IFERROR(perm_proceeds,0)</f>
        <v>48142000</v>
      </c>
      <c r="M9" s="5" t="s">
        <v>137</v>
      </c>
      <c r="N9" s="5"/>
      <c r="O9" s="136">
        <f>IFERROR(SUMIF('(Z+) Monthly CF'!F6:EU6,"=1",'(Z+) Monthly CF'!F47:EU47),0)</f>
        <v>0</v>
      </c>
      <c r="P9" s="136">
        <f>IFERROR(SUMIF('(Z+) Monthly CF'!G6:EV6,"=2",'(Z+) Monthly CF'!G47:EV47),0)</f>
        <v>-322257.23728708288</v>
      </c>
      <c r="Q9" s="136">
        <f>IFERROR(SUMIF('(Z+) Monthly CF'!H6:EW6,"=3",'(Z+) Monthly CF'!H47:EW47),0)</f>
        <v>-1645829.5267097743</v>
      </c>
      <c r="R9" s="136">
        <f>IFERROR(SUMIF('(Z+) Monthly CF'!I6:EX6,"=4",'(Z+) Monthly CF'!I47:EX47),0)</f>
        <v>-1766930.5077391048</v>
      </c>
      <c r="S9" s="136">
        <f>IFERROR(SUMIF('(Z+) Monthly CF'!J6:EY6,"=5",'(Z+) Monthly CF'!J47:EY47),0)</f>
        <v>-1817346.4127523629</v>
      </c>
      <c r="T9" s="136">
        <f>IFERROR(SUMIF('(Z+) Monthly CF'!K6:EZ6,"=6",'(Z+) Monthly CF'!K47:EZ47),0)</f>
        <v>-1869205.9813217409</v>
      </c>
      <c r="U9" s="136">
        <f>IFERROR(SUMIF('(Z+) Monthly CF'!L6:FA6,"=7",'(Z+) Monthly CF'!L47:FA47),0)</f>
        <v>-1922550.6851940411</v>
      </c>
      <c r="V9" s="138">
        <f>IFERROR(SUMIF('(Z+) Monthly CF'!M6:FB6,"=8",'(Z+) Monthly CF'!M47:FB47),0)</f>
        <v>-1977423.1908556172</v>
      </c>
    </row>
    <row r="10" spans="1:22" x14ac:dyDescent="0.25">
      <c r="A10" s="126" t="s">
        <v>138</v>
      </c>
      <c r="B10" s="127">
        <f>Inputs!O10</f>
        <v>224</v>
      </c>
      <c r="D10" s="148" t="s">
        <v>27</v>
      </c>
      <c r="E10" s="149">
        <f>IFERROR(SUM(E4:E9),0)</f>
        <v>60177608.454402916</v>
      </c>
      <c r="F10" s="149">
        <f>IFERROR(SUM(F4:F9),0)</f>
        <v>268650.03774287016</v>
      </c>
      <c r="G10" s="150">
        <f>IFERROR(SUM(G4:G9),0)</f>
        <v>0.88921527351053709</v>
      </c>
      <c r="I10" s="146" t="s">
        <v>139</v>
      </c>
      <c r="J10" s="151">
        <f>IFERROR('(Z+) Financing'!D34,0)</f>
        <v>0.75</v>
      </c>
      <c r="K10" s="151">
        <f>IFERROR('(Z+) Financing'!H14,0)</f>
        <v>0.75</v>
      </c>
      <c r="M10" s="5" t="s">
        <v>140</v>
      </c>
      <c r="N10" s="5"/>
      <c r="O10" s="137">
        <f>IFERROR(Dashboard!O8+Dashboard!O9,0)</f>
        <v>0</v>
      </c>
      <c r="P10" s="137">
        <f>IFERROR(Dashboard!P8+Dashboard!P9,0)</f>
        <v>34687.856325202563</v>
      </c>
      <c r="Q10" s="137">
        <f>IFERROR(Dashboard!Q8+Dashboard!Q9,0)</f>
        <v>3972904.1211765837</v>
      </c>
      <c r="R10" s="137">
        <f>IFERROR(Dashboard!R8+Dashboard!R9,0)</f>
        <v>4916705.0981962215</v>
      </c>
      <c r="S10" s="137">
        <f>IFERROR(Dashboard!S8+Dashboard!S9,0)</f>
        <v>5033380.08333134</v>
      </c>
      <c r="T10" s="137">
        <f>IFERROR(Dashboard!T8+Dashboard!T9,0)</f>
        <v>5152788.6771640461</v>
      </c>
      <c r="U10" s="137">
        <f>IFERROR(Dashboard!U8+Dashboard!U9,0)</f>
        <v>5274993.8397538774</v>
      </c>
      <c r="V10" s="138">
        <f>IFERROR(SUM(V8:V9),0)</f>
        <v>5400059.9472159892</v>
      </c>
    </row>
    <row r="11" spans="1:22" x14ac:dyDescent="0.25">
      <c r="A11" s="126" t="s">
        <v>141</v>
      </c>
      <c r="B11" s="127">
        <f>Inputs!H16</f>
        <v>38</v>
      </c>
      <c r="I11" s="146" t="s">
        <v>142</v>
      </c>
      <c r="J11" s="152">
        <v>0.7</v>
      </c>
      <c r="K11" s="151">
        <f>IFERROR('(Z+) Financing'!H16,0)</f>
        <v>0.8</v>
      </c>
      <c r="M11" s="5" t="s">
        <v>143</v>
      </c>
      <c r="N11" s="5"/>
      <c r="O11" s="137">
        <f>IFERROR(SUMIF('(Z+) Monthly CF'!F6:EU6,"=1",'(Z+) Monthly CF'!F95:EU95),0)</f>
        <v>0</v>
      </c>
      <c r="P11" s="137">
        <f>IFERROR(SUMIF('(Z+) Monthly CF'!G6:EV6,"=2",'(Z+) Monthly CF'!G95:EV95),0)</f>
        <v>0</v>
      </c>
      <c r="Q11" s="137">
        <f>IFERROR(SUMIF('(Z+) Monthly CF'!H6:EW6,"=3",'(Z+) Monthly CF'!H95:EW95),0)</f>
        <v>48137185.800000004</v>
      </c>
      <c r="R11" s="137">
        <f>IFERROR(SUMIF('(Z+) Monthly CF'!I6:EX6,"=4",'(Z+) Monthly CF'!I95:EX95),0)</f>
        <v>0</v>
      </c>
      <c r="S11" s="137">
        <f>IFERROR(SUMIF('(Z+) Monthly CF'!J6:EY6,"=5",'(Z+) Monthly CF'!J95:EY95),0)</f>
        <v>0</v>
      </c>
      <c r="T11" s="137">
        <f>IFERROR(SUMIF('(Z+) Monthly CF'!K6:EZ6,"=6",'(Z+) Monthly CF'!K95:EZ95),0)</f>
        <v>0</v>
      </c>
      <c r="U11" s="137">
        <f>IFERROR(SUMIF('(Z+) Monthly CF'!L6:FA6,"=7",'(Z+) Monthly CF'!L95:FA95),0)</f>
        <v>0</v>
      </c>
      <c r="V11" s="138">
        <f>IFERROR(SUMIF('(Z+) Monthly CF'!M6:FB6,"=8",'(Z+) Monthly CF'!M95:FB95),0)</f>
        <v>0</v>
      </c>
    </row>
    <row r="12" spans="1:22" x14ac:dyDescent="0.25">
      <c r="A12" s="126" t="s">
        <v>144</v>
      </c>
      <c r="B12" s="127">
        <f>Inputs!D17</f>
        <v>101416</v>
      </c>
      <c r="D12" s="8" t="s">
        <v>145</v>
      </c>
      <c r="E12" s="8"/>
      <c r="F12" s="124" t="s">
        <v>113</v>
      </c>
      <c r="G12" s="124" t="s">
        <v>114</v>
      </c>
      <c r="I12" s="146" t="s">
        <v>146</v>
      </c>
      <c r="J12" s="152">
        <v>0.09</v>
      </c>
      <c r="K12" s="151">
        <v>5.7500000000000002E-2</v>
      </c>
      <c r="M12" s="5" t="s">
        <v>147</v>
      </c>
      <c r="N12" s="5"/>
      <c r="O12" s="137">
        <f>IFERROR((SUMIF('(Z+) Monthly CF'!F6:EU6,"=1",'(Z+) Monthly CF'!F96:EU96))+SUMIF('(Z+) Monthly CF'!F6:EU6,"=1",'(Z+) Monthly CF'!F97:EU97),0)</f>
        <v>0</v>
      </c>
      <c r="P12" s="137">
        <f>IFERROR((SUMIF('(Z+) Monthly CF'!G6:EV6,"=2",'(Z+) Monthly CF'!G96:EV96))+SUMIF('(Z+) Monthly CF'!G6:EV6,"=2",'(Z+) Monthly CF'!G97:EV97),0)</f>
        <v>0</v>
      </c>
      <c r="Q12" s="136">
        <f>IFERROR((SUMIF('(Z+) Monthly CF'!H6:EW6,"=3",'(Z+) Monthly CF'!H96:EW96))+SUMIF('(Z+) Monthly CF'!H6:EW6,"=3",'(Z+) Monthly CF'!H97:EW97),0)</f>
        <v>-807451.1492723641</v>
      </c>
      <c r="R12" s="136">
        <f>IFERROR((SUMIF('(Z+) Monthly CF'!I6:EX6,"=4",'(Z+) Monthly CF'!I96:EX96))+SUMIF('(Z+) Monthly CF'!I6:EX6,"=4",'(Z+) Monthly CF'!I97:EX97),0)</f>
        <v>-3229804.5970894564</v>
      </c>
      <c r="S12" s="136">
        <f>IFERROR((SUMIF('(Z+) Monthly CF'!J6:EY6,"=5",'(Z+) Monthly CF'!J96:EY96))+SUMIF('(Z+) Monthly CF'!J6:EY6,"=5",'(Z+) Monthly CF'!J97:EY97),0)</f>
        <v>-3229804.5970894564</v>
      </c>
      <c r="T12" s="136">
        <f>IFERROR((SUMIF('(Z+) Monthly CF'!K6:EZ6,"=6",'(Z+) Monthly CF'!K96:EZ96))+SUMIF('(Z+) Monthly CF'!K6:EZ6,"=6",'(Z+) Monthly CF'!K97:EZ97),0)</f>
        <v>-3229804.5970894564</v>
      </c>
      <c r="U12" s="136">
        <f>IFERROR((SUMIF('(Z+) Monthly CF'!L6:FA6,"=7",'(Z+) Monthly CF'!L96:FA96))+SUMIF('(Z+) Monthly CF'!L6:FA6,"=7",'(Z+) Monthly CF'!L97:FA97),0)</f>
        <v>-3229804.5970894564</v>
      </c>
      <c r="V12" s="142">
        <f>IFERROR((SUMIF('(Z+) Monthly CF'!M6:FB6,"=8",'(Z+) Monthly CF'!M96:FB96))+SUMIF('(Z+) Monthly CF'!M6:FB6,"=8",'(Z+) Monthly CF'!M97:FB97),0)</f>
        <v>-1076601.5323631521</v>
      </c>
    </row>
    <row r="13" spans="1:22" x14ac:dyDescent="0.25">
      <c r="A13" s="126" t="s">
        <v>148</v>
      </c>
      <c r="B13" s="145">
        <f>Inputs!G11</f>
        <v>60177608.454402916</v>
      </c>
      <c r="D13" s="128" t="s">
        <v>42</v>
      </c>
      <c r="E13" s="129">
        <f>IFERROR(Inputs!L19,0)</f>
        <v>23841608.454402916</v>
      </c>
      <c r="F13" s="129">
        <f>IFERROR(E13/B10,0)</f>
        <v>106435.75202858445</v>
      </c>
      <c r="G13" s="130">
        <f>IFERROR(E13/$E$15,0)</f>
        <v>0.39618737046467883</v>
      </c>
      <c r="I13" s="153" t="s">
        <v>149</v>
      </c>
      <c r="J13" s="154" t="s">
        <v>150</v>
      </c>
      <c r="K13" s="155">
        <f>IFERROR('(Z+) Financing'!H11,0)</f>
        <v>1.2</v>
      </c>
      <c r="M13" s="5" t="s">
        <v>151</v>
      </c>
      <c r="N13" s="5"/>
      <c r="O13" s="137">
        <f>IFERROR(SUMIF('(Z+) Monthly CF'!I6:EX6,"=1",'(Z+) Monthly CF'!F98:EX98),0)</f>
        <v>0</v>
      </c>
      <c r="P13" s="137">
        <f>IFERROR(SUMIF('(Z+) Monthly CF'!G6:EY6,"=2",'(Z+) Monthly CF'!G98:EY98),0)</f>
        <v>0</v>
      </c>
      <c r="Q13" s="137">
        <f>IFERROR(SUMIF('(Z+) Monthly CF'!H6:EZ6,"=3",'(Z+) Monthly CF'!H98:EZ98),0)</f>
        <v>0</v>
      </c>
      <c r="R13" s="137">
        <f>IFERROR(SUMIF('(Z+) Monthly CF'!I6:FA6,"=4",'(Z+) Monthly CF'!I98:FA98),0)</f>
        <v>0</v>
      </c>
      <c r="S13" s="137">
        <f>IFERROR(SUMIF('(Z+) Monthly CF'!J6:FB6,"=5",'(Z+) Monthly CF'!J98:FB98),0)</f>
        <v>0</v>
      </c>
      <c r="T13" s="137">
        <f>IFERROR(SUMIF('(Z+) Monthly CF'!K6:FC6,"=6",'(Z+) Monthly CF'!K98:FC98),0)</f>
        <v>0</v>
      </c>
      <c r="U13" s="137">
        <f>IFERROR(SUMIF('(Z+) Monthly CF'!L6:FD6,"=7",'(Z+) Monthly CF'!L98:FD98),0)</f>
        <v>0</v>
      </c>
      <c r="V13" s="142">
        <f>IFERROR(SUMIF('(Z+) Monthly CF'!F6:FE6,"=8",'(Z+) Monthly CF'!F98:FE98),0)</f>
        <v>-45934519.248148225</v>
      </c>
    </row>
    <row r="14" spans="1:22" x14ac:dyDescent="0.25">
      <c r="A14" s="126" t="s">
        <v>152</v>
      </c>
      <c r="B14" s="145">
        <f>Inputs!H11</f>
        <v>268650.03774287016</v>
      </c>
      <c r="D14" s="128" t="s">
        <v>46</v>
      </c>
      <c r="E14" s="129">
        <f>IFERROR(SUM(Inputs!L20),0)</f>
        <v>36336000</v>
      </c>
      <c r="F14" s="129">
        <f>IFERROR(E14/B10,0)</f>
        <v>162214.28571428571</v>
      </c>
      <c r="G14" s="130">
        <f>IFERROR(E14/$E$15,0)</f>
        <v>0.60381262953532122</v>
      </c>
      <c r="M14" s="5" t="s">
        <v>153</v>
      </c>
      <c r="N14" s="5"/>
      <c r="O14" s="137">
        <f>IFERROR(SUMIF('(Z+) Monthly CF'!F6:EW6,"=1",'(Z+) Monthly CF'!F54:EW54),0)</f>
        <v>0</v>
      </c>
      <c r="P14" s="137">
        <f>IFERROR(SUMIF('(Z+) Monthly CF'!G6:EX6,"=2",'(Z+) Monthly CF'!G54:EX54),0)</f>
        <v>0</v>
      </c>
      <c r="Q14" s="137">
        <f>IFERROR(SUMIF('(Z+) Monthly CF'!H6:EY6,"=3",'(Z+) Monthly CF'!H54:EY54),0)</f>
        <v>0</v>
      </c>
      <c r="R14" s="137">
        <f>IFERROR(SUMIF('(Z+) Monthly CF'!I6:EZ6,"=4",'(Z+) Monthly CF'!I54:EZ54),0)</f>
        <v>0</v>
      </c>
      <c r="S14" s="137">
        <f>IFERROR(SUMIF('(Z+) Monthly CF'!J6:FA6,"=5",'(Z+) Monthly CF'!J54:FA54),0)</f>
        <v>0</v>
      </c>
      <c r="T14" s="137">
        <f>IFERROR(SUMIF('(Z+) Monthly CF'!K6:FB6,"=6",'(Z+) Monthly CF'!K54:FB54),0)</f>
        <v>0</v>
      </c>
      <c r="U14" s="137">
        <f>IFERROR(SUMIF('(Z+) Monthly CF'!L6:FC6,"=7",'(Z+) Monthly CF'!L54:FC54),0)</f>
        <v>0</v>
      </c>
      <c r="V14" s="138">
        <f>IFERROR(SUMIF('(Z+) Monthly CF'!M6:FD6,"=8",'(Z+) Monthly CF'!M54:FD54),0)</f>
        <v>59724978.399865359</v>
      </c>
    </row>
    <row r="15" spans="1:22" x14ac:dyDescent="0.25">
      <c r="A15" s="156" t="s">
        <v>154</v>
      </c>
      <c r="B15" s="157" t="s">
        <v>155</v>
      </c>
      <c r="D15" s="148" t="s">
        <v>27</v>
      </c>
      <c r="E15" s="149">
        <f>IFERROR(Inputs!L21,0)</f>
        <v>60177608.454402916</v>
      </c>
      <c r="F15" s="149">
        <f>IFERROR(E15/B10,0)</f>
        <v>268650.03774287016</v>
      </c>
      <c r="G15" s="150">
        <f>IFERROR(SUM(G13:G14),0)</f>
        <v>1</v>
      </c>
      <c r="M15" s="4" t="s">
        <v>156</v>
      </c>
      <c r="N15" s="4"/>
      <c r="O15" s="158">
        <f t="shared" ref="O15:V15" si="2">IFERROR(SUM(O5:O14),0)</f>
        <v>-23836029.775296159</v>
      </c>
      <c r="P15" s="158">
        <f t="shared" si="2"/>
        <v>-1826248.5454084158</v>
      </c>
      <c r="Q15" s="159">
        <f t="shared" si="2"/>
        <v>20963206.935488213</v>
      </c>
      <c r="R15" s="159">
        <f t="shared" si="2"/>
        <v>6603605.5993029866</v>
      </c>
      <c r="S15" s="159">
        <f t="shared" si="2"/>
        <v>6836955.5695732236</v>
      </c>
      <c r="T15" s="159">
        <f t="shared" si="2"/>
        <v>7075772.7572386358</v>
      </c>
      <c r="U15" s="159">
        <f t="shared" si="2"/>
        <v>7320183.0824182983</v>
      </c>
      <c r="V15" s="160">
        <f t="shared" si="2"/>
        <v>23513977.513785958</v>
      </c>
    </row>
    <row r="17" spans="1:23" x14ac:dyDescent="0.25">
      <c r="A17" s="3" t="s">
        <v>157</v>
      </c>
      <c r="B17" s="3"/>
      <c r="C17" s="3"/>
      <c r="D17" s="3"/>
      <c r="E17" s="3"/>
      <c r="F17" s="3"/>
      <c r="G17" s="3"/>
      <c r="I17" s="3" t="s">
        <v>158</v>
      </c>
      <c r="J17" s="3"/>
      <c r="K17" s="3"/>
      <c r="L17" s="3"/>
      <c r="M17" s="3"/>
      <c r="N17" s="3"/>
      <c r="O17" s="3"/>
      <c r="Q17" s="161" t="s">
        <v>159</v>
      </c>
      <c r="R17" s="161" t="s">
        <v>160</v>
      </c>
      <c r="S17" s="161" t="s">
        <v>161</v>
      </c>
      <c r="T17" s="161" t="s">
        <v>113</v>
      </c>
      <c r="V17" s="3" t="s">
        <v>162</v>
      </c>
      <c r="W17" s="3"/>
    </row>
    <row r="18" spans="1:23" x14ac:dyDescent="0.25">
      <c r="A18" s="162" t="s">
        <v>163</v>
      </c>
      <c r="B18" s="162"/>
      <c r="C18" s="162"/>
      <c r="D18" s="162"/>
      <c r="E18" s="162" t="s">
        <v>164</v>
      </c>
      <c r="F18" s="162"/>
      <c r="G18" s="163"/>
      <c r="I18" s="164" t="s">
        <v>163</v>
      </c>
      <c r="J18" s="162"/>
      <c r="K18" s="162"/>
      <c r="L18" s="162"/>
      <c r="M18" s="162" t="s">
        <v>165</v>
      </c>
      <c r="N18" s="162"/>
      <c r="O18" s="165"/>
      <c r="Q18" s="128" t="s">
        <v>166</v>
      </c>
      <c r="R18" s="166">
        <f>IFERROR('(Z+) OpEx'!J31/Dashboard!B10/12,0)</f>
        <v>2444.7967921507384</v>
      </c>
      <c r="S18" s="166">
        <f>R18*12*$B$10</f>
        <v>6571613.7773011848</v>
      </c>
      <c r="T18" s="166">
        <f t="shared" ref="T18:T23" si="3">IFERROR(S18/$B$10,0)</f>
        <v>29337.561505808862</v>
      </c>
      <c r="V18" s="167" t="s">
        <v>167</v>
      </c>
      <c r="W18" s="168">
        <v>90000</v>
      </c>
    </row>
    <row r="19" spans="1:23" x14ac:dyDescent="0.25">
      <c r="A19" s="162"/>
      <c r="B19" s="169">
        <f>'(Z+) Monthly CF'!F103</f>
        <v>0.15538478493690497</v>
      </c>
      <c r="C19" s="170">
        <f>E19-0.02</f>
        <v>6.9999999999999993E-2</v>
      </c>
      <c r="D19" s="170">
        <f>E19-0.01</f>
        <v>0.08</v>
      </c>
      <c r="E19" s="170">
        <f>9/100</f>
        <v>0.09</v>
      </c>
      <c r="F19" s="170">
        <f>E19+0.01</f>
        <v>9.9999999999999992E-2</v>
      </c>
      <c r="G19" s="170">
        <f>F19+0.01</f>
        <v>0.10999999999999999</v>
      </c>
      <c r="I19" s="171"/>
      <c r="J19" s="169">
        <f>'(Z+) Monthly CF'!F103</f>
        <v>0.15538478493690497</v>
      </c>
      <c r="K19" s="172">
        <f>IFERROR(L19-0.25%,0)</f>
        <v>6.25E-2</v>
      </c>
      <c r="L19" s="172">
        <f>IFERROR(M19-0.25%,0)</f>
        <v>6.5000000000000002E-2</v>
      </c>
      <c r="M19" s="172">
        <f>IFERROR(6.75/100,0)</f>
        <v>6.7500000000000004E-2</v>
      </c>
      <c r="N19" s="172">
        <f>IFERROR(M19+0.25%,0)</f>
        <v>7.0000000000000007E-2</v>
      </c>
      <c r="O19" s="172">
        <f>IFERROR(N19+0.25%,0)</f>
        <v>7.2500000000000009E-2</v>
      </c>
      <c r="Q19" s="128" t="s">
        <v>168</v>
      </c>
      <c r="R19" s="166">
        <f>IFERROR('(Z+) OpEx'!J33/B10/12,0)</f>
        <v>66.822843557236723</v>
      </c>
      <c r="S19" s="166">
        <f>IFERROR('(Z+) OpEx'!J33,0)</f>
        <v>179619.80348185232</v>
      </c>
      <c r="T19" s="166">
        <f t="shared" si="3"/>
        <v>801.87412268684068</v>
      </c>
      <c r="V19" s="167" t="s">
        <v>169</v>
      </c>
      <c r="W19" s="173">
        <v>11</v>
      </c>
    </row>
    <row r="20" spans="1:23" x14ac:dyDescent="0.25">
      <c r="A20" s="162"/>
      <c r="B20" s="170">
        <f>IFERROR(B21+0.05,0)</f>
        <v>0.8</v>
      </c>
      <c r="C20" s="174">
        <f t="dataTable" ref="C20:G24" dt2D="1" dtr="0" r1="J12" r2="J11"/>
        <v>0.1750847160816193</v>
      </c>
      <c r="D20" s="174">
        <v>0.16905209422111511</v>
      </c>
      <c r="E20" s="174">
        <v>0.16352940201759344</v>
      </c>
      <c r="F20" s="174">
        <v>0.15849965214729311</v>
      </c>
      <c r="G20" s="174">
        <v>0.15396061539649966</v>
      </c>
      <c r="I20" s="171"/>
      <c r="J20" s="175">
        <f>IFERROR(J21-12,0)</f>
        <v>60</v>
      </c>
      <c r="K20" s="176">
        <f t="dataTable" ref="K20:O24" dt2D="1" dtr="0" r1="J5" r2="W20" ca="1"/>
        <v>0.18505458235740666</v>
      </c>
      <c r="L20" s="176">
        <v>0.16565064787864689</v>
      </c>
      <c r="M20" s="176">
        <v>0.14619973301887515</v>
      </c>
      <c r="N20" s="176">
        <v>0.12658924460411072</v>
      </c>
      <c r="O20" s="176">
        <v>0.1066925346851349</v>
      </c>
      <c r="Q20" s="128" t="s">
        <v>170</v>
      </c>
      <c r="R20" s="166">
        <f>IFERROR(SUM(R18:R19),0)</f>
        <v>2511.6196357079752</v>
      </c>
      <c r="S20" s="166">
        <f>IFERROR(SUM(S18:S19),0)</f>
        <v>6751233.5807830375</v>
      </c>
      <c r="T20" s="166">
        <f t="shared" si="3"/>
        <v>30139.435628495703</v>
      </c>
      <c r="V20" s="167" t="s">
        <v>171</v>
      </c>
      <c r="W20" s="173">
        <v>84</v>
      </c>
    </row>
    <row r="21" spans="1:23" x14ac:dyDescent="0.25">
      <c r="A21" s="162"/>
      <c r="B21" s="170">
        <f>IFERROR(B22+0.05,0)</f>
        <v>0.75</v>
      </c>
      <c r="C21" s="174">
        <v>0.16903168559074405</v>
      </c>
      <c r="D21" s="174">
        <v>0.16388296484947204</v>
      </c>
      <c r="E21" s="174">
        <v>0.15916845202445989</v>
      </c>
      <c r="F21" s="174">
        <v>0.15487793087959295</v>
      </c>
      <c r="G21" s="174">
        <v>0.15104044079780582</v>
      </c>
      <c r="I21" s="171"/>
      <c r="J21" s="175">
        <f>IFERROR(J22-12,0)</f>
        <v>72</v>
      </c>
      <c r="K21" s="176">
        <v>0.18146794438362124</v>
      </c>
      <c r="L21" s="176">
        <v>0.16638525128364565</v>
      </c>
      <c r="M21" s="176">
        <v>0.15126211047172544</v>
      </c>
      <c r="N21" s="176">
        <v>0.13601667284965513</v>
      </c>
      <c r="O21" s="176">
        <v>0.12055787444114685</v>
      </c>
      <c r="Q21" s="128" t="s">
        <v>9</v>
      </c>
      <c r="R21" s="177">
        <f>IFERROR('(Z+) OpEx'!K34/B10/12,0)</f>
        <v>-73.343903764522153</v>
      </c>
      <c r="S21" s="177">
        <f>IFERROR('(Z+) OpEx'!J34,0)</f>
        <v>-197148.41331903555</v>
      </c>
      <c r="T21" s="177">
        <f t="shared" si="3"/>
        <v>-880.1268451742659</v>
      </c>
      <c r="V21" s="178" t="s">
        <v>13</v>
      </c>
      <c r="W21" s="179">
        <v>2.5000000000000001E-2</v>
      </c>
    </row>
    <row r="22" spans="1:23" x14ac:dyDescent="0.25">
      <c r="A22" s="162" t="s">
        <v>172</v>
      </c>
      <c r="B22" s="170">
        <f>70/100</f>
        <v>0.7</v>
      </c>
      <c r="C22" s="174">
        <v>0.16370944380760197</v>
      </c>
      <c r="D22" s="174">
        <v>0.1593401610851288</v>
      </c>
      <c r="E22" s="174">
        <v>0.15538478493690497</v>
      </c>
      <c r="F22" s="174">
        <v>0.15176193118095399</v>
      </c>
      <c r="G22" s="174">
        <v>0.14847781062126161</v>
      </c>
      <c r="I22" s="171" t="s">
        <v>171</v>
      </c>
      <c r="J22" s="175">
        <f>IFERROR(84,0)</f>
        <v>84</v>
      </c>
      <c r="K22" s="176">
        <v>0.1792292416095734</v>
      </c>
      <c r="L22" s="176">
        <v>0.16730760931968688</v>
      </c>
      <c r="M22" s="176">
        <v>0.15538478493690497</v>
      </c>
      <c r="N22" s="176">
        <v>0.143403834104538</v>
      </c>
      <c r="O22" s="176">
        <v>0.13130299448966978</v>
      </c>
      <c r="Q22" s="128" t="s">
        <v>173</v>
      </c>
      <c r="R22" s="166">
        <f>IFERROR(SUM(R20:R21),0)</f>
        <v>2438.2757319434531</v>
      </c>
      <c r="S22" s="166">
        <f>IFERROR(SUM(S20:S21),0)</f>
        <v>6554085.167464002</v>
      </c>
      <c r="T22" s="166">
        <f t="shared" si="3"/>
        <v>29259.308783321438</v>
      </c>
    </row>
    <row r="23" spans="1:23" x14ac:dyDescent="0.25">
      <c r="A23" s="162"/>
      <c r="B23" s="170">
        <f>IFERROR(B22-5%,0)</f>
        <v>0.64999999999999991</v>
      </c>
      <c r="C23" s="174">
        <v>0.15911226868629461</v>
      </c>
      <c r="D23" s="174">
        <v>0.15544183850288396</v>
      </c>
      <c r="E23" s="174">
        <v>0.15205938220024112</v>
      </c>
      <c r="F23" s="174">
        <v>0.14896865487098696</v>
      </c>
      <c r="G23" s="174">
        <v>0.14618538022041325</v>
      </c>
      <c r="I23" s="171"/>
      <c r="J23" s="175">
        <f>IFERROR(J22+12,0)</f>
        <v>96</v>
      </c>
      <c r="K23" s="176">
        <v>0.1778404176235199</v>
      </c>
      <c r="L23" s="176">
        <v>0.16830320954322817</v>
      </c>
      <c r="M23" s="176">
        <v>0.15880407691001894</v>
      </c>
      <c r="N23" s="176">
        <v>0.14930389523506166</v>
      </c>
      <c r="O23" s="176">
        <v>0.13976169228553773</v>
      </c>
      <c r="Q23" s="128" t="s">
        <v>137</v>
      </c>
      <c r="R23" s="177">
        <f>IFERROR('(Z+) OpEx'!J36/B10/12,0)</f>
        <v>-642.84164726134645</v>
      </c>
      <c r="S23" s="177">
        <f>IFERROR('(Z+) OpEx'!J36,0)</f>
        <v>-1727958.3478384994</v>
      </c>
      <c r="T23" s="177">
        <f t="shared" si="3"/>
        <v>-7714.0997671361574</v>
      </c>
    </row>
    <row r="24" spans="1:23" x14ac:dyDescent="0.25">
      <c r="A24" s="163"/>
      <c r="B24" s="170">
        <f>IFERROR(B23-5%,0)</f>
        <v>0.59999999999999987</v>
      </c>
      <c r="C24" s="174">
        <v>0.15504944920539859</v>
      </c>
      <c r="D24" s="174">
        <v>0.15192959904670719</v>
      </c>
      <c r="E24" s="174">
        <v>0.14910476803779604</v>
      </c>
      <c r="F24" s="174">
        <v>0.14651421904563905</v>
      </c>
      <c r="G24" s="174">
        <v>0.14416015744209296</v>
      </c>
      <c r="I24" s="180"/>
      <c r="J24" s="175">
        <f>IFERROR(J23+12,0)</f>
        <v>108</v>
      </c>
      <c r="K24" s="176">
        <v>0.1769779741764069</v>
      </c>
      <c r="L24" s="176">
        <v>0.16928209662437441</v>
      </c>
      <c r="M24" s="176">
        <v>0.16165414452552798</v>
      </c>
      <c r="N24" s="176">
        <v>0.15406699776649477</v>
      </c>
      <c r="O24" s="176">
        <v>0.14649333357810976</v>
      </c>
      <c r="Q24" s="128" t="s">
        <v>174</v>
      </c>
      <c r="R24" s="181" t="s">
        <v>175</v>
      </c>
      <c r="S24" s="166">
        <f>IFERROR(0,0)</f>
        <v>0</v>
      </c>
      <c r="T24" s="166">
        <f>IFERROR(S24/B10,0)</f>
        <v>0</v>
      </c>
    </row>
    <row r="25" spans="1:23" x14ac:dyDescent="0.25">
      <c r="Q25" s="182" t="s">
        <v>140</v>
      </c>
      <c r="R25" s="183">
        <f>IFERROR(SUM(R22:R23),0)</f>
        <v>1795.4340846821067</v>
      </c>
      <c r="S25" s="184">
        <f>R25*12*$B$10</f>
        <v>4826126.8196255025</v>
      </c>
      <c r="T25" s="184">
        <f>IFERROR(S25/$B$10,0)</f>
        <v>21545.209016185279</v>
      </c>
    </row>
    <row r="26" spans="1:23" x14ac:dyDescent="0.25">
      <c r="A26" s="3" t="s">
        <v>176</v>
      </c>
      <c r="B26" s="3"/>
      <c r="C26" s="3"/>
      <c r="D26" s="3"/>
      <c r="E26" s="3"/>
      <c r="F26" s="3"/>
      <c r="G26" s="3"/>
      <c r="I26" s="3" t="s">
        <v>177</v>
      </c>
      <c r="J26" s="3"/>
      <c r="K26" s="3"/>
      <c r="L26" s="3"/>
      <c r="M26" s="3"/>
      <c r="N26" s="3"/>
      <c r="O26" s="3"/>
    </row>
    <row r="27" spans="1:23" x14ac:dyDescent="0.25">
      <c r="A27" s="162" t="s">
        <v>163</v>
      </c>
      <c r="B27" s="162"/>
      <c r="C27" s="162"/>
      <c r="D27" s="162"/>
      <c r="E27" s="162" t="s">
        <v>178</v>
      </c>
      <c r="F27" s="162"/>
      <c r="G27" s="163"/>
      <c r="I27" s="164" t="s">
        <v>163</v>
      </c>
      <c r="J27" s="162"/>
      <c r="K27" s="162"/>
      <c r="L27" s="162"/>
      <c r="M27" s="162" t="s">
        <v>179</v>
      </c>
      <c r="N27" s="162"/>
      <c r="O27" s="165"/>
    </row>
    <row r="28" spans="1:23" x14ac:dyDescent="0.25">
      <c r="A28" s="162"/>
      <c r="B28" s="169">
        <f>'(Z+) Monthly CF'!F103</f>
        <v>0.15538478493690497</v>
      </c>
      <c r="C28" s="185">
        <f>IFERROR(E28-20000,0)</f>
        <v>70000</v>
      </c>
      <c r="D28" s="185">
        <f>IFERROR(E28-10000,0)</f>
        <v>80000</v>
      </c>
      <c r="E28" s="185">
        <f>IFERROR(90000,0)</f>
        <v>90000</v>
      </c>
      <c r="F28" s="185">
        <f>IFERROR(E28+10000,0)</f>
        <v>100000</v>
      </c>
      <c r="G28" s="185">
        <f>IFERROR(F28+10000,0)</f>
        <v>110000</v>
      </c>
      <c r="I28" s="171"/>
      <c r="J28" s="169">
        <f>'(Z+) Monthly CF'!F103</f>
        <v>0.15538478493690497</v>
      </c>
      <c r="K28" s="172">
        <f>IFERROR(L28-0.25%,0)</f>
        <v>5.2499999999999998E-2</v>
      </c>
      <c r="L28" s="172">
        <f>IFERROR(M28-0.25%,0)</f>
        <v>5.5E-2</v>
      </c>
      <c r="M28" s="172">
        <f>IFERROR(5.75/100,0)</f>
        <v>5.7500000000000002E-2</v>
      </c>
      <c r="N28" s="172">
        <f>IFERROR(M28+0.25%,0)</f>
        <v>6.0000000000000005E-2</v>
      </c>
      <c r="O28" s="172">
        <f>IFERROR(N28+0.25%,0)</f>
        <v>6.25E-2</v>
      </c>
    </row>
    <row r="29" spans="1:23" x14ac:dyDescent="0.25">
      <c r="A29" s="162"/>
      <c r="B29" s="175">
        <f>IFERROR(B31-4,0)</f>
        <v>7</v>
      </c>
      <c r="C29" s="174">
        <v>0.23031352596917401</v>
      </c>
      <c r="D29" s="174">
        <v>0.20485129777633901</v>
      </c>
      <c r="E29" s="174">
        <v>0.17895251271903301</v>
      </c>
      <c r="F29" s="174">
        <v>0.15224361261220301</v>
      </c>
      <c r="G29" s="174">
        <v>0.12424154968031099</v>
      </c>
      <c r="I29" s="171"/>
      <c r="J29" s="175">
        <f>IFERROR(J30-12,0)</f>
        <v>60</v>
      </c>
      <c r="K29" s="176">
        <f t="dataTable" ref="K29:O33" dt2D="1" dtr="0" r1="K12" r2="W20" ca="1"/>
        <v>0.15257681012153629</v>
      </c>
      <c r="L29" s="176">
        <v>0.1494037210941315</v>
      </c>
      <c r="M29" s="176">
        <v>0.14619973301887515</v>
      </c>
      <c r="N29" s="176">
        <v>0.14296492934226993</v>
      </c>
      <c r="O29" s="176">
        <v>0.13969935774803163</v>
      </c>
    </row>
    <row r="30" spans="1:23" x14ac:dyDescent="0.25">
      <c r="A30" s="162"/>
      <c r="B30" s="175">
        <f>IFERROR(B31-2,0)</f>
        <v>9</v>
      </c>
      <c r="C30" s="174">
        <v>0.216218616492202</v>
      </c>
      <c r="D30" s="174">
        <v>0.19159481078794399</v>
      </c>
      <c r="E30" s="174">
        <v>0.16655740743657099</v>
      </c>
      <c r="F30" s="174">
        <v>0.14070631615509899</v>
      </c>
      <c r="G30" s="174">
        <v>0.113529640028671</v>
      </c>
      <c r="I30" s="171"/>
      <c r="J30" s="175">
        <f>IFERROR(J31-12,0)</f>
        <v>72</v>
      </c>
      <c r="K30" s="176">
        <v>0.15860149264335635</v>
      </c>
      <c r="L30" s="176">
        <v>0.15495571494102481</v>
      </c>
      <c r="M30" s="176">
        <v>0.15126211047172544</v>
      </c>
      <c r="N30" s="176">
        <v>0.14752056002616887</v>
      </c>
      <c r="O30" s="176">
        <v>0.14373095631599425</v>
      </c>
    </row>
    <row r="31" spans="1:23" x14ac:dyDescent="0.25">
      <c r="A31" s="162" t="s">
        <v>180</v>
      </c>
      <c r="B31" s="175">
        <f>IFERROR(11,0)</f>
        <v>11</v>
      </c>
      <c r="C31" s="174">
        <v>0.203553431479081</v>
      </c>
      <c r="D31" s="174">
        <v>0.179662377887954</v>
      </c>
      <c r="E31" s="174">
        <v>0.15538446465328701</v>
      </c>
      <c r="F31" s="174">
        <v>0.13024003052844299</v>
      </c>
      <c r="G31" s="174">
        <v>0.103806393097417</v>
      </c>
      <c r="I31" s="171" t="s">
        <v>171</v>
      </c>
      <c r="J31" s="175">
        <f>IFERROR(84,0)</f>
        <v>84</v>
      </c>
      <c r="K31" s="176">
        <v>0.16331190466880804</v>
      </c>
      <c r="L31" s="176">
        <v>0.15937983393669131</v>
      </c>
      <c r="M31" s="176">
        <v>0.15538478493690497</v>
      </c>
      <c r="N31" s="176">
        <v>0.15132635235786437</v>
      </c>
      <c r="O31" s="176">
        <v>0.14720410704612738</v>
      </c>
    </row>
    <row r="32" spans="1:23" x14ac:dyDescent="0.25">
      <c r="A32" s="162"/>
      <c r="B32" s="175">
        <f>IFERROR(B31+2,0)</f>
        <v>13</v>
      </c>
      <c r="C32" s="174">
        <v>0.19208373328830999</v>
      </c>
      <c r="D32" s="174">
        <v>0.16884920167301201</v>
      </c>
      <c r="E32" s="174">
        <v>0.145174626392234</v>
      </c>
      <c r="F32" s="174">
        <v>0.120651687480784</v>
      </c>
      <c r="G32" s="174">
        <v>9.4870413985236504E-2</v>
      </c>
      <c r="I32" s="171"/>
      <c r="J32" s="175">
        <f>IFERROR(J31+12,0)</f>
        <v>96</v>
      </c>
      <c r="K32" s="176">
        <v>0.16707754731178287</v>
      </c>
      <c r="L32" s="176">
        <v>0.16297861933708196</v>
      </c>
      <c r="M32" s="176">
        <v>0.15880407691001894</v>
      </c>
      <c r="N32" s="176">
        <v>0.15455316901206975</v>
      </c>
      <c r="O32" s="176">
        <v>0.15022509694099428</v>
      </c>
    </row>
    <row r="33" spans="1:15" x14ac:dyDescent="0.25">
      <c r="A33" s="163"/>
      <c r="B33" s="175">
        <f>IFERROR(B32+2,0)</f>
        <v>15</v>
      </c>
      <c r="C33" s="174">
        <v>0.181487272815961</v>
      </c>
      <c r="D33" s="174">
        <v>0.158821707571867</v>
      </c>
      <c r="E33" s="174">
        <v>0.13568382237742799</v>
      </c>
      <c r="F33" s="174">
        <v>0.111714514945031</v>
      </c>
      <c r="G33" s="174">
        <v>8.5550992346414695E-2</v>
      </c>
      <c r="I33" s="180"/>
      <c r="J33" s="175">
        <f>IFERROR(J32+12,0)</f>
        <v>108</v>
      </c>
      <c r="K33" s="176">
        <v>0.17011494040489192</v>
      </c>
      <c r="L33" s="176">
        <v>0.16592735648155213</v>
      </c>
      <c r="M33" s="176">
        <v>0.16165414452552798</v>
      </c>
      <c r="N33" s="176">
        <v>0.15729420781135561</v>
      </c>
      <c r="O33" s="176">
        <v>0.15284641385078432</v>
      </c>
    </row>
    <row r="35" spans="1:15" x14ac:dyDescent="0.25">
      <c r="A35" s="3" t="s">
        <v>181</v>
      </c>
      <c r="B35" s="3"/>
      <c r="C35" s="3"/>
      <c r="D35" s="3"/>
      <c r="E35" s="3"/>
      <c r="F35" s="3"/>
      <c r="G35" s="3"/>
      <c r="I35" s="3" t="s">
        <v>182</v>
      </c>
      <c r="J35" s="3"/>
      <c r="K35" s="3"/>
      <c r="L35" s="3"/>
      <c r="M35" s="3"/>
      <c r="N35" s="3"/>
      <c r="O35" s="3"/>
    </row>
    <row r="36" spans="1:15" x14ac:dyDescent="0.25">
      <c r="A36" s="162" t="s">
        <v>163</v>
      </c>
      <c r="B36" s="162"/>
      <c r="C36" s="162"/>
      <c r="D36" s="162"/>
      <c r="E36" s="162" t="s">
        <v>165</v>
      </c>
      <c r="F36" s="162"/>
      <c r="G36" s="163"/>
      <c r="I36" s="164" t="s">
        <v>163</v>
      </c>
      <c r="J36" s="162"/>
      <c r="K36" s="162"/>
      <c r="L36" s="162"/>
      <c r="M36" s="162" t="s">
        <v>183</v>
      </c>
      <c r="N36" s="162"/>
      <c r="O36" s="165"/>
    </row>
    <row r="37" spans="1:15" x14ac:dyDescent="0.25">
      <c r="A37" s="162"/>
      <c r="B37" s="169">
        <f>'(Z+) Monthly CF'!F103</f>
        <v>0.15538478493690497</v>
      </c>
      <c r="C37" s="172">
        <f>IFERROR(D37-0.0025,0)</f>
        <v>6.25E-2</v>
      </c>
      <c r="D37" s="172">
        <f>IFERROR(E37-0.0025,0)</f>
        <v>6.5000000000000002E-2</v>
      </c>
      <c r="E37" s="172">
        <f>IFERROR(6.75/100,0)</f>
        <v>6.7500000000000004E-2</v>
      </c>
      <c r="F37" s="172">
        <f>IFERROR(E37+0.0025,0)</f>
        <v>7.0000000000000007E-2</v>
      </c>
      <c r="G37" s="172">
        <f>IFERROR(F37+0.0025,0)</f>
        <v>7.2500000000000009E-2</v>
      </c>
      <c r="I37" s="171"/>
      <c r="J37" s="169">
        <f>'(Z+) Monthly CF'!F103</f>
        <v>0.15538478493690497</v>
      </c>
      <c r="K37" s="172">
        <f>IFERROR(L37-0.25%,0)</f>
        <v>8.4999999999999992E-2</v>
      </c>
      <c r="L37" s="172">
        <f>IFERROR(M37-0.25%,0)</f>
        <v>8.7499999999999994E-2</v>
      </c>
      <c r="M37" s="172">
        <f>IFERROR(9/100,0)</f>
        <v>0.09</v>
      </c>
      <c r="N37" s="172">
        <f>IFERROR(M37+0.25%,0)</f>
        <v>9.2499999999999999E-2</v>
      </c>
      <c r="O37" s="172">
        <f>IFERROR(N37+0.25%,0)</f>
        <v>9.5000000000000001E-2</v>
      </c>
    </row>
    <row r="38" spans="1:15" x14ac:dyDescent="0.25">
      <c r="A38" s="162"/>
      <c r="B38" s="172">
        <f>IFERROR(B39+0.01,0)</f>
        <v>4.5000000000000005E-2</v>
      </c>
      <c r="C38" s="174">
        <f t="dataTable" ref="C38:G42" dt2D="1" dtr="0" r1="J5" r2="W21" ca="1"/>
        <v>0.20007317662239074</v>
      </c>
      <c r="D38" s="174">
        <v>0.18921859860420226</v>
      </c>
      <c r="E38" s="174">
        <v>0.17844734787940983</v>
      </c>
      <c r="F38" s="174">
        <v>0.16771751046180725</v>
      </c>
      <c r="G38" s="174">
        <v>0.15698611140251159</v>
      </c>
      <c r="I38" s="171"/>
      <c r="J38" s="175">
        <f>IFERROR(J39-12,0)</f>
        <v>60</v>
      </c>
      <c r="K38" s="176">
        <f t="dataTable" ref="K38:O42" dt2D="1" dtr="0" r1="J12" r2="W20" ca="1"/>
        <v>0.14893565773963932</v>
      </c>
      <c r="L38" s="176">
        <v>0.14755359292030343</v>
      </c>
      <c r="M38" s="176">
        <v>0.14619973301887515</v>
      </c>
      <c r="N38" s="176">
        <v>0.14487189650535584</v>
      </c>
      <c r="O38" s="176">
        <v>0.14357423186302187</v>
      </c>
    </row>
    <row r="39" spans="1:15" x14ac:dyDescent="0.25">
      <c r="A39" s="162"/>
      <c r="B39" s="172">
        <f>IFERROR(B40+0.01,0)</f>
        <v>3.5000000000000003E-2</v>
      </c>
      <c r="C39" s="174">
        <v>0.18957964777946471</v>
      </c>
      <c r="D39" s="174">
        <v>0.17820110917091372</v>
      </c>
      <c r="E39" s="174">
        <v>0.16686664223670958</v>
      </c>
      <c r="F39" s="174">
        <v>0.15552764534950261</v>
      </c>
      <c r="G39" s="174">
        <v>0.14413290619850161</v>
      </c>
      <c r="I39" s="171"/>
      <c r="J39" s="175">
        <f>IFERROR(J40-12,0)</f>
        <v>72</v>
      </c>
      <c r="K39" s="176">
        <v>0.15354179739952087</v>
      </c>
      <c r="L39" s="176">
        <v>0.15239009261131284</v>
      </c>
      <c r="M39" s="176">
        <v>0.15126211047172544</v>
      </c>
      <c r="N39" s="176">
        <v>0.15015521645545957</v>
      </c>
      <c r="O39" s="176">
        <v>0.14907457232475285</v>
      </c>
    </row>
    <row r="40" spans="1:15" x14ac:dyDescent="0.25">
      <c r="A40" s="162" t="s">
        <v>184</v>
      </c>
      <c r="B40" s="172">
        <f>IFERROR(2.5/100,0)</f>
        <v>2.5000000000000001E-2</v>
      </c>
      <c r="C40" s="174">
        <v>0.1792292416095734</v>
      </c>
      <c r="D40" s="174">
        <v>0.16730760931968688</v>
      </c>
      <c r="E40" s="174">
        <v>0.15538478493690497</v>
      </c>
      <c r="F40" s="174">
        <v>0.143403834104538</v>
      </c>
      <c r="G40" s="174">
        <v>0.13130299448966978</v>
      </c>
      <c r="I40" s="171" t="s">
        <v>171</v>
      </c>
      <c r="J40" s="175">
        <f>IFERROR(84,0)</f>
        <v>84</v>
      </c>
      <c r="K40" s="176">
        <v>0.15731899142265324</v>
      </c>
      <c r="L40" s="176">
        <v>0.15634141564369206</v>
      </c>
      <c r="M40" s="176">
        <v>0.15538478493690497</v>
      </c>
      <c r="N40" s="176">
        <v>0.15444615483284002</v>
      </c>
      <c r="O40" s="176">
        <v>0.15353142619132998</v>
      </c>
    </row>
    <row r="41" spans="1:15" x14ac:dyDescent="0.25">
      <c r="A41" s="162"/>
      <c r="B41" s="172">
        <f>IFERROR(B40-0.01,0)</f>
        <v>1.5000000000000001E-2</v>
      </c>
      <c r="C41" s="174">
        <v>0.16902912259101871</v>
      </c>
      <c r="D41" s="174">
        <v>0.15654564499855045</v>
      </c>
      <c r="E41" s="174">
        <v>0.14400926232337954</v>
      </c>
      <c r="F41" s="174">
        <v>0.13135270476341246</v>
      </c>
      <c r="G41" s="174">
        <v>0.11850087046623231</v>
      </c>
      <c r="I41" s="171"/>
      <c r="J41" s="175">
        <f>IFERROR(J40+12,0)</f>
        <v>96</v>
      </c>
      <c r="K41" s="176">
        <v>0.16047235131263735</v>
      </c>
      <c r="L41" s="176">
        <v>0.15962864756584169</v>
      </c>
      <c r="M41" s="176">
        <v>0.15880407691001894</v>
      </c>
      <c r="N41" s="176">
        <v>0.15799542069435121</v>
      </c>
      <c r="O41" s="176">
        <v>0.1572091519832611</v>
      </c>
    </row>
    <row r="42" spans="1:15" x14ac:dyDescent="0.25">
      <c r="A42" s="163"/>
      <c r="B42" s="172">
        <f>IFERROR(B40-0.02,0)</f>
        <v>5.000000000000001E-3</v>
      </c>
      <c r="C42" s="174">
        <v>0.15898653864860537</v>
      </c>
      <c r="D42" s="174">
        <v>0.14592303633689882</v>
      </c>
      <c r="E42" s="174">
        <v>0.13274801373481751</v>
      </c>
      <c r="F42" s="174">
        <v>0.11938150525093078</v>
      </c>
      <c r="G42" s="174">
        <v>0.10573164820671083</v>
      </c>
      <c r="I42" s="180"/>
      <c r="J42" s="175">
        <f>IFERROR(J41+12,0)</f>
        <v>108</v>
      </c>
      <c r="K42" s="176">
        <v>0.16311449408531195</v>
      </c>
      <c r="L42" s="176">
        <v>0.16237538456916811</v>
      </c>
      <c r="M42" s="176">
        <v>0.16165414452552798</v>
      </c>
      <c r="N42" s="176">
        <v>0.1609473526477814</v>
      </c>
      <c r="O42" s="176">
        <v>0.16026189923286444</v>
      </c>
    </row>
    <row r="44" spans="1:15" x14ac:dyDescent="0.25">
      <c r="A44" s="486"/>
      <c r="B44" s="486"/>
      <c r="C44" s="486"/>
    </row>
    <row r="45" spans="1:15" x14ac:dyDescent="0.25">
      <c r="A45" s="486"/>
      <c r="B45" s="487"/>
      <c r="C45" s="486"/>
    </row>
    <row r="46" spans="1:15" x14ac:dyDescent="0.25">
      <c r="A46" s="486"/>
      <c r="B46" s="487"/>
      <c r="C46" s="486"/>
    </row>
    <row r="47" spans="1:15" x14ac:dyDescent="0.25">
      <c r="A47" s="486"/>
      <c r="B47" s="487"/>
      <c r="C47" s="486"/>
    </row>
    <row r="48" spans="1:15" x14ac:dyDescent="0.25">
      <c r="A48" s="486"/>
      <c r="B48" s="487"/>
      <c r="C48" s="486"/>
    </row>
    <row r="49" spans="1:3" x14ac:dyDescent="0.25">
      <c r="A49" s="486"/>
      <c r="B49" s="487"/>
      <c r="C49" s="486"/>
    </row>
  </sheetData>
  <mergeCells count="23">
    <mergeCell ref="A35:G35"/>
    <mergeCell ref="I35:O35"/>
    <mergeCell ref="M15:N15"/>
    <mergeCell ref="A17:G17"/>
    <mergeCell ref="I17:O17"/>
    <mergeCell ref="V17:W17"/>
    <mergeCell ref="A26:G26"/>
    <mergeCell ref="I26:O26"/>
    <mergeCell ref="M11:N11"/>
    <mergeCell ref="D12:E12"/>
    <mergeCell ref="M12:N12"/>
    <mergeCell ref="M13:N13"/>
    <mergeCell ref="M14:N14"/>
    <mergeCell ref="M6:N6"/>
    <mergeCell ref="M7:N7"/>
    <mergeCell ref="M8:N8"/>
    <mergeCell ref="M9:N9"/>
    <mergeCell ref="M10:N10"/>
    <mergeCell ref="D3:E3"/>
    <mergeCell ref="I3:J3"/>
    <mergeCell ref="M3:N3"/>
    <mergeCell ref="M4:N4"/>
    <mergeCell ref="M5:N5"/>
  </mergeCells>
  <conditionalFormatting sqref="C20:G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G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:G4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K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:O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9:O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8:O4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2:M132"/>
  <sheetViews>
    <sheetView showGridLines="0" topLeftCell="A10" zoomScaleNormal="100" workbookViewId="0">
      <selection activeCell="D35" sqref="D35"/>
    </sheetView>
  </sheetViews>
  <sheetFormatPr defaultColWidth="8.7109375" defaultRowHeight="15" x14ac:dyDescent="0.25"/>
  <cols>
    <col min="3" max="3" width="32" customWidth="1"/>
    <col min="4" max="11" width="17" customWidth="1"/>
  </cols>
  <sheetData>
    <row r="2" spans="2:13" ht="24.75" customHeight="1" x14ac:dyDescent="0.25">
      <c r="B2" s="186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8"/>
    </row>
    <row r="3" spans="2:13" x14ac:dyDescent="0.25">
      <c r="B3" s="189"/>
      <c r="C3" s="2" t="s">
        <v>185</v>
      </c>
      <c r="D3" s="2"/>
      <c r="E3" s="2"/>
      <c r="F3" s="2"/>
      <c r="G3" s="2"/>
      <c r="H3" s="2"/>
      <c r="I3" s="2"/>
      <c r="J3" s="2"/>
      <c r="K3" s="2"/>
      <c r="L3" s="2"/>
      <c r="M3" s="190"/>
    </row>
    <row r="4" spans="2:13" x14ac:dyDescent="0.25">
      <c r="B4" s="189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0"/>
    </row>
    <row r="5" spans="2:13" x14ac:dyDescent="0.25">
      <c r="B5" s="189"/>
      <c r="C5" s="17" t="s">
        <v>186</v>
      </c>
      <c r="D5" s="18"/>
      <c r="E5" s="18" t="s">
        <v>187</v>
      </c>
      <c r="F5" s="18" t="s">
        <v>188</v>
      </c>
      <c r="G5" s="18" t="s">
        <v>3</v>
      </c>
      <c r="H5" s="18" t="s">
        <v>189</v>
      </c>
      <c r="I5" s="18" t="s">
        <v>190</v>
      </c>
      <c r="J5" s="18" t="s">
        <v>191</v>
      </c>
      <c r="K5" s="18" t="s">
        <v>4</v>
      </c>
      <c r="L5" s="18" t="s">
        <v>192</v>
      </c>
      <c r="M5" s="190"/>
    </row>
    <row r="6" spans="2:13" x14ac:dyDescent="0.25">
      <c r="B6" s="189"/>
      <c r="C6" s="192" t="s">
        <v>8</v>
      </c>
      <c r="D6" s="193"/>
      <c r="E6" s="193"/>
      <c r="F6" s="193"/>
      <c r="G6" s="193"/>
      <c r="H6" s="193"/>
      <c r="I6" s="193"/>
      <c r="J6" s="193"/>
      <c r="K6" s="193"/>
      <c r="L6" s="194"/>
      <c r="M6" s="190"/>
    </row>
    <row r="7" spans="2:13" x14ac:dyDescent="0.25">
      <c r="B7" s="189"/>
      <c r="C7" s="195" t="s">
        <v>193</v>
      </c>
      <c r="D7" s="196"/>
      <c r="E7" s="196"/>
      <c r="F7" s="196"/>
      <c r="G7" s="197">
        <v>1600000</v>
      </c>
      <c r="H7" s="198">
        <f>IFERROR(G7/Inputs!$D$16,0)</f>
        <v>117.79863795324867</v>
      </c>
      <c r="I7" s="198">
        <f>IFERROR(G7/Inputs!$D$17,0)</f>
        <v>15.776603297310089</v>
      </c>
      <c r="J7" s="198">
        <f>IFERROR(G7/Inputs!$D$13,0)</f>
        <v>54.270402279356894</v>
      </c>
      <c r="K7" s="198">
        <f>IFERROR(G7/Inputs!$H$14,0)</f>
        <v>7142.8571428571431</v>
      </c>
      <c r="L7" s="199">
        <f>IFERROR(G7/$G$127,0)</f>
        <v>0</v>
      </c>
      <c r="M7" s="190"/>
    </row>
    <row r="8" spans="2:13" x14ac:dyDescent="0.25">
      <c r="B8" s="189"/>
      <c r="C8" s="200" t="s">
        <v>194</v>
      </c>
      <c r="D8" s="201"/>
      <c r="E8" s="67">
        <f>IFERROR(0.1/100,0)</f>
        <v>1E-3</v>
      </c>
      <c r="F8" s="201"/>
      <c r="G8" s="202">
        <f>IFERROR(G7*E8,0)</f>
        <v>1600</v>
      </c>
      <c r="H8" s="202">
        <f>IFERROR(G8/Inputs!$D$16,0)</f>
        <v>0.11779863795324867</v>
      </c>
      <c r="I8" s="202">
        <f>IFERROR(G8/Inputs!$D$17,0)</f>
        <v>1.577660329731009E-2</v>
      </c>
      <c r="J8" s="202">
        <f>IFERROR(G8/Inputs!$D$13,0)</f>
        <v>5.4270402279356894E-2</v>
      </c>
      <c r="K8" s="202">
        <f>IFERROR(G8/Inputs!$H$14,0)</f>
        <v>7.1428571428571432</v>
      </c>
      <c r="L8" s="35">
        <f>IFERROR(G8/$G$126,0)</f>
        <v>2.6587962551092964E-5</v>
      </c>
      <c r="M8" s="190"/>
    </row>
    <row r="9" spans="2:13" x14ac:dyDescent="0.25">
      <c r="B9" s="189"/>
      <c r="C9" s="195" t="s">
        <v>195</v>
      </c>
      <c r="D9" s="196"/>
      <c r="E9" s="61">
        <f>IFERROR(0/100,0)</f>
        <v>0</v>
      </c>
      <c r="F9" s="196"/>
      <c r="G9" s="197">
        <f>IFERROR(0,0)</f>
        <v>0</v>
      </c>
      <c r="H9" s="198">
        <f>IFERROR(G9/Inputs!$D$16,0)</f>
        <v>0</v>
      </c>
      <c r="I9" s="198">
        <f>IFERROR(G9/Inputs!$D$17,0)</f>
        <v>0</v>
      </c>
      <c r="J9" s="198">
        <f>IFERROR(G9/Inputs!$D$13,0)</f>
        <v>0</v>
      </c>
      <c r="K9" s="198">
        <f>IFERROR(G9/Inputs!H14,0)</f>
        <v>0</v>
      </c>
      <c r="L9" s="199">
        <f>IFERROR(G9/$G$126,0)</f>
        <v>0</v>
      </c>
      <c r="M9" s="190"/>
    </row>
    <row r="10" spans="2:13" x14ac:dyDescent="0.25">
      <c r="B10" s="189"/>
      <c r="C10" s="192" t="s">
        <v>196</v>
      </c>
      <c r="D10" s="193"/>
      <c r="E10" s="193">
        <f>IFERROR(0,0)</f>
        <v>0</v>
      </c>
      <c r="F10" s="193"/>
      <c r="G10" s="203">
        <f>IFERROR(SUM(G7:G9),0)</f>
        <v>1601600</v>
      </c>
      <c r="H10" s="203">
        <f>IFERROR(G10/Inputs!$D$16,0)</f>
        <v>117.91643659120192</v>
      </c>
      <c r="I10" s="203">
        <f>IFERROR(G10/Inputs!$D$17,0)</f>
        <v>15.792379900607399</v>
      </c>
      <c r="J10" s="203">
        <f>IFERROR(G10/Inputs!$D$13,0)</f>
        <v>54.324672681636251</v>
      </c>
      <c r="K10" s="203">
        <f>IFERROR(G10/Inputs!H14,0)</f>
        <v>7150</v>
      </c>
      <c r="L10" s="204">
        <f>IFERROR(G10/$G$127,0)</f>
        <v>0</v>
      </c>
      <c r="M10" s="190"/>
    </row>
    <row r="11" spans="2:13" x14ac:dyDescent="0.25">
      <c r="B11" s="189"/>
      <c r="C11" s="195"/>
      <c r="D11" s="196"/>
      <c r="E11" s="196"/>
      <c r="F11" s="196"/>
      <c r="G11" s="196"/>
      <c r="H11" s="196"/>
      <c r="I11" s="196"/>
      <c r="J11" s="196"/>
      <c r="K11" s="196"/>
      <c r="L11" s="205"/>
      <c r="M11" s="190"/>
    </row>
    <row r="12" spans="2:13" x14ac:dyDescent="0.25">
      <c r="B12" s="189"/>
      <c r="C12" s="192" t="s">
        <v>12</v>
      </c>
      <c r="D12" s="193"/>
      <c r="E12" s="193"/>
      <c r="F12" s="193"/>
      <c r="G12" s="193"/>
      <c r="H12" s="193"/>
      <c r="I12" s="193"/>
      <c r="J12" s="193"/>
      <c r="K12" s="193"/>
      <c r="L12" s="194"/>
      <c r="M12" s="190"/>
    </row>
    <row r="13" spans="2:13" x14ac:dyDescent="0.25">
      <c r="B13" s="189"/>
      <c r="C13" s="195" t="s">
        <v>197</v>
      </c>
      <c r="D13" s="196"/>
      <c r="E13" s="196"/>
      <c r="F13" s="196"/>
      <c r="G13" s="196"/>
      <c r="H13" s="196"/>
      <c r="I13" s="206"/>
      <c r="J13" s="196"/>
      <c r="K13" s="196"/>
      <c r="L13" s="205"/>
      <c r="M13" s="190"/>
    </row>
    <row r="14" spans="2:13" x14ac:dyDescent="0.25">
      <c r="B14" s="189"/>
      <c r="C14" s="200" t="s">
        <v>198</v>
      </c>
      <c r="D14" s="201"/>
      <c r="E14" s="207">
        <f>IFERROR(90000,0)</f>
        <v>90000</v>
      </c>
      <c r="F14" s="208" t="s">
        <v>199</v>
      </c>
      <c r="G14" s="202">
        <f>IFERROR(IFERROR(E14*Inputs!O11,0),0)</f>
        <v>20160000</v>
      </c>
      <c r="H14" s="202">
        <f>IFERROR(G14/Inputs!$D$16,0)</f>
        <v>1484.2628382109333</v>
      </c>
      <c r="I14" s="202">
        <f>IFERROR(G14/Inputs!$D$17,0)</f>
        <v>198.78520154610712</v>
      </c>
      <c r="J14" s="202">
        <f>IFERROR(G14/Inputs!$D$13,0)</f>
        <v>683.80706871989685</v>
      </c>
      <c r="K14" s="202">
        <f>IFERROR(G14/Inputs!$H$14,0)</f>
        <v>90000</v>
      </c>
      <c r="L14" s="35">
        <f>IFERROR(G14/$G$127,0)</f>
        <v>0</v>
      </c>
      <c r="M14" s="190"/>
    </row>
    <row r="15" spans="2:13" x14ac:dyDescent="0.25">
      <c r="B15" s="189"/>
      <c r="C15" s="195" t="s">
        <v>200</v>
      </c>
      <c r="D15" s="196"/>
      <c r="E15" s="197">
        <f>IFERROR(160000,0)</f>
        <v>160000</v>
      </c>
      <c r="F15" s="209" t="s">
        <v>199</v>
      </c>
      <c r="G15" s="198">
        <f>IFERROR(E15*Inputs!O12, 0)</f>
        <v>0</v>
      </c>
      <c r="H15" s="196"/>
      <c r="I15" s="196"/>
      <c r="J15" s="196"/>
      <c r="K15" s="196"/>
      <c r="L15" s="199">
        <f>IFERROR(G15/$G$126,0)</f>
        <v>0</v>
      </c>
      <c r="M15" s="190"/>
    </row>
    <row r="16" spans="2:13" x14ac:dyDescent="0.25">
      <c r="B16" s="189"/>
      <c r="C16" s="200" t="s">
        <v>201</v>
      </c>
      <c r="D16" s="201"/>
      <c r="E16" s="207">
        <f>IFERROR(180000,0)</f>
        <v>180000</v>
      </c>
      <c r="F16" s="208" t="s">
        <v>199</v>
      </c>
      <c r="G16" s="202">
        <f>IFERROR(E16*Inputs!O13,0)</f>
        <v>0</v>
      </c>
      <c r="H16" s="201"/>
      <c r="I16" s="201"/>
      <c r="J16" s="201"/>
      <c r="K16" s="201"/>
      <c r="L16" s="35">
        <f>IFERROR(G16/$G$126,0)</f>
        <v>0</v>
      </c>
      <c r="M16" s="190"/>
    </row>
    <row r="17" spans="2:13" x14ac:dyDescent="0.25">
      <c r="B17" s="189"/>
      <c r="C17" s="195" t="s">
        <v>202</v>
      </c>
      <c r="D17" s="196"/>
      <c r="E17" s="197">
        <f>IFERROR(75000,0)</f>
        <v>75000</v>
      </c>
      <c r="F17" s="209" t="s">
        <v>199</v>
      </c>
      <c r="G17" s="198">
        <f>IFERROR(E17*SUM(Inputs!O16:O20),0)</f>
        <v>0</v>
      </c>
      <c r="H17" s="198">
        <f>IFERROR(G17/Inputs!$D$16,0)</f>
        <v>0</v>
      </c>
      <c r="I17" s="198">
        <f>IFERROR(G17/Inputs!$D$17,0)</f>
        <v>0</v>
      </c>
      <c r="J17" s="198">
        <f>IFERROR(G17/Inputs!$D$13,0)</f>
        <v>0</v>
      </c>
      <c r="K17" s="198">
        <f>IFERROR(G17/Inputs!$H$14,0)</f>
        <v>0</v>
      </c>
      <c r="L17" s="199">
        <f>IFERROR(G17/$G$126,0)</f>
        <v>0</v>
      </c>
      <c r="M17" s="190"/>
    </row>
    <row r="18" spans="2:13" hidden="1" x14ac:dyDescent="0.25">
      <c r="B18" s="189"/>
      <c r="C18" s="200" t="s">
        <v>203</v>
      </c>
      <c r="D18" s="201"/>
      <c r="E18" s="207">
        <f>IFERROR(15000,0)</f>
        <v>15000</v>
      </c>
      <c r="F18" s="208" t="s">
        <v>199</v>
      </c>
      <c r="G18" s="202">
        <f>IFERROR(E18*Inputs!O15,0)</f>
        <v>255000</v>
      </c>
      <c r="H18" s="202">
        <f>IFERROR(G18/Inputs!$D$16,0)</f>
        <v>18.774157923799006</v>
      </c>
      <c r="I18" s="202">
        <f>IFERROR(G18/Inputs!$D$17,0)</f>
        <v>2.5143961505087953</v>
      </c>
      <c r="J18" s="202">
        <f>IFERROR(G18/Inputs!$D$13,0)</f>
        <v>8.6493453632725057</v>
      </c>
      <c r="K18" s="202">
        <f>IFERROR(G18/Inputs!$H$14,0)</f>
        <v>1138.3928571428571</v>
      </c>
      <c r="L18" s="35">
        <f>IFERROR(G18/$G$126,0)</f>
        <v>4.2374565315804408E-3</v>
      </c>
      <c r="M18" s="190"/>
    </row>
    <row r="19" spans="2:13" hidden="1" x14ac:dyDescent="0.25">
      <c r="B19" s="189"/>
      <c r="C19" s="195" t="s">
        <v>204</v>
      </c>
      <c r="D19" s="196"/>
      <c r="E19" s="197">
        <f>IFERROR(Dashboard!W18,0)</f>
        <v>90000</v>
      </c>
      <c r="F19" s="209" t="s">
        <v>199</v>
      </c>
      <c r="G19" s="198">
        <f>IFERROR(E19*Inputs!H14,0)</f>
        <v>20160000</v>
      </c>
      <c r="H19" s="198">
        <f>IFERROR(G19/Inputs!$D$16,0)</f>
        <v>1484.2628382109333</v>
      </c>
      <c r="I19" s="198">
        <f>IFERROR(G19/Inputs!$D$17,0)</f>
        <v>198.78520154610712</v>
      </c>
      <c r="J19" s="198">
        <f>IFERROR(G19/Inputs!$D$13,0)</f>
        <v>683.80706871989685</v>
      </c>
      <c r="K19" s="198">
        <f>IFERROR(G19/Inputs!$H$14,0)</f>
        <v>90000</v>
      </c>
      <c r="L19" s="199">
        <f>IFERROR(G19/$G$126,0)</f>
        <v>0.33500832814377135</v>
      </c>
      <c r="M19" s="190"/>
    </row>
    <row r="20" spans="2:13" hidden="1" x14ac:dyDescent="0.25">
      <c r="B20" s="189"/>
      <c r="C20" s="200" t="s">
        <v>205</v>
      </c>
      <c r="D20" s="201"/>
      <c r="E20" s="207">
        <f>IFERROR(105,0)</f>
        <v>105</v>
      </c>
      <c r="F20" s="208" t="s">
        <v>206</v>
      </c>
      <c r="G20" s="202">
        <f>IFERROR(Inputs!O8*E20*Inputs!O7,0)</f>
        <v>1500345</v>
      </c>
      <c r="H20" s="202">
        <f>IFERROR(G20/Inputs!$D$16,0)</f>
        <v>110.4616234124793</v>
      </c>
      <c r="I20" s="207">
        <f>IFERROR(G20/Inputs!$D$17,0)</f>
        <v>14.793967421314191</v>
      </c>
      <c r="J20" s="202">
        <f>IFERROR(G20/Inputs!$D$13,0)</f>
        <v>50.890204192388573</v>
      </c>
      <c r="K20" s="202">
        <f>IFERROR(G20/Inputs!$H$14,0)</f>
        <v>6697.96875</v>
      </c>
      <c r="L20" s="35">
        <f>IFERROR(G20/$G$126,0)</f>
        <v>2.4931947921074733E-2</v>
      </c>
      <c r="M20" s="190"/>
    </row>
    <row r="21" spans="2:13" x14ac:dyDescent="0.25">
      <c r="B21" s="189"/>
      <c r="C21" s="195" t="s">
        <v>207</v>
      </c>
      <c r="D21" s="196"/>
      <c r="E21" s="197">
        <f>IFERROR(1500,0)</f>
        <v>1500</v>
      </c>
      <c r="F21" s="209" t="s">
        <v>199</v>
      </c>
      <c r="G21" s="198">
        <f>IFERROR(Inputs!H14*E21,0)</f>
        <v>336000</v>
      </c>
      <c r="H21" s="198">
        <f>IFERROR(G21/Inputs!$D$16,0)</f>
        <v>24.73771397018222</v>
      </c>
      <c r="I21" s="198">
        <f>IFERROR(G21/Inputs!$D$17,0)</f>
        <v>3.3130866924351188</v>
      </c>
      <c r="J21" s="198">
        <f>IFERROR(G21/Inputs!$D$13,0)</f>
        <v>11.396784478664948</v>
      </c>
      <c r="K21" s="198">
        <f>IFERROR(G21/Inputs!$H$14,0)</f>
        <v>1500</v>
      </c>
      <c r="L21" s="199">
        <f>IFERROR(G21/$G$126,0)</f>
        <v>5.5834721357295222E-3</v>
      </c>
      <c r="M21" s="190"/>
    </row>
    <row r="22" spans="2:13" x14ac:dyDescent="0.25">
      <c r="B22" s="189"/>
      <c r="C22" s="200" t="s">
        <v>208</v>
      </c>
      <c r="D22" s="201"/>
      <c r="E22" s="210">
        <f>IFERROR((1+Inputs!L9)^(Inputs!E23/12)-1,0)</f>
        <v>1.9803902718557032E-2</v>
      </c>
      <c r="F22" s="208" t="s">
        <v>209</v>
      </c>
      <c r="G22" s="202">
        <f>IFERROR(+E22*SUM(G19,G20),0)</f>
        <v>428959.36523038318</v>
      </c>
      <c r="H22" s="202">
        <f>IFERROR(G22/Inputs!$D$16,0)</f>
        <v>31.581768100893296</v>
      </c>
      <c r="I22" s="202">
        <f>IFERROR(G22/Inputs!$D$17,0)</f>
        <v>4.2297010849410661</v>
      </c>
      <c r="J22" s="202">
        <f>IFERROR(G22/Inputs!$D$13,0)</f>
        <v>14.549873320344046</v>
      </c>
      <c r="K22" s="202">
        <f>IFERROR(G22/Inputs!$H$14,0)</f>
        <v>1914.9971662070677</v>
      </c>
      <c r="L22" s="35">
        <f>IFERROR(G22/$G$126,0)</f>
        <v>7.1282222116787726E-3</v>
      </c>
      <c r="M22" s="190"/>
    </row>
    <row r="23" spans="2:13" x14ac:dyDescent="0.25">
      <c r="B23" s="189"/>
      <c r="C23" s="195" t="s">
        <v>210</v>
      </c>
      <c r="D23" s="196"/>
      <c r="E23" s="211">
        <f>IFERROR(0,0)</f>
        <v>0</v>
      </c>
      <c r="F23" s="209"/>
      <c r="G23" s="198">
        <f>IFERROR(+SUM(G14:G22),0)</f>
        <v>42840304.365230381</v>
      </c>
      <c r="H23" s="198">
        <f>IFERROR(G23/Inputs!$D$16,0)</f>
        <v>3154.0809398292199</v>
      </c>
      <c r="I23" s="198">
        <f>IFERROR(G23/Inputs!$D$17,0)</f>
        <v>422.42155444141338</v>
      </c>
      <c r="J23" s="198">
        <f>IFERROR(G23/Inputs!$D$13,0)</f>
        <v>1453.1003447944638</v>
      </c>
      <c r="K23" s="198">
        <f>IFERROR(G23/Inputs!$H$14,0)</f>
        <v>191251.35877334993</v>
      </c>
      <c r="L23" s="199">
        <f>IFERROR(G23/$G$126,0)</f>
        <v>0.71189775508760611</v>
      </c>
      <c r="M23" s="190"/>
    </row>
    <row r="24" spans="2:13" hidden="1" x14ac:dyDescent="0.25">
      <c r="B24" s="189"/>
      <c r="C24" s="192" t="s">
        <v>211</v>
      </c>
      <c r="D24" s="193"/>
      <c r="E24" s="212">
        <f>IFERROR(0,0)</f>
        <v>0</v>
      </c>
      <c r="F24" s="213" t="s">
        <v>199</v>
      </c>
      <c r="G24" s="203">
        <f>IFERROR(0,0)</f>
        <v>0</v>
      </c>
      <c r="H24" s="203">
        <f>IFERROR(G24/Inputs!$D$16,0)</f>
        <v>0</v>
      </c>
      <c r="I24" s="203">
        <f>IFERROR(G24/Inputs!$D$17,0)</f>
        <v>0</v>
      </c>
      <c r="J24" s="203">
        <f>IFERROR(G24/Inputs!$D$13,0)</f>
        <v>0</v>
      </c>
      <c r="K24" s="203">
        <f>IFERROR(G24/Inputs!$H$14,0)</f>
        <v>0</v>
      </c>
      <c r="L24" s="204">
        <f>IFERROR(G24/$G$126,0)</f>
        <v>0</v>
      </c>
      <c r="M24" s="190"/>
    </row>
    <row r="25" spans="2:13" hidden="1" x14ac:dyDescent="0.25">
      <c r="B25" s="189"/>
      <c r="C25" s="195" t="s">
        <v>212</v>
      </c>
      <c r="D25" s="196"/>
      <c r="E25" s="198">
        <f>IFERROR(1600,0)</f>
        <v>1600</v>
      </c>
      <c r="F25" s="209" t="s">
        <v>213</v>
      </c>
      <c r="G25" s="198">
        <f>IFERROR(E25*Inputs!E26,0)</f>
        <v>17600</v>
      </c>
      <c r="H25" s="198">
        <f>IFERROR(G25/Inputs!$D$16,0)</f>
        <v>1.2957850174857353</v>
      </c>
      <c r="I25" s="198">
        <f>IFERROR(G25/Inputs!$D$17,0)</f>
        <v>0.17354263627041097</v>
      </c>
      <c r="J25" s="198">
        <f>IFERROR(G25/Inputs!$D$13,0)</f>
        <v>0.59697442507292586</v>
      </c>
      <c r="K25" s="198">
        <f>IFERROR(G25/Inputs!$H$14,0)</f>
        <v>78.571428571428569</v>
      </c>
      <c r="L25" s="199">
        <f>IFERROR(G25/$G$126,0)</f>
        <v>2.9246758806202261E-4</v>
      </c>
      <c r="M25" s="190"/>
    </row>
    <row r="26" spans="2:13" hidden="1" x14ac:dyDescent="0.25">
      <c r="B26" s="189"/>
      <c r="C26" s="200" t="s">
        <v>214</v>
      </c>
      <c r="D26" s="201"/>
      <c r="E26" s="207">
        <f>IFERROR(0,0)</f>
        <v>0</v>
      </c>
      <c r="F26" s="208" t="s">
        <v>199</v>
      </c>
      <c r="G26" s="202">
        <f>IFERROR(E26*Inputs!H14,0)</f>
        <v>0</v>
      </c>
      <c r="H26" s="202">
        <f>IFERROR(G26/Inputs!$D$16,0)</f>
        <v>0</v>
      </c>
      <c r="I26" s="202">
        <f>IFERROR(G26/Inputs!$D$17,0)</f>
        <v>0</v>
      </c>
      <c r="J26" s="202">
        <f>IFERROR(G26/Inputs!$D$13,0)</f>
        <v>0</v>
      </c>
      <c r="K26" s="202">
        <f>IFERROR(G26/Inputs!$H$14,0)</f>
        <v>0</v>
      </c>
      <c r="L26" s="35">
        <f>IFERROR(G26/$G$126,0)</f>
        <v>0</v>
      </c>
      <c r="M26" s="190"/>
    </row>
    <row r="27" spans="2:13" hidden="1" x14ac:dyDescent="0.25">
      <c r="B27" s="189"/>
      <c r="C27" s="195" t="s">
        <v>215</v>
      </c>
      <c r="D27" s="196"/>
      <c r="E27" s="197">
        <f>IFERROR(0,0)</f>
        <v>0</v>
      </c>
      <c r="F27" s="209" t="s">
        <v>216</v>
      </c>
      <c r="G27" s="198">
        <f>IFERROR(E27*Inputs!D17,0)</f>
        <v>0</v>
      </c>
      <c r="H27" s="198">
        <f>IFERROR(G27/Inputs!$D$16,0)</f>
        <v>0</v>
      </c>
      <c r="I27" s="198">
        <f>IFERROR(G27/Inputs!$D$17,0)</f>
        <v>0</v>
      </c>
      <c r="J27" s="198">
        <f>IFERROR(G27/Inputs!$D$13,0)</f>
        <v>0</v>
      </c>
      <c r="K27" s="198">
        <f>IFERROR(G27/Inputs!$H$14,0)</f>
        <v>0</v>
      </c>
      <c r="L27" s="199">
        <f>IFERROR(G27/$G$126,0)</f>
        <v>0</v>
      </c>
      <c r="M27" s="190"/>
    </row>
    <row r="28" spans="2:13" hidden="1" x14ac:dyDescent="0.25">
      <c r="B28" s="189"/>
      <c r="C28" s="200" t="s">
        <v>217</v>
      </c>
      <c r="D28" s="201"/>
      <c r="E28" s="207">
        <f>IFERROR(3,0)</f>
        <v>3</v>
      </c>
      <c r="F28" s="208" t="s">
        <v>218</v>
      </c>
      <c r="G28" s="202">
        <f>IFERROR(E28*Inputs!D13,0)</f>
        <v>88446</v>
      </c>
      <c r="H28" s="202">
        <f>IFERROR(G28/Inputs!$D$16,0)</f>
        <v>6.5117614577581451</v>
      </c>
      <c r="I28" s="202">
        <f>IFERROR(G28/Inputs!$D$17,0)</f>
        <v>0.87211090952118009</v>
      </c>
      <c r="J28" s="202">
        <f>IFERROR(G28/Inputs!$D$13,0)</f>
        <v>3</v>
      </c>
      <c r="K28" s="202">
        <f>IFERROR(G28/Inputs!$H$14,0)</f>
        <v>394.84821428571428</v>
      </c>
      <c r="L28" s="35">
        <f>IFERROR(G28/$G$126,0)</f>
        <v>1.4697493348712301E-3</v>
      </c>
      <c r="M28" s="190"/>
    </row>
    <row r="29" spans="2:13" hidden="1" x14ac:dyDescent="0.25">
      <c r="B29" s="189"/>
      <c r="C29" s="195" t="s">
        <v>219</v>
      </c>
      <c r="D29" s="196"/>
      <c r="E29" s="214">
        <f>IFERROR(5/100,0)</f>
        <v>0.05</v>
      </c>
      <c r="F29" s="209"/>
      <c r="G29" s="198">
        <f>IFERROR(+SUM(G23-G14-G22,G28)*E29,0)</f>
        <v>1116989.55</v>
      </c>
      <c r="H29" s="198">
        <f>IFERROR(G29/Inputs!$D$16,0)</f>
        <v>82.237404748757598</v>
      </c>
      <c r="I29" s="198">
        <f>IFERROR(G29/Inputs!$D$17,0)</f>
        <v>11.013938135994321</v>
      </c>
      <c r="J29" s="198">
        <f>IFERROR(G29/Inputs!$D$13,0)</f>
        <v>37.887170137711145</v>
      </c>
      <c r="K29" s="196">
        <f>IFERROR(G29/Inputs!$H$14,0)</f>
        <v>4986.5604910714292</v>
      </c>
      <c r="L29" s="199">
        <f>IFERROR(G29/$G$126,0)</f>
        <v>1.8561547703351364E-2</v>
      </c>
      <c r="M29" s="190"/>
    </row>
    <row r="30" spans="2:13" x14ac:dyDescent="0.25">
      <c r="B30" s="189"/>
      <c r="C30" s="200" t="s">
        <v>220</v>
      </c>
      <c r="D30" s="201"/>
      <c r="E30" s="208">
        <f>IFERROR(0,0)</f>
        <v>0</v>
      </c>
      <c r="F30" s="208"/>
      <c r="G30" s="202">
        <f>IFERROR(+SUM(G23:G29),0)</f>
        <v>44063339.915230379</v>
      </c>
      <c r="H30" s="202">
        <f>IFERROR(G30/Inputs!$D$16,0)</f>
        <v>3244.1258910532215</v>
      </c>
      <c r="I30" s="202">
        <f>IFERROR(G30/Inputs!$D$17,0)</f>
        <v>434.48114612319927</v>
      </c>
      <c r="J30" s="202">
        <f>IFERROR(G30/Inputs!$D$13,0)</f>
        <v>1494.5844893572478</v>
      </c>
      <c r="K30" s="201">
        <f>IFERROR(G30/Inputs!$H$14,0)</f>
        <v>196711.33890727846</v>
      </c>
      <c r="L30" s="35">
        <f>IFERROR(G30/$G$126,0)</f>
        <v>0.73222151971389071</v>
      </c>
      <c r="M30" s="190"/>
    </row>
    <row r="31" spans="2:13" x14ac:dyDescent="0.25">
      <c r="B31" s="189"/>
      <c r="C31" s="215"/>
      <c r="D31" s="216"/>
      <c r="E31" s="216"/>
      <c r="F31" s="217"/>
      <c r="G31" s="216"/>
      <c r="H31" s="216"/>
      <c r="I31" s="216"/>
      <c r="J31" s="216"/>
      <c r="K31" s="216"/>
      <c r="L31" s="218"/>
      <c r="M31" s="190"/>
    </row>
    <row r="32" spans="2:13" x14ac:dyDescent="0.25">
      <c r="B32" s="189"/>
      <c r="C32" s="219" t="s">
        <v>16</v>
      </c>
      <c r="D32" s="220"/>
      <c r="E32" s="220"/>
      <c r="F32" s="221"/>
      <c r="G32" s="220"/>
      <c r="H32" s="220"/>
      <c r="I32" s="220"/>
      <c r="J32" s="220"/>
      <c r="K32" s="220"/>
      <c r="L32" s="222"/>
      <c r="M32" s="190"/>
    </row>
    <row r="33" spans="2:13" x14ac:dyDescent="0.25">
      <c r="B33" s="189"/>
      <c r="C33" s="223" t="s">
        <v>221</v>
      </c>
      <c r="D33" s="216"/>
      <c r="E33" s="224">
        <f t="shared" ref="E33:E46" si="0">IFERROR(0,0)</f>
        <v>0</v>
      </c>
      <c r="F33" s="217"/>
      <c r="G33" s="225">
        <f>IFERROR(2500,0)</f>
        <v>2500</v>
      </c>
      <c r="H33" s="225">
        <f>IFERROR(G33/Inputs!$D$16,0)</f>
        <v>0.18406037180195103</v>
      </c>
      <c r="I33" s="225">
        <f>IFERROR(G33/Inputs!$D$17,0)</f>
        <v>2.4650942652047016E-2</v>
      </c>
      <c r="J33" s="225">
        <f>IFERROR(G33/Inputs!$D$13,0)</f>
        <v>8.4797503561495152E-2</v>
      </c>
      <c r="K33" s="224">
        <f>IFERROR(G33/Inputs!$H$14,0)</f>
        <v>11.160714285714286</v>
      </c>
      <c r="L33" s="226">
        <f>IFERROR(G33/$G$126,0)</f>
        <v>4.1543691486082754E-5</v>
      </c>
      <c r="M33" s="190"/>
    </row>
    <row r="34" spans="2:13" x14ac:dyDescent="0.25">
      <c r="B34" s="189"/>
      <c r="C34" s="200" t="s">
        <v>222</v>
      </c>
      <c r="D34" s="201"/>
      <c r="E34" s="201">
        <f t="shared" si="0"/>
        <v>0</v>
      </c>
      <c r="F34" s="208"/>
      <c r="G34" s="207">
        <f>IFERROR(0,0)</f>
        <v>0</v>
      </c>
      <c r="H34" s="202">
        <f>IFERROR(G34/Inputs!$D$16,0)</f>
        <v>0</v>
      </c>
      <c r="I34" s="202">
        <f>IFERROR(G34/Inputs!$D$17,0)</f>
        <v>0</v>
      </c>
      <c r="J34" s="202">
        <f>IFERROR(G34/Inputs!$D$13,0)</f>
        <v>0</v>
      </c>
      <c r="K34" s="201">
        <f>IFERROR(G34/Inputs!$H$14,0)</f>
        <v>0</v>
      </c>
      <c r="L34" s="35">
        <f>IFERROR(G34/$G$126,0)</f>
        <v>0</v>
      </c>
      <c r="M34" s="190"/>
    </row>
    <row r="35" spans="2:13" x14ac:dyDescent="0.25">
      <c r="B35" s="189"/>
      <c r="C35" s="195" t="s">
        <v>223</v>
      </c>
      <c r="D35" s="196"/>
      <c r="E35" s="196">
        <f t="shared" si="0"/>
        <v>0</v>
      </c>
      <c r="F35" s="209"/>
      <c r="G35" s="197">
        <f>IFERROR(6000,0)</f>
        <v>6000</v>
      </c>
      <c r="H35" s="198">
        <f>IFERROR(G35/Inputs!$D$16,0)</f>
        <v>0.4417448923246825</v>
      </c>
      <c r="I35" s="198">
        <f>IFERROR(G35/Inputs!$D$17,0)</f>
        <v>5.9162262364912836E-2</v>
      </c>
      <c r="J35" s="198">
        <f>IFERROR(G35/Inputs!$D$13,0)</f>
        <v>0.20351400854758836</v>
      </c>
      <c r="K35" s="196">
        <f>IFERROR(G35/Inputs!$H$14,0)</f>
        <v>26.785714285714285</v>
      </c>
      <c r="L35" s="199">
        <f>IFERROR(G35/$G$126,0)</f>
        <v>9.970485956659861E-5</v>
      </c>
      <c r="M35" s="190"/>
    </row>
    <row r="36" spans="2:13" x14ac:dyDescent="0.25">
      <c r="B36" s="189"/>
      <c r="C36" s="200" t="s">
        <v>224</v>
      </c>
      <c r="D36" s="201"/>
      <c r="E36" s="201">
        <f t="shared" si="0"/>
        <v>0</v>
      </c>
      <c r="F36" s="208"/>
      <c r="G36" s="207">
        <f>IFERROR(4000,0)</f>
        <v>4000</v>
      </c>
      <c r="H36" s="202">
        <f>IFERROR(G36/Inputs!$D$16,0)</f>
        <v>0.29449659488312169</v>
      </c>
      <c r="I36" s="202">
        <f>IFERROR(G36/Inputs!$D$17,0)</f>
        <v>3.944150824327522E-2</v>
      </c>
      <c r="J36" s="202">
        <f>IFERROR(G36/Inputs!$D$13,0)</f>
        <v>0.13567600569839225</v>
      </c>
      <c r="K36" s="201">
        <f>IFERROR(G36/Inputs!$H$14,0)</f>
        <v>17.857142857142858</v>
      </c>
      <c r="L36" s="35">
        <f>IFERROR(G36/$G$126,0)</f>
        <v>6.6469906377732407E-5</v>
      </c>
      <c r="M36" s="190"/>
    </row>
    <row r="37" spans="2:13" x14ac:dyDescent="0.25">
      <c r="B37" s="189"/>
      <c r="C37" s="195" t="s">
        <v>225</v>
      </c>
      <c r="D37" s="196"/>
      <c r="E37" s="196">
        <f t="shared" si="0"/>
        <v>0</v>
      </c>
      <c r="F37" s="209"/>
      <c r="G37" s="197">
        <f>IFERROR(0,0)</f>
        <v>0</v>
      </c>
      <c r="H37" s="198">
        <f>IFERROR(G37/Inputs!$D$16,0)</f>
        <v>0</v>
      </c>
      <c r="I37" s="198">
        <f>IFERROR(G37/Inputs!$D$17,0)</f>
        <v>0</v>
      </c>
      <c r="J37" s="198">
        <f>IFERROR(G37/Inputs!$D$13,0)</f>
        <v>0</v>
      </c>
      <c r="K37" s="198">
        <f>IFERROR(G37/Inputs!$H$14,0)</f>
        <v>0</v>
      </c>
      <c r="L37" s="199">
        <f>IFERROR(G37/$G$126,0)</f>
        <v>0</v>
      </c>
      <c r="M37" s="190"/>
    </row>
    <row r="38" spans="2:13" x14ac:dyDescent="0.25">
      <c r="B38" s="189"/>
      <c r="C38" s="200" t="s">
        <v>226</v>
      </c>
      <c r="D38" s="201"/>
      <c r="E38" s="202">
        <f t="shared" si="0"/>
        <v>0</v>
      </c>
      <c r="F38" s="208"/>
      <c r="G38" s="207">
        <f>IFERROR(0,0)</f>
        <v>0</v>
      </c>
      <c r="H38" s="202">
        <f>IFERROR(G38/Inputs!$D$16,0)</f>
        <v>0</v>
      </c>
      <c r="I38" s="202">
        <f>IFERROR(G38/Inputs!$D$17,0)</f>
        <v>0</v>
      </c>
      <c r="J38" s="202">
        <f>IFERROR(G38/Inputs!$D$13,0)</f>
        <v>0</v>
      </c>
      <c r="K38" s="202">
        <f>IFERROR(G38/Inputs!$H$14,0)</f>
        <v>0</v>
      </c>
      <c r="L38" s="35">
        <f>IFERROR(G38/$G$126,0)</f>
        <v>0</v>
      </c>
      <c r="M38" s="190"/>
    </row>
    <row r="39" spans="2:13" x14ac:dyDescent="0.25">
      <c r="B39" s="189"/>
      <c r="C39" s="195" t="s">
        <v>227</v>
      </c>
      <c r="D39" s="196"/>
      <c r="E39" s="196">
        <f t="shared" si="0"/>
        <v>0</v>
      </c>
      <c r="F39" s="209"/>
      <c r="G39" s="197">
        <f>IFERROR(0,0)</f>
        <v>0</v>
      </c>
      <c r="H39" s="198">
        <f>IFERROR(G39/Inputs!$D$16,0)</f>
        <v>0</v>
      </c>
      <c r="I39" s="198">
        <f>IFERROR(G39/Inputs!$D$17,0)</f>
        <v>0</v>
      </c>
      <c r="J39" s="198">
        <f>IFERROR(G39/Inputs!$D$13,0)</f>
        <v>0</v>
      </c>
      <c r="K39" s="198">
        <f>IFERROR(G39/Inputs!$H$14,0)</f>
        <v>0</v>
      </c>
      <c r="L39" s="199">
        <f>IFERROR(G39/$G$126,0)</f>
        <v>0</v>
      </c>
      <c r="M39" s="190"/>
    </row>
    <row r="40" spans="2:13" x14ac:dyDescent="0.25">
      <c r="B40" s="189"/>
      <c r="C40" s="200" t="s">
        <v>228</v>
      </c>
      <c r="D40" s="201"/>
      <c r="E40" s="201">
        <f t="shared" si="0"/>
        <v>0</v>
      </c>
      <c r="F40" s="208"/>
      <c r="G40" s="207">
        <f>IFERROR(2500,0)</f>
        <v>2500</v>
      </c>
      <c r="H40" s="202">
        <f>IFERROR(G40/Inputs!$D$16,0)</f>
        <v>0.18406037180195103</v>
      </c>
      <c r="I40" s="202">
        <f>IFERROR(G40/Inputs!$D$17,0)</f>
        <v>2.4650942652047016E-2</v>
      </c>
      <c r="J40" s="202">
        <f>IFERROR(G40/Inputs!$D$13,0)</f>
        <v>8.4797503561495152E-2</v>
      </c>
      <c r="K40" s="202">
        <f>IFERROR(G40/Inputs!$H$14,0)</f>
        <v>11.160714285714286</v>
      </c>
      <c r="L40" s="35">
        <f>IFERROR(G40/$G$126,0)</f>
        <v>4.1543691486082754E-5</v>
      </c>
      <c r="M40" s="190"/>
    </row>
    <row r="41" spans="2:13" x14ac:dyDescent="0.25">
      <c r="B41" s="189"/>
      <c r="C41" s="195" t="s">
        <v>229</v>
      </c>
      <c r="D41" s="196"/>
      <c r="E41" s="196">
        <f t="shared" si="0"/>
        <v>0</v>
      </c>
      <c r="F41" s="209"/>
      <c r="G41" s="197">
        <f>IFERROR(0,0)</f>
        <v>0</v>
      </c>
      <c r="H41" s="198">
        <f>IFERROR(G41/Inputs!$D$16,0)</f>
        <v>0</v>
      </c>
      <c r="I41" s="198">
        <f>IFERROR(G41/Inputs!$D$17,0)</f>
        <v>0</v>
      </c>
      <c r="J41" s="198">
        <f>IFERROR(G41/Inputs!$D$13,0)</f>
        <v>0</v>
      </c>
      <c r="K41" s="198">
        <f>IFERROR(G41/Inputs!$H$14,0)</f>
        <v>0</v>
      </c>
      <c r="L41" s="199">
        <f>IFERROR(G41/$G$126,0)</f>
        <v>0</v>
      </c>
      <c r="M41" s="190"/>
    </row>
    <row r="42" spans="2:13" x14ac:dyDescent="0.25">
      <c r="B42" s="189"/>
      <c r="C42" s="200" t="s">
        <v>230</v>
      </c>
      <c r="D42" s="201"/>
      <c r="E42" s="201">
        <f t="shared" si="0"/>
        <v>0</v>
      </c>
      <c r="F42" s="208"/>
      <c r="G42" s="207">
        <f>IFERROR(0,0)</f>
        <v>0</v>
      </c>
      <c r="H42" s="202">
        <f>IFERROR(G42/Inputs!$D$16,0)</f>
        <v>0</v>
      </c>
      <c r="I42" s="202">
        <f>IFERROR(G42/Inputs!$D$17,0)</f>
        <v>0</v>
      </c>
      <c r="J42" s="202">
        <f>IFERROR(G42/Inputs!$D$13,0)</f>
        <v>0</v>
      </c>
      <c r="K42" s="202">
        <f>IFERROR(G42/Inputs!$H$14,0)</f>
        <v>0</v>
      </c>
      <c r="L42" s="35">
        <f>IFERROR(G42/$G$126,0)</f>
        <v>0</v>
      </c>
      <c r="M42" s="190"/>
    </row>
    <row r="43" spans="2:13" x14ac:dyDescent="0.25">
      <c r="B43" s="189"/>
      <c r="C43" s="195" t="s">
        <v>231</v>
      </c>
      <c r="D43" s="196"/>
      <c r="E43" s="196">
        <f t="shared" si="0"/>
        <v>0</v>
      </c>
      <c r="F43" s="209"/>
      <c r="G43" s="197">
        <f>IFERROR(0,0)</f>
        <v>0</v>
      </c>
      <c r="H43" s="198">
        <f>IFERROR(G43/Inputs!$D$16,0)</f>
        <v>0</v>
      </c>
      <c r="I43" s="198">
        <f>IFERROR(G43/Inputs!$D$17,0)</f>
        <v>0</v>
      </c>
      <c r="J43" s="198">
        <f>IFERROR(G43/Inputs!$D$13,0)</f>
        <v>0</v>
      </c>
      <c r="K43" s="198">
        <f>IFERROR(G43/Inputs!$H$14,0)</f>
        <v>0</v>
      </c>
      <c r="L43" s="199">
        <f>IFERROR(G43/$G$126,0)</f>
        <v>0</v>
      </c>
      <c r="M43" s="190"/>
    </row>
    <row r="44" spans="2:13" x14ac:dyDescent="0.25">
      <c r="B44" s="189"/>
      <c r="C44" s="200" t="s">
        <v>232</v>
      </c>
      <c r="D44" s="201"/>
      <c r="E44" s="201">
        <f t="shared" si="0"/>
        <v>0</v>
      </c>
      <c r="F44" s="208"/>
      <c r="G44" s="207">
        <f>IFERROR(0,0)</f>
        <v>0</v>
      </c>
      <c r="H44" s="202">
        <f>IFERROR(G44/Inputs!$D$16,0)</f>
        <v>0</v>
      </c>
      <c r="I44" s="202">
        <f>IFERROR(G44/Inputs!$D$17,0)</f>
        <v>0</v>
      </c>
      <c r="J44" s="202">
        <f>IFERROR(G44/Inputs!$D$13,0)</f>
        <v>0</v>
      </c>
      <c r="K44" s="202">
        <f>IFERROR(G44/Inputs!$H$14,0)</f>
        <v>0</v>
      </c>
      <c r="L44" s="35">
        <f>IFERROR(G44/$G$126,0)</f>
        <v>0</v>
      </c>
      <c r="M44" s="190"/>
    </row>
    <row r="45" spans="2:13" x14ac:dyDescent="0.25">
      <c r="B45" s="189"/>
      <c r="C45" s="195" t="s">
        <v>233</v>
      </c>
      <c r="D45" s="196"/>
      <c r="E45" s="196">
        <f t="shared" si="0"/>
        <v>0</v>
      </c>
      <c r="F45" s="209"/>
      <c r="G45" s="197">
        <f>IFERROR(0,0)</f>
        <v>0</v>
      </c>
      <c r="H45" s="198">
        <f>IFERROR(G45/Inputs!$D$16,0)</f>
        <v>0</v>
      </c>
      <c r="I45" s="198">
        <f>IFERROR(G45/Inputs!$D$17,0)</f>
        <v>0</v>
      </c>
      <c r="J45" s="198">
        <f>IFERROR(G45/Inputs!$D$13,0)</f>
        <v>0</v>
      </c>
      <c r="K45" s="198">
        <f>IFERROR(G45/Inputs!$H$14,0)</f>
        <v>0</v>
      </c>
      <c r="L45" s="199">
        <f>IFERROR(G45/$G$126,0)</f>
        <v>0</v>
      </c>
      <c r="M45" s="190"/>
    </row>
    <row r="46" spans="2:13" x14ac:dyDescent="0.25">
      <c r="B46" s="189"/>
      <c r="C46" s="200" t="s">
        <v>234</v>
      </c>
      <c r="D46" s="201"/>
      <c r="E46" s="201">
        <f t="shared" si="0"/>
        <v>0</v>
      </c>
      <c r="F46" s="208"/>
      <c r="G46" s="207">
        <f>IFERROR(+SUM(G33:G45),0)</f>
        <v>15000</v>
      </c>
      <c r="H46" s="202">
        <f>IFERROR(G46/Inputs!$D$16,0)</f>
        <v>1.1043622308117063</v>
      </c>
      <c r="I46" s="202">
        <f>IFERROR(G46/Inputs!$D$17,0)</f>
        <v>0.14790565591228208</v>
      </c>
      <c r="J46" s="202">
        <f>IFERROR(G46/Inputs!$D$13,0)</f>
        <v>0.50878502136897086</v>
      </c>
      <c r="K46" s="202">
        <f>IFERROR(G46/Inputs!$H$14,0)</f>
        <v>66.964285714285708</v>
      </c>
      <c r="L46" s="35">
        <f>IFERROR(G46/$G$126,0)</f>
        <v>2.4926214891649652E-4</v>
      </c>
      <c r="M46" s="190"/>
    </row>
    <row r="47" spans="2:13" x14ac:dyDescent="0.25">
      <c r="B47" s="189"/>
      <c r="C47" s="215" t="s">
        <v>235</v>
      </c>
      <c r="D47" s="216"/>
      <c r="E47" s="227">
        <f>IFERROR(3000,0)</f>
        <v>3000</v>
      </c>
      <c r="F47" s="217" t="s">
        <v>199</v>
      </c>
      <c r="G47" s="227">
        <f>IFERROR(E47*Inputs!$H$14,0)</f>
        <v>672000</v>
      </c>
      <c r="H47" s="227">
        <f>IFERROR(G47/Inputs!$D$16,0)</f>
        <v>49.47542794036444</v>
      </c>
      <c r="I47" s="227">
        <f>IFERROR(G47/Inputs!$D$17,0)</f>
        <v>6.6261733848702375</v>
      </c>
      <c r="J47" s="227">
        <f>IFERROR(G47/Inputs!$D$13,0)</f>
        <v>22.793568957329896</v>
      </c>
      <c r="K47" s="227">
        <f>IFERROR(G47/Inputs!$H$14,0)</f>
        <v>3000</v>
      </c>
      <c r="L47" s="228">
        <f>IFERROR(G47/$G$126,0)</f>
        <v>1.1166944271459044E-2</v>
      </c>
      <c r="M47" s="190"/>
    </row>
    <row r="48" spans="2:13" x14ac:dyDescent="0.25">
      <c r="B48" s="189"/>
      <c r="C48" s="200" t="s">
        <v>236</v>
      </c>
      <c r="D48" s="201"/>
      <c r="E48" s="207">
        <f>IFERROR(1000,0)</f>
        <v>1000</v>
      </c>
      <c r="F48" s="208" t="s">
        <v>199</v>
      </c>
      <c r="G48" s="202">
        <f>IFERROR(E48*Inputs!$H$14,0)</f>
        <v>224000</v>
      </c>
      <c r="H48" s="202">
        <f>IFERROR(G48/Inputs!$D$16,0)</f>
        <v>16.491809313454812</v>
      </c>
      <c r="I48" s="202">
        <f>IFERROR(G48/Inputs!$D$17,0)</f>
        <v>2.2087244616234125</v>
      </c>
      <c r="J48" s="202">
        <f>IFERROR(G48/Inputs!$D$13,0)</f>
        <v>7.5978563191099653</v>
      </c>
      <c r="K48" s="202">
        <f>IFERROR(G48/Inputs!$H$14,0)</f>
        <v>1000</v>
      </c>
      <c r="L48" s="35">
        <f>IFERROR(G48/$G$126,0)</f>
        <v>3.7223147571530148E-3</v>
      </c>
      <c r="M48" s="190"/>
    </row>
    <row r="49" spans="2:13" x14ac:dyDescent="0.25">
      <c r="B49" s="189"/>
      <c r="C49" s="195" t="s">
        <v>237</v>
      </c>
      <c r="D49" s="196"/>
      <c r="E49" s="197">
        <f>IFERROR(800,0)</f>
        <v>800</v>
      </c>
      <c r="F49" s="209" t="s">
        <v>199</v>
      </c>
      <c r="G49" s="198">
        <f>IFERROR(E49*Inputs!$H$14,0)</f>
        <v>179200</v>
      </c>
      <c r="H49" s="198">
        <f>IFERROR(G49/Inputs!$D$16,0)</f>
        <v>13.19344745076385</v>
      </c>
      <c r="I49" s="198">
        <f>IFERROR(G49/Inputs!$D$17,0)</f>
        <v>1.76697956929873</v>
      </c>
      <c r="J49" s="198">
        <f>IFERROR(G49/Inputs!$D$13,0)</f>
        <v>6.0782850552879726</v>
      </c>
      <c r="K49" s="198">
        <f>IFERROR(G49/Inputs!$H$14,0)</f>
        <v>800</v>
      </c>
      <c r="L49" s="199">
        <f>IFERROR(G49/$G$126,0)</f>
        <v>2.9778518057224116E-3</v>
      </c>
      <c r="M49" s="190"/>
    </row>
    <row r="50" spans="2:13" x14ac:dyDescent="0.25">
      <c r="B50" s="189"/>
      <c r="C50" s="200" t="s">
        <v>238</v>
      </c>
      <c r="D50" s="201"/>
      <c r="E50" s="207">
        <f>IFERROR(400,0)</f>
        <v>400</v>
      </c>
      <c r="F50" s="208" t="s">
        <v>199</v>
      </c>
      <c r="G50" s="202">
        <f>IFERROR(E50*Inputs!$H$14,0)</f>
        <v>89600</v>
      </c>
      <c r="H50" s="202">
        <f>IFERROR(G50/Inputs!$D$16,0)</f>
        <v>6.5967237253819251</v>
      </c>
      <c r="I50" s="202">
        <f>IFERROR(G50/Inputs!$D$17,0)</f>
        <v>0.88348978464936501</v>
      </c>
      <c r="J50" s="202">
        <f>IFERROR(G50/Inputs!$D$13,0)</f>
        <v>3.0391425276439863</v>
      </c>
      <c r="K50" s="202">
        <f>IFERROR(G50/Inputs!$H$14,0)</f>
        <v>400</v>
      </c>
      <c r="L50" s="35">
        <f>IFERROR(G50/$G$126,0)</f>
        <v>1.4889259028612058E-3</v>
      </c>
      <c r="M50" s="190"/>
    </row>
    <row r="51" spans="2:13" x14ac:dyDescent="0.25">
      <c r="B51" s="189"/>
      <c r="C51" s="195" t="s">
        <v>239</v>
      </c>
      <c r="D51" s="196"/>
      <c r="E51" s="197">
        <f>IFERROR(80,0)</f>
        <v>80</v>
      </c>
      <c r="F51" s="209" t="s">
        <v>199</v>
      </c>
      <c r="G51" s="198">
        <f>IFERROR(E51*Inputs!$H$14,0)</f>
        <v>17920</v>
      </c>
      <c r="H51" s="198">
        <f>IFERROR(G51/Inputs!$D$16,0)</f>
        <v>1.3193447450763851</v>
      </c>
      <c r="I51" s="198">
        <f>IFERROR(G51/Inputs!$D$17,0)</f>
        <v>0.176697956929873</v>
      </c>
      <c r="J51" s="198">
        <f>IFERROR(G51/Inputs!$D$13,0)</f>
        <v>0.60782850552879719</v>
      </c>
      <c r="K51" s="198">
        <f>IFERROR(G51/Inputs!$H$14,0)</f>
        <v>80</v>
      </c>
      <c r="L51" s="199">
        <f>IFERROR(G51/$G$126,0)</f>
        <v>2.977851805722412E-4</v>
      </c>
      <c r="M51" s="190"/>
    </row>
    <row r="52" spans="2:13" x14ac:dyDescent="0.25">
      <c r="B52" s="189"/>
      <c r="C52" s="200" t="s">
        <v>240</v>
      </c>
      <c r="D52" s="201"/>
      <c r="E52" s="208"/>
      <c r="F52" s="208"/>
      <c r="G52" s="202">
        <f>IFERROR(E52*Inputs!$H$14,0)</f>
        <v>0</v>
      </c>
      <c r="H52" s="202">
        <f>IFERROR(G52/Inputs!$D$16,0)</f>
        <v>0</v>
      </c>
      <c r="I52" s="202">
        <f>IFERROR(G52/Inputs!$D$17,0)</f>
        <v>0</v>
      </c>
      <c r="J52" s="202">
        <f>IFERROR(G52/Inputs!$D$13,0)</f>
        <v>0</v>
      </c>
      <c r="K52" s="202">
        <f>IFERROR(G52/Inputs!$H$14,0)</f>
        <v>0</v>
      </c>
      <c r="L52" s="35">
        <f>IFERROR(G52/$G$126,0)</f>
        <v>0</v>
      </c>
      <c r="M52" s="190"/>
    </row>
    <row r="53" spans="2:13" x14ac:dyDescent="0.25">
      <c r="B53" s="189"/>
      <c r="C53" s="195" t="s">
        <v>241</v>
      </c>
      <c r="D53" s="196"/>
      <c r="E53" s="197">
        <f>IFERROR(600,0)</f>
        <v>600</v>
      </c>
      <c r="F53" s="209" t="s">
        <v>199</v>
      </c>
      <c r="G53" s="198">
        <f>IFERROR(E53*Inputs!$H$14,0)</f>
        <v>134400</v>
      </c>
      <c r="H53" s="198">
        <f>IFERROR(G53/Inputs!$D$16,0)</f>
        <v>9.8950855880728881</v>
      </c>
      <c r="I53" s="198">
        <f>IFERROR(G53/Inputs!$D$17,0)</f>
        <v>1.3252346769740475</v>
      </c>
      <c r="J53" s="198">
        <f>IFERROR(G53/Inputs!$D$13,0)</f>
        <v>4.558713791465979</v>
      </c>
      <c r="K53" s="198">
        <f>IFERROR(G53/Inputs!$H$14,0)</f>
        <v>600</v>
      </c>
      <c r="L53" s="199">
        <f>IFERROR(G53/$G$126,0)</f>
        <v>2.2333888542918089E-3</v>
      </c>
      <c r="M53" s="190"/>
    </row>
    <row r="54" spans="2:13" x14ac:dyDescent="0.25">
      <c r="B54" s="189"/>
      <c r="C54" s="200" t="s">
        <v>242</v>
      </c>
      <c r="D54" s="201"/>
      <c r="E54" s="208"/>
      <c r="F54" s="208"/>
      <c r="G54" s="202">
        <f>IFERROR(E54*Inputs!$H$14,0)</f>
        <v>0</v>
      </c>
      <c r="H54" s="202">
        <f>IFERROR(G54/Inputs!$D$16,0)</f>
        <v>0</v>
      </c>
      <c r="I54" s="202">
        <f>IFERROR(G54/Inputs!$D$17,0)</f>
        <v>0</v>
      </c>
      <c r="J54" s="202">
        <f>IFERROR(G54/Inputs!$D$13,0)</f>
        <v>0</v>
      </c>
      <c r="K54" s="202">
        <f>IFERROR(G54/Inputs!$H$14,0)</f>
        <v>0</v>
      </c>
      <c r="L54" s="35">
        <f>IFERROR(G54/$G$126,0)</f>
        <v>0</v>
      </c>
      <c r="M54" s="190"/>
    </row>
    <row r="55" spans="2:13" x14ac:dyDescent="0.25">
      <c r="B55" s="189"/>
      <c r="C55" s="195" t="s">
        <v>243</v>
      </c>
      <c r="D55" s="196"/>
      <c r="E55" s="197">
        <f>IFERROR(40,0)</f>
        <v>40</v>
      </c>
      <c r="F55" s="209" t="s">
        <v>199</v>
      </c>
      <c r="G55" s="198">
        <f>IFERROR(E55*Inputs!$H$14,0)</f>
        <v>8960</v>
      </c>
      <c r="H55" s="198">
        <f>IFERROR(G55/Inputs!$D$16,0)</f>
        <v>0.65967237253819255</v>
      </c>
      <c r="I55" s="198">
        <f>IFERROR(G55/Inputs!$D$17,0)</f>
        <v>8.8348978464936501E-2</v>
      </c>
      <c r="J55" s="198">
        <f>IFERROR(G55/Inputs!$D$13,0)</f>
        <v>0.3039142527643986</v>
      </c>
      <c r="K55" s="198">
        <f>IFERROR(G55/Inputs!$H$14,0)</f>
        <v>40</v>
      </c>
      <c r="L55" s="199">
        <f>IFERROR(G55/$G$126,0)</f>
        <v>1.488925902861206E-4</v>
      </c>
      <c r="M55" s="190"/>
    </row>
    <row r="56" spans="2:13" x14ac:dyDescent="0.25">
      <c r="B56" s="189"/>
      <c r="C56" s="200" t="s">
        <v>244</v>
      </c>
      <c r="D56" s="201"/>
      <c r="E56" s="207">
        <f>IFERROR(120,0)</f>
        <v>120</v>
      </c>
      <c r="F56" s="208" t="s">
        <v>199</v>
      </c>
      <c r="G56" s="202">
        <f>IFERROR(E56*Inputs!$H$14,0)</f>
        <v>26880</v>
      </c>
      <c r="H56" s="202">
        <f>IFERROR(G56/Inputs!$D$16,0)</f>
        <v>1.9790171176145777</v>
      </c>
      <c r="I56" s="202">
        <f>IFERROR(G56/Inputs!$D$17,0)</f>
        <v>0.2650469353948095</v>
      </c>
      <c r="J56" s="202">
        <f>IFERROR(G56/Inputs!$D$13,0)</f>
        <v>0.91174275829319584</v>
      </c>
      <c r="K56" s="202">
        <f>IFERROR(G56/Inputs!$H$14,0)</f>
        <v>120</v>
      </c>
      <c r="L56" s="35">
        <f>IFERROR(G56/$G$126,0)</f>
        <v>4.4667777085836177E-4</v>
      </c>
      <c r="M56" s="190"/>
    </row>
    <row r="57" spans="2:13" x14ac:dyDescent="0.25">
      <c r="B57" s="189"/>
      <c r="C57" s="195" t="s">
        <v>245</v>
      </c>
      <c r="D57" s="196"/>
      <c r="E57" s="209"/>
      <c r="F57" s="209"/>
      <c r="G57" s="198">
        <f>IFERROR(E57*Inputs!$H$14,0)</f>
        <v>0</v>
      </c>
      <c r="H57" s="198">
        <f>IFERROR(G57/Inputs!$D$16,0)</f>
        <v>0</v>
      </c>
      <c r="I57" s="198">
        <f>IFERROR(G57/Inputs!$D$17,0)</f>
        <v>0</v>
      </c>
      <c r="J57" s="198">
        <f>IFERROR(G57/Inputs!$D$13,0)</f>
        <v>0</v>
      </c>
      <c r="K57" s="198">
        <f>IFERROR(G57/Inputs!$H$14,0)</f>
        <v>0</v>
      </c>
      <c r="L57" s="199">
        <f>IFERROR(G57/$G$126,0)</f>
        <v>0</v>
      </c>
      <c r="M57" s="190"/>
    </row>
    <row r="58" spans="2:13" x14ac:dyDescent="0.25">
      <c r="B58" s="189"/>
      <c r="C58" s="200" t="s">
        <v>246</v>
      </c>
      <c r="D58" s="201"/>
      <c r="E58" s="208"/>
      <c r="F58" s="208"/>
      <c r="G58" s="202">
        <f>IFERROR(E58*Inputs!$H$14,0)</f>
        <v>0</v>
      </c>
      <c r="H58" s="202">
        <f>IFERROR(G58/Inputs!$D$16,0)</f>
        <v>0</v>
      </c>
      <c r="I58" s="202">
        <f>IFERROR(G58/Inputs!$D$17,0)</f>
        <v>0</v>
      </c>
      <c r="J58" s="202">
        <f>IFERROR(G58/Inputs!$D$13,0)</f>
        <v>0</v>
      </c>
      <c r="K58" s="202">
        <f>IFERROR(G58/Inputs!$H$14,0)</f>
        <v>0</v>
      </c>
      <c r="L58" s="35">
        <f>IFERROR(G58/$G$126,0)</f>
        <v>0</v>
      </c>
      <c r="M58" s="190"/>
    </row>
    <row r="59" spans="2:13" x14ac:dyDescent="0.25">
      <c r="B59" s="189"/>
      <c r="C59" s="195" t="s">
        <v>247</v>
      </c>
      <c r="D59" s="196"/>
      <c r="E59" s="209"/>
      <c r="F59" s="209"/>
      <c r="G59" s="198">
        <f>IFERROR(E59*Inputs!$H$14,0)</f>
        <v>0</v>
      </c>
      <c r="H59" s="198">
        <f>IFERROR(G59/Inputs!$D$16,0)</f>
        <v>0</v>
      </c>
      <c r="I59" s="198">
        <f>IFERROR(G59/Inputs!$D$17,0)</f>
        <v>0</v>
      </c>
      <c r="J59" s="198">
        <f>IFERROR(G59/Inputs!$D$13,0)</f>
        <v>0</v>
      </c>
      <c r="K59" s="198">
        <f>IFERROR(G59/Inputs!$H$14,0)</f>
        <v>0</v>
      </c>
      <c r="L59" s="199">
        <f t="shared" ref="L59:L78" si="1">IFERROR(G59/$G$126,0)</f>
        <v>0</v>
      </c>
      <c r="M59" s="190"/>
    </row>
    <row r="60" spans="2:13" x14ac:dyDescent="0.25">
      <c r="B60" s="189"/>
      <c r="C60" s="200" t="s">
        <v>248</v>
      </c>
      <c r="D60" s="201"/>
      <c r="E60" s="208"/>
      <c r="F60" s="208"/>
      <c r="G60" s="202">
        <f>IFERROR(E60*Inputs!$H$14,0)</f>
        <v>0</v>
      </c>
      <c r="H60" s="202">
        <f>IFERROR(G60/Inputs!$D$16,0)</f>
        <v>0</v>
      </c>
      <c r="I60" s="202">
        <f>IFERROR(G60/Inputs!$D$17,0)</f>
        <v>0</v>
      </c>
      <c r="J60" s="202">
        <f>IFERROR(G60/Inputs!$D$13,0)</f>
        <v>0</v>
      </c>
      <c r="K60" s="202">
        <f>IFERROR(G60/Inputs!$H$14,0)</f>
        <v>0</v>
      </c>
      <c r="L60" s="35">
        <f t="shared" si="1"/>
        <v>0</v>
      </c>
      <c r="M60" s="190"/>
    </row>
    <row r="61" spans="2:13" x14ac:dyDescent="0.25">
      <c r="B61" s="189"/>
      <c r="C61" s="195" t="s">
        <v>249</v>
      </c>
      <c r="D61" s="196"/>
      <c r="E61" s="209"/>
      <c r="F61" s="209"/>
      <c r="G61" s="198">
        <f>IFERROR(E61*Inputs!$H$14,0)</f>
        <v>0</v>
      </c>
      <c r="H61" s="198">
        <f>IFERROR(G61/Inputs!$D$16,0)</f>
        <v>0</v>
      </c>
      <c r="I61" s="198">
        <f>IFERROR(G61/Inputs!$D$17,0)</f>
        <v>0</v>
      </c>
      <c r="J61" s="198">
        <f>IFERROR(G61/Inputs!$D$13,0)</f>
        <v>0</v>
      </c>
      <c r="K61" s="198">
        <f>IFERROR(G61/Inputs!$H$14,0)</f>
        <v>0</v>
      </c>
      <c r="L61" s="199">
        <f t="shared" si="1"/>
        <v>0</v>
      </c>
      <c r="M61" s="190"/>
    </row>
    <row r="62" spans="2:13" x14ac:dyDescent="0.25">
      <c r="B62" s="189"/>
      <c r="C62" s="200" t="s">
        <v>250</v>
      </c>
      <c r="D62" s="201"/>
      <c r="E62" s="207">
        <f>IFERROR(170,0)</f>
        <v>170</v>
      </c>
      <c r="F62" s="208" t="s">
        <v>199</v>
      </c>
      <c r="G62" s="202">
        <f>+IFERROR(E62*Inputs!$H$14,0)</f>
        <v>38080</v>
      </c>
      <c r="H62" s="202">
        <f>IFERROR(G62/Inputs!$D$16,0)</f>
        <v>2.8036075832873184</v>
      </c>
      <c r="I62" s="202">
        <f>IFERROR(G62/Inputs!$D$17,0)</f>
        <v>0.37548315847598013</v>
      </c>
      <c r="J62" s="202">
        <f>IFERROR(G62/Inputs!$D$13,0)</f>
        <v>1.291635574248694</v>
      </c>
      <c r="K62" s="202">
        <f>IFERROR(G62/Inputs!$H$14,0)</f>
        <v>170</v>
      </c>
      <c r="L62" s="35">
        <f t="shared" si="1"/>
        <v>6.3279350871601255E-4</v>
      </c>
      <c r="M62" s="190"/>
    </row>
    <row r="63" spans="2:13" x14ac:dyDescent="0.25">
      <c r="B63" s="189"/>
      <c r="C63" s="195" t="s">
        <v>251</v>
      </c>
      <c r="D63" s="196"/>
      <c r="E63" s="209"/>
      <c r="F63" s="209"/>
      <c r="G63" s="198">
        <f>IFERROR(E63*Inputs!$H$14,0)</f>
        <v>0</v>
      </c>
      <c r="H63" s="198">
        <f>IFERROR(G63/Inputs!$D$16,0)</f>
        <v>0</v>
      </c>
      <c r="I63" s="198">
        <f>IFERROR(G63/Inputs!$D$17,0)</f>
        <v>0</v>
      </c>
      <c r="J63" s="198">
        <f>IFERROR(G63/Inputs!$D$13,0)</f>
        <v>0</v>
      </c>
      <c r="K63" s="198">
        <f>IFERROR(G63/Inputs!$H$14,0)</f>
        <v>0</v>
      </c>
      <c r="L63" s="199">
        <f t="shared" si="1"/>
        <v>0</v>
      </c>
      <c r="M63" s="190"/>
    </row>
    <row r="64" spans="2:13" x14ac:dyDescent="0.25">
      <c r="B64" s="189"/>
      <c r="C64" s="200" t="s">
        <v>252</v>
      </c>
      <c r="D64" s="201"/>
      <c r="E64" s="208"/>
      <c r="F64" s="208"/>
      <c r="G64" s="202">
        <f>IFERROR(E64*Inputs!$H$14,0)</f>
        <v>0</v>
      </c>
      <c r="H64" s="202">
        <f>IFERROR(G64/Inputs!$D$16,0)</f>
        <v>0</v>
      </c>
      <c r="I64" s="202">
        <f>IFERROR(G64/Inputs!$D$17,0)</f>
        <v>0</v>
      </c>
      <c r="J64" s="202">
        <f>IFERROR(G64/Inputs!$D$13,0)</f>
        <v>0</v>
      </c>
      <c r="K64" s="202">
        <f>IFERROR(G64/Inputs!$H$14,0)</f>
        <v>0</v>
      </c>
      <c r="L64" s="35">
        <f t="shared" si="1"/>
        <v>0</v>
      </c>
      <c r="M64" s="190"/>
    </row>
    <row r="65" spans="2:13" x14ac:dyDescent="0.25">
      <c r="B65" s="189"/>
      <c r="C65" s="195" t="s">
        <v>253</v>
      </c>
      <c r="D65" s="196"/>
      <c r="E65" s="209"/>
      <c r="F65" s="209"/>
      <c r="G65" s="198">
        <f>IFERROR(E65*Inputs!$H$14,0)</f>
        <v>0</v>
      </c>
      <c r="H65" s="198">
        <f>IFERROR(G65/Inputs!$D$16,0)</f>
        <v>0</v>
      </c>
      <c r="I65" s="198">
        <f>IFERROR(G65/Inputs!$D$17,0)</f>
        <v>0</v>
      </c>
      <c r="J65" s="198">
        <f>IFERROR(G65/Inputs!$D$13,0)</f>
        <v>0</v>
      </c>
      <c r="K65" s="198">
        <f>IFERROR(G65/Inputs!$H$14,0)</f>
        <v>0</v>
      </c>
      <c r="L65" s="199">
        <f t="shared" si="1"/>
        <v>0</v>
      </c>
      <c r="M65" s="190"/>
    </row>
    <row r="66" spans="2:13" x14ac:dyDescent="0.25">
      <c r="B66" s="189"/>
      <c r="C66" s="200" t="s">
        <v>254</v>
      </c>
      <c r="D66" s="201"/>
      <c r="E66" s="207">
        <f>IFERROR(25,0)</f>
        <v>25</v>
      </c>
      <c r="F66" s="208" t="s">
        <v>199</v>
      </c>
      <c r="G66" s="202">
        <f>IFERROR(E66*Inputs!$H$14,0)</f>
        <v>5600</v>
      </c>
      <c r="H66" s="202">
        <f>IFERROR(G66/Inputs!$D$16,0)</f>
        <v>0.41229523283637032</v>
      </c>
      <c r="I66" s="202">
        <f>IFERROR(G66/Inputs!$D$17,0)</f>
        <v>5.5218111540585313E-2</v>
      </c>
      <c r="J66" s="202">
        <f>IFERROR(G66/Inputs!$D$13,0)</f>
        <v>0.18994640797774914</v>
      </c>
      <c r="K66" s="202">
        <f>IFERROR(G66/Inputs!$H$14,0)</f>
        <v>25</v>
      </c>
      <c r="L66" s="35">
        <f t="shared" si="1"/>
        <v>9.3057868928825364E-5</v>
      </c>
      <c r="M66" s="190"/>
    </row>
    <row r="67" spans="2:13" x14ac:dyDescent="0.25">
      <c r="B67" s="189"/>
      <c r="C67" s="195" t="s">
        <v>255</v>
      </c>
      <c r="D67" s="196"/>
      <c r="E67" s="209"/>
      <c r="F67" s="209"/>
      <c r="G67" s="198">
        <f>IFERROR(E67*Inputs!$H$14,0)</f>
        <v>0</v>
      </c>
      <c r="H67" s="198">
        <f>IFERROR(G67/Inputs!$D$16,0)</f>
        <v>0</v>
      </c>
      <c r="I67" s="198">
        <f>IFERROR(G67/Inputs!$D$17,0)</f>
        <v>0</v>
      </c>
      <c r="J67" s="198">
        <f>IFERROR(G67/Inputs!$D$13,0)</f>
        <v>0</v>
      </c>
      <c r="K67" s="198">
        <f>IFERROR(G67/Inputs!$H$14,0)</f>
        <v>0</v>
      </c>
      <c r="L67" s="199">
        <f t="shared" si="1"/>
        <v>0</v>
      </c>
      <c r="M67" s="190"/>
    </row>
    <row r="68" spans="2:13" x14ac:dyDescent="0.25">
      <c r="B68" s="189"/>
      <c r="C68" s="200" t="s">
        <v>256</v>
      </c>
      <c r="D68" s="201"/>
      <c r="E68" s="208"/>
      <c r="F68" s="208"/>
      <c r="G68" s="202">
        <f>IFERROR(E68*Inputs!$H$14,0)</f>
        <v>0</v>
      </c>
      <c r="H68" s="202">
        <f>IFERROR(G68/Inputs!$D$16,0)</f>
        <v>0</v>
      </c>
      <c r="I68" s="202">
        <f>IFERROR(G68/Inputs!$D$17,0)</f>
        <v>0</v>
      </c>
      <c r="J68" s="202">
        <f>IFERROR(G68/Inputs!$D$13,0)</f>
        <v>0</v>
      </c>
      <c r="K68" s="202">
        <f>IFERROR(G68/Inputs!$H$14,0)</f>
        <v>0</v>
      </c>
      <c r="L68" s="35">
        <f t="shared" si="1"/>
        <v>0</v>
      </c>
      <c r="M68" s="190"/>
    </row>
    <row r="69" spans="2:13" x14ac:dyDescent="0.25">
      <c r="B69" s="189"/>
      <c r="C69" s="195" t="s">
        <v>257</v>
      </c>
      <c r="D69" s="196"/>
      <c r="E69" s="209"/>
      <c r="F69" s="209"/>
      <c r="G69" s="198">
        <f>IFERROR(E69*Inputs!$H$14,0)</f>
        <v>0</v>
      </c>
      <c r="H69" s="198">
        <f>IFERROR(G69/Inputs!$D$16,0)</f>
        <v>0</v>
      </c>
      <c r="I69" s="198">
        <f>IFERROR(G69/Inputs!$D$17,0)</f>
        <v>0</v>
      </c>
      <c r="J69" s="198">
        <f>IFERROR(G69/Inputs!$D$13,0)</f>
        <v>0</v>
      </c>
      <c r="K69" s="198">
        <f>IFERROR(G69/Inputs!$H$14,0)</f>
        <v>0</v>
      </c>
      <c r="L69" s="199">
        <f t="shared" si="1"/>
        <v>0</v>
      </c>
      <c r="M69" s="190"/>
    </row>
    <row r="70" spans="2:13" x14ac:dyDescent="0.25">
      <c r="B70" s="189"/>
      <c r="C70" s="200" t="s">
        <v>258</v>
      </c>
      <c r="D70" s="201"/>
      <c r="E70" s="208"/>
      <c r="F70" s="208"/>
      <c r="G70" s="202">
        <f>IFERROR(E70*Inputs!$H$14,0)</f>
        <v>0</v>
      </c>
      <c r="H70" s="202">
        <f>IFERROR(G70/Inputs!$D$16,0)</f>
        <v>0</v>
      </c>
      <c r="I70" s="202">
        <f>IFERROR(G70/Inputs!$D$17,0)</f>
        <v>0</v>
      </c>
      <c r="J70" s="202">
        <f>IFERROR(G70/Inputs!$D$13,0)</f>
        <v>0</v>
      </c>
      <c r="K70" s="202">
        <f>IFERROR(G70/Inputs!$H$14,0)</f>
        <v>0</v>
      </c>
      <c r="L70" s="35">
        <f t="shared" si="1"/>
        <v>0</v>
      </c>
      <c r="M70" s="190"/>
    </row>
    <row r="71" spans="2:13" x14ac:dyDescent="0.25">
      <c r="B71" s="189"/>
      <c r="C71" s="195" t="s">
        <v>259</v>
      </c>
      <c r="D71" s="196"/>
      <c r="E71" s="209"/>
      <c r="F71" s="209"/>
      <c r="G71" s="198">
        <f>IFERROR(E71*Inputs!$H$14,0)</f>
        <v>0</v>
      </c>
      <c r="H71" s="198">
        <f>IFERROR(G71/Inputs!$D$16,0)</f>
        <v>0</v>
      </c>
      <c r="I71" s="198">
        <f>IFERROR(G71/Inputs!$D$17,0)</f>
        <v>0</v>
      </c>
      <c r="J71" s="198">
        <f>IFERROR(G71/Inputs!$D$13,0)</f>
        <v>0</v>
      </c>
      <c r="K71" s="198">
        <f>IFERROR(G71/Inputs!$H$14,0)</f>
        <v>0</v>
      </c>
      <c r="L71" s="199">
        <f t="shared" si="1"/>
        <v>0</v>
      </c>
      <c r="M71" s="190"/>
    </row>
    <row r="72" spans="2:13" x14ac:dyDescent="0.25">
      <c r="B72" s="189"/>
      <c r="C72" s="200" t="s">
        <v>260</v>
      </c>
      <c r="D72" s="201"/>
      <c r="E72" s="208"/>
      <c r="F72" s="208"/>
      <c r="G72" s="202">
        <f>IFERROR(E72*Inputs!$H$14,0)</f>
        <v>0</v>
      </c>
      <c r="H72" s="202">
        <f>IFERROR(G72/Inputs!$D$16,0)</f>
        <v>0</v>
      </c>
      <c r="I72" s="202">
        <f>IFERROR(G72/Inputs!$D$17,0)</f>
        <v>0</v>
      </c>
      <c r="J72" s="202">
        <f>IFERROR(G72/Inputs!$D$13,0)</f>
        <v>0</v>
      </c>
      <c r="K72" s="202">
        <f>IFERROR(G72/Inputs!$H$14,0)</f>
        <v>0</v>
      </c>
      <c r="L72" s="35">
        <f t="shared" si="1"/>
        <v>0</v>
      </c>
      <c r="M72" s="190"/>
    </row>
    <row r="73" spans="2:13" x14ac:dyDescent="0.25">
      <c r="B73" s="189"/>
      <c r="C73" s="195" t="s">
        <v>261</v>
      </c>
      <c r="D73" s="196"/>
      <c r="E73" s="209"/>
      <c r="F73" s="209"/>
      <c r="G73" s="198">
        <f>IFERROR(E73*Inputs!$H$14,0)</f>
        <v>0</v>
      </c>
      <c r="H73" s="198">
        <f>IFERROR(G73/Inputs!$D$16,0)</f>
        <v>0</v>
      </c>
      <c r="I73" s="198">
        <f>IFERROR(G73/Inputs!$D$17,0)</f>
        <v>0</v>
      </c>
      <c r="J73" s="198">
        <f>IFERROR(G73/Inputs!$D$13,0)</f>
        <v>0</v>
      </c>
      <c r="K73" s="198">
        <f>IFERROR(G73/Inputs!$H$14,0)</f>
        <v>0</v>
      </c>
      <c r="L73" s="199">
        <f t="shared" si="1"/>
        <v>0</v>
      </c>
      <c r="M73" s="190"/>
    </row>
    <row r="74" spans="2:13" x14ac:dyDescent="0.25">
      <c r="B74" s="189"/>
      <c r="C74" s="200" t="s">
        <v>262</v>
      </c>
      <c r="D74" s="201"/>
      <c r="E74" s="208"/>
      <c r="F74" s="208"/>
      <c r="G74" s="202">
        <f>IFERROR(E74*Inputs!$H$14,0)</f>
        <v>0</v>
      </c>
      <c r="H74" s="202">
        <f>IFERROR(G74/Inputs!$D$16,0)</f>
        <v>0</v>
      </c>
      <c r="I74" s="202">
        <f>IFERROR(G74/Inputs!$D$17,0)</f>
        <v>0</v>
      </c>
      <c r="J74" s="202">
        <f>IFERROR(G74/Inputs!$D$13,0)</f>
        <v>0</v>
      </c>
      <c r="K74" s="202">
        <f>IFERROR(G74/Inputs!$H$14,0)</f>
        <v>0</v>
      </c>
      <c r="L74" s="35">
        <f t="shared" si="1"/>
        <v>0</v>
      </c>
      <c r="M74" s="190"/>
    </row>
    <row r="75" spans="2:13" x14ac:dyDescent="0.25">
      <c r="B75" s="189"/>
      <c r="C75" s="195" t="s">
        <v>263</v>
      </c>
      <c r="D75" s="196"/>
      <c r="E75" s="209"/>
      <c r="F75" s="209"/>
      <c r="G75" s="198">
        <f>IFERROR(E75*Inputs!$H$14,0)</f>
        <v>0</v>
      </c>
      <c r="H75" s="198">
        <f>IFERROR(G75/Inputs!$D$16,0)</f>
        <v>0</v>
      </c>
      <c r="I75" s="198">
        <f>IFERROR(G75/Inputs!$D$17,0)</f>
        <v>0</v>
      </c>
      <c r="J75" s="198">
        <f>IFERROR(G75/Inputs!$D$130,0)</f>
        <v>0</v>
      </c>
      <c r="K75" s="198">
        <f>IFERROR(G75/Inputs!$H$14,0)</f>
        <v>0</v>
      </c>
      <c r="L75" s="199">
        <f t="shared" si="1"/>
        <v>0</v>
      </c>
      <c r="M75" s="190"/>
    </row>
    <row r="76" spans="2:13" x14ac:dyDescent="0.25">
      <c r="B76" s="189"/>
      <c r="C76" s="200" t="s">
        <v>264</v>
      </c>
      <c r="D76" s="201"/>
      <c r="E76" s="208"/>
      <c r="F76" s="208"/>
      <c r="G76" s="202">
        <f>IFERROR(E76*Inputs!$H$14,0)</f>
        <v>0</v>
      </c>
      <c r="H76" s="202">
        <f>IFERROR(G76/Inputs!$D$16,0)</f>
        <v>0</v>
      </c>
      <c r="I76" s="202">
        <f>IFERROR(G76/Inputs!$D$17,0)</f>
        <v>0</v>
      </c>
      <c r="J76" s="202">
        <f>IFERROR(G76/Inputs!$D$13,0)</f>
        <v>0</v>
      </c>
      <c r="K76" s="202">
        <f>IFERROR(G76/Inputs!$H$14,0)</f>
        <v>0</v>
      </c>
      <c r="L76" s="35">
        <f t="shared" si="1"/>
        <v>0</v>
      </c>
      <c r="M76" s="190"/>
    </row>
    <row r="77" spans="2:13" x14ac:dyDescent="0.25">
      <c r="B77" s="189"/>
      <c r="C77" s="195" t="s">
        <v>265</v>
      </c>
      <c r="D77" s="196"/>
      <c r="E77" s="197">
        <f>IFERROR(115,0)</f>
        <v>115</v>
      </c>
      <c r="F77" s="209" t="s">
        <v>199</v>
      </c>
      <c r="G77" s="198">
        <f>IFERROR(E77*Inputs!$H$14,0)</f>
        <v>25760</v>
      </c>
      <c r="H77" s="198">
        <f>IFERROR(G77/Inputs!$D$16,0)</f>
        <v>1.8965580710473036</v>
      </c>
      <c r="I77" s="198">
        <f>IFERROR(G77/Inputs!$D$17,0)</f>
        <v>0.25400331308669244</v>
      </c>
      <c r="J77" s="198">
        <f>IFERROR(G77/Inputs!$D$13,0)</f>
        <v>0.87375347669764603</v>
      </c>
      <c r="K77" s="198">
        <f>IFERROR(G77/Inputs!$H$14,0)</f>
        <v>115</v>
      </c>
      <c r="L77" s="199">
        <f t="shared" si="1"/>
        <v>4.2806619707259669E-4</v>
      </c>
      <c r="M77" s="190"/>
    </row>
    <row r="78" spans="2:13" x14ac:dyDescent="0.25">
      <c r="B78" s="189"/>
      <c r="C78" s="200" t="s">
        <v>266</v>
      </c>
      <c r="D78" s="201"/>
      <c r="E78" s="207">
        <f>IFERROR(95,0)</f>
        <v>95</v>
      </c>
      <c r="F78" s="208" t="s">
        <v>199</v>
      </c>
      <c r="G78" s="202">
        <f>IFERROR(E78*Inputs!$H$14,0)</f>
        <v>21280</v>
      </c>
      <c r="H78" s="202">
        <f>IFERROR(G78/Inputs!$D$16,0)</f>
        <v>1.5667218847782072</v>
      </c>
      <c r="I78" s="202">
        <f>IFERROR(G78/Inputs!$D$17,0)</f>
        <v>0.20982882385422419</v>
      </c>
      <c r="J78" s="202">
        <f>IFERROR(G78/Inputs!$D$13,0)</f>
        <v>0.72179635031544676</v>
      </c>
      <c r="K78" s="202">
        <f>IFERROR(G78/Inputs!$H$14,0)</f>
        <v>95</v>
      </c>
      <c r="L78" s="35">
        <f t="shared" si="1"/>
        <v>3.5361990192953643E-4</v>
      </c>
      <c r="M78" s="190"/>
    </row>
    <row r="79" spans="2:13" x14ac:dyDescent="0.25">
      <c r="B79" s="189"/>
      <c r="C79" s="195" t="s">
        <v>267</v>
      </c>
      <c r="D79" s="211">
        <f>IFERROR(5,0)</f>
        <v>5</v>
      </c>
      <c r="E79" s="197">
        <f>IFERROR(0,0)</f>
        <v>0</v>
      </c>
      <c r="F79" s="209" t="s">
        <v>199</v>
      </c>
      <c r="G79" s="198">
        <f>IFERROR(E79*Inputs!$H$14,0)</f>
        <v>0</v>
      </c>
      <c r="H79" s="198">
        <f>IFERROR(G79/Inputs!$D$16,0)</f>
        <v>0</v>
      </c>
      <c r="I79" s="198">
        <f>IFERROR(G79/Inputs!$D$17,0)</f>
        <v>0</v>
      </c>
      <c r="J79" s="198">
        <f>IFERROR(G79/Inputs!$D$13,0)</f>
        <v>0</v>
      </c>
      <c r="K79" s="198">
        <f>IFERROR(G79/Inputs!$H$14,0)</f>
        <v>0</v>
      </c>
      <c r="L79" s="199">
        <f>IFERROR(G79/$G$127,0)</f>
        <v>0</v>
      </c>
      <c r="M79" s="190"/>
    </row>
    <row r="80" spans="2:13" x14ac:dyDescent="0.25">
      <c r="B80" s="189"/>
      <c r="C80" s="200" t="s">
        <v>268</v>
      </c>
      <c r="D80" s="229">
        <f>IFERROR(5,0)</f>
        <v>5</v>
      </c>
      <c r="E80" s="207">
        <f>IFERROR(0,0)</f>
        <v>0</v>
      </c>
      <c r="F80" s="208"/>
      <c r="G80" s="202">
        <f>IFERROR(SUM(G47:G79),0)</f>
        <v>1443680</v>
      </c>
      <c r="H80" s="202">
        <f>IFERROR(G80/Inputs!$D$16,0)</f>
        <v>106.28971102521628</v>
      </c>
      <c r="I80" s="202">
        <f>IFERROR(G80/Inputs!$D$17,0)</f>
        <v>14.235229155162893</v>
      </c>
      <c r="J80" s="202">
        <f>IFERROR(SUM(J47:J79),0)</f>
        <v>48.968183976663724</v>
      </c>
      <c r="K80" s="202">
        <f>IFERROR(SUM(K47:K79),0)</f>
        <v>6445</v>
      </c>
      <c r="L80" s="35">
        <f t="shared" ref="L80:L108" si="2">IFERROR(G80/$G$126,0)</f>
        <v>2.399031860985118E-2</v>
      </c>
      <c r="M80" s="190"/>
    </row>
    <row r="81" spans="2:13" x14ac:dyDescent="0.25">
      <c r="B81" s="189"/>
      <c r="C81" s="215" t="s">
        <v>269</v>
      </c>
      <c r="D81" s="216"/>
      <c r="E81" s="227">
        <f>IFERROR(5000,0)</f>
        <v>5000</v>
      </c>
      <c r="F81" s="217" t="s">
        <v>199</v>
      </c>
      <c r="G81" s="227">
        <f>IFERROR(E81*Inputs!H14,0)</f>
        <v>1120000</v>
      </c>
      <c r="H81" s="227">
        <f>IFERROR(G81/Inputs!$D$16,0)</f>
        <v>82.459046567274072</v>
      </c>
      <c r="I81" s="227">
        <f>IFERROR(G81/Inputs!$D$17,0)</f>
        <v>11.043622308117062</v>
      </c>
      <c r="J81" s="227">
        <f>IFERROR(G81/Inputs!$D$13,0)</f>
        <v>37.989281595549826</v>
      </c>
      <c r="K81" s="227">
        <f>IFERROR(G81/Inputs!$H$14,0)</f>
        <v>5000</v>
      </c>
      <c r="L81" s="228">
        <f t="shared" si="2"/>
        <v>1.8611573785765074E-2</v>
      </c>
      <c r="M81" s="190"/>
    </row>
    <row r="82" spans="2:13" x14ac:dyDescent="0.25">
      <c r="B82" s="189"/>
      <c r="C82" s="200" t="s">
        <v>270</v>
      </c>
      <c r="D82" s="201"/>
      <c r="E82" s="207">
        <f>IFERROR(2000,0)</f>
        <v>2000</v>
      </c>
      <c r="F82" s="208" t="s">
        <v>199</v>
      </c>
      <c r="G82" s="202">
        <f>IFERROR(E82*Inputs!H14,0)</f>
        <v>448000</v>
      </c>
      <c r="H82" s="202">
        <f>IFERROR(G82/Inputs!$D$16,0)</f>
        <v>32.983618626909625</v>
      </c>
      <c r="I82" s="202">
        <f>IFERROR(G82/Inputs!$D$17,0)</f>
        <v>4.417448923246825</v>
      </c>
      <c r="J82" s="202">
        <f>IFERROR(G82/Inputs!$D$13,0)</f>
        <v>15.195712638219931</v>
      </c>
      <c r="K82" s="202">
        <f>IFERROR(G82/Inputs!$H$14,0)</f>
        <v>2000</v>
      </c>
      <c r="L82" s="35">
        <f t="shared" si="2"/>
        <v>7.4446295143060295E-3</v>
      </c>
      <c r="M82" s="190"/>
    </row>
    <row r="83" spans="2:13" x14ac:dyDescent="0.25">
      <c r="B83" s="189"/>
      <c r="C83" s="195" t="s">
        <v>271</v>
      </c>
      <c r="D83" s="196"/>
      <c r="E83" s="197">
        <f>IFERROR(0,0)</f>
        <v>0</v>
      </c>
      <c r="F83" s="209"/>
      <c r="G83" s="198">
        <f>IFERROR(0,0)</f>
        <v>0</v>
      </c>
      <c r="H83" s="198">
        <f>IFERROR(G83/Inputs!$D$16,0)</f>
        <v>0</v>
      </c>
      <c r="I83" s="198">
        <f>IFERROR(G83/Inputs!$D$17,0)</f>
        <v>0</v>
      </c>
      <c r="J83" s="198">
        <f>IFERROR(G83/Inputs!$D$13,0)</f>
        <v>0</v>
      </c>
      <c r="K83" s="198">
        <f>IFERROR(G83/Inputs!$H$14,0)</f>
        <v>0</v>
      </c>
      <c r="L83" s="199">
        <f t="shared" si="2"/>
        <v>0</v>
      </c>
      <c r="M83" s="190"/>
    </row>
    <row r="84" spans="2:13" x14ac:dyDescent="0.25">
      <c r="B84" s="189"/>
      <c r="C84" s="200" t="s">
        <v>272</v>
      </c>
      <c r="D84" s="201"/>
      <c r="E84" s="202">
        <f>IFERROR(0,0)</f>
        <v>0</v>
      </c>
      <c r="F84" s="208"/>
      <c r="G84" s="207">
        <f>IFERROR(30000,0)</f>
        <v>30000</v>
      </c>
      <c r="H84" s="202">
        <f>IFERROR(G84/Inputs!$D$16,0)</f>
        <v>2.2087244616234125</v>
      </c>
      <c r="I84" s="202">
        <f>IFERROR(G84/Inputs!$D$17,0)</f>
        <v>0.29581131182456416</v>
      </c>
      <c r="J84" s="202">
        <f>IFERROR(G84/Inputs!$D$13,0)</f>
        <v>1.0175700427379417</v>
      </c>
      <c r="K84" s="202">
        <f>IFERROR(G84/Inputs!$H$14,0)</f>
        <v>133.92857142857142</v>
      </c>
      <c r="L84" s="35">
        <f t="shared" si="2"/>
        <v>4.9852429783299305E-4</v>
      </c>
      <c r="M84" s="190"/>
    </row>
    <row r="85" spans="2:13" x14ac:dyDescent="0.25">
      <c r="B85" s="189"/>
      <c r="C85" s="195" t="s">
        <v>273</v>
      </c>
      <c r="D85" s="196"/>
      <c r="E85" s="198">
        <f>IFERROR(0,0)</f>
        <v>0</v>
      </c>
      <c r="F85" s="209"/>
      <c r="G85" s="197">
        <f>IFERROR(7500,0)</f>
        <v>7500</v>
      </c>
      <c r="H85" s="198">
        <f>IFERROR(G85/Inputs!$D$16,0)</f>
        <v>0.55218111540585313</v>
      </c>
      <c r="I85" s="198">
        <f>IFERROR(G85/Inputs!$D$17,0)</f>
        <v>7.395282795614104E-2</v>
      </c>
      <c r="J85" s="198">
        <f>IFERROR(G85/Inputs!$D$13,0)</f>
        <v>0.25439251068448543</v>
      </c>
      <c r="K85" s="198">
        <f>IFERROR(G85/Inputs!$H$14,0)</f>
        <v>33.482142857142854</v>
      </c>
      <c r="L85" s="199">
        <f t="shared" si="2"/>
        <v>1.2463107445824826E-4</v>
      </c>
      <c r="M85" s="190"/>
    </row>
    <row r="86" spans="2:13" x14ac:dyDescent="0.25">
      <c r="B86" s="189"/>
      <c r="C86" s="200" t="s">
        <v>274</v>
      </c>
      <c r="D86" s="201"/>
      <c r="E86" s="202">
        <f>IFERROR(0,0)</f>
        <v>0</v>
      </c>
      <c r="F86" s="208"/>
      <c r="G86" s="207">
        <f>IFERROR(0,0)</f>
        <v>0</v>
      </c>
      <c r="H86" s="202">
        <f>IFERROR(G86/Inputs!$D$16,0)</f>
        <v>0</v>
      </c>
      <c r="I86" s="202">
        <f>IFERROR(G86/Inputs!$D$17,0)</f>
        <v>0</v>
      </c>
      <c r="J86" s="202">
        <f>IFERROR(G86/Inputs!$D$13,0)</f>
        <v>0</v>
      </c>
      <c r="K86" s="202">
        <f>IFERROR(G86/Inputs!$H$14,0)</f>
        <v>0</v>
      </c>
      <c r="L86" s="35">
        <f t="shared" si="2"/>
        <v>0</v>
      </c>
      <c r="M86" s="190"/>
    </row>
    <row r="87" spans="2:13" x14ac:dyDescent="0.25">
      <c r="B87" s="189"/>
      <c r="C87" s="195" t="s">
        <v>275</v>
      </c>
      <c r="D87" s="196"/>
      <c r="E87" s="198">
        <f>IFERROR(420,0)</f>
        <v>420</v>
      </c>
      <c r="F87" s="209" t="s">
        <v>199</v>
      </c>
      <c r="G87" s="198">
        <f>IFERROR(E87*Inputs!$H$14,0)</f>
        <v>94080</v>
      </c>
      <c r="H87" s="198">
        <f>IFERROR(G87/Inputs!$D$16,0)</f>
        <v>6.9265599116510215</v>
      </c>
      <c r="I87" s="198">
        <f>IFERROR(G87/Inputs!$D$17,0)</f>
        <v>0.92766427388183326</v>
      </c>
      <c r="J87" s="198">
        <f>IFERROR(G87/Inputs!$D$13,0)</f>
        <v>3.1910996540261856</v>
      </c>
      <c r="K87" s="198">
        <f>IFERROR(G87/Inputs!$H$14,0)</f>
        <v>420</v>
      </c>
      <c r="L87" s="199">
        <f t="shared" si="2"/>
        <v>1.5633721980042661E-3</v>
      </c>
      <c r="M87" s="190"/>
    </row>
    <row r="88" spans="2:13" x14ac:dyDescent="0.25">
      <c r="B88" s="189"/>
      <c r="C88" s="200" t="s">
        <v>276</v>
      </c>
      <c r="D88" s="201"/>
      <c r="E88" s="207">
        <f t="shared" ref="E88:E107" si="3">IFERROR(0,0)</f>
        <v>0</v>
      </c>
      <c r="F88" s="208"/>
      <c r="G88" s="202">
        <f>IFERROR(E88*Inputs!$H$14,0)</f>
        <v>0</v>
      </c>
      <c r="H88" s="202">
        <f>IFERROR(G88/Inputs!$D$16,0)</f>
        <v>0</v>
      </c>
      <c r="I88" s="202">
        <f>IFERROR(G88/Inputs!$D$17,0)</f>
        <v>0</v>
      </c>
      <c r="J88" s="202">
        <f>IFERROR(G88/Inputs!$D$13,0)</f>
        <v>0</v>
      </c>
      <c r="K88" s="202">
        <f>IFERROR(G88/Inputs!$H$14,0)</f>
        <v>0</v>
      </c>
      <c r="L88" s="35">
        <f t="shared" si="2"/>
        <v>0</v>
      </c>
      <c r="M88" s="190"/>
    </row>
    <row r="89" spans="2:13" x14ac:dyDescent="0.25">
      <c r="B89" s="189"/>
      <c r="C89" s="195" t="s">
        <v>277</v>
      </c>
      <c r="D89" s="196"/>
      <c r="E89" s="209">
        <f t="shared" si="3"/>
        <v>0</v>
      </c>
      <c r="F89" s="196"/>
      <c r="G89" s="198">
        <f>IFERROR(0,0)</f>
        <v>0</v>
      </c>
      <c r="H89" s="198">
        <f>IFERROR(G89/Inputs!$D$16,0)</f>
        <v>0</v>
      </c>
      <c r="I89" s="198">
        <f>IFERROR(G89/Inputs!$D$17,0)</f>
        <v>0</v>
      </c>
      <c r="J89" s="198">
        <f>IFERROR(G89/Inputs!$D$13,0)</f>
        <v>0</v>
      </c>
      <c r="K89" s="198">
        <f>IFERROR(G89/Inputs!$H$14,0)</f>
        <v>0</v>
      </c>
      <c r="L89" s="199">
        <f t="shared" si="2"/>
        <v>0</v>
      </c>
      <c r="M89" s="190"/>
    </row>
    <row r="90" spans="2:13" x14ac:dyDescent="0.25">
      <c r="B90" s="189"/>
      <c r="C90" s="200" t="s">
        <v>278</v>
      </c>
      <c r="D90" s="201"/>
      <c r="E90" s="201">
        <f t="shared" si="3"/>
        <v>0</v>
      </c>
      <c r="F90" s="201"/>
      <c r="G90" s="207">
        <f>IFERROR(10000,0)</f>
        <v>10000</v>
      </c>
      <c r="H90" s="202">
        <f>IFERROR(G90/Inputs!$D$16,0)</f>
        <v>0.73624148720780414</v>
      </c>
      <c r="I90" s="202">
        <f>IFERROR(G90/Inputs!$D$17,0)</f>
        <v>9.8603770608188063E-2</v>
      </c>
      <c r="J90" s="202">
        <f>IFERROR(G90/Inputs!$D$13,0)</f>
        <v>0.33919001424598061</v>
      </c>
      <c r="K90" s="202">
        <f>IFERROR(G90/Inputs!$H$14,0)</f>
        <v>44.642857142857146</v>
      </c>
      <c r="L90" s="35">
        <f t="shared" si="2"/>
        <v>1.6617476594433102E-4</v>
      </c>
      <c r="M90" s="190"/>
    </row>
    <row r="91" spans="2:13" x14ac:dyDescent="0.25">
      <c r="B91" s="189"/>
      <c r="C91" s="195" t="s">
        <v>279</v>
      </c>
      <c r="D91" s="196"/>
      <c r="E91" s="196">
        <f t="shared" si="3"/>
        <v>0</v>
      </c>
      <c r="F91" s="196"/>
      <c r="G91" s="197">
        <f>IFERROR(10000,0)</f>
        <v>10000</v>
      </c>
      <c r="H91" s="198">
        <f>IFERROR(G91/Inputs!$D$16,0)</f>
        <v>0.73624148720780414</v>
      </c>
      <c r="I91" s="198">
        <f>IFERROR(G91/Inputs!$D$17,0)</f>
        <v>9.8603770608188063E-2</v>
      </c>
      <c r="J91" s="198">
        <f>IFERROR(G91/Inputs!$D$13,0)</f>
        <v>0.33919001424598061</v>
      </c>
      <c r="K91" s="198">
        <f>IFERROR(G91/Inputs!$H$14,0)</f>
        <v>44.642857142857146</v>
      </c>
      <c r="L91" s="199">
        <f t="shared" si="2"/>
        <v>1.6617476594433102E-4</v>
      </c>
      <c r="M91" s="190"/>
    </row>
    <row r="92" spans="2:13" x14ac:dyDescent="0.25">
      <c r="B92" s="189"/>
      <c r="C92" s="200" t="s">
        <v>280</v>
      </c>
      <c r="D92" s="201"/>
      <c r="E92" s="201">
        <f t="shared" si="3"/>
        <v>0</v>
      </c>
      <c r="F92" s="201"/>
      <c r="G92" s="207">
        <f>IFERROR(SUM(G81:G91),0)</f>
        <v>1719580</v>
      </c>
      <c r="H92" s="202">
        <f>IFERROR(G92/Inputs!$D$16,0)</f>
        <v>126.60261365727959</v>
      </c>
      <c r="I92" s="202">
        <f>IFERROR(G92/Inputs!$D$17,0)</f>
        <v>16.955707186242801</v>
      </c>
      <c r="J92" s="202">
        <f>IFERROR(SUM(J81:J91),0)</f>
        <v>58.32643646971033</v>
      </c>
      <c r="K92" s="202">
        <f>IFERROR(SUM(K81:K91),0)</f>
        <v>7676.6964285714284</v>
      </c>
      <c r="L92" s="35">
        <f t="shared" si="2"/>
        <v>2.8575080402255273E-2</v>
      </c>
      <c r="M92" s="190"/>
    </row>
    <row r="93" spans="2:13" hidden="1" x14ac:dyDescent="0.25">
      <c r="B93" s="189"/>
      <c r="C93" s="215" t="s">
        <v>281</v>
      </c>
      <c r="D93" s="216"/>
      <c r="E93" s="216">
        <f t="shared" si="3"/>
        <v>0</v>
      </c>
      <c r="F93" s="216"/>
      <c r="G93" s="227">
        <f>IFERROR(0,0)</f>
        <v>0</v>
      </c>
      <c r="H93" s="227">
        <f>IFERROR(G93/Inputs!$D$16,0)</f>
        <v>0</v>
      </c>
      <c r="I93" s="227">
        <f>IFERROR(G93/Inputs!$D$17,0)</f>
        <v>0</v>
      </c>
      <c r="J93" s="227">
        <f>IFERROR(G93/Inputs!$D$13,0)</f>
        <v>0</v>
      </c>
      <c r="K93" s="227">
        <f>IFERROR(G93/Inputs!$H$14,0)</f>
        <v>0</v>
      </c>
      <c r="L93" s="228">
        <f t="shared" si="2"/>
        <v>0</v>
      </c>
      <c r="M93" s="190"/>
    </row>
    <row r="94" spans="2:13" hidden="1" x14ac:dyDescent="0.25">
      <c r="B94" s="189"/>
      <c r="C94" s="200" t="s">
        <v>282</v>
      </c>
      <c r="D94" s="201"/>
      <c r="E94" s="201">
        <f t="shared" si="3"/>
        <v>0</v>
      </c>
      <c r="F94" s="201"/>
      <c r="G94" s="207">
        <f>IFERROR(100000,0)</f>
        <v>100000</v>
      </c>
      <c r="H94" s="202">
        <f>IFERROR(G94/Inputs!$D$16,0)</f>
        <v>7.362414872078042</v>
      </c>
      <c r="I94" s="202">
        <f>IFERROR(G94/Inputs!$D$17,0)</f>
        <v>0.98603770608188057</v>
      </c>
      <c r="J94" s="202">
        <f>IFERROR(G94/Inputs!$D$13,0)</f>
        <v>3.3919001424598059</v>
      </c>
      <c r="K94" s="202">
        <f>IFERROR(G94/Inputs!$H$14,0)</f>
        <v>446.42857142857144</v>
      </c>
      <c r="L94" s="35">
        <f t="shared" si="2"/>
        <v>1.6617476594433102E-3</v>
      </c>
      <c r="M94" s="190"/>
    </row>
    <row r="95" spans="2:13" hidden="1" x14ac:dyDescent="0.25">
      <c r="B95" s="189"/>
      <c r="C95" s="215" t="s">
        <v>283</v>
      </c>
      <c r="D95" s="216"/>
      <c r="E95" s="216">
        <f t="shared" si="3"/>
        <v>0</v>
      </c>
      <c r="F95" s="216" t="s">
        <v>209</v>
      </c>
      <c r="G95" s="230">
        <f>IFERROR(150000,0)</f>
        <v>150000</v>
      </c>
      <c r="H95" s="227">
        <f>IFERROR(G95/Inputs!$D$16,0)</f>
        <v>11.043622308117062</v>
      </c>
      <c r="I95" s="227">
        <f>IFERROR(G95/Inputs!$D$17,0)</f>
        <v>1.4790565591228209</v>
      </c>
      <c r="J95" s="227">
        <f>IFERROR(G95/Inputs!$D$130,0)</f>
        <v>0</v>
      </c>
      <c r="K95" s="227">
        <f>IFERROR(G95/Inputs!$H$14,0)</f>
        <v>669.64285714285711</v>
      </c>
      <c r="L95" s="228">
        <f t="shared" si="2"/>
        <v>2.4926214891649655E-3</v>
      </c>
      <c r="M95" s="190"/>
    </row>
    <row r="96" spans="2:13" hidden="1" x14ac:dyDescent="0.25">
      <c r="B96" s="189"/>
      <c r="C96" s="200" t="s">
        <v>284</v>
      </c>
      <c r="D96" s="201"/>
      <c r="E96" s="201">
        <f t="shared" si="3"/>
        <v>0</v>
      </c>
      <c r="F96" s="201" t="s">
        <v>285</v>
      </c>
      <c r="G96" s="207">
        <f>IFERROR(0,0)</f>
        <v>0</v>
      </c>
      <c r="H96" s="202">
        <f>IFERROR(G96/Inputs!$D$16,0)</f>
        <v>0</v>
      </c>
      <c r="I96" s="202">
        <f>IFERROR(G96/Inputs!$D$17,0)</f>
        <v>0</v>
      </c>
      <c r="J96" s="202">
        <f>IFERROR(G96/Inputs!$D$13,0)</f>
        <v>0</v>
      </c>
      <c r="K96" s="202">
        <f>IFERROR(G96/Inputs!$H$14,0)</f>
        <v>0</v>
      </c>
      <c r="L96" s="35">
        <f t="shared" si="2"/>
        <v>0</v>
      </c>
      <c r="M96" s="190"/>
    </row>
    <row r="97" spans="2:13" hidden="1" x14ac:dyDescent="0.25">
      <c r="B97" s="189"/>
      <c r="C97" s="215" t="s">
        <v>286</v>
      </c>
      <c r="D97" s="216"/>
      <c r="E97" s="227">
        <f t="shared" si="3"/>
        <v>0</v>
      </c>
      <c r="F97" s="216" t="s">
        <v>285</v>
      </c>
      <c r="G97" s="230">
        <f>IFERROR(E97*Inputs!H14,0)</f>
        <v>0</v>
      </c>
      <c r="H97" s="227">
        <f>IFERROR(G97/Inputs!$D$16,0)</f>
        <v>0</v>
      </c>
      <c r="I97" s="227">
        <f>IFERROR(G97/Inputs!$D$17,0)</f>
        <v>0</v>
      </c>
      <c r="J97" s="227">
        <f>IFERROR(G97/Inputs!$D$13,0)</f>
        <v>0</v>
      </c>
      <c r="K97" s="227">
        <f>IFERROR(G97/Inputs!$H$14,0)</f>
        <v>0</v>
      </c>
      <c r="L97" s="228">
        <f t="shared" si="2"/>
        <v>0</v>
      </c>
      <c r="M97" s="190"/>
    </row>
    <row r="98" spans="2:13" hidden="1" x14ac:dyDescent="0.25">
      <c r="B98" s="189"/>
      <c r="C98" s="200" t="s">
        <v>287</v>
      </c>
      <c r="D98" s="201"/>
      <c r="E98" s="201">
        <f t="shared" si="3"/>
        <v>0</v>
      </c>
      <c r="F98" s="201"/>
      <c r="G98" s="207">
        <f>IFERROR(0,0)</f>
        <v>0</v>
      </c>
      <c r="H98" s="202">
        <f>IFERROR(G98/Inputs!$D$16,0)</f>
        <v>0</v>
      </c>
      <c r="I98" s="202">
        <f>IFERROR(G98/Inputs!$D$17,0)</f>
        <v>0</v>
      </c>
      <c r="J98" s="202">
        <f>IFERROR(G98/Inputs!$D$13,0)</f>
        <v>0</v>
      </c>
      <c r="K98" s="202">
        <f>IFERROR(G98/Inputs!$H$14,0)</f>
        <v>0</v>
      </c>
      <c r="L98" s="35">
        <f t="shared" si="2"/>
        <v>0</v>
      </c>
      <c r="M98" s="190"/>
    </row>
    <row r="99" spans="2:13" hidden="1" x14ac:dyDescent="0.25">
      <c r="B99" s="189"/>
      <c r="C99" s="195" t="s">
        <v>288</v>
      </c>
      <c r="D99" s="196"/>
      <c r="E99" s="196">
        <f t="shared" si="3"/>
        <v>0</v>
      </c>
      <c r="F99" s="196"/>
      <c r="G99" s="197">
        <f>IFERROR(0,0)</f>
        <v>0</v>
      </c>
      <c r="H99" s="198">
        <f>IFERROR(G99/Inputs!$D$16,0)</f>
        <v>0</v>
      </c>
      <c r="I99" s="198">
        <f>IFERROR(G99/Inputs!$D$17,0)</f>
        <v>0</v>
      </c>
      <c r="J99" s="198">
        <f>IFERROR(G99/Inputs!$D$13,0)</f>
        <v>0</v>
      </c>
      <c r="K99" s="198">
        <f>IFERROR(G99/Inputs!$H$14,0)</f>
        <v>0</v>
      </c>
      <c r="L99" s="199">
        <f t="shared" si="2"/>
        <v>0</v>
      </c>
      <c r="M99" s="190"/>
    </row>
    <row r="100" spans="2:13" hidden="1" x14ac:dyDescent="0.25">
      <c r="B100" s="189"/>
      <c r="C100" s="200" t="s">
        <v>289</v>
      </c>
      <c r="D100" s="201"/>
      <c r="E100" s="201">
        <f t="shared" si="3"/>
        <v>0</v>
      </c>
      <c r="F100" s="201"/>
      <c r="G100" s="207">
        <f>IFERROR(10000,0)</f>
        <v>10000</v>
      </c>
      <c r="H100" s="202">
        <f>IFERROR(G100/Inputs!$D$16,0)</f>
        <v>0.73624148720780414</v>
      </c>
      <c r="I100" s="202">
        <f>IFERROR(G100/Inputs!$D$17,0)</f>
        <v>9.8603770608188063E-2</v>
      </c>
      <c r="J100" s="202">
        <f>IFERROR(G100/Inputs!$D$13,0)</f>
        <v>0.33919001424598061</v>
      </c>
      <c r="K100" s="202">
        <f>IFERROR(G100/Inputs!$H$14,0)</f>
        <v>44.642857142857146</v>
      </c>
      <c r="L100" s="35">
        <f t="shared" si="2"/>
        <v>1.6617476594433102E-4</v>
      </c>
      <c r="M100" s="190"/>
    </row>
    <row r="101" spans="2:13" hidden="1" x14ac:dyDescent="0.25">
      <c r="B101" s="189"/>
      <c r="C101" s="215" t="s">
        <v>290</v>
      </c>
      <c r="D101" s="216"/>
      <c r="E101" s="216">
        <f t="shared" si="3"/>
        <v>0</v>
      </c>
      <c r="F101" s="216"/>
      <c r="G101" s="230">
        <f>IFERROR(0,0)</f>
        <v>0</v>
      </c>
      <c r="H101" s="227">
        <f>IFERROR(G101/Inputs!$D$16,0)</f>
        <v>0</v>
      </c>
      <c r="I101" s="227">
        <f>IFERROR(G101/Inputs!$D$17,0)</f>
        <v>0</v>
      </c>
      <c r="J101" s="227">
        <f>IFERROR(G101/Inputs!$D$13,0)</f>
        <v>0</v>
      </c>
      <c r="K101" s="227">
        <f>IFERROR(G101/Inputs!$H$14,0)</f>
        <v>0</v>
      </c>
      <c r="L101" s="228">
        <f t="shared" si="2"/>
        <v>0</v>
      </c>
      <c r="M101" s="190"/>
    </row>
    <row r="102" spans="2:13" hidden="1" x14ac:dyDescent="0.25">
      <c r="B102" s="189"/>
      <c r="C102" s="200" t="s">
        <v>291</v>
      </c>
      <c r="D102" s="201"/>
      <c r="E102" s="201">
        <f t="shared" si="3"/>
        <v>0</v>
      </c>
      <c r="F102" s="201"/>
      <c r="G102" s="207">
        <f>IFERROR(0,0)</f>
        <v>0</v>
      </c>
      <c r="H102" s="202">
        <f>IFERROR(G102/Inputs!$D$16,0)</f>
        <v>0</v>
      </c>
      <c r="I102" s="202">
        <f>IFERROR(G102/Inputs!$D$17,0)</f>
        <v>0</v>
      </c>
      <c r="J102" s="202">
        <f>IFERROR(G102/Inputs!$D$13,0)</f>
        <v>0</v>
      </c>
      <c r="K102" s="202">
        <f>IFERROR(G102/Inputs!$H$14,0)</f>
        <v>0</v>
      </c>
      <c r="L102" s="35">
        <f t="shared" si="2"/>
        <v>0</v>
      </c>
      <c r="M102" s="190"/>
    </row>
    <row r="103" spans="2:13" hidden="1" x14ac:dyDescent="0.25">
      <c r="B103" s="189"/>
      <c r="C103" s="195" t="s">
        <v>292</v>
      </c>
      <c r="D103" s="196"/>
      <c r="E103" s="196">
        <f t="shared" si="3"/>
        <v>0</v>
      </c>
      <c r="F103" s="196"/>
      <c r="G103" s="198">
        <f>IFERROR(0,0)</f>
        <v>0</v>
      </c>
      <c r="H103" s="198">
        <f>IFERROR(G103/Inputs!$D$16,0)</f>
        <v>0</v>
      </c>
      <c r="I103" s="196">
        <f>IFERROR(G103/Inputs!$D$17,0)</f>
        <v>0</v>
      </c>
      <c r="J103" s="198">
        <f>IFERROR(G103/Inputs!$D$13,0)</f>
        <v>0</v>
      </c>
      <c r="K103" s="198">
        <f>IFERROR(G103/Inputs!$H$14,0)</f>
        <v>0</v>
      </c>
      <c r="L103" s="199">
        <f t="shared" si="2"/>
        <v>0</v>
      </c>
      <c r="M103" s="190"/>
    </row>
    <row r="104" spans="2:13" hidden="1" x14ac:dyDescent="0.25">
      <c r="B104" s="189"/>
      <c r="C104" s="192" t="s">
        <v>293</v>
      </c>
      <c r="D104" s="193"/>
      <c r="E104" s="193">
        <f t="shared" si="3"/>
        <v>0</v>
      </c>
      <c r="F104" s="193"/>
      <c r="G104" s="203">
        <f>IFERROR(0,0)</f>
        <v>0</v>
      </c>
      <c r="H104" s="203">
        <f>IFERROR(G104/Inputs!$D$16,0)</f>
        <v>0</v>
      </c>
      <c r="I104" s="203">
        <f>IFERROR(G104/Inputs!$D$17,0)</f>
        <v>0</v>
      </c>
      <c r="J104" s="203">
        <f>IFERROR(G104/Inputs!$D$13,0)</f>
        <v>0</v>
      </c>
      <c r="K104" s="203">
        <f>IFERROR(G104/Inputs!$H$14,0)</f>
        <v>0</v>
      </c>
      <c r="L104" s="204">
        <f t="shared" si="2"/>
        <v>0</v>
      </c>
      <c r="M104" s="190"/>
    </row>
    <row r="105" spans="2:13" hidden="1" x14ac:dyDescent="0.25">
      <c r="B105" s="189"/>
      <c r="C105" s="195" t="s">
        <v>294</v>
      </c>
      <c r="D105" s="196"/>
      <c r="E105" s="196">
        <f t="shared" si="3"/>
        <v>0</v>
      </c>
      <c r="F105" s="196"/>
      <c r="G105" s="198">
        <f>IFERROR(0,0)</f>
        <v>0</v>
      </c>
      <c r="H105" s="198">
        <f>IFERROR(G105/Inputs!$D$16,0)</f>
        <v>0</v>
      </c>
      <c r="I105" s="198">
        <f>IFERROR(G105/Inputs!$D$17,0)</f>
        <v>0</v>
      </c>
      <c r="J105" s="198">
        <f>IFERROR(G105/Inputs!$D$13,0)</f>
        <v>0</v>
      </c>
      <c r="K105" s="198">
        <f>IFERROR(G105/Inputs!$H$14,0)</f>
        <v>0</v>
      </c>
      <c r="L105" s="199">
        <f t="shared" si="2"/>
        <v>0</v>
      </c>
      <c r="M105" s="190"/>
    </row>
    <row r="106" spans="2:13" hidden="1" x14ac:dyDescent="0.25">
      <c r="B106" s="189"/>
      <c r="C106" s="192" t="s">
        <v>295</v>
      </c>
      <c r="D106" s="193"/>
      <c r="E106" s="193">
        <f t="shared" si="3"/>
        <v>0</v>
      </c>
      <c r="F106" s="193"/>
      <c r="G106" s="203">
        <f>IFERROR(24000,0)</f>
        <v>24000</v>
      </c>
      <c r="H106" s="203">
        <f>IFERROR(G106/Inputs!$D$16,0)</f>
        <v>1.76697956929873</v>
      </c>
      <c r="I106" s="203">
        <f>IFERROR(G106/Inputs!$D$17,0)</f>
        <v>0.23664904945965134</v>
      </c>
      <c r="J106" s="203">
        <f>IFERROR(G106/Inputs!$D$13,0)</f>
        <v>0.81405603419035344</v>
      </c>
      <c r="K106" s="203">
        <f>IFERROR(G106/Inputs!$H$14,0)</f>
        <v>107.14285714285714</v>
      </c>
      <c r="L106" s="204">
        <f t="shared" si="2"/>
        <v>3.9881943826639444E-4</v>
      </c>
      <c r="M106" s="190"/>
    </row>
    <row r="107" spans="2:13" x14ac:dyDescent="0.25">
      <c r="B107" s="189"/>
      <c r="C107" s="195" t="s">
        <v>296</v>
      </c>
      <c r="D107" s="196"/>
      <c r="E107" s="211">
        <f t="shared" si="3"/>
        <v>0</v>
      </c>
      <c r="F107" s="196"/>
      <c r="G107" s="198">
        <f>IFERROR(+SUM(G93:G106),0)</f>
        <v>284000</v>
      </c>
      <c r="H107" s="198">
        <f>IFERROR(G107/Inputs!$D$16,0)</f>
        <v>20.909258236701639</v>
      </c>
      <c r="I107" s="198">
        <f>IFERROR(G107/Inputs!$D$17,0)</f>
        <v>2.8003470852725409</v>
      </c>
      <c r="J107" s="198">
        <f>IFERROR(+SUM(J93:J106),0)</f>
        <v>4.5451461908961397</v>
      </c>
      <c r="K107" s="198">
        <f>IFERROR(G107/Inputs!$H$14,0)</f>
        <v>1267.8571428571429</v>
      </c>
      <c r="L107" s="199">
        <f t="shared" si="2"/>
        <v>4.7193633528190013E-3</v>
      </c>
      <c r="M107" s="190"/>
    </row>
    <row r="108" spans="2:13" x14ac:dyDescent="0.25">
      <c r="B108" s="189"/>
      <c r="C108" s="192" t="s">
        <v>297</v>
      </c>
      <c r="D108" s="193"/>
      <c r="E108" s="231">
        <f>IFERROR(5/100,0)</f>
        <v>0.05</v>
      </c>
      <c r="F108" s="193"/>
      <c r="G108" s="203">
        <f>IFERROR($E$108*SUM(G80,G92,G107,G46),0)</f>
        <v>173113</v>
      </c>
      <c r="H108" s="203">
        <f>IFERROR(G108/Inputs!$D$16,0)</f>
        <v>12.745297257500461</v>
      </c>
      <c r="I108" s="203">
        <f>IFERROR(G108/Inputs!$D$17,0)</f>
        <v>1.7069594541295259</v>
      </c>
      <c r="J108" s="203">
        <f>IFERROR(G108/Inputs!D13,0)</f>
        <v>5.871820093616444</v>
      </c>
      <c r="K108" s="203">
        <f>IFERROR(G108/Inputs!$H$14,0)</f>
        <v>772.82589285714289</v>
      </c>
      <c r="L108" s="204">
        <f t="shared" si="2"/>
        <v>2.8767012256920976E-3</v>
      </c>
      <c r="M108" s="190"/>
    </row>
    <row r="109" spans="2:13" x14ac:dyDescent="0.25">
      <c r="B109" s="189"/>
      <c r="C109" s="195" t="s">
        <v>298</v>
      </c>
      <c r="D109" s="196"/>
      <c r="E109" s="232">
        <f>IFERROR(0,0)</f>
        <v>0</v>
      </c>
      <c r="F109" s="196"/>
      <c r="G109" s="198">
        <f>IFERROR(SUM(G80,G92,G107,G108,G46),0)</f>
        <v>3635373</v>
      </c>
      <c r="H109" s="198">
        <f>IFERROR(G109/Inputs!$D$16,0)</f>
        <v>267.65124240750964</v>
      </c>
      <c r="I109" s="198">
        <f>IFERROR(G109/Inputs!$D$17,0)</f>
        <v>35.846148536720044</v>
      </c>
      <c r="J109" s="198">
        <f>IFERROR(G109/Inputs!D13,0)</f>
        <v>123.30822196594532</v>
      </c>
      <c r="K109" s="198">
        <f>IFERROR(G109/Inputs!$H$14,0)</f>
        <v>16229.34375</v>
      </c>
      <c r="L109" s="199">
        <f>IFERROR(G109/$G$127,0)</f>
        <v>0</v>
      </c>
      <c r="M109" s="190"/>
    </row>
    <row r="110" spans="2:13" x14ac:dyDescent="0.25">
      <c r="B110" s="189"/>
      <c r="C110" s="192"/>
      <c r="D110" s="193"/>
      <c r="E110" s="213"/>
      <c r="F110" s="193"/>
      <c r="G110" s="193"/>
      <c r="H110" s="193"/>
      <c r="I110" s="193"/>
      <c r="J110" s="193"/>
      <c r="K110" s="193"/>
      <c r="L110" s="194"/>
      <c r="M110" s="190"/>
    </row>
    <row r="111" spans="2:13" x14ac:dyDescent="0.25">
      <c r="B111" s="189"/>
      <c r="C111" s="195" t="s">
        <v>20</v>
      </c>
      <c r="D111" s="196"/>
      <c r="E111" s="209"/>
      <c r="F111" s="196"/>
      <c r="G111" s="196"/>
      <c r="H111" s="196"/>
      <c r="I111" s="196"/>
      <c r="J111" s="196"/>
      <c r="K111" s="196"/>
      <c r="L111" s="205"/>
      <c r="M111" s="190"/>
    </row>
    <row r="112" spans="2:13" x14ac:dyDescent="0.25">
      <c r="B112" s="189"/>
      <c r="C112" s="192" t="s">
        <v>299</v>
      </c>
      <c r="D112" s="193"/>
      <c r="E112" s="233">
        <f>IFERROR(0/100,0)</f>
        <v>0</v>
      </c>
      <c r="F112" s="193"/>
      <c r="G112" s="203">
        <f>IFERROR(+$E$112*G7*Inputs!$E$28/12*1.02^(Inputs!$E$28/12/2)+E112*G30*Inputs!E26/12/2,0)</f>
        <v>0</v>
      </c>
      <c r="H112" s="203">
        <f>IFERROR(G112/Inputs!$D$16,0)</f>
        <v>0</v>
      </c>
      <c r="I112" s="203">
        <f>IFERROR(G112/Inputs!$D$17,0)</f>
        <v>0</v>
      </c>
      <c r="J112" s="203">
        <f>IFERROR(G112/Inputs!$D$13,0)</f>
        <v>0</v>
      </c>
      <c r="K112" s="203">
        <f>IFERROR(G112/Inputs!$H$14,0)</f>
        <v>0</v>
      </c>
      <c r="L112" s="204">
        <f>IFERROR(G112/$G$127,0)</f>
        <v>0</v>
      </c>
      <c r="M112" s="190"/>
    </row>
    <row r="113" spans="2:13" x14ac:dyDescent="0.25">
      <c r="B113" s="189"/>
      <c r="C113" s="195" t="s">
        <v>300</v>
      </c>
      <c r="D113" s="196"/>
      <c r="E113" s="197">
        <f>IFERROR(1000,0)</f>
        <v>1000</v>
      </c>
      <c r="F113" s="196" t="s">
        <v>199</v>
      </c>
      <c r="G113" s="198">
        <f>IFERROR(E113*Inputs!H14,0)</f>
        <v>224000</v>
      </c>
      <c r="H113" s="198">
        <f>IFERROR(G113/Inputs!$D$16,0)</f>
        <v>16.491809313454812</v>
      </c>
      <c r="I113" s="198">
        <f>IFERROR(G113/Inputs!$D$17,0)</f>
        <v>2.2087244616234125</v>
      </c>
      <c r="J113" s="198">
        <f>IFERROR(G113/Inputs!$D$17,0)</f>
        <v>2.2087244616234125</v>
      </c>
      <c r="K113" s="198">
        <f>IFERROR(G113/Inputs!$H$14,0)</f>
        <v>1000</v>
      </c>
      <c r="L113" s="199">
        <f>IFERROR(G113/$G$126,0)</f>
        <v>3.7223147571530148E-3</v>
      </c>
      <c r="M113" s="190"/>
    </row>
    <row r="114" spans="2:13" x14ac:dyDescent="0.25">
      <c r="B114" s="189"/>
      <c r="C114" s="200" t="s">
        <v>301</v>
      </c>
      <c r="D114" s="201"/>
      <c r="E114" s="210">
        <f>IFERROR(5/100,0)</f>
        <v>0.05</v>
      </c>
      <c r="F114" s="201"/>
      <c r="G114" s="202">
        <f>IFERROR(+E114*SUM(G30,G109),0)</f>
        <v>2384935.6457615192</v>
      </c>
      <c r="H114" s="202">
        <f>IFERROR(G114/Inputs!$D$16,0)</f>
        <v>175.58885667303656</v>
      </c>
      <c r="I114" s="202">
        <f>IFERROR(G114/Inputs!$D$17,0)</f>
        <v>23.516364732995971</v>
      </c>
      <c r="J114" s="202">
        <f>IFERROR(G114/Inputs!$D$13,0)</f>
        <v>80.894635566159664</v>
      </c>
      <c r="K114" s="202">
        <f>IFERROR(G114/Inputs!$H$14,0)</f>
        <v>10647.034132863924</v>
      </c>
      <c r="L114" s="35">
        <f>IFERROR(G114/$G$126,0)</f>
        <v>3.9631612272671243E-2</v>
      </c>
      <c r="M114" s="190"/>
    </row>
    <row r="115" spans="2:13" x14ac:dyDescent="0.25">
      <c r="B115" s="189"/>
      <c r="C115" s="195" t="s">
        <v>302</v>
      </c>
      <c r="D115" s="196"/>
      <c r="E115" s="232">
        <f>IFERROR(5,0)</f>
        <v>5</v>
      </c>
      <c r="F115" s="196"/>
      <c r="G115" s="198">
        <f>IFERROR(+SUM(G112:G114),0)</f>
        <v>2608935.6457615192</v>
      </c>
      <c r="H115" s="198">
        <f>IFERROR(G115/Inputs!$D$16,0)</f>
        <v>192.0806659864914</v>
      </c>
      <c r="I115" s="198">
        <f>IFERROR(G115/Inputs!$D$17,0)</f>
        <v>25.725089194619382</v>
      </c>
      <c r="J115" s="198">
        <f>IFERROR(G115/Inputs!$D$13,0)</f>
        <v>88.492491885269629</v>
      </c>
      <c r="K115" s="198">
        <f>IFERROR(G115/Inputs!$H$14,0)</f>
        <v>11647.034132863924</v>
      </c>
      <c r="L115" s="199">
        <f>IFERROR(G115/$G$126,0)</f>
        <v>4.3353927029824255E-2</v>
      </c>
      <c r="M115" s="190"/>
    </row>
    <row r="116" spans="2:13" x14ac:dyDescent="0.25">
      <c r="B116" s="189"/>
      <c r="C116" s="192"/>
      <c r="D116" s="193"/>
      <c r="E116" s="193"/>
      <c r="F116" s="193"/>
      <c r="G116" s="193"/>
      <c r="H116" s="193"/>
      <c r="I116" s="193"/>
      <c r="J116" s="193"/>
      <c r="K116" s="193"/>
      <c r="L116" s="194"/>
      <c r="M116" s="190"/>
    </row>
    <row r="117" spans="2:13" x14ac:dyDescent="0.25">
      <c r="B117" s="189"/>
      <c r="C117" s="195"/>
      <c r="D117" s="196"/>
      <c r="E117" s="196"/>
      <c r="F117" s="196"/>
      <c r="G117" s="196"/>
      <c r="H117" s="196"/>
      <c r="I117" s="196"/>
      <c r="J117" s="196"/>
      <c r="K117" s="196"/>
      <c r="L117" s="205"/>
      <c r="M117" s="190"/>
    </row>
    <row r="118" spans="2:13" x14ac:dyDescent="0.25">
      <c r="B118" s="189"/>
      <c r="C118" s="200" t="s">
        <v>303</v>
      </c>
      <c r="D118" s="201"/>
      <c r="E118" s="229">
        <f>IFERROR(5,0)</f>
        <v>5</v>
      </c>
      <c r="F118" s="201"/>
      <c r="G118" s="202">
        <f>IFERROR(SUM(G115,G109,G30,G10),0)</f>
        <v>51909248.560991898</v>
      </c>
      <c r="H118" s="202">
        <f>IFERROR(G118/Inputs!D16,0)</f>
        <v>3821.7742360384245</v>
      </c>
      <c r="I118" s="202">
        <f>IFERROR(G118/Inputs!D17,0)</f>
        <v>511.84476375514612</v>
      </c>
      <c r="J118" s="202">
        <f>IFERROR(G118/Inputs!D13,0)</f>
        <v>1760.7098758900991</v>
      </c>
      <c r="K118" s="202">
        <f>IFERROR(G118/Inputs!H14,0)</f>
        <v>231737.71679014241</v>
      </c>
      <c r="L118" s="35">
        <f>IFERROR(G118/$G$126,0)</f>
        <v>0.86260072299689305</v>
      </c>
      <c r="M118" s="190"/>
    </row>
    <row r="119" spans="2:13" x14ac:dyDescent="0.25">
      <c r="B119" s="189"/>
      <c r="C119" s="215"/>
      <c r="D119" s="216"/>
      <c r="E119" s="216"/>
      <c r="F119" s="216"/>
      <c r="G119" s="216"/>
      <c r="H119" s="216"/>
      <c r="I119" s="216"/>
      <c r="J119" s="216"/>
      <c r="K119" s="216"/>
      <c r="L119" s="218"/>
      <c r="M119" s="190"/>
    </row>
    <row r="120" spans="2:13" x14ac:dyDescent="0.25">
      <c r="B120" s="189"/>
      <c r="C120" s="200" t="s">
        <v>23</v>
      </c>
      <c r="D120" s="201"/>
      <c r="E120" s="201"/>
      <c r="F120" s="201"/>
      <c r="G120" s="201"/>
      <c r="H120" s="201"/>
      <c r="I120" s="201"/>
      <c r="J120" s="201"/>
      <c r="K120" s="201"/>
      <c r="L120" s="234"/>
      <c r="M120" s="190"/>
    </row>
    <row r="121" spans="2:13" x14ac:dyDescent="0.25">
      <c r="B121" s="189"/>
      <c r="C121" s="235" t="s">
        <v>304</v>
      </c>
      <c r="D121" s="196"/>
      <c r="E121" s="196">
        <f>IFERROR(0,0)</f>
        <v>0</v>
      </c>
      <c r="F121" s="236"/>
      <c r="G121" s="237">
        <f>IFERROR('(Z+) Financing'!D22*'(Z+) Financing'!D16*((Inputs!D34-Land_Closing_Mo)/12)+'(Z+) Financing'!D33*'(Z+) Financing'!D36*((Inputs!D34-Land_Closing_Mo)/12),0)</f>
        <v>7903183.0934110153</v>
      </c>
      <c r="H121" s="237">
        <f>IFERROR(G121/Inputs!$D$16,0)</f>
        <v>581.86512743685</v>
      </c>
      <c r="I121" s="237">
        <f>IFERROR(G121/Inputs!$D$17,0)</f>
        <v>77.928365281720986</v>
      </c>
      <c r="J121" s="237">
        <f>IFERROR(G121/Inputs!$D$13,0)</f>
        <v>268.06807860426755</v>
      </c>
      <c r="K121" s="237">
        <f>IFERROR(G121/Inputs!$H$14,0)</f>
        <v>35282.067381299174</v>
      </c>
      <c r="L121" s="238">
        <f>IFERROR(G121/$G$126,0)</f>
        <v>0.13133096007627695</v>
      </c>
      <c r="M121" s="190"/>
    </row>
    <row r="122" spans="2:13" x14ac:dyDescent="0.25">
      <c r="B122" s="189"/>
      <c r="C122" s="200" t="s">
        <v>305</v>
      </c>
      <c r="D122" s="201"/>
      <c r="E122" s="201">
        <f>IFERROR(0,0)</f>
        <v>0</v>
      </c>
      <c r="F122" s="201"/>
      <c r="G122" s="202">
        <f>IFERROR('(Z+) Financing'!D10*'(Z+) Financing'!D7*((Inputs!D34-Land_Closing_Mo)/12),0)</f>
        <v>0</v>
      </c>
      <c r="H122" s="202">
        <f>IFERROR(G122/Inputs!$D$16,0)</f>
        <v>0</v>
      </c>
      <c r="I122" s="202">
        <f>IFERROR(G122/Inputs!$D$17,0)</f>
        <v>0</v>
      </c>
      <c r="J122" s="202">
        <f>IFERROR(G122/Inputs!$D$13,0)</f>
        <v>0</v>
      </c>
      <c r="K122" s="202">
        <f>IFERROR(G122/Inputs!$H$14,0)</f>
        <v>0</v>
      </c>
      <c r="L122" s="35">
        <f>IFERROR(G122/$G$126,0)</f>
        <v>0</v>
      </c>
      <c r="M122" s="190"/>
    </row>
    <row r="123" spans="2:13" x14ac:dyDescent="0.25">
      <c r="B123" s="189"/>
      <c r="C123" s="195" t="s">
        <v>306</v>
      </c>
      <c r="D123" s="196"/>
      <c r="E123" s="196">
        <f>IFERROR(0,0)</f>
        <v>0</v>
      </c>
      <c r="F123" s="196"/>
      <c r="G123" s="198">
        <f>IFERROR('(Z+) Financing'!D40+'(Z+) Financing'!D24+'(Z+) Financing'!D9,0)</f>
        <v>365176.8</v>
      </c>
      <c r="H123" s="198">
        <f>IFERROR(G123/Inputs!$D$16,0)</f>
        <v>26.885831032578686</v>
      </c>
      <c r="I123" s="198">
        <f>IFERROR(G123/Inputs!$D$17,0)</f>
        <v>3.6007809418632166</v>
      </c>
      <c r="J123" s="198">
        <f>IFERROR(G123/Inputs!$D$13,0)</f>
        <v>12.386432399430161</v>
      </c>
      <c r="K123" s="198">
        <f>IFERROR(G123/Inputs!$H$14,0)</f>
        <v>1630.2535714285714</v>
      </c>
      <c r="L123" s="239">
        <f>IFERROR(G123/$G$126,0)</f>
        <v>6.068316926829978E-3</v>
      </c>
      <c r="M123" s="190"/>
    </row>
    <row r="124" spans="2:13" x14ac:dyDescent="0.25">
      <c r="B124" s="189"/>
      <c r="C124" s="200" t="s">
        <v>307</v>
      </c>
      <c r="D124" s="201"/>
      <c r="E124" s="201">
        <f>IFERROR(5,0)</f>
        <v>5</v>
      </c>
      <c r="F124" s="201"/>
      <c r="G124" s="202">
        <f>IFERROR(SUM(G121:G123),0)</f>
        <v>8268359.8934110152</v>
      </c>
      <c r="H124" s="202">
        <f>IFERROR(G124/Inputs!$D$16,0)</f>
        <v>608.75095846942872</v>
      </c>
      <c r="I124" s="202">
        <f>IFERROR(G124/Inputs!$D$17,0)</f>
        <v>81.529146223584206</v>
      </c>
      <c r="J124" s="202">
        <f>IFERROR(G124/Inputs!$D$13,0)</f>
        <v>280.45451100369769</v>
      </c>
      <c r="K124" s="202">
        <f>IFERROR(G124/Inputs!$H$14,0)</f>
        <v>36912.320952727743</v>
      </c>
      <c r="L124" s="35">
        <f>IFERROR(G124/$G$126,0)</f>
        <v>0.13739927700310692</v>
      </c>
      <c r="M124" s="190"/>
    </row>
    <row r="125" spans="2:13" x14ac:dyDescent="0.25">
      <c r="B125" s="189"/>
      <c r="C125" s="215"/>
      <c r="D125" s="216"/>
      <c r="E125" s="216"/>
      <c r="F125" s="216"/>
      <c r="G125" s="216"/>
      <c r="H125" s="216"/>
      <c r="I125" s="216"/>
      <c r="J125" s="216"/>
      <c r="K125" s="216"/>
      <c r="L125" s="240"/>
      <c r="M125" s="190"/>
    </row>
    <row r="126" spans="2:13" x14ac:dyDescent="0.25">
      <c r="B126" s="189"/>
      <c r="C126" s="200" t="s">
        <v>308</v>
      </c>
      <c r="D126" s="201"/>
      <c r="E126" s="201">
        <f>IFERROR(5,0)</f>
        <v>5</v>
      </c>
      <c r="F126" s="201"/>
      <c r="G126" s="202">
        <f>IFERROR(SUM(G10,G30,G109,G115,G124),0)</f>
        <v>60177608.454402916</v>
      </c>
      <c r="H126" s="202">
        <f>IFERROR(G126/Inputs!D16,0)</f>
        <v>4430.5251945078535</v>
      </c>
      <c r="I126" s="202">
        <f>IFERROR(G126/Inputs!D17,0)</f>
        <v>593.37390997873035</v>
      </c>
      <c r="J126" s="202">
        <f>IFERROR(G126/Inputs!D13,0)</f>
        <v>2041.1643868937967</v>
      </c>
      <c r="K126" s="202">
        <f>IFERROR(G126/Inputs!H14,0)</f>
        <v>268650.03774287016</v>
      </c>
      <c r="L126" s="35">
        <f>IFERROR(G126/$G$126,0)</f>
        <v>1</v>
      </c>
      <c r="M126" s="190"/>
    </row>
    <row r="127" spans="2:13" x14ac:dyDescent="0.25">
      <c r="B127" s="189"/>
      <c r="C127" s="215"/>
      <c r="D127" s="216"/>
      <c r="E127" s="216"/>
      <c r="F127" s="216"/>
      <c r="G127" s="216"/>
      <c r="H127" s="216"/>
      <c r="I127" s="216"/>
      <c r="J127" s="216"/>
      <c r="K127" s="216"/>
      <c r="L127" s="240"/>
      <c r="M127" s="190"/>
    </row>
    <row r="128" spans="2:13" x14ac:dyDescent="0.25">
      <c r="B128" s="189"/>
      <c r="C128" s="200"/>
      <c r="D128" s="201"/>
      <c r="E128" s="201"/>
      <c r="F128" s="201"/>
      <c r="G128" s="201"/>
      <c r="H128" s="201"/>
      <c r="I128" s="201"/>
      <c r="J128" s="201"/>
      <c r="K128" s="201"/>
      <c r="L128" s="234"/>
      <c r="M128" s="190"/>
    </row>
    <row r="129" spans="2:13" x14ac:dyDescent="0.25">
      <c r="B129" s="189"/>
      <c r="C129" s="195" t="s">
        <v>309</v>
      </c>
      <c r="D129" s="196"/>
      <c r="E129" s="211">
        <f>lease_up_period</f>
        <v>8</v>
      </c>
      <c r="F129" s="196"/>
      <c r="G129" s="198">
        <f>IFERROR(SUM('(Z+) Monthly CF'!AC19:AF19),0)</f>
        <v>1072240.4438352613</v>
      </c>
      <c r="H129" s="198">
        <f>IFERROR(G129/Inputs!$D$16,0)</f>
        <v>78.942789901362872</v>
      </c>
      <c r="I129" s="198">
        <f>IFERROR(G129/Inputs!$D$17,0)</f>
        <v>10.572695076075386</v>
      </c>
      <c r="J129" s="198">
        <f>IFERROR(G129/Inputs!D13,0)</f>
        <v>36.369325141959884</v>
      </c>
      <c r="K129" s="198">
        <f>IFERROR(G129/Inputs!$H$14,0)</f>
        <v>4786.7876956931304</v>
      </c>
      <c r="L129" s="199">
        <f>IFERROR(G129/$G$126,0)</f>
        <v>1.7817930479037014E-2</v>
      </c>
      <c r="M129" s="190"/>
    </row>
    <row r="130" spans="2:13" x14ac:dyDescent="0.25">
      <c r="B130" s="189"/>
      <c r="C130" s="241" t="s">
        <v>310</v>
      </c>
      <c r="D130" s="242"/>
      <c r="E130" s="243">
        <f>IFERROR(5,0)</f>
        <v>5</v>
      </c>
      <c r="F130" s="242"/>
      <c r="G130" s="244">
        <f>IFERROR(+G126-G129,0)</f>
        <v>59105368.010567658</v>
      </c>
      <c r="H130" s="244">
        <f>IFERROR(G130/Inputs!$D$16,0)</f>
        <v>4351.5824046064909</v>
      </c>
      <c r="I130" s="244">
        <f>IFERROR(G130/Inputs!$D$17,0)</f>
        <v>582.80121490265503</v>
      </c>
      <c r="J130" s="244">
        <f>IFERROR(G130/Inputs!D13,0)</f>
        <v>2004.795061751837</v>
      </c>
      <c r="K130" s="244">
        <f>IFERROR(G130/Inputs!$H$14,0)</f>
        <v>263863.25004717702</v>
      </c>
      <c r="L130" s="245">
        <f>IFERROR(G130/$G$126,0)</f>
        <v>0.98218206952096299</v>
      </c>
      <c r="M130" s="190"/>
    </row>
    <row r="131" spans="2:13" x14ac:dyDescent="0.25">
      <c r="B131" s="189"/>
      <c r="C131" s="246"/>
      <c r="D131" s="191"/>
      <c r="E131" s="191"/>
      <c r="F131" s="246"/>
      <c r="G131" s="246"/>
      <c r="H131" s="246"/>
      <c r="I131" s="246"/>
      <c r="J131" s="246"/>
      <c r="K131" s="246"/>
      <c r="L131" s="246"/>
      <c r="M131" s="190"/>
    </row>
    <row r="132" spans="2:13" x14ac:dyDescent="0.25">
      <c r="B132" s="247"/>
      <c r="C132" s="248"/>
      <c r="D132" s="248"/>
      <c r="E132" s="248"/>
      <c r="F132" s="248"/>
      <c r="G132" s="248"/>
      <c r="H132" s="248"/>
      <c r="I132" s="248"/>
      <c r="J132" s="248"/>
      <c r="K132" s="248"/>
      <c r="L132" s="248"/>
      <c r="M132" s="249"/>
    </row>
  </sheetData>
  <mergeCells count="1">
    <mergeCell ref="C3:L3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2:M44"/>
  <sheetViews>
    <sheetView showGridLines="0" topLeftCell="A3" zoomScaleNormal="100" workbookViewId="0">
      <selection activeCell="G37" sqref="G37"/>
    </sheetView>
  </sheetViews>
  <sheetFormatPr defaultColWidth="8.7109375" defaultRowHeight="15" x14ac:dyDescent="0.25"/>
  <cols>
    <col min="3" max="3" width="32" customWidth="1"/>
    <col min="4" max="11" width="17" customWidth="1"/>
  </cols>
  <sheetData>
    <row r="2" spans="2:12" ht="24.75" customHeight="1" x14ac:dyDescent="0.25">
      <c r="B2" s="186"/>
      <c r="C2" s="187"/>
      <c r="D2" s="187"/>
      <c r="E2" s="187"/>
      <c r="F2" s="187"/>
      <c r="G2" s="187"/>
      <c r="H2" s="187"/>
      <c r="I2" s="187"/>
      <c r="J2" s="187"/>
      <c r="K2" s="187"/>
      <c r="L2" s="188"/>
    </row>
    <row r="3" spans="2:12" x14ac:dyDescent="0.25">
      <c r="B3" s="189"/>
      <c r="C3" s="2" t="s">
        <v>137</v>
      </c>
      <c r="D3" s="2"/>
      <c r="E3" s="2"/>
      <c r="F3" s="2"/>
      <c r="G3" s="2"/>
      <c r="H3" s="2"/>
      <c r="I3" s="2"/>
      <c r="J3" s="2"/>
      <c r="K3" s="2"/>
      <c r="L3" s="190"/>
    </row>
    <row r="4" spans="2:12" x14ac:dyDescent="0.25">
      <c r="B4" s="189"/>
      <c r="C4" s="191"/>
      <c r="D4" s="191"/>
      <c r="E4" s="191"/>
      <c r="F4" s="191"/>
      <c r="G4" s="191"/>
      <c r="H4" s="191"/>
      <c r="I4" s="191"/>
      <c r="J4" s="191"/>
      <c r="K4" s="191"/>
      <c r="L4" s="190"/>
    </row>
    <row r="5" spans="2:12" x14ac:dyDescent="0.25">
      <c r="B5" s="189"/>
      <c r="C5" s="17" t="s">
        <v>311</v>
      </c>
      <c r="D5" s="18"/>
      <c r="E5" s="18"/>
      <c r="F5" s="18"/>
      <c r="G5" s="18"/>
      <c r="H5" s="18"/>
      <c r="I5" s="18"/>
      <c r="J5" s="123"/>
      <c r="K5" s="191"/>
      <c r="L5" s="190"/>
    </row>
    <row r="6" spans="2:12" x14ac:dyDescent="0.25">
      <c r="B6" s="189"/>
      <c r="C6" s="250"/>
      <c r="D6" s="229"/>
      <c r="E6" s="229"/>
      <c r="F6" s="229"/>
      <c r="G6" s="229"/>
      <c r="H6" s="229"/>
      <c r="I6" s="229"/>
      <c r="J6" s="251"/>
      <c r="K6" s="191"/>
      <c r="L6" s="190"/>
    </row>
    <row r="7" spans="2:12" x14ac:dyDescent="0.25">
      <c r="B7" s="189"/>
      <c r="C7" s="252" t="s">
        <v>312</v>
      </c>
      <c r="D7" s="253" t="s">
        <v>187</v>
      </c>
      <c r="E7" s="253" t="s">
        <v>54</v>
      </c>
      <c r="F7" s="253" t="s">
        <v>117</v>
      </c>
      <c r="G7" s="253" t="s">
        <v>313</v>
      </c>
      <c r="H7" s="253" t="s">
        <v>314</v>
      </c>
      <c r="I7" s="253" t="s">
        <v>315</v>
      </c>
      <c r="J7" s="254" t="s">
        <v>316</v>
      </c>
      <c r="K7" s="191"/>
      <c r="L7" s="190"/>
    </row>
    <row r="8" spans="2:12" x14ac:dyDescent="0.25">
      <c r="B8" s="189"/>
      <c r="C8" s="250" t="s">
        <v>317</v>
      </c>
      <c r="D8" s="67">
        <f>IFERROR(IF(M19=1,1.2%,0),0)</f>
        <v>0</v>
      </c>
      <c r="E8" s="202">
        <f>IFERROR(F8/12,0)</f>
        <v>0</v>
      </c>
      <c r="F8" s="202">
        <f>IFERROR(+MIN(D8*'(Z+) Dev Budget'!G119,6*'(Z+) Rent Roll'!P20), 0)</f>
        <v>0</v>
      </c>
      <c r="G8" s="202">
        <f>IFERROR(+E8/Inputs!$H$14,0)</f>
        <v>0</v>
      </c>
      <c r="H8" s="202">
        <f>IFERROR(+F8/Inputs!$H$14,0)</f>
        <v>0</v>
      </c>
      <c r="I8" s="67">
        <f>IFERROR(0/100,0)</f>
        <v>0</v>
      </c>
      <c r="J8" s="35">
        <f>IFERROR(2/100,0)</f>
        <v>0.02</v>
      </c>
      <c r="K8" s="191"/>
      <c r="L8" s="190"/>
    </row>
    <row r="9" spans="2:12" x14ac:dyDescent="0.25">
      <c r="B9" s="189"/>
      <c r="C9" s="255" t="s">
        <v>318</v>
      </c>
      <c r="D9" s="256">
        <f>IFERROR(69,0)</f>
        <v>69</v>
      </c>
      <c r="E9" s="198">
        <f>IFERROR((D9*'(Z+) Rent Roll'!E20)*(1+I9),0)</f>
        <v>15765.12</v>
      </c>
      <c r="F9" s="198">
        <f>IFERROR(+E9*12,0)</f>
        <v>189181.44</v>
      </c>
      <c r="G9" s="198">
        <f>IFERROR(+E9/Inputs!$H$14,0)</f>
        <v>70.38000000000001</v>
      </c>
      <c r="H9" s="198">
        <f>IFERROR(+F9/Inputs!$H$14,0)</f>
        <v>844.56000000000006</v>
      </c>
      <c r="I9" s="61">
        <f>IFERROR(2/100,0)</f>
        <v>0.02</v>
      </c>
      <c r="J9" s="199">
        <f>IFERROR(3/100,0)</f>
        <v>0.03</v>
      </c>
      <c r="K9" s="191"/>
      <c r="L9" s="190"/>
    </row>
    <row r="10" spans="2:12" x14ac:dyDescent="0.25">
      <c r="B10" s="189"/>
      <c r="C10" s="250" t="s">
        <v>319</v>
      </c>
      <c r="D10" s="210">
        <f>IFERROR(5/100,0)</f>
        <v>0.05</v>
      </c>
      <c r="E10" s="202">
        <f>IFERROR(('(Z+) Rent Roll'!L20+'(Z+) Rent Roll'!H24)*D10,0)</f>
        <v>25636.800000000003</v>
      </c>
      <c r="F10" s="202">
        <f>IFERROR(E10*12,0)</f>
        <v>307641.60000000003</v>
      </c>
      <c r="G10" s="202">
        <f>IFERROR(+E10/Inputs!$H$14,0)</f>
        <v>114.45000000000002</v>
      </c>
      <c r="H10" s="202">
        <f>IFERROR(+F10/Inputs!$H$14,0)</f>
        <v>1373.4</v>
      </c>
      <c r="I10" s="67">
        <f>IFERROR(0/100,0)</f>
        <v>0</v>
      </c>
      <c r="J10" s="35">
        <f>IFERROR('(Z+) Rent Roll'!M20,0)</f>
        <v>2.5000000000000001E-2</v>
      </c>
      <c r="K10" s="191"/>
      <c r="L10" s="190"/>
    </row>
    <row r="11" spans="2:12" x14ac:dyDescent="0.25">
      <c r="B11" s="189"/>
      <c r="C11" s="255" t="s">
        <v>320</v>
      </c>
      <c r="D11" s="232">
        <f>IFERROR(0,0)</f>
        <v>0</v>
      </c>
      <c r="E11" s="198">
        <f>IFERROR(F11/12,0)</f>
        <v>583.33333333333337</v>
      </c>
      <c r="F11" s="198">
        <f>IFERROR(7000,0)</f>
        <v>7000</v>
      </c>
      <c r="G11" s="198">
        <f>IFERROR(+E11/Inputs!$H$14,0)</f>
        <v>2.604166666666667</v>
      </c>
      <c r="H11" s="198">
        <f>IFERROR(F11/Inputs!$H$14,0)</f>
        <v>31.25</v>
      </c>
      <c r="I11" s="61">
        <f>IFERROR(0/100,0)</f>
        <v>0</v>
      </c>
      <c r="J11" s="199">
        <f>IFERROR(0/100,0)</f>
        <v>0</v>
      </c>
      <c r="K11" s="191"/>
      <c r="L11" s="190"/>
    </row>
    <row r="12" spans="2:12" x14ac:dyDescent="0.25">
      <c r="B12" s="189"/>
      <c r="C12" s="250" t="s">
        <v>321</v>
      </c>
      <c r="D12" s="257">
        <f>IFERROR(0,0)</f>
        <v>0</v>
      </c>
      <c r="E12" s="202">
        <f>IFERROR(F12/12,0)</f>
        <v>4806.666666666667</v>
      </c>
      <c r="F12" s="202">
        <f>IFERROR((MAX(20000,250*'(Z+) Rent Roll'!E20))*(1+I12),0)</f>
        <v>57680</v>
      </c>
      <c r="G12" s="202">
        <f>IFERROR(+E12/Inputs!$H$14,0)</f>
        <v>21.458333333333336</v>
      </c>
      <c r="H12" s="202">
        <f>IFERROR(F12/Inputs!$H$14,0)</f>
        <v>257.5</v>
      </c>
      <c r="I12" s="67">
        <f>IFERROR(3/100,0)</f>
        <v>0.03</v>
      </c>
      <c r="J12" s="35">
        <f>IFERROR(3/100,0)</f>
        <v>0.03</v>
      </c>
      <c r="K12" s="191"/>
      <c r="L12" s="190"/>
    </row>
    <row r="13" spans="2:12" x14ac:dyDescent="0.25">
      <c r="B13" s="189"/>
      <c r="C13" s="252" t="s">
        <v>322</v>
      </c>
      <c r="D13" s="258"/>
      <c r="E13" s="253"/>
      <c r="F13" s="253"/>
      <c r="G13" s="253"/>
      <c r="H13" s="253"/>
      <c r="I13" s="253"/>
      <c r="J13" s="254"/>
      <c r="K13" s="191"/>
      <c r="L13" s="190"/>
    </row>
    <row r="14" spans="2:12" x14ac:dyDescent="0.25">
      <c r="B14" s="189"/>
      <c r="C14" s="250" t="s">
        <v>323</v>
      </c>
      <c r="D14" s="259">
        <f>IFERROR(30,0)</f>
        <v>30</v>
      </c>
      <c r="E14" s="202">
        <f>IFERROR((D14*Inputs!$H$14)*(1+I14),0)</f>
        <v>6921.6</v>
      </c>
      <c r="F14" s="202">
        <f t="shared" ref="F14:F19" si="0">IFERROR(E14*12,0)</f>
        <v>83059.200000000012</v>
      </c>
      <c r="G14" s="202">
        <f>IFERROR(+E14/Inputs!$H$14,0)</f>
        <v>30.900000000000002</v>
      </c>
      <c r="H14" s="202">
        <f>IFERROR(+F14/Inputs!$H$14,0)</f>
        <v>370.80000000000007</v>
      </c>
      <c r="I14" s="67">
        <f t="shared" ref="I14:J19" si="1">IFERROR(3/100,0)</f>
        <v>0.03</v>
      </c>
      <c r="J14" s="35">
        <f t="shared" si="1"/>
        <v>0.03</v>
      </c>
      <c r="K14" s="191"/>
      <c r="L14" s="190"/>
    </row>
    <row r="15" spans="2:12" x14ac:dyDescent="0.25">
      <c r="B15" s="189"/>
      <c r="C15" s="255" t="s">
        <v>324</v>
      </c>
      <c r="D15" s="256">
        <f>IFERROR(30,0)</f>
        <v>30</v>
      </c>
      <c r="E15" s="198">
        <f>IFERROR((D15*Inputs!$H$14)*(1+I15),0)</f>
        <v>6921.6</v>
      </c>
      <c r="F15" s="198">
        <f t="shared" si="0"/>
        <v>83059.200000000012</v>
      </c>
      <c r="G15" s="198">
        <f>IFERROR(+E15/Inputs!$H$14,0)</f>
        <v>30.900000000000002</v>
      </c>
      <c r="H15" s="198">
        <f>IFERROR(+F15/Inputs!$H$14,0)</f>
        <v>370.80000000000007</v>
      </c>
      <c r="I15" s="61">
        <f t="shared" si="1"/>
        <v>0.03</v>
      </c>
      <c r="J15" s="199">
        <f t="shared" si="1"/>
        <v>0.03</v>
      </c>
      <c r="K15" s="191"/>
      <c r="L15" s="190"/>
    </row>
    <row r="16" spans="2:12" x14ac:dyDescent="0.25">
      <c r="B16" s="189"/>
      <c r="C16" s="250" t="s">
        <v>325</v>
      </c>
      <c r="D16" s="259">
        <f>IFERROR(20,0)</f>
        <v>20</v>
      </c>
      <c r="E16" s="202">
        <f>IFERROR((D16*Inputs!$H$14)*(1+I16),0)</f>
        <v>4614.4000000000005</v>
      </c>
      <c r="F16" s="202">
        <f t="shared" si="0"/>
        <v>55372.800000000003</v>
      </c>
      <c r="G16" s="202">
        <f>IFERROR(+E16/Inputs!$H$14,0)</f>
        <v>20.6</v>
      </c>
      <c r="H16" s="202">
        <f>IFERROR(+F16/Inputs!$H$14,0)</f>
        <v>247.20000000000002</v>
      </c>
      <c r="I16" s="67">
        <f t="shared" si="1"/>
        <v>0.03</v>
      </c>
      <c r="J16" s="35">
        <f t="shared" si="1"/>
        <v>0.03</v>
      </c>
      <c r="K16" s="191"/>
      <c r="L16" s="190"/>
    </row>
    <row r="17" spans="2:13" x14ac:dyDescent="0.25">
      <c r="B17" s="189"/>
      <c r="C17" s="255" t="s">
        <v>326</v>
      </c>
      <c r="D17" s="256">
        <f>IFERROR(28,0)</f>
        <v>28</v>
      </c>
      <c r="E17" s="198">
        <f>IFERROR((D17*Inputs!$H$14)*(1+I17),0)</f>
        <v>6460.16</v>
      </c>
      <c r="F17" s="198">
        <f t="shared" si="0"/>
        <v>77521.919999999998</v>
      </c>
      <c r="G17" s="198">
        <f>IFERROR(+E17/Inputs!$H$14,0)</f>
        <v>28.84</v>
      </c>
      <c r="H17" s="198">
        <f>IFERROR(+F17/Inputs!$H$14,0)</f>
        <v>346.08</v>
      </c>
      <c r="I17" s="61">
        <f t="shared" si="1"/>
        <v>0.03</v>
      </c>
      <c r="J17" s="199">
        <f t="shared" si="1"/>
        <v>0.03</v>
      </c>
      <c r="K17" s="191"/>
      <c r="L17" s="190"/>
    </row>
    <row r="18" spans="2:13" x14ac:dyDescent="0.25">
      <c r="B18" s="189"/>
      <c r="C18" s="250" t="s">
        <v>327</v>
      </c>
      <c r="D18" s="259">
        <f>IFERROR(0,0)</f>
        <v>0</v>
      </c>
      <c r="E18" s="202">
        <f>IFERROR((600*(1+I18)),0)</f>
        <v>618</v>
      </c>
      <c r="F18" s="202">
        <f t="shared" si="0"/>
        <v>7416</v>
      </c>
      <c r="G18" s="202">
        <f>IFERROR(+E18/Inputs!$H$14,0)</f>
        <v>2.7589285714285716</v>
      </c>
      <c r="H18" s="202">
        <f>IFERROR(+F18/Inputs!$H$14,0)</f>
        <v>33.107142857142854</v>
      </c>
      <c r="I18" s="67">
        <f t="shared" si="1"/>
        <v>0.03</v>
      </c>
      <c r="J18" s="35">
        <f t="shared" si="1"/>
        <v>0.03</v>
      </c>
      <c r="K18" s="191"/>
      <c r="L18" s="190"/>
    </row>
    <row r="19" spans="2:13" x14ac:dyDescent="0.25">
      <c r="B19" s="189"/>
      <c r="C19" s="255" t="s">
        <v>328</v>
      </c>
      <c r="D19" s="256">
        <f>IFERROR(50,0)</f>
        <v>50</v>
      </c>
      <c r="E19" s="198">
        <f>IFERROR((D19*Inputs!H14)*(1+I19),0)</f>
        <v>11536</v>
      </c>
      <c r="F19" s="198">
        <f t="shared" si="0"/>
        <v>138432</v>
      </c>
      <c r="G19" s="198">
        <f>IFERROR(+E19/Inputs!$H$14,0)</f>
        <v>51.5</v>
      </c>
      <c r="H19" s="198">
        <f>IFERROR(+F19/Inputs!$H$14,0)</f>
        <v>618</v>
      </c>
      <c r="I19" s="61">
        <f t="shared" si="1"/>
        <v>0.03</v>
      </c>
      <c r="J19" s="199">
        <f t="shared" si="1"/>
        <v>0.03</v>
      </c>
      <c r="K19" s="191"/>
      <c r="L19" s="190"/>
      <c r="M19" s="260" t="s">
        <v>329</v>
      </c>
    </row>
    <row r="20" spans="2:13" x14ac:dyDescent="0.25">
      <c r="B20" s="189"/>
      <c r="C20" s="250" t="s">
        <v>330</v>
      </c>
      <c r="D20" s="259">
        <f>IFERROR(0,0)</f>
        <v>0</v>
      </c>
      <c r="E20" s="202">
        <f>IFERROR(+F20/12,0)</f>
        <v>29125.973333333332</v>
      </c>
      <c r="F20" s="202">
        <f>IFERROR((1472*Inputs!H14)*(1+I20),0)</f>
        <v>349511.67999999999</v>
      </c>
      <c r="G20" s="202">
        <f>IFERROR(+E20/Inputs!$H$14,0)</f>
        <v>130.02666666666667</v>
      </c>
      <c r="H20" s="202">
        <f>IFERROR(+F20/Inputs!$H$14,0)</f>
        <v>1560.32</v>
      </c>
      <c r="I20" s="67">
        <f>IFERROR(6/100,0)</f>
        <v>0.06</v>
      </c>
      <c r="J20" s="35">
        <f>IFERROR(3/100,0)</f>
        <v>0.03</v>
      </c>
      <c r="K20" s="191"/>
      <c r="L20" s="190"/>
    </row>
    <row r="21" spans="2:13" x14ac:dyDescent="0.25">
      <c r="B21" s="189"/>
      <c r="C21" s="255" t="s">
        <v>331</v>
      </c>
      <c r="D21" s="256">
        <f>IFERROR(22,0)</f>
        <v>22</v>
      </c>
      <c r="E21" s="198">
        <f>(D21*Inputs!H14)*(1+I21)</f>
        <v>5075.84</v>
      </c>
      <c r="F21" s="198">
        <f t="shared" ref="F21:F26" si="2">IFERROR(E21*12,0)</f>
        <v>60910.080000000002</v>
      </c>
      <c r="G21" s="198">
        <f>IFERROR(+E21/Inputs!$H$14,0)</f>
        <v>22.66</v>
      </c>
      <c r="H21" s="198">
        <f>IFERROR(+F21/Inputs!$H$14,0)</f>
        <v>271.92</v>
      </c>
      <c r="I21" s="61">
        <f t="shared" ref="I21:I27" si="3">IFERROR(3/100,0)</f>
        <v>0.03</v>
      </c>
      <c r="J21" s="199">
        <f>IFERROR(3/100,0)</f>
        <v>0.03</v>
      </c>
      <c r="K21" s="191"/>
      <c r="L21" s="190"/>
    </row>
    <row r="22" spans="2:13" x14ac:dyDescent="0.25">
      <c r="B22" s="189"/>
      <c r="C22" s="250" t="s">
        <v>332</v>
      </c>
      <c r="D22" s="259">
        <f>IFERROR(5,0)</f>
        <v>5</v>
      </c>
      <c r="E22" s="202">
        <f>IFERROR(1000*(1+I22),0)</f>
        <v>1030</v>
      </c>
      <c r="F22" s="202">
        <f t="shared" si="2"/>
        <v>12360</v>
      </c>
      <c r="G22" s="202">
        <f>IFERROR(+E22/Inputs!$H$14,0)</f>
        <v>4.5982142857142856</v>
      </c>
      <c r="H22" s="202">
        <f>IFERROR(+F22/Inputs!$H$14,0)</f>
        <v>55.178571428571431</v>
      </c>
      <c r="I22" s="67">
        <f t="shared" si="3"/>
        <v>0.03</v>
      </c>
      <c r="J22" s="35">
        <f>IFERROR(3/100,0)</f>
        <v>0.03</v>
      </c>
      <c r="K22" s="191"/>
      <c r="L22" s="190"/>
    </row>
    <row r="23" spans="2:13" x14ac:dyDescent="0.25">
      <c r="B23" s="189"/>
      <c r="C23" s="255" t="s">
        <v>333</v>
      </c>
      <c r="D23" s="256">
        <f>IFERROR(5,0)</f>
        <v>5</v>
      </c>
      <c r="E23" s="198">
        <f>IFERROR((D23*Inputs!H14)*(1+I23),0)</f>
        <v>1153.6000000000001</v>
      </c>
      <c r="F23" s="198">
        <f t="shared" si="2"/>
        <v>13843.2</v>
      </c>
      <c r="G23" s="198">
        <f>IFERROR(+E23/Inputs!$H$14,0)</f>
        <v>5.15</v>
      </c>
      <c r="H23" s="198">
        <f>IFERROR(+F23/Inputs!$H$14,0)</f>
        <v>61.800000000000004</v>
      </c>
      <c r="I23" s="61">
        <f t="shared" si="3"/>
        <v>0.03</v>
      </c>
      <c r="J23" s="199">
        <f>IFERROR(3/100,0)</f>
        <v>0.03</v>
      </c>
      <c r="K23" s="191"/>
      <c r="L23" s="190"/>
    </row>
    <row r="24" spans="2:13" x14ac:dyDescent="0.25">
      <c r="B24" s="189"/>
      <c r="C24" s="250" t="s">
        <v>334</v>
      </c>
      <c r="D24" s="259">
        <f>IFERROR(180,0)</f>
        <v>180</v>
      </c>
      <c r="E24" s="202">
        <f>IFERROR((D24*Inputs!H14)*(1+I24),0)</f>
        <v>41529.599999999999</v>
      </c>
      <c r="F24" s="202">
        <f t="shared" si="2"/>
        <v>498355.19999999995</v>
      </c>
      <c r="G24" s="202">
        <f>IFERROR(+E24/Inputs!$H$14,0)</f>
        <v>185.4</v>
      </c>
      <c r="H24" s="202">
        <f>IFERROR(+F24/Inputs!$H$14,0)</f>
        <v>2224.7999999999997</v>
      </c>
      <c r="I24" s="67">
        <f t="shared" si="3"/>
        <v>0.03</v>
      </c>
      <c r="J24" s="35">
        <f>IFERROR(3.1/100,0)</f>
        <v>3.1E-2</v>
      </c>
      <c r="K24" s="191"/>
      <c r="L24" s="190"/>
    </row>
    <row r="25" spans="2:13" x14ac:dyDescent="0.25">
      <c r="B25" s="189"/>
      <c r="C25" s="255" t="s">
        <v>335</v>
      </c>
      <c r="D25" s="256">
        <f>IFERROR(0,0)</f>
        <v>0</v>
      </c>
      <c r="E25" s="198">
        <f>IFERROR((D25*Inputs!H14)*(1+I25),0)</f>
        <v>0</v>
      </c>
      <c r="F25" s="198">
        <f t="shared" si="2"/>
        <v>0</v>
      </c>
      <c r="G25" s="198">
        <f>IFERROR(+E25/Inputs!$H$14,0)</f>
        <v>0</v>
      </c>
      <c r="H25" s="198">
        <f>IFERROR(+F25/Inputs!$H$14,0)</f>
        <v>0</v>
      </c>
      <c r="I25" s="61">
        <f t="shared" si="3"/>
        <v>0.03</v>
      </c>
      <c r="J25" s="199">
        <f>IFERROR(3.1/100,0)</f>
        <v>3.1E-2</v>
      </c>
      <c r="K25" s="191"/>
      <c r="L25" s="190"/>
    </row>
    <row r="26" spans="2:13" x14ac:dyDescent="0.25">
      <c r="B26" s="189"/>
      <c r="C26" s="250" t="s">
        <v>336</v>
      </c>
      <c r="D26" s="259">
        <f>IFERROR(1,0)</f>
        <v>1</v>
      </c>
      <c r="E26" s="202">
        <f>IFERROR((D26*Inputs!H14)*(1+I26),0)</f>
        <v>230.72</v>
      </c>
      <c r="F26" s="202">
        <f t="shared" si="2"/>
        <v>2768.64</v>
      </c>
      <c r="G26" s="202">
        <f>IFERROR(+E26/Inputs!$H$14,0)</f>
        <v>1.03</v>
      </c>
      <c r="H26" s="202">
        <f>IFERROR(+F26/Inputs!H14,0)</f>
        <v>12.36</v>
      </c>
      <c r="I26" s="67">
        <f t="shared" si="3"/>
        <v>0.03</v>
      </c>
      <c r="J26" s="35">
        <f>IFERROR(3/100,0)</f>
        <v>0.03</v>
      </c>
      <c r="K26" s="191"/>
      <c r="L26" s="190"/>
    </row>
    <row r="27" spans="2:13" x14ac:dyDescent="0.25">
      <c r="B27" s="189"/>
      <c r="C27" s="261" t="s">
        <v>27</v>
      </c>
      <c r="D27" s="262">
        <f>IFERROR(F27/G35, 0)</f>
        <v>0.31681547680972971</v>
      </c>
      <c r="E27" s="263">
        <f>IFERROR(SUM(E8:E26),0)</f>
        <v>162009.41333333333</v>
      </c>
      <c r="F27" s="263">
        <f>IFERROR(SUM(F8:F26),0)</f>
        <v>1944112.96</v>
      </c>
      <c r="G27" s="263">
        <f>IFERROR(SUM(G8:G26),0)</f>
        <v>723.25630952380948</v>
      </c>
      <c r="H27" s="263">
        <f>IFERROR(SUM(H8:H26),0)</f>
        <v>8679.0757142857146</v>
      </c>
      <c r="I27" s="262">
        <f t="shared" si="3"/>
        <v>0.03</v>
      </c>
      <c r="J27" s="264">
        <f>IFERROR(SUMPRODUCT(J8:J26,H8:H26)/SUM(H8:H26), 0)</f>
        <v>2.9357108961405205E-2</v>
      </c>
      <c r="K27" s="191"/>
      <c r="L27" s="190"/>
    </row>
    <row r="28" spans="2:13" x14ac:dyDescent="0.25">
      <c r="B28" s="189"/>
      <c r="C28" s="191"/>
      <c r="D28" s="191"/>
      <c r="E28" s="191"/>
      <c r="F28" s="191"/>
      <c r="G28" s="191"/>
      <c r="H28" s="191"/>
      <c r="I28" s="191"/>
      <c r="J28" s="191"/>
      <c r="K28" s="191"/>
      <c r="L28" s="190"/>
    </row>
    <row r="29" spans="2:13" x14ac:dyDescent="0.25">
      <c r="B29" s="189"/>
      <c r="C29" s="265"/>
      <c r="D29" s="266"/>
      <c r="E29" s="266"/>
      <c r="F29" s="266" t="s">
        <v>337</v>
      </c>
      <c r="G29" s="266"/>
      <c r="H29" s="266"/>
      <c r="I29" s="266" t="s">
        <v>338</v>
      </c>
      <c r="J29" s="266"/>
      <c r="K29" s="267"/>
      <c r="L29" s="190"/>
    </row>
    <row r="30" spans="2:13" x14ac:dyDescent="0.25">
      <c r="B30" s="189"/>
      <c r="C30" s="17" t="s">
        <v>339</v>
      </c>
      <c r="D30" s="18"/>
      <c r="E30" s="18"/>
      <c r="F30" s="18" t="s">
        <v>340</v>
      </c>
      <c r="G30" s="18" t="s">
        <v>341</v>
      </c>
      <c r="H30" s="18" t="s">
        <v>342</v>
      </c>
      <c r="I30" s="18" t="s">
        <v>340</v>
      </c>
      <c r="J30" s="18" t="s">
        <v>341</v>
      </c>
      <c r="K30" s="123" t="s">
        <v>342</v>
      </c>
      <c r="L30" s="190"/>
    </row>
    <row r="31" spans="2:13" x14ac:dyDescent="0.25">
      <c r="B31" s="189"/>
      <c r="C31" s="268" t="s">
        <v>343</v>
      </c>
      <c r="D31" s="229"/>
      <c r="E31" s="251"/>
      <c r="F31" s="202">
        <f>IFERROR('(Z+) Rent Roll'!H20*12*Inputs!$H$14,0)</f>
        <v>6152832</v>
      </c>
      <c r="G31" s="202">
        <f>IFERROR('(Z+) Rent Roll'!L20*12,0)</f>
        <v>6152832</v>
      </c>
      <c r="H31" s="68">
        <f>IFERROR(+G31,0)</f>
        <v>6152832</v>
      </c>
      <c r="I31" s="202">
        <f>IFERROR('(Z+) Rent Roll'!H20*12*Inputs!$F$34,0)</f>
        <v>29337.561505808866</v>
      </c>
      <c r="J31" s="202">
        <f>IFERROR(INDEX('(Z+) Monthly CF'!$F$14:$HB$14,1,MATCH(Inputs!$D$34,'(Z+) Monthly CF'!$F$5:$HB$5,0))*12,0)</f>
        <v>6571613.7773011848</v>
      </c>
      <c r="K31" s="68">
        <f>IFERROR(+J31,0)</f>
        <v>6571613.7773011848</v>
      </c>
      <c r="L31" s="190"/>
    </row>
    <row r="32" spans="2:13" x14ac:dyDescent="0.25">
      <c r="B32" s="189"/>
      <c r="C32" s="269" t="s">
        <v>344</v>
      </c>
      <c r="D32" s="211"/>
      <c r="E32" s="270"/>
      <c r="F32" s="198">
        <f>IFERROR('(Z+) Rent Roll'!$H$24*12,0)</f>
        <v>0</v>
      </c>
      <c r="G32" s="198">
        <f>IFERROR('(Z+) Rent Roll'!$H$24*12,0)</f>
        <v>0</v>
      </c>
      <c r="H32" s="62">
        <f>IFERROR('(Z+) Rent Roll'!$H$24*12,0)</f>
        <v>0</v>
      </c>
      <c r="I32" s="198">
        <f>IFERROR('(Z+) Rent Roll'!$H$24*12*Inputs!$F$34,0)</f>
        <v>0</v>
      </c>
      <c r="J32" s="198">
        <f>IFERROR('(Z+) Rent Roll'!$H$24*12,0)</f>
        <v>0</v>
      </c>
      <c r="K32" s="62">
        <f>IFERROR('(Z+) Rent Roll'!$H$24*12,0)</f>
        <v>0</v>
      </c>
      <c r="L32" s="190"/>
    </row>
    <row r="33" spans="2:12" x14ac:dyDescent="0.25">
      <c r="B33" s="189"/>
      <c r="C33" s="268" t="s">
        <v>168</v>
      </c>
      <c r="D33" s="229"/>
      <c r="E33" s="251"/>
      <c r="F33" s="202">
        <f>IFERROR('(Z+) Rent Roll'!$H$36*12,0)</f>
        <v>168173.37599999999</v>
      </c>
      <c r="G33" s="202">
        <f>IFERROR('(Z+) Rent Roll'!$H$36*12,0)</f>
        <v>168173.37599999999</v>
      </c>
      <c r="H33" s="68">
        <f>IFERROR('(Z+) Rent Roll'!$H$36*12,0)</f>
        <v>168173.37599999999</v>
      </c>
      <c r="I33" s="202">
        <f>IFERROR('(Z+) Rent Roll'!$H$36*12*Inputs!$F$34,0)</f>
        <v>179619.80348185234</v>
      </c>
      <c r="J33" s="202">
        <f>IFERROR(INDEX('(Z+) Monthly CF'!$F$15:$HB$15,1,MATCH(Inputs!$D$34,'(Z+) Monthly CF'!$F$5:$HB$5,0))*12,0)</f>
        <v>179619.80348185232</v>
      </c>
      <c r="K33" s="68">
        <f>IFERROR(+J33,0)</f>
        <v>179619.80348185232</v>
      </c>
      <c r="L33" s="190"/>
    </row>
    <row r="34" spans="2:12" x14ac:dyDescent="0.25">
      <c r="B34" s="189"/>
      <c r="C34" s="269" t="s">
        <v>345</v>
      </c>
      <c r="D34" s="211"/>
      <c r="E34" s="270"/>
      <c r="F34" s="198">
        <f>IFERROR(-'(Z+) Rent Roll'!N20*F31,0)</f>
        <v>-184584.95999999999</v>
      </c>
      <c r="G34" s="198">
        <f>IFERROR(-'(Z+) Rent Roll'!N20*G31,0)</f>
        <v>-184584.95999999999</v>
      </c>
      <c r="H34" s="62">
        <f>IFERROR(+G34,0)</f>
        <v>-184584.95999999999</v>
      </c>
      <c r="I34" s="198">
        <f>IFERROR(-'(Z+) Rent Roll'!N20*I31,0)</f>
        <v>-880.1268451742659</v>
      </c>
      <c r="J34" s="198">
        <f>IFERROR(INDEX('(Z+) Monthly CF'!$F$17:$HB$17,1,MATCH(Inputs!$D$34,'(Z+) Monthly CF'!$F$5:$HB$5,0))*12,0)</f>
        <v>-197148.41331903555</v>
      </c>
      <c r="K34" s="62">
        <f>IFERROR(+J34,0)</f>
        <v>-197148.41331903555</v>
      </c>
      <c r="L34" s="190"/>
    </row>
    <row r="35" spans="2:12" x14ac:dyDescent="0.25">
      <c r="B35" s="189"/>
      <c r="C35" s="271" t="s">
        <v>173</v>
      </c>
      <c r="D35" s="243"/>
      <c r="E35" s="272"/>
      <c r="F35" s="244">
        <f t="shared" ref="F35:K35" si="4">IFERROR(SUM(F31:F34),0)</f>
        <v>6136420.4160000002</v>
      </c>
      <c r="G35" s="244">
        <f t="shared" si="4"/>
        <v>6136420.4160000002</v>
      </c>
      <c r="H35" s="273">
        <f t="shared" si="4"/>
        <v>6136420.4160000002</v>
      </c>
      <c r="I35" s="244">
        <f t="shared" si="4"/>
        <v>208077.23814248695</v>
      </c>
      <c r="J35" s="244">
        <f t="shared" si="4"/>
        <v>6554085.167464002</v>
      </c>
      <c r="K35" s="273">
        <f t="shared" si="4"/>
        <v>6554085.167464002</v>
      </c>
      <c r="L35" s="190"/>
    </row>
    <row r="36" spans="2:12" x14ac:dyDescent="0.25">
      <c r="B36" s="189"/>
      <c r="C36" s="269" t="s">
        <v>137</v>
      </c>
      <c r="D36" s="211"/>
      <c r="E36" s="270"/>
      <c r="F36" s="198">
        <f>IFERROR(-SUM(F14:F26,F8,F9)-$D$10*F31,0)</f>
        <v>-1879432.9599999997</v>
      </c>
      <c r="G36" s="198">
        <f>IFERROR(-F27,0)</f>
        <v>-1944112.96</v>
      </c>
      <c r="H36" s="62">
        <f>IFERROR(+G36+$F$8*(SUM('(Z+) Rent Roll'!E12:E19)/Inputs!H14),0)</f>
        <v>-1944112.96</v>
      </c>
      <c r="I36" s="198">
        <f>IFERROR(J36+$D$10*(J31-I31),0)</f>
        <v>-1400844.5370487305</v>
      </c>
      <c r="J36" s="198">
        <f>IFERROR(INDEX('(Z+) Monthly CF'!$F$47:$HB$47,1,MATCH(Inputs!$D$34,'(Z+) Monthly CF'!$F$5:$HB$5,0))*12,0)</f>
        <v>-1727958.3478384994</v>
      </c>
      <c r="K36" s="62">
        <f>IFERROR(+J36+F8*(SUM('(Z+) Rent Roll'!E12:E19)/Inputs!H14),0)</f>
        <v>-1727958.3478384994</v>
      </c>
      <c r="L36" s="190"/>
    </row>
    <row r="37" spans="2:12" x14ac:dyDescent="0.25">
      <c r="B37" s="189"/>
      <c r="C37" s="271" t="s">
        <v>346</v>
      </c>
      <c r="D37" s="243"/>
      <c r="E37" s="272"/>
      <c r="F37" s="244">
        <f t="shared" ref="F37:K37" si="5">IFERROR(SUM(F35:F36),0)</f>
        <v>4256987.4560000002</v>
      </c>
      <c r="G37" s="244">
        <f t="shared" si="5"/>
        <v>4192307.4560000002</v>
      </c>
      <c r="H37" s="273">
        <f t="shared" si="5"/>
        <v>4192307.4560000002</v>
      </c>
      <c r="I37" s="244">
        <f t="shared" si="5"/>
        <v>-1192767.2989062436</v>
      </c>
      <c r="J37" s="244">
        <f t="shared" si="5"/>
        <v>4826126.8196255025</v>
      </c>
      <c r="K37" s="273">
        <f t="shared" si="5"/>
        <v>4826126.8196255025</v>
      </c>
      <c r="L37" s="190"/>
    </row>
    <row r="38" spans="2:12" x14ac:dyDescent="0.25">
      <c r="B38" s="189"/>
      <c r="C38" s="269" t="s">
        <v>347</v>
      </c>
      <c r="D38" s="211"/>
      <c r="E38" s="270"/>
      <c r="F38" s="61">
        <f>IFERROR(F37/('(Z+) Dev Budget'!$G$126-'(Z+) Dev Budget'!$G$22),0)</f>
        <v>7.124826286275715E-2</v>
      </c>
      <c r="G38" s="61">
        <f>IFERROR(G37/('(Z+) Dev Budget'!$G$126-'(Z+) Dev Budget'!$G$22),0)</f>
        <v>7.0165727927055624E-2</v>
      </c>
      <c r="H38" s="199">
        <f>IFERROR(H37/('(Z+) Dev Budget'!$G$126-'(Z+) Dev Budget'!$G$22),0)</f>
        <v>7.0165727927055624E-2</v>
      </c>
      <c r="I38" s="61">
        <f>IFERROR(I37/'(Z+) Dev Budget'!$G$126,0)</f>
        <v>-1.9820782672179696E-2</v>
      </c>
      <c r="J38" s="61">
        <f>IFERROR(J37/'(Z+) Dev Budget'!$G$126,0)</f>
        <v>8.0198049466892657E-2</v>
      </c>
      <c r="K38" s="199">
        <f>IFERROR(+K37/'(Z+) Dev Budget'!$G$126,0)</f>
        <v>8.0198049466892657E-2</v>
      </c>
      <c r="L38" s="190"/>
    </row>
    <row r="39" spans="2:12" x14ac:dyDescent="0.25">
      <c r="B39" s="189"/>
      <c r="C39" s="268" t="s">
        <v>348</v>
      </c>
      <c r="D39" s="229"/>
      <c r="E39" s="251"/>
      <c r="F39" s="67">
        <f>IFERROR((F37+IPMT('(Z+) Financing'!$H$18*365.25/360,1,'(Z+) Financing'!$H$21,'(Z+) Financing'!$H$19))/Inputs!$L$23,0)</f>
        <v>0.12656008846523764</v>
      </c>
      <c r="G39" s="67">
        <f>IFERROR((G37+IPMT('(Z+) Financing'!$H$18*365.25/360,1,'(Z+) Financing'!$H$21,'(Z+) Financing'!$H$19))/Inputs!$L$23,0)</f>
        <v>0.12090860763918151</v>
      </c>
      <c r="H39" s="35">
        <f>IFERROR((H37+IPMT('(Z+) Financing'!$H$18*365.25/360,1,'(Z+) Financing'!$H$21,'(Z+) Financing'!$H$19))/Inputs!$L$23,0)</f>
        <v>0.12090860763918151</v>
      </c>
      <c r="I39" s="67">
        <f>IFERROR((I37+IPMT('(Z+) Financing'!$H$18*365.25/360,1,'(Z+) Financing'!$H$21,'(Z+) Financing'!$H$19))/Inputs!$L$23,0)</f>
        <v>-0.3496177795629129</v>
      </c>
      <c r="J39" s="67">
        <f>IFERROR((J37+IPMT('(Z+) Financing'!$H$18*365.25/360,1,'(Z+) Financing'!$H$21,'(Z+) Financing'!$H$19))/Inputs!$L$23,0)</f>
        <v>0.17628921958588242</v>
      </c>
      <c r="K39" s="35">
        <f>IFERROR((K37+IPMT('(Z+) Financing'!$H$18*365.25/360,1,'(Z+) Financing'!$H$21,'(Z+) Financing'!$H$19))/Inputs!$L$23,0)</f>
        <v>0.17628921958588242</v>
      </c>
      <c r="L39" s="190"/>
    </row>
    <row r="40" spans="2:12" x14ac:dyDescent="0.25">
      <c r="B40" s="189"/>
      <c r="C40" s="274" t="s">
        <v>349</v>
      </c>
      <c r="D40" s="275"/>
      <c r="E40" s="276"/>
      <c r="F40" s="96">
        <f>IFERROR(IFERROR(-F36/F35,0),0)</f>
        <v>0.30627512989488098</v>
      </c>
      <c r="G40" s="96">
        <f>IFERROR(-G36/G35,0)</f>
        <v>0.31681547680972971</v>
      </c>
      <c r="H40" s="277">
        <f>IFERROR(-H36/H35,0)</f>
        <v>0.31681547680972971</v>
      </c>
      <c r="I40" s="96">
        <f>IFERROR(-I36/I35,0)</f>
        <v>6.7323295404827581</v>
      </c>
      <c r="J40" s="96">
        <f>IFERROR(-J36/J35,0)</f>
        <v>0.26364600149178485</v>
      </c>
      <c r="K40" s="277">
        <f>IFERROR(-K36/K35,0)</f>
        <v>0.26364600149178485</v>
      </c>
      <c r="L40" s="190"/>
    </row>
    <row r="41" spans="2:12" x14ac:dyDescent="0.25">
      <c r="B41" s="189"/>
      <c r="C41" s="268" t="s">
        <v>350</v>
      </c>
      <c r="D41" s="229"/>
      <c r="E41" s="251"/>
      <c r="F41" s="202">
        <f>IFERROR((F37+$F$8)/('(Z+) Financing'!$H$8+$D$8),0)</f>
        <v>74034564.452173918</v>
      </c>
      <c r="G41" s="202">
        <f>IFERROR((G37+$F$8)/('(Z+) Financing'!$H$8+$D$8),0)</f>
        <v>72909694.886956528</v>
      </c>
      <c r="H41" s="68">
        <f>IFERROR((H37+$F$8)/('(Z+) Financing'!$H$8+$D$8),0)</f>
        <v>72909694.886956528</v>
      </c>
      <c r="I41" s="202">
        <f>IFERROR((I37+$F$8*1.02^(Inputs!$E$33/12))/('(Z+) Financing'!$H$8+$D$8),0)</f>
        <v>-20743779.111412931</v>
      </c>
      <c r="J41" s="202">
        <f>IFERROR((J37+$F$8*1.02^(Inputs!$E$33/12))/('(Z+) Financing'!$H$8+$D$8),0)</f>
        <v>83932640.341313079</v>
      </c>
      <c r="K41" s="68">
        <f>IFERROR((K37+$F$8*1.02^(Inputs!$E$33/12))/('(Z+) Financing'!$H$8+$D$8),0)</f>
        <v>83932640.341313079</v>
      </c>
      <c r="L41" s="190"/>
    </row>
    <row r="42" spans="2:12" x14ac:dyDescent="0.25">
      <c r="B42" s="189"/>
      <c r="C42" s="269" t="s">
        <v>351</v>
      </c>
      <c r="D42" s="211"/>
      <c r="E42" s="270"/>
      <c r="F42" s="198">
        <f>IFERROR(F41/Inputs!H14,0)</f>
        <v>330511.44844720501</v>
      </c>
      <c r="G42" s="198">
        <f>IFERROR(G41/Inputs!H14,0)</f>
        <v>325489.7093167702</v>
      </c>
      <c r="H42" s="62">
        <f>IFERROR(H41/Inputs!H14,0)</f>
        <v>325489.7093167702</v>
      </c>
      <c r="I42" s="198">
        <f>IFERROR(I41/Inputs!H14,0)</f>
        <v>-92606.156747379151</v>
      </c>
      <c r="J42" s="198">
        <f>IFERROR(J41/Inputs!H14,0)</f>
        <v>374699.28723800479</v>
      </c>
      <c r="K42" s="62">
        <f>IFERROR(K41/Inputs!H14,0)</f>
        <v>374699.28723800479</v>
      </c>
      <c r="L42" s="190"/>
    </row>
    <row r="43" spans="2:12" x14ac:dyDescent="0.25">
      <c r="B43" s="189"/>
      <c r="C43" s="278" t="s">
        <v>352</v>
      </c>
      <c r="D43" s="279"/>
      <c r="E43" s="280"/>
      <c r="F43" s="281">
        <f>IFERROR(F41/'(Z+) Dev Budget'!$G$126-1,0)</f>
        <v>0.23026764196304894</v>
      </c>
      <c r="G43" s="281">
        <f>IFERROR(G41/'(Z+) Dev Budget'!$G$126-1,0)</f>
        <v>0.2115751482912589</v>
      </c>
      <c r="H43" s="282">
        <f>IFERROR(H41/'(Z+) Dev Budget'!$G$126-1,0)</f>
        <v>0.2115751482912589</v>
      </c>
      <c r="I43" s="281">
        <f>IFERROR(I41/'(Z+) Dev Budget'!$G$126-1,0)</f>
        <v>-1.3447092638639946</v>
      </c>
      <c r="J43" s="281">
        <f>IFERROR(J41/'(Z+) Dev Budget'!$G$126-1,0)</f>
        <v>0.39474868638074168</v>
      </c>
      <c r="K43" s="282">
        <f>IFERROR(K41/'(Z+) Dev Budget'!$G$126-1,0)</f>
        <v>0.39474868638074168</v>
      </c>
      <c r="L43" s="190"/>
    </row>
    <row r="44" spans="2:12" x14ac:dyDescent="0.25">
      <c r="B44" s="247"/>
      <c r="C44" s="248"/>
      <c r="D44" s="248"/>
      <c r="E44" s="248"/>
      <c r="F44" s="248"/>
      <c r="G44" s="248"/>
      <c r="H44" s="248"/>
      <c r="I44" s="248"/>
      <c r="J44" s="248"/>
      <c r="K44" s="248"/>
      <c r="L44" s="249"/>
    </row>
  </sheetData>
  <mergeCells count="1">
    <mergeCell ref="C3:K3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B2:L45"/>
  <sheetViews>
    <sheetView showGridLines="0" topLeftCell="A3" zoomScaleNormal="100" workbookViewId="0">
      <selection activeCell="O17" sqref="O17"/>
    </sheetView>
  </sheetViews>
  <sheetFormatPr defaultColWidth="8.7109375" defaultRowHeight="15" x14ac:dyDescent="0.25"/>
  <cols>
    <col min="3" max="3" width="25" customWidth="1"/>
    <col min="4" max="4" width="17" customWidth="1"/>
    <col min="6" max="6" width="25" customWidth="1"/>
    <col min="7" max="8" width="18" customWidth="1"/>
    <col min="10" max="10" width="27" customWidth="1"/>
    <col min="11" max="11" width="19" customWidth="1"/>
  </cols>
  <sheetData>
    <row r="2" spans="2:12" ht="24.75" customHeight="1" x14ac:dyDescent="0.25">
      <c r="B2" s="186"/>
      <c r="C2" s="187"/>
      <c r="D2" s="187"/>
      <c r="E2" s="187"/>
      <c r="F2" s="187"/>
      <c r="G2" s="187"/>
      <c r="H2" s="187"/>
      <c r="I2" s="187"/>
      <c r="J2" s="187"/>
      <c r="K2" s="187"/>
      <c r="L2" s="188"/>
    </row>
    <row r="3" spans="2:12" x14ac:dyDescent="0.25">
      <c r="B3" s="189"/>
      <c r="C3" s="2" t="s">
        <v>131</v>
      </c>
      <c r="D3" s="2"/>
      <c r="E3" s="2"/>
      <c r="F3" s="2"/>
      <c r="G3" s="2"/>
      <c r="H3" s="2"/>
      <c r="I3" s="2"/>
      <c r="J3" s="2"/>
      <c r="K3" s="2"/>
      <c r="L3" s="190"/>
    </row>
    <row r="4" spans="2:12" x14ac:dyDescent="0.25">
      <c r="B4" s="189"/>
      <c r="C4" s="191"/>
      <c r="D4" s="191"/>
      <c r="E4" s="191"/>
      <c r="F4" s="191"/>
      <c r="G4" s="191"/>
      <c r="H4" s="191"/>
      <c r="I4" s="191"/>
      <c r="J4" s="191"/>
      <c r="K4" s="191"/>
      <c r="L4" s="190"/>
    </row>
    <row r="5" spans="2:12" x14ac:dyDescent="0.25">
      <c r="B5" s="189"/>
      <c r="C5" s="1" t="s">
        <v>353</v>
      </c>
      <c r="D5" s="1"/>
      <c r="E5" s="191"/>
      <c r="F5" s="17" t="s">
        <v>354</v>
      </c>
      <c r="G5" s="18"/>
      <c r="H5" s="123"/>
      <c r="I5" s="191"/>
      <c r="J5" s="17" t="s">
        <v>355</v>
      </c>
      <c r="K5" s="123"/>
      <c r="L5" s="190"/>
    </row>
    <row r="6" spans="2:12" x14ac:dyDescent="0.25">
      <c r="B6" s="189"/>
      <c r="C6" s="283" t="s">
        <v>142</v>
      </c>
      <c r="D6" s="25">
        <f>IFERROR(0/100,0)</f>
        <v>0</v>
      </c>
      <c r="E6" s="191"/>
      <c r="F6" s="284" t="s">
        <v>356</v>
      </c>
      <c r="G6" s="285"/>
      <c r="H6" s="286" t="s">
        <v>341</v>
      </c>
      <c r="I6" s="191"/>
      <c r="J6" s="287" t="s">
        <v>357</v>
      </c>
      <c r="K6" s="288">
        <f>'(Z+) Monthly CF'!F102</f>
        <v>9.7391468286514266E-2</v>
      </c>
      <c r="L6" s="190"/>
    </row>
    <row r="7" spans="2:12" x14ac:dyDescent="0.25">
      <c r="B7" s="189"/>
      <c r="C7" s="289" t="s">
        <v>164</v>
      </c>
      <c r="D7" s="33">
        <f>IFERROR(8.37/100,0)</f>
        <v>8.3699999999999997E-2</v>
      </c>
      <c r="E7" s="191"/>
      <c r="F7" s="290" t="s">
        <v>358</v>
      </c>
      <c r="G7" s="291"/>
      <c r="H7" s="292">
        <f>+IFERROR('(Z+) OpEx'!J37,0)</f>
        <v>4826126.8196255025</v>
      </c>
      <c r="I7" s="191"/>
      <c r="J7" s="293" t="s">
        <v>359</v>
      </c>
      <c r="K7" s="294">
        <f>IFERROR('(Z+) Monthly CF'!F103,0)</f>
        <v>0.15538478493690497</v>
      </c>
      <c r="L7" s="190"/>
    </row>
    <row r="8" spans="2:12" x14ac:dyDescent="0.25">
      <c r="B8" s="189"/>
      <c r="C8" s="283" t="s">
        <v>360</v>
      </c>
      <c r="D8" s="25">
        <f>IFERROR(1/100,0)</f>
        <v>0.01</v>
      </c>
      <c r="E8" s="191"/>
      <c r="F8" s="284" t="s">
        <v>361</v>
      </c>
      <c r="G8" s="285"/>
      <c r="H8" s="295">
        <f>+IFERROR(5.75/100,0)</f>
        <v>5.7500000000000002E-2</v>
      </c>
      <c r="I8" s="191"/>
      <c r="J8" s="287" t="s">
        <v>362</v>
      </c>
      <c r="K8" s="288">
        <f>+IFERROR('(Z+) OpEx'!G39,0)</f>
        <v>0.12090860763918151</v>
      </c>
      <c r="L8" s="190"/>
    </row>
    <row r="9" spans="2:12" x14ac:dyDescent="0.25">
      <c r="B9" s="189"/>
      <c r="C9" s="289" t="s">
        <v>363</v>
      </c>
      <c r="D9" s="296">
        <f>IFERROR(D8*D10,0)</f>
        <v>0</v>
      </c>
      <c r="E9" s="191"/>
      <c r="F9" s="290" t="s">
        <v>364</v>
      </c>
      <c r="G9" s="291"/>
      <c r="H9" s="292">
        <f>MIN(H7/H8,(INDEX('(Z+) OpEx'!$I$37:$K$37,MATCH(H6,'(Z+) OpEx'!$I$30:$K$30,0))+'(Z+) OpEx'!F8*1.02^(Inputs!E33/12))/(H8+'(Z+) OpEx'!D8))</f>
        <v>83932640.341313079</v>
      </c>
      <c r="I9" s="191"/>
      <c r="J9" s="293" t="s">
        <v>365</v>
      </c>
      <c r="K9" s="294">
        <f>IFERROR('(Z+) OpEx'!J39,0)</f>
        <v>0.17628921958588242</v>
      </c>
      <c r="L9" s="190"/>
    </row>
    <row r="10" spans="2:12" x14ac:dyDescent="0.25">
      <c r="B10" s="189"/>
      <c r="C10" s="297" t="s">
        <v>136</v>
      </c>
      <c r="D10" s="298">
        <f>IFERROR(D6*'(Z+) Dev Budget'!G10,0)</f>
        <v>0</v>
      </c>
      <c r="E10" s="191"/>
      <c r="F10" s="284" t="s">
        <v>366</v>
      </c>
      <c r="G10" s="285"/>
      <c r="H10" s="299">
        <f>+H9/'(Z+) Dev Budget'!G126-1</f>
        <v>0.39474868638074168</v>
      </c>
      <c r="I10" s="191"/>
      <c r="J10" s="287" t="s">
        <v>367</v>
      </c>
      <c r="K10" s="288">
        <f>+IFERROR('(Z+) OpEx'!G38,0)</f>
        <v>7.0165727927055624E-2</v>
      </c>
      <c r="L10" s="190"/>
    </row>
    <row r="11" spans="2:12" x14ac:dyDescent="0.25">
      <c r="B11" s="189"/>
      <c r="C11" s="191"/>
      <c r="D11" s="191"/>
      <c r="E11" s="191"/>
      <c r="F11" s="290" t="s">
        <v>368</v>
      </c>
      <c r="G11" s="291"/>
      <c r="H11" s="300">
        <v>1.2</v>
      </c>
      <c r="I11" s="191"/>
      <c r="J11" s="293" t="s">
        <v>369</v>
      </c>
      <c r="K11" s="294">
        <f>IFERROR('(Z+) OpEx'!J38,0)</f>
        <v>8.0198049466892657E-2</v>
      </c>
      <c r="L11" s="190"/>
    </row>
    <row r="12" spans="2:12" x14ac:dyDescent="0.25">
      <c r="B12" s="189"/>
      <c r="C12" s="17" t="s">
        <v>370</v>
      </c>
      <c r="D12" s="123" t="s">
        <v>371</v>
      </c>
      <c r="E12" s="191"/>
      <c r="F12" s="284" t="s">
        <v>372</v>
      </c>
      <c r="G12" s="285"/>
      <c r="H12" s="295">
        <f>0</f>
        <v>0</v>
      </c>
      <c r="I12" s="191"/>
      <c r="J12" s="287" t="s">
        <v>373</v>
      </c>
      <c r="K12" s="301">
        <f>IFERROR('(Z+) Monthly CF'!F104,0)</f>
        <v>1.720193531614989</v>
      </c>
      <c r="L12" s="190"/>
    </row>
    <row r="13" spans="2:12" x14ac:dyDescent="0.25">
      <c r="B13" s="189"/>
      <c r="C13" s="302" t="s">
        <v>356</v>
      </c>
      <c r="D13" s="295" t="s">
        <v>340</v>
      </c>
      <c r="E13" s="191"/>
      <c r="F13" s="290" t="s">
        <v>374</v>
      </c>
      <c r="G13" s="291"/>
      <c r="H13" s="292">
        <f>-PV((H18+H12)/12*365.25/360,H21*12,H7/H11/12)</f>
        <v>59946711.523401126</v>
      </c>
      <c r="I13" s="191"/>
      <c r="J13" s="293" t="s">
        <v>375</v>
      </c>
      <c r="K13" s="303">
        <f>IFERROR('(Z+) Monthly CF'!D73,0)</f>
        <v>34023170.725342274</v>
      </c>
      <c r="L13" s="190"/>
    </row>
    <row r="14" spans="2:12" x14ac:dyDescent="0.25">
      <c r="B14" s="189"/>
      <c r="C14" s="304" t="s">
        <v>358</v>
      </c>
      <c r="D14" s="292">
        <f>+MIN(INDEX('(Z+) OpEx'!$F$37:$H$37,MATCH(D13,'(Z+) OpEx'!$F$30:$H$30,0)),INDEX('(Z+) OpEx'!$F$35:$H$35,MATCH(D28,'(Z+) OpEx'!$F$30:$H$30,0))*(1-'(Z+) OpEx'!D27))</f>
        <v>4192307.4559999998</v>
      </c>
      <c r="E14" s="191"/>
      <c r="F14" s="284" t="s">
        <v>376</v>
      </c>
      <c r="G14" s="285"/>
      <c r="H14" s="299">
        <f>75/100</f>
        <v>0.75</v>
      </c>
      <c r="I14" s="191"/>
      <c r="J14" s="305" t="s">
        <v>377</v>
      </c>
      <c r="K14" s="306">
        <f>IFERROR('(Z+) Monthly CF'!D100,0)</f>
        <v>17170572.192158204</v>
      </c>
      <c r="L14" s="190"/>
    </row>
    <row r="15" spans="2:12" x14ac:dyDescent="0.25">
      <c r="B15" s="189"/>
      <c r="C15" s="302" t="s">
        <v>361</v>
      </c>
      <c r="D15" s="295">
        <f>IFERROR(5.75/100,0)</f>
        <v>5.7500000000000002E-2</v>
      </c>
      <c r="E15" s="191"/>
      <c r="F15" s="290" t="s">
        <v>378</v>
      </c>
      <c r="G15" s="291"/>
      <c r="H15" s="292">
        <f>H9*H14</f>
        <v>62949480.255984813</v>
      </c>
      <c r="I15" s="191"/>
      <c r="J15" s="191"/>
      <c r="K15" s="191"/>
      <c r="L15" s="190"/>
    </row>
    <row r="16" spans="2:12" x14ac:dyDescent="0.25">
      <c r="B16" s="189"/>
      <c r="C16" s="304" t="s">
        <v>164</v>
      </c>
      <c r="D16" s="307">
        <f>IFERROR(11/100,0)</f>
        <v>0.11</v>
      </c>
      <c r="E16" s="191"/>
      <c r="F16" s="284" t="s">
        <v>379</v>
      </c>
      <c r="G16" s="285"/>
      <c r="H16" s="295">
        <f>80/100</f>
        <v>0.8</v>
      </c>
      <c r="I16" s="191"/>
      <c r="J16" s="308"/>
      <c r="K16" s="308"/>
      <c r="L16" s="190"/>
    </row>
    <row r="17" spans="2:12" x14ac:dyDescent="0.25">
      <c r="B17" s="189"/>
      <c r="C17" s="302" t="s">
        <v>364</v>
      </c>
      <c r="D17" s="309">
        <f>MIN(D14/D15,(INDEX('(Z+) OpEx'!$F$37:$H$37,MATCH(D13,'(Z+) OpEx'!$F$30:$H$30,0))+'(Z+) OpEx'!F8)/(D30+'(Z+) OpEx'!D8))</f>
        <v>70949790.933333337</v>
      </c>
      <c r="E17" s="191"/>
      <c r="F17" s="290" t="s">
        <v>380</v>
      </c>
      <c r="G17" s="291"/>
      <c r="H17" s="292">
        <f>IFERROR('(Z+) Dev Budget'!G126*H16,0)</f>
        <v>48142086.763522334</v>
      </c>
      <c r="I17" s="191"/>
      <c r="J17" s="310"/>
      <c r="K17" s="311"/>
      <c r="L17" s="190"/>
    </row>
    <row r="18" spans="2:12" x14ac:dyDescent="0.25">
      <c r="B18" s="189"/>
      <c r="C18" s="304" t="s">
        <v>381</v>
      </c>
      <c r="D18" s="312">
        <f>IFERROR(70/100,0)</f>
        <v>0.7</v>
      </c>
      <c r="E18" s="191"/>
      <c r="F18" s="284" t="s">
        <v>164</v>
      </c>
      <c r="G18" s="285"/>
      <c r="H18" s="295">
        <f>Dashboard!K12</f>
        <v>5.7500000000000002E-2</v>
      </c>
      <c r="I18" s="191"/>
      <c r="J18" s="310"/>
      <c r="K18" s="313"/>
      <c r="L18" s="190"/>
    </row>
    <row r="19" spans="2:12" x14ac:dyDescent="0.25">
      <c r="B19" s="189"/>
      <c r="C19" s="302" t="s">
        <v>382</v>
      </c>
      <c r="D19" s="309">
        <f>IFERROR((D18-D32)*'(Z+) Dev Budget'!G118,0)</f>
        <v>0</v>
      </c>
      <c r="E19" s="191"/>
      <c r="F19" s="290" t="s">
        <v>136</v>
      </c>
      <c r="G19" s="291"/>
      <c r="H19" s="292">
        <f>ROUNDDOWN(MIN(H13,H15,H17),-3)</f>
        <v>48142000</v>
      </c>
      <c r="I19" s="191"/>
      <c r="J19" s="310"/>
      <c r="K19" s="313"/>
      <c r="L19" s="190"/>
    </row>
    <row r="20" spans="2:12" x14ac:dyDescent="0.25">
      <c r="B20" s="189"/>
      <c r="C20" s="304" t="s">
        <v>383</v>
      </c>
      <c r="D20" s="312">
        <f>IFERROR(6.5/100,0)</f>
        <v>6.5000000000000002E-2</v>
      </c>
      <c r="E20" s="191"/>
      <c r="F20" s="284" t="s">
        <v>384</v>
      </c>
      <c r="G20" s="285"/>
      <c r="H20" s="309">
        <f>+H19*(1-H22)</f>
        <v>47660580</v>
      </c>
      <c r="I20" s="191"/>
      <c r="J20" s="310"/>
      <c r="K20" s="311"/>
      <c r="L20" s="190"/>
    </row>
    <row r="21" spans="2:12" x14ac:dyDescent="0.25">
      <c r="B21" s="189"/>
      <c r="C21" s="302" t="s">
        <v>385</v>
      </c>
      <c r="D21" s="309">
        <f>(D14/D20)-D38</f>
        <v>28161037.784615383</v>
      </c>
      <c r="E21" s="191"/>
      <c r="F21" s="290" t="s">
        <v>386</v>
      </c>
      <c r="G21" s="291"/>
      <c r="H21" s="300">
        <v>35</v>
      </c>
      <c r="I21" s="191"/>
      <c r="J21" s="310"/>
      <c r="K21" s="311"/>
      <c r="L21" s="190"/>
    </row>
    <row r="22" spans="2:12" x14ac:dyDescent="0.25">
      <c r="B22" s="189"/>
      <c r="C22" s="304" t="s">
        <v>136</v>
      </c>
      <c r="D22" s="292">
        <f>MAX(0,ROUNDDOWN(MIN(D19,D21),-3))*($D$12="ON")</f>
        <v>0</v>
      </c>
      <c r="E22" s="191"/>
      <c r="F22" s="284" t="s">
        <v>387</v>
      </c>
      <c r="G22" s="285"/>
      <c r="H22" s="295">
        <f>IFERROR(1/100,0)</f>
        <v>0.01</v>
      </c>
      <c r="I22" s="191"/>
      <c r="J22" s="310"/>
      <c r="K22" s="314"/>
      <c r="L22" s="190"/>
    </row>
    <row r="23" spans="2:12" x14ac:dyDescent="0.25">
      <c r="B23" s="189"/>
      <c r="C23" s="302" t="s">
        <v>388</v>
      </c>
      <c r="D23" s="295">
        <f>IFERROR(1.5/100,0)</f>
        <v>1.4999999999999999E-2</v>
      </c>
      <c r="E23" s="191"/>
      <c r="F23" s="290" t="s">
        <v>139</v>
      </c>
      <c r="G23" s="291"/>
      <c r="H23" s="307">
        <f>IFERROR(H19/(H7/H8),0)</f>
        <v>0.57357900102069925</v>
      </c>
      <c r="I23" s="191"/>
      <c r="J23" s="310"/>
      <c r="K23" s="311"/>
      <c r="L23" s="190"/>
    </row>
    <row r="24" spans="2:12" x14ac:dyDescent="0.25">
      <c r="B24" s="189"/>
      <c r="C24" s="304" t="s">
        <v>389</v>
      </c>
      <c r="D24" s="296">
        <f>D22*D23*1.005</f>
        <v>0</v>
      </c>
      <c r="E24" s="191"/>
      <c r="F24" s="315" t="s">
        <v>142</v>
      </c>
      <c r="G24" s="316"/>
      <c r="H24" s="317">
        <f>IFERROR(H19/'(Z+) Dev Budget'!G126,0)</f>
        <v>0.79999855820919841</v>
      </c>
      <c r="I24" s="191"/>
      <c r="J24" s="310"/>
      <c r="K24" s="311"/>
      <c r="L24" s="190"/>
    </row>
    <row r="25" spans="2:12" x14ac:dyDescent="0.25">
      <c r="B25" s="189"/>
      <c r="C25" s="318" t="s">
        <v>390</v>
      </c>
      <c r="D25" s="317">
        <f>IFERROR(+D22/'(Z+) Dev Budget'!G126,0)</f>
        <v>0</v>
      </c>
      <c r="E25" s="191"/>
      <c r="F25" s="191"/>
      <c r="G25" s="191"/>
      <c r="H25" s="191"/>
      <c r="I25" s="191"/>
      <c r="J25" s="310"/>
      <c r="K25" s="311"/>
      <c r="L25" s="190"/>
    </row>
    <row r="26" spans="2:12" x14ac:dyDescent="0.25">
      <c r="B26" s="189"/>
      <c r="C26" s="191"/>
      <c r="D26" s="191"/>
      <c r="E26" s="191"/>
      <c r="F26" s="17" t="s">
        <v>391</v>
      </c>
      <c r="G26" s="18" t="s">
        <v>340</v>
      </c>
      <c r="H26" s="123" t="s">
        <v>341</v>
      </c>
      <c r="I26" s="191"/>
      <c r="J26" s="191"/>
      <c r="K26" s="191"/>
      <c r="L26" s="190"/>
    </row>
    <row r="27" spans="2:12" x14ac:dyDescent="0.25">
      <c r="B27" s="189"/>
      <c r="C27" s="17" t="s">
        <v>392</v>
      </c>
      <c r="D27" s="123"/>
      <c r="E27" s="191"/>
      <c r="F27" s="302" t="s">
        <v>393</v>
      </c>
      <c r="G27" s="319">
        <f>IFERROR(Inputs!E38,0)</f>
        <v>49034</v>
      </c>
      <c r="H27" s="320">
        <f>IFERROR(Inputs!E38,0)</f>
        <v>49034</v>
      </c>
      <c r="I27" s="191"/>
      <c r="J27" s="191"/>
      <c r="K27" s="191"/>
      <c r="L27" s="190"/>
    </row>
    <row r="28" spans="2:12" x14ac:dyDescent="0.25">
      <c r="B28" s="189"/>
      <c r="C28" s="302" t="s">
        <v>356</v>
      </c>
      <c r="D28" s="295" t="s">
        <v>341</v>
      </c>
      <c r="E28" s="191"/>
      <c r="F28" s="304" t="s">
        <v>394</v>
      </c>
      <c r="G28" s="321">
        <f>IFERROR(5.75/100,0)</f>
        <v>5.7500000000000002E-2</v>
      </c>
      <c r="H28" s="322">
        <f>IFERROR(Dashboard!J5,0)</f>
        <v>6.7500000000000004E-2</v>
      </c>
      <c r="I28" s="191"/>
      <c r="J28" s="191"/>
      <c r="K28" s="191"/>
      <c r="L28" s="190"/>
    </row>
    <row r="29" spans="2:12" x14ac:dyDescent="0.25">
      <c r="B29" s="189"/>
      <c r="C29" s="304" t="s">
        <v>358</v>
      </c>
      <c r="D29" s="292">
        <f>+MIN(INDEX('(Z+) OpEx'!$I$37:$K$37,MATCH(D28,'(Z+) OpEx'!$I$30:$K$30,0)),INDEX('(Z+) OpEx'!$I$35:$K$35,MATCH(D28,'(Z+) OpEx'!$I$30:$K$30,0))*(1-'(Z+) OpEx'!D27))</f>
        <v>4477649.5500823166</v>
      </c>
      <c r="E29" s="191"/>
      <c r="F29" s="302" t="s">
        <v>395</v>
      </c>
      <c r="G29" s="323">
        <f>IFERROR(SUMIF('(Z+) Monthly CF'!$4:$4,"&lt;="&amp;EOMONTH(Inputs!E$38,12),'(Z+) Monthly CF'!$29:$29)-SUMIF('(Z+) Monthly CF'!$4:$4,"&lt;="&amp;Inputs!E$38,'(Z+) Monthly CF'!$29:$29),0)</f>
        <v>236154.01926912414</v>
      </c>
      <c r="H29" s="324">
        <f>IFERROR(SUMIF('(Z+) Monthly CF'!$4:$4,"&lt;="&amp;EOMONTH(Inputs!E$38,12),'(Z+) Monthly CF'!$19:$19)-SUMIF('(Z+) Monthly CF'!$4:$4,"&lt;="&amp;Inputs!E$38,'(Z+) Monthly CF'!$19:$19),0)</f>
        <v>7438456.8381712809</v>
      </c>
      <c r="I29" s="191"/>
      <c r="J29" s="191"/>
      <c r="K29" s="191"/>
      <c r="L29" s="190"/>
    </row>
    <row r="30" spans="2:12" x14ac:dyDescent="0.25">
      <c r="B30" s="189"/>
      <c r="C30" s="302" t="s">
        <v>361</v>
      </c>
      <c r="D30" s="295">
        <f>+IFERROR(6/100,0)</f>
        <v>0.06</v>
      </c>
      <c r="E30" s="191"/>
      <c r="F30" s="304" t="s">
        <v>396</v>
      </c>
      <c r="G30" s="325">
        <f>IFERROR('(Z+) OpEx'!F37,0)</f>
        <v>4256987.4560000002</v>
      </c>
      <c r="H30" s="326">
        <f>IFERROR('(Z+) OpEx'!G37,0)</f>
        <v>4192307.4560000002</v>
      </c>
      <c r="I30" s="191"/>
      <c r="J30" s="191"/>
      <c r="K30" s="191"/>
      <c r="L30" s="190"/>
    </row>
    <row r="31" spans="2:12" x14ac:dyDescent="0.25">
      <c r="B31" s="189"/>
      <c r="C31" s="304" t="s">
        <v>364</v>
      </c>
      <c r="D31" s="292">
        <f>MIN(D29/D30,(INDEX('(Z+) OpEx'!$F$37:$H$37,MATCH(D28,'(Z+) OpEx'!$F$30:$H$30,0))+'(Z+) OpEx'!F8)/(D30+'(Z+) OpEx'!D8))</f>
        <v>69871790.933333337</v>
      </c>
      <c r="E31" s="191"/>
      <c r="F31" s="302" t="s">
        <v>397</v>
      </c>
      <c r="G31" s="323">
        <f>IFERROR(G30,0)</f>
        <v>4256987.4560000002</v>
      </c>
      <c r="H31" s="324">
        <f>IFERROR(H30,0)</f>
        <v>4192307.4560000002</v>
      </c>
      <c r="I31" s="191"/>
      <c r="J31" s="191"/>
      <c r="K31" s="191"/>
      <c r="L31" s="190"/>
    </row>
    <row r="32" spans="2:12" x14ac:dyDescent="0.25">
      <c r="B32" s="189"/>
      <c r="C32" s="302" t="s">
        <v>381</v>
      </c>
      <c r="D32" s="295">
        <f>+IFERROR(Dashboard!J11,0)</f>
        <v>0.7</v>
      </c>
      <c r="E32" s="191"/>
      <c r="F32" s="327" t="s">
        <v>398</v>
      </c>
      <c r="G32" s="328">
        <f>IFERROR(MIN(G30,G31)/G28,0)</f>
        <v>74034564.452173918</v>
      </c>
      <c r="H32" s="303">
        <f>IFERROR(MIN(H30,H31)/H28,0)</f>
        <v>62108258.607407406</v>
      </c>
      <c r="I32" s="191"/>
      <c r="J32" s="191"/>
      <c r="K32" s="191"/>
      <c r="L32" s="190"/>
    </row>
    <row r="33" spans="2:12" x14ac:dyDescent="0.25">
      <c r="B33" s="189"/>
      <c r="C33" s="304" t="s">
        <v>382</v>
      </c>
      <c r="D33" s="292">
        <f>+IFERROR(D32*'(Z+) Dev Budget'!G118,0)</f>
        <v>36336473.992694326</v>
      </c>
      <c r="E33" s="191"/>
      <c r="F33" s="302" t="s">
        <v>399</v>
      </c>
      <c r="G33" s="323">
        <f>IFERROR(G32/Inputs!D16,0)</f>
        <v>5450.7317837050559</v>
      </c>
      <c r="H33" s="324">
        <f>IFERROR(H32/Inputs!D16,0)</f>
        <v>4572.6676685004531</v>
      </c>
      <c r="I33" s="191"/>
      <c r="J33" s="191"/>
      <c r="K33" s="191"/>
      <c r="L33" s="190"/>
    </row>
    <row r="34" spans="2:12" x14ac:dyDescent="0.25">
      <c r="B34" s="189"/>
      <c r="C34" s="302" t="s">
        <v>400</v>
      </c>
      <c r="D34" s="295">
        <v>0.75</v>
      </c>
      <c r="E34" s="191"/>
      <c r="F34" s="304" t="s">
        <v>401</v>
      </c>
      <c r="G34" s="325">
        <f>IFERROR(G32/Inputs!D13,0)</f>
        <v>2511.1784971227839</v>
      </c>
      <c r="H34" s="326">
        <f>IFERROR(H32/Inputs!D13,0)</f>
        <v>2106.6501121839565</v>
      </c>
      <c r="I34" s="191"/>
      <c r="J34" s="191"/>
      <c r="K34" s="191"/>
      <c r="L34" s="190"/>
    </row>
    <row r="35" spans="2:12" x14ac:dyDescent="0.25">
      <c r="B35" s="189"/>
      <c r="C35" s="304" t="s">
        <v>402</v>
      </c>
      <c r="D35" s="292">
        <f>IFERROR(D34*D31,0)</f>
        <v>52403843.200000003</v>
      </c>
      <c r="E35" s="191"/>
      <c r="F35" s="302" t="s">
        <v>403</v>
      </c>
      <c r="G35" s="323">
        <f>IFERROR(G32/Inputs!D16,0)</f>
        <v>5450.7317837050559</v>
      </c>
      <c r="H35" s="324">
        <f>IFERROR(H32/Inputs!D16,0)</f>
        <v>4572.6676685004531</v>
      </c>
      <c r="I35" s="191"/>
      <c r="J35" s="191"/>
      <c r="K35" s="191"/>
      <c r="L35" s="190"/>
    </row>
    <row r="36" spans="2:12" x14ac:dyDescent="0.25">
      <c r="B36" s="189"/>
      <c r="C36" s="302" t="s">
        <v>164</v>
      </c>
      <c r="D36" s="295">
        <f>Dashboard!J12</f>
        <v>0.09</v>
      </c>
      <c r="E36" s="191"/>
      <c r="F36" s="304" t="s">
        <v>188</v>
      </c>
      <c r="G36" s="325">
        <f>IFERROR(G32/'(Z+) Rent Roll'!E20,0)</f>
        <v>330511.44844720501</v>
      </c>
      <c r="H36" s="326">
        <f>IFERROR(H32/'(Z+) Rent Roll'!E20,0)</f>
        <v>277269.01164021163</v>
      </c>
      <c r="I36" s="191"/>
      <c r="J36" s="191"/>
      <c r="K36" s="191"/>
      <c r="L36" s="190"/>
    </row>
    <row r="37" spans="2:12" x14ac:dyDescent="0.25">
      <c r="B37" s="189"/>
      <c r="C37" s="304" t="s">
        <v>374</v>
      </c>
      <c r="D37" s="292">
        <f>-PV((H18+H12)/12*365.25/360,H21*12,D29/H11/12)</f>
        <v>55618174.970068522</v>
      </c>
      <c r="E37" s="191"/>
      <c r="F37" s="302" t="s">
        <v>404</v>
      </c>
      <c r="G37" s="329">
        <f>IFERROR((G32-'(Z+) Dev Budget'!G126)/'(Z+) Dev Budget'!G126,0)</f>
        <v>0.23026764196304902</v>
      </c>
      <c r="H37" s="330">
        <f>IFERROR((H32-'(Z+) Dev Budget'!G126)/'(Z+) Dev Budget'!G126,0)</f>
        <v>3.2082533729590794E-2</v>
      </c>
      <c r="I37" s="191"/>
      <c r="J37" s="191"/>
      <c r="K37" s="191"/>
      <c r="L37" s="190"/>
    </row>
    <row r="38" spans="2:12" x14ac:dyDescent="0.25">
      <c r="B38" s="189"/>
      <c r="C38" s="302" t="s">
        <v>136</v>
      </c>
      <c r="D38" s="309">
        <f>+ROUNDDOWN(D33,-3)</f>
        <v>36336000</v>
      </c>
      <c r="E38" s="191"/>
      <c r="F38" s="304" t="s">
        <v>405</v>
      </c>
      <c r="G38" s="321">
        <f>IFERROR(2.5%+0.013373,0)</f>
        <v>3.8373000000000004E-2</v>
      </c>
      <c r="H38" s="322">
        <f>IFERROR(0.025+0.013373,0)</f>
        <v>3.8373000000000004E-2</v>
      </c>
      <c r="I38" s="191"/>
      <c r="J38" s="191"/>
      <c r="K38" s="191"/>
      <c r="L38" s="190"/>
    </row>
    <row r="39" spans="2:12" x14ac:dyDescent="0.25">
      <c r="B39" s="189"/>
      <c r="C39" s="304" t="s">
        <v>388</v>
      </c>
      <c r="D39" s="312">
        <f>1/100</f>
        <v>0.01</v>
      </c>
      <c r="E39" s="191"/>
      <c r="F39" s="331" t="s">
        <v>406</v>
      </c>
      <c r="G39" s="332">
        <f>IFERROR(G32*(1-G38),0)</f>
        <v>71193636.110450655</v>
      </c>
      <c r="H39" s="333">
        <f>IFERROR(H32*(1-H38),0)</f>
        <v>59724978.399865359</v>
      </c>
      <c r="I39" s="191"/>
      <c r="J39" s="191"/>
      <c r="K39" s="191"/>
      <c r="L39" s="190"/>
    </row>
    <row r="40" spans="2:12" x14ac:dyDescent="0.25">
      <c r="B40" s="189"/>
      <c r="C40" s="302" t="s">
        <v>389</v>
      </c>
      <c r="D40" s="309">
        <f>D38*D39*1.005</f>
        <v>365176.8</v>
      </c>
      <c r="E40" s="191"/>
      <c r="F40" s="334" t="s">
        <v>153</v>
      </c>
      <c r="G40" s="335" t="s">
        <v>341</v>
      </c>
      <c r="H40" s="336">
        <f>IFERROR(IF(G40="Covenants",G39,H39),0)</f>
        <v>59724978.399865359</v>
      </c>
      <c r="I40" s="191"/>
      <c r="J40" s="191"/>
      <c r="K40" s="191"/>
      <c r="L40" s="190"/>
    </row>
    <row r="41" spans="2:12" x14ac:dyDescent="0.25">
      <c r="B41" s="189"/>
      <c r="C41" s="337" t="s">
        <v>390</v>
      </c>
      <c r="D41" s="338">
        <f>IFERROR(+D38/'(Z+) Dev Budget'!G126,0)</f>
        <v>0.60381262953532122</v>
      </c>
      <c r="E41" s="191"/>
      <c r="F41" s="191"/>
      <c r="G41" s="191"/>
      <c r="H41" s="191"/>
      <c r="I41" s="191"/>
      <c r="J41" s="191"/>
      <c r="K41" s="191"/>
      <c r="L41" s="190"/>
    </row>
    <row r="42" spans="2:12" x14ac:dyDescent="0.25">
      <c r="B42" s="247"/>
      <c r="C42" s="248"/>
      <c r="D42" s="248"/>
      <c r="E42" s="248"/>
      <c r="F42" s="248"/>
      <c r="G42" s="248"/>
      <c r="H42" s="248"/>
      <c r="I42" s="248"/>
      <c r="J42" s="248"/>
      <c r="K42" s="248"/>
      <c r="L42" s="249"/>
    </row>
    <row r="43" spans="2:12" x14ac:dyDescent="0.25">
      <c r="C43" s="248" t="inlineStr">
        <is>
          <t>Subordinate / Soft Debt — Amount</t>
        </is>
      </c>
      <c r="D43" s="338">
        <v>0</v>
      </c>
    </row>
    <row r="44" spans="2:12" x14ac:dyDescent="0.25">
      <c r="C44" s="248" t="inlineStr">
        <is>
          <t>Sub Rate</t>
        </is>
      </c>
      <c r="D44" s="338">
        <v>0</v>
      </c>
    </row>
    <row r="45" spans="2:12" x14ac:dyDescent="0.25">
      <c r="C45" s="248" t="inlineStr">
        <is>
          <t>Sub Amort (yrs; 0 = IO/deferred)</t>
        </is>
      </c>
      <c r="D45" s="338">
        <v>0</v>
      </c>
    </row>
  </sheetData>
  <mergeCells count="2">
    <mergeCell ref="C3:K3"/>
    <mergeCell ref="C5:D5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U49"/>
  <sheetViews>
    <sheetView showGridLines="0" zoomScaleNormal="100" workbookViewId="0">
      <selection activeCell="A20" sqref="A20"/>
    </sheetView>
  </sheetViews>
  <sheetFormatPr defaultColWidth="8.7109375" defaultRowHeight="15" x14ac:dyDescent="0.25"/>
  <cols>
    <col min="3" max="3" width="32" customWidth="1"/>
    <col min="12" max="12" width="11.7109375" customWidth="1"/>
    <col min="14" max="14" width="10.85546875" customWidth="1"/>
  </cols>
  <sheetData>
    <row r="2" spans="2:21" ht="24.75" customHeight="1" x14ac:dyDescent="0.25">
      <c r="B2" s="186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8"/>
    </row>
    <row r="3" spans="2:21" ht="16.5" customHeight="1" x14ac:dyDescent="0.25">
      <c r="B3" s="189"/>
      <c r="C3" s="2" t="s">
        <v>407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91"/>
      <c r="U3" s="190"/>
    </row>
    <row r="4" spans="2:21" ht="15.75" customHeight="1" x14ac:dyDescent="0.25">
      <c r="B4" s="189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0"/>
    </row>
    <row r="5" spans="2:21" x14ac:dyDescent="0.25">
      <c r="B5" s="189"/>
      <c r="C5" s="17" t="s">
        <v>408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1"/>
      <c r="U5" s="190"/>
    </row>
    <row r="6" spans="2:21" x14ac:dyDescent="0.25">
      <c r="B6" s="189"/>
      <c r="C6" s="339" t="s">
        <v>409</v>
      </c>
      <c r="D6" s="340" t="s">
        <v>410</v>
      </c>
      <c r="E6" s="340" t="s">
        <v>411</v>
      </c>
      <c r="F6" s="340" t="s">
        <v>412</v>
      </c>
      <c r="G6" s="340" t="s">
        <v>413</v>
      </c>
      <c r="H6" s="340" t="s">
        <v>414</v>
      </c>
      <c r="I6" s="340" t="s">
        <v>415</v>
      </c>
      <c r="J6" s="340" t="s">
        <v>416</v>
      </c>
      <c r="K6" s="340" t="s">
        <v>417</v>
      </c>
      <c r="L6" s="340" t="s">
        <v>418</v>
      </c>
      <c r="M6" s="340" t="s">
        <v>419</v>
      </c>
      <c r="N6" s="340" t="s">
        <v>420</v>
      </c>
      <c r="O6" s="340" t="s">
        <v>421</v>
      </c>
      <c r="P6" s="340" t="s">
        <v>144</v>
      </c>
      <c r="Q6" s="340" t="s">
        <v>422</v>
      </c>
      <c r="R6" s="340" t="s">
        <v>423</v>
      </c>
      <c r="S6" s="340" t="s">
        <v>424</v>
      </c>
      <c r="T6" s="191"/>
      <c r="U6" s="190"/>
    </row>
    <row r="7" spans="2:21" ht="15.75" customHeight="1" x14ac:dyDescent="0.25">
      <c r="B7" s="189"/>
      <c r="C7" s="341" t="s">
        <v>425</v>
      </c>
      <c r="D7" s="340"/>
      <c r="E7" s="340">
        <f>IFERROR(1,0)</f>
        <v>1</v>
      </c>
      <c r="F7" s="342">
        <f t="shared" ref="F7:F15" si="0">IFERROR(0,0)</f>
        <v>0</v>
      </c>
      <c r="G7" s="342">
        <f>IFERROR(I7-F7,0)</f>
        <v>2289</v>
      </c>
      <c r="H7" s="342">
        <f t="shared" ref="H7:H19" si="1">IFERROR(G7*E7,0)</f>
        <v>2289</v>
      </c>
      <c r="I7" s="342">
        <f>IFERROR(I9,0)</f>
        <v>2289</v>
      </c>
      <c r="J7" s="343">
        <f t="shared" ref="J7:J19" si="2">IFERROR(100/100,0)</f>
        <v>1</v>
      </c>
      <c r="K7" s="342">
        <f t="shared" ref="K7:K19" si="3">IFERROR((I7-G7)*J7+G7,0)</f>
        <v>2289</v>
      </c>
      <c r="L7" s="342">
        <f t="shared" ref="L7:L20" si="4">IFERROR(K7*E7,0)</f>
        <v>2289</v>
      </c>
      <c r="M7" s="343">
        <f>IFERROR(+Inputs!$L$7,0)</f>
        <v>2.5000000000000001E-2</v>
      </c>
      <c r="N7" s="343">
        <f>IFERROR(+Inputs!$L$6,0)</f>
        <v>0.03</v>
      </c>
      <c r="O7" s="340">
        <f>IFERROR(O13,0)</f>
        <v>419</v>
      </c>
      <c r="P7" s="340">
        <f t="shared" ref="P7:P19" si="5">IFERROR(O7*E7,0)</f>
        <v>419</v>
      </c>
      <c r="Q7" s="342">
        <f t="shared" ref="Q7:Q19" si="6">IFERROR(K7/O7,0)</f>
        <v>5.4630071599045342</v>
      </c>
      <c r="R7" s="340">
        <f t="shared" ref="R7:R19" si="7">IFERROR(100,0)</f>
        <v>100</v>
      </c>
      <c r="S7" s="340">
        <f t="shared" ref="S7:S19" si="8">IFERROR(R7*E7,0)</f>
        <v>100</v>
      </c>
      <c r="T7" s="191"/>
      <c r="U7" s="190"/>
    </row>
    <row r="8" spans="2:21" ht="15.75" customHeight="1" x14ac:dyDescent="0.25">
      <c r="B8" s="189"/>
      <c r="C8" s="344" t="s">
        <v>426</v>
      </c>
      <c r="D8" s="340">
        <f>IFERROR(1,0)</f>
        <v>1</v>
      </c>
      <c r="E8" s="340">
        <f>IFERROR(IF(Inputs!$O$29="NO",ROUND((Inputs!$H$14-$E$7-Inputs!$O$32)*M24,0),0),0)</f>
        <v>0</v>
      </c>
      <c r="F8" s="342">
        <f t="shared" si="0"/>
        <v>0</v>
      </c>
      <c r="G8" s="345">
        <f>IFERROR(2041-F8,0)</f>
        <v>2041</v>
      </c>
      <c r="H8" s="342">
        <f t="shared" si="1"/>
        <v>0</v>
      </c>
      <c r="I8" s="346">
        <f>IFERROR(G8,0)</f>
        <v>2041</v>
      </c>
      <c r="J8" s="343">
        <f t="shared" si="2"/>
        <v>1</v>
      </c>
      <c r="K8" s="342">
        <f t="shared" si="3"/>
        <v>2041</v>
      </c>
      <c r="L8" s="342">
        <f t="shared" si="4"/>
        <v>0</v>
      </c>
      <c r="M8" s="343">
        <f>IFERROR(+Inputs!$L$7,0)</f>
        <v>2.5000000000000001E-2</v>
      </c>
      <c r="N8" s="343">
        <f>IFERROR(+Inputs!$L$6,0)</f>
        <v>0.03</v>
      </c>
      <c r="O8" s="347">
        <f>IFERROR(310,0)</f>
        <v>310</v>
      </c>
      <c r="P8" s="340">
        <f t="shared" si="5"/>
        <v>0</v>
      </c>
      <c r="Q8" s="342">
        <f t="shared" si="6"/>
        <v>6.5838709677419356</v>
      </c>
      <c r="R8" s="340">
        <f t="shared" si="7"/>
        <v>100</v>
      </c>
      <c r="S8" s="340">
        <f t="shared" si="8"/>
        <v>0</v>
      </c>
      <c r="T8" s="191"/>
      <c r="U8" s="190"/>
    </row>
    <row r="9" spans="2:21" x14ac:dyDescent="0.25">
      <c r="B9" s="189"/>
      <c r="C9" s="344" t="s">
        <v>427</v>
      </c>
      <c r="D9" s="340">
        <f>IFERROR(0,0)</f>
        <v>0</v>
      </c>
      <c r="E9" s="340">
        <f>IFERROR(IF(Inputs!$O$29="NO",ROUND((Inputs!$H$14-$E$7-Inputs!$O$32)*M25,0),0),0)</f>
        <v>0</v>
      </c>
      <c r="F9" s="342">
        <f t="shared" si="0"/>
        <v>0</v>
      </c>
      <c r="G9" s="348">
        <f>IFERROR(2289-F9,0)</f>
        <v>2289</v>
      </c>
      <c r="H9" s="342">
        <f t="shared" si="1"/>
        <v>0</v>
      </c>
      <c r="I9" s="349">
        <f>IFERROR(G9,0)</f>
        <v>2289</v>
      </c>
      <c r="J9" s="343">
        <f t="shared" si="2"/>
        <v>1</v>
      </c>
      <c r="K9" s="342">
        <f t="shared" si="3"/>
        <v>2289</v>
      </c>
      <c r="L9" s="342">
        <f t="shared" si="4"/>
        <v>0</v>
      </c>
      <c r="M9" s="343">
        <f>IFERROR(+Inputs!$L$7,0)</f>
        <v>2.5000000000000001E-2</v>
      </c>
      <c r="N9" s="343">
        <f>IFERROR(+Inputs!$L$6,0)</f>
        <v>0.03</v>
      </c>
      <c r="O9" s="350">
        <f>IFERROR(419,0)</f>
        <v>419</v>
      </c>
      <c r="P9" s="340">
        <f t="shared" si="5"/>
        <v>0</v>
      </c>
      <c r="Q9" s="342">
        <f t="shared" si="6"/>
        <v>5.4630071599045342</v>
      </c>
      <c r="R9" s="340">
        <f t="shared" si="7"/>
        <v>100</v>
      </c>
      <c r="S9" s="340">
        <f t="shared" si="8"/>
        <v>0</v>
      </c>
      <c r="T9" s="191"/>
      <c r="U9" s="190"/>
    </row>
    <row r="10" spans="2:21" x14ac:dyDescent="0.25">
      <c r="B10" s="189"/>
      <c r="C10" s="344" t="s">
        <v>428</v>
      </c>
      <c r="D10" s="340">
        <f>IFERROR(2,0)</f>
        <v>2</v>
      </c>
      <c r="E10" s="340">
        <f>IFERROR(IF(Inputs!$O$29="NO",ROUND((Inputs!$H$14-$E$7-Inputs!$O$32)*M26,0),0),0)</f>
        <v>0</v>
      </c>
      <c r="F10" s="342">
        <f t="shared" si="0"/>
        <v>0</v>
      </c>
      <c r="G10" s="348">
        <f>IFERROR(2887-F10,0)</f>
        <v>2887</v>
      </c>
      <c r="H10" s="342">
        <f t="shared" si="1"/>
        <v>0</v>
      </c>
      <c r="I10" s="349">
        <f>IFERROR(G10,0)</f>
        <v>2887</v>
      </c>
      <c r="J10" s="343">
        <f t="shared" si="2"/>
        <v>1</v>
      </c>
      <c r="K10" s="342">
        <f t="shared" si="3"/>
        <v>2887</v>
      </c>
      <c r="L10" s="342">
        <f t="shared" si="4"/>
        <v>0</v>
      </c>
      <c r="M10" s="343">
        <f>IFERROR(+Inputs!$L$7,0)</f>
        <v>2.5000000000000001E-2</v>
      </c>
      <c r="N10" s="343">
        <f>IFERROR(+Inputs!$L$6,0)</f>
        <v>0.03</v>
      </c>
      <c r="O10" s="350">
        <f>IFERROR(730,0)</f>
        <v>730</v>
      </c>
      <c r="P10" s="340">
        <f t="shared" si="5"/>
        <v>0</v>
      </c>
      <c r="Q10" s="342">
        <f t="shared" si="6"/>
        <v>3.9547945205479453</v>
      </c>
      <c r="R10" s="340">
        <f t="shared" si="7"/>
        <v>100</v>
      </c>
      <c r="S10" s="340">
        <f t="shared" si="8"/>
        <v>0</v>
      </c>
      <c r="T10" s="191"/>
      <c r="U10" s="190"/>
    </row>
    <row r="11" spans="2:21" ht="15.75" customHeight="1" x14ac:dyDescent="0.25">
      <c r="B11" s="189"/>
      <c r="C11" s="344" t="s">
        <v>429</v>
      </c>
      <c r="D11" s="340">
        <f>IFERROR(3,0)</f>
        <v>3</v>
      </c>
      <c r="E11" s="340">
        <f>IFERROR(IF(Inputs!$O$29="NO",ROUND((Inputs!$H$14-$E$7-Inputs!$O$32)*M27,0),0),0)</f>
        <v>0</v>
      </c>
      <c r="F11" s="342">
        <f t="shared" si="0"/>
        <v>0</v>
      </c>
      <c r="G11" s="351">
        <f>IFERROR(3668-F11,0)</f>
        <v>3668</v>
      </c>
      <c r="H11" s="342">
        <f t="shared" si="1"/>
        <v>0</v>
      </c>
      <c r="I11" s="352">
        <f>IFERROR(G11,0)</f>
        <v>3668</v>
      </c>
      <c r="J11" s="343">
        <f t="shared" si="2"/>
        <v>1</v>
      </c>
      <c r="K11" s="342">
        <f t="shared" si="3"/>
        <v>3668</v>
      </c>
      <c r="L11" s="342">
        <f t="shared" si="4"/>
        <v>0</v>
      </c>
      <c r="M11" s="343">
        <f>IFERROR(+Inputs!$L$7,0)</f>
        <v>2.5000000000000001E-2</v>
      </c>
      <c r="N11" s="343">
        <f>IFERROR(+Inputs!$L$6,0)</f>
        <v>0.03</v>
      </c>
      <c r="O11" s="353">
        <f>IFERROR(830,0)</f>
        <v>830</v>
      </c>
      <c r="P11" s="340">
        <f t="shared" si="5"/>
        <v>0</v>
      </c>
      <c r="Q11" s="342">
        <f t="shared" si="6"/>
        <v>4.419277108433735</v>
      </c>
      <c r="R11" s="340">
        <f t="shared" si="7"/>
        <v>100</v>
      </c>
      <c r="S11" s="340">
        <f t="shared" si="8"/>
        <v>0</v>
      </c>
      <c r="T11" s="191"/>
      <c r="U11" s="190"/>
    </row>
    <row r="12" spans="2:21" ht="16.5" customHeight="1" x14ac:dyDescent="0.25">
      <c r="B12" s="189"/>
      <c r="C12" s="354" t="s">
        <v>430</v>
      </c>
      <c r="D12" s="340">
        <f>IFERROR(1,0)</f>
        <v>1</v>
      </c>
      <c r="E12" s="340">
        <f>IFERROR(ROUND((Inputs!H14-$E$7-SUM($E$16:$E$19)-SUM($E$8:$E$11))*M24,0),0)</f>
        <v>0</v>
      </c>
      <c r="F12" s="342">
        <f t="shared" si="0"/>
        <v>0</v>
      </c>
      <c r="G12" s="342">
        <f t="shared" ref="G12:G19" si="9">IFERROR(0,0)</f>
        <v>0</v>
      </c>
      <c r="H12" s="342">
        <f t="shared" si="1"/>
        <v>0</v>
      </c>
      <c r="I12" s="342">
        <f>IFERROR(2023.68,0)</f>
        <v>2023.68</v>
      </c>
      <c r="J12" s="343">
        <f t="shared" si="2"/>
        <v>1</v>
      </c>
      <c r="K12" s="342">
        <f t="shared" si="3"/>
        <v>2023.68</v>
      </c>
      <c r="L12" s="342">
        <f t="shared" si="4"/>
        <v>0</v>
      </c>
      <c r="M12" s="343">
        <f>IFERROR(+Inputs!$L$7,0)</f>
        <v>2.5000000000000001E-2</v>
      </c>
      <c r="N12" s="343">
        <f>IFERROR(+Inputs!$L$6,0)</f>
        <v>0.03</v>
      </c>
      <c r="O12" s="340">
        <f>IFERROR(O8,0)</f>
        <v>310</v>
      </c>
      <c r="P12" s="340">
        <f t="shared" si="5"/>
        <v>0</v>
      </c>
      <c r="Q12" s="342">
        <f t="shared" si="6"/>
        <v>6.5280000000000005</v>
      </c>
      <c r="R12" s="340">
        <f t="shared" si="7"/>
        <v>100</v>
      </c>
      <c r="S12" s="340">
        <f t="shared" si="8"/>
        <v>0</v>
      </c>
      <c r="T12" s="191"/>
      <c r="U12" s="190"/>
    </row>
    <row r="13" spans="2:21" ht="16.5" customHeight="1" x14ac:dyDescent="0.25">
      <c r="B13" s="189"/>
      <c r="C13" s="354" t="s">
        <v>431</v>
      </c>
      <c r="D13" s="340">
        <f>IFERROR(0,0)</f>
        <v>0</v>
      </c>
      <c r="E13" s="340">
        <f>IFERROR(ROUNDUP(Inputs!H14*0.8,0)-1,0)</f>
        <v>179</v>
      </c>
      <c r="F13" s="342">
        <f t="shared" si="0"/>
        <v>0</v>
      </c>
      <c r="G13" s="342">
        <f t="shared" si="9"/>
        <v>0</v>
      </c>
      <c r="H13" s="342">
        <f t="shared" si="1"/>
        <v>0</v>
      </c>
      <c r="I13" s="342">
        <f>IFERROR(2289,0)</f>
        <v>2289</v>
      </c>
      <c r="J13" s="355">
        <f t="shared" si="2"/>
        <v>1</v>
      </c>
      <c r="K13" s="342">
        <f t="shared" si="3"/>
        <v>2289</v>
      </c>
      <c r="L13" s="342">
        <f t="shared" si="4"/>
        <v>409731</v>
      </c>
      <c r="M13" s="343">
        <f>IFERROR(+Inputs!$L$7,0)</f>
        <v>2.5000000000000001E-2</v>
      </c>
      <c r="N13" s="343">
        <f>IFERROR(+Inputs!$L$6,0)</f>
        <v>0.03</v>
      </c>
      <c r="O13" s="340">
        <f>IFERROR(O9,0)</f>
        <v>419</v>
      </c>
      <c r="P13" s="340">
        <f t="shared" si="5"/>
        <v>75001</v>
      </c>
      <c r="Q13" s="342">
        <f t="shared" si="6"/>
        <v>5.4630071599045342</v>
      </c>
      <c r="R13" s="340">
        <f t="shared" si="7"/>
        <v>100</v>
      </c>
      <c r="S13" s="340">
        <f t="shared" si="8"/>
        <v>17900</v>
      </c>
      <c r="T13" s="191"/>
      <c r="U13" s="190"/>
    </row>
    <row r="14" spans="2:21" ht="15.75" customHeight="1" x14ac:dyDescent="0.25">
      <c r="B14" s="189"/>
      <c r="C14" s="354" t="s">
        <v>432</v>
      </c>
      <c r="D14" s="340">
        <f>IFERROR(2,0)</f>
        <v>2</v>
      </c>
      <c r="E14" s="340">
        <f>IFERROR(ROUND((Inputs!H14-$E$7-SUM($E$16:$E$19)-SUM($E$8:$E$11))*M26,0),0)</f>
        <v>0</v>
      </c>
      <c r="F14" s="342">
        <f t="shared" si="0"/>
        <v>0</v>
      </c>
      <c r="G14" s="342">
        <f t="shared" si="9"/>
        <v>0</v>
      </c>
      <c r="H14" s="342">
        <f t="shared" si="1"/>
        <v>0</v>
      </c>
      <c r="I14" s="342">
        <f>IFERROR(2896.392,0)</f>
        <v>2896.3919999999998</v>
      </c>
      <c r="J14" s="343">
        <f t="shared" si="2"/>
        <v>1</v>
      </c>
      <c r="K14" s="342">
        <f t="shared" si="3"/>
        <v>2896.3919999999998</v>
      </c>
      <c r="L14" s="342">
        <f t="shared" si="4"/>
        <v>0</v>
      </c>
      <c r="M14" s="343">
        <f>IFERROR(+Inputs!$L$7,0)</f>
        <v>2.5000000000000001E-2</v>
      </c>
      <c r="N14" s="343">
        <f>IFERROR(+Inputs!$L$6,0)</f>
        <v>0.03</v>
      </c>
      <c r="O14" s="340">
        <f>IFERROR(O10,0)</f>
        <v>730</v>
      </c>
      <c r="P14" s="340">
        <f t="shared" si="5"/>
        <v>0</v>
      </c>
      <c r="Q14" s="342">
        <f t="shared" si="6"/>
        <v>3.9676602739726023</v>
      </c>
      <c r="R14" s="340">
        <f t="shared" si="7"/>
        <v>100</v>
      </c>
      <c r="S14" s="340">
        <f t="shared" si="8"/>
        <v>0</v>
      </c>
      <c r="T14" s="191"/>
      <c r="U14" s="190"/>
    </row>
    <row r="15" spans="2:21" ht="13.5" customHeight="1" x14ac:dyDescent="0.25">
      <c r="B15" s="189"/>
      <c r="C15" s="354" t="s">
        <v>433</v>
      </c>
      <c r="D15" s="340">
        <f>IFERROR(3,0)</f>
        <v>3</v>
      </c>
      <c r="E15" s="340">
        <f>IFERROR(ROUND((Inputs!H14-$E$7-SUM($E$16:$E$19)-SUM($E$8:$E$11))*M27,0),0)</f>
        <v>0</v>
      </c>
      <c r="F15" s="342">
        <f t="shared" si="0"/>
        <v>0</v>
      </c>
      <c r="G15" s="342">
        <f t="shared" si="9"/>
        <v>0</v>
      </c>
      <c r="H15" s="342">
        <f t="shared" si="1"/>
        <v>0</v>
      </c>
      <c r="I15" s="342">
        <f>IFERROR(3718.512,0)</f>
        <v>3718.5120000000002</v>
      </c>
      <c r="J15" s="343">
        <f t="shared" si="2"/>
        <v>1</v>
      </c>
      <c r="K15" s="342">
        <f t="shared" si="3"/>
        <v>3718.5120000000002</v>
      </c>
      <c r="L15" s="342">
        <f t="shared" si="4"/>
        <v>0</v>
      </c>
      <c r="M15" s="343">
        <f>IFERROR(+Inputs!$L$7,0)</f>
        <v>2.5000000000000001E-2</v>
      </c>
      <c r="N15" s="343">
        <f>IFERROR(+Inputs!$L$6,0)</f>
        <v>0.03</v>
      </c>
      <c r="O15" s="340">
        <f>IFERROR(O11,0)</f>
        <v>830</v>
      </c>
      <c r="P15" s="340">
        <f t="shared" si="5"/>
        <v>0</v>
      </c>
      <c r="Q15" s="342">
        <f t="shared" si="6"/>
        <v>4.4801349397590364</v>
      </c>
      <c r="R15" s="340">
        <f t="shared" si="7"/>
        <v>100</v>
      </c>
      <c r="S15" s="340">
        <f t="shared" si="8"/>
        <v>0</v>
      </c>
      <c r="T15" s="191"/>
      <c r="U15" s="190"/>
    </row>
    <row r="16" spans="2:21" ht="15.75" customHeight="1" thickBot="1" x14ac:dyDescent="0.3">
      <c r="B16" s="189"/>
      <c r="C16" s="356" t="s">
        <v>434</v>
      </c>
      <c r="D16" s="340">
        <f>IFERROR(1,0)</f>
        <v>1</v>
      </c>
      <c r="E16" s="340">
        <f>IFERROR(ROUND(Inputs!$O$32*M24,0),0)</f>
        <v>0</v>
      </c>
      <c r="F16" s="342">
        <f>IFERROR(0,0)</f>
        <v>0</v>
      </c>
      <c r="G16" s="342">
        <f t="shared" si="9"/>
        <v>0</v>
      </c>
      <c r="H16" s="342">
        <f t="shared" si="1"/>
        <v>0</v>
      </c>
      <c r="I16" s="342">
        <f>IFERROR(2023.68,0)</f>
        <v>2023.68</v>
      </c>
      <c r="J16" s="343">
        <f t="shared" si="2"/>
        <v>1</v>
      </c>
      <c r="K16" s="342">
        <f t="shared" si="3"/>
        <v>2023.68</v>
      </c>
      <c r="L16" s="342">
        <f t="shared" si="4"/>
        <v>0</v>
      </c>
      <c r="M16" s="343">
        <f>IFERROR(+Inputs!$L$7,0)</f>
        <v>2.5000000000000001E-2</v>
      </c>
      <c r="N16" s="343">
        <f>IFERROR(+Inputs!$L$6,0)</f>
        <v>0.03</v>
      </c>
      <c r="O16" s="340">
        <f>IFERROR(O8,0)</f>
        <v>310</v>
      </c>
      <c r="P16" s="340">
        <f t="shared" si="5"/>
        <v>0</v>
      </c>
      <c r="Q16" s="342">
        <f t="shared" si="6"/>
        <v>6.5280000000000005</v>
      </c>
      <c r="R16" s="340">
        <f t="shared" si="7"/>
        <v>100</v>
      </c>
      <c r="S16" s="340">
        <f t="shared" si="8"/>
        <v>0</v>
      </c>
      <c r="T16" s="191"/>
      <c r="U16" s="190"/>
    </row>
    <row r="17" spans="2:21" ht="16.5" customHeight="1" x14ac:dyDescent="0.25">
      <c r="B17" s="189"/>
      <c r="C17" s="356" t="s">
        <v>435</v>
      </c>
      <c r="D17" s="340">
        <f>IFERROR(0,0)</f>
        <v>0</v>
      </c>
      <c r="E17" s="340">
        <f>IFERROR(ROUNDDOWN(Inputs!H14*0.2,0),0)</f>
        <v>44</v>
      </c>
      <c r="F17" s="342">
        <f>IFERROR(0,0)</f>
        <v>0</v>
      </c>
      <c r="G17" s="342">
        <f t="shared" si="9"/>
        <v>0</v>
      </c>
      <c r="H17" s="342">
        <f t="shared" si="1"/>
        <v>0</v>
      </c>
      <c r="I17" s="342">
        <f>IFERROR(2289,0)</f>
        <v>2289</v>
      </c>
      <c r="J17" s="355">
        <f t="shared" si="2"/>
        <v>1</v>
      </c>
      <c r="K17" s="342">
        <f t="shared" si="3"/>
        <v>2289</v>
      </c>
      <c r="L17" s="342">
        <f t="shared" si="4"/>
        <v>100716</v>
      </c>
      <c r="M17" s="343">
        <f>IFERROR(+Inputs!$L$7,0)</f>
        <v>2.5000000000000001E-2</v>
      </c>
      <c r="N17" s="343">
        <f>IFERROR(+Inputs!$L$6,0)</f>
        <v>0.03</v>
      </c>
      <c r="O17" s="340">
        <f>IFERROR(O9,0)</f>
        <v>419</v>
      </c>
      <c r="P17" s="340">
        <f t="shared" si="5"/>
        <v>18436</v>
      </c>
      <c r="Q17" s="342">
        <f t="shared" si="6"/>
        <v>5.4630071599045342</v>
      </c>
      <c r="R17" s="340">
        <f t="shared" si="7"/>
        <v>100</v>
      </c>
      <c r="S17" s="340">
        <f t="shared" si="8"/>
        <v>4400</v>
      </c>
      <c r="T17" s="191"/>
      <c r="U17" s="190"/>
    </row>
    <row r="18" spans="2:21" ht="15.75" customHeight="1" x14ac:dyDescent="0.25">
      <c r="B18" s="189"/>
      <c r="C18" s="356" t="s">
        <v>436</v>
      </c>
      <c r="D18" s="340">
        <f>IFERROR(2,0)</f>
        <v>2</v>
      </c>
      <c r="E18" s="340">
        <f>IFERROR(ROUND(Inputs!$O$32*M26,0),0)</f>
        <v>0</v>
      </c>
      <c r="F18" s="342">
        <f>IFERROR(0,0)</f>
        <v>0</v>
      </c>
      <c r="G18" s="342">
        <f t="shared" si="9"/>
        <v>0</v>
      </c>
      <c r="H18" s="342">
        <f t="shared" si="1"/>
        <v>0</v>
      </c>
      <c r="I18" s="342">
        <f>IFERROR(2896.392,0)</f>
        <v>2896.3919999999998</v>
      </c>
      <c r="J18" s="343">
        <f t="shared" si="2"/>
        <v>1</v>
      </c>
      <c r="K18" s="342">
        <f t="shared" si="3"/>
        <v>2896.3919999999998</v>
      </c>
      <c r="L18" s="342">
        <f t="shared" si="4"/>
        <v>0</v>
      </c>
      <c r="M18" s="343">
        <f>IFERROR(+Inputs!$L$7,0)</f>
        <v>2.5000000000000001E-2</v>
      </c>
      <c r="N18" s="343">
        <f>IFERROR(+Inputs!$L$6,0)</f>
        <v>0.03</v>
      </c>
      <c r="O18" s="340">
        <f>IFERROR(O10,0)</f>
        <v>730</v>
      </c>
      <c r="P18" s="340">
        <f t="shared" si="5"/>
        <v>0</v>
      </c>
      <c r="Q18" s="342">
        <f t="shared" si="6"/>
        <v>3.9676602739726023</v>
      </c>
      <c r="R18" s="340">
        <f t="shared" si="7"/>
        <v>100</v>
      </c>
      <c r="S18" s="340">
        <f t="shared" si="8"/>
        <v>0</v>
      </c>
      <c r="T18" s="191"/>
      <c r="U18" s="190"/>
    </row>
    <row r="19" spans="2:21" ht="15.75" customHeight="1" x14ac:dyDescent="0.25">
      <c r="B19" s="189"/>
      <c r="C19" s="356" t="s">
        <v>437</v>
      </c>
      <c r="D19" s="340">
        <f>IFERROR(3,0)</f>
        <v>3</v>
      </c>
      <c r="E19" s="340">
        <f>IFERROR(ROUND(Inputs!$O$32*M27,0),0)</f>
        <v>0</v>
      </c>
      <c r="F19" s="342">
        <f>IFERROR(0,0)</f>
        <v>0</v>
      </c>
      <c r="G19" s="342">
        <f t="shared" si="9"/>
        <v>0</v>
      </c>
      <c r="H19" s="342">
        <f t="shared" si="1"/>
        <v>0</v>
      </c>
      <c r="I19" s="342">
        <f>IFERROR(3718.512,0)</f>
        <v>3718.5120000000002</v>
      </c>
      <c r="J19" s="343">
        <f t="shared" si="2"/>
        <v>1</v>
      </c>
      <c r="K19" s="342">
        <f t="shared" si="3"/>
        <v>3718.5120000000002</v>
      </c>
      <c r="L19" s="342">
        <f t="shared" si="4"/>
        <v>0</v>
      </c>
      <c r="M19" s="343">
        <f>IFERROR(+Inputs!$L$7,0)</f>
        <v>2.5000000000000001E-2</v>
      </c>
      <c r="N19" s="343">
        <f>IFERROR(+Inputs!$L$6,0)</f>
        <v>0.03</v>
      </c>
      <c r="O19" s="340">
        <f>IFERROR(O11,0)</f>
        <v>830</v>
      </c>
      <c r="P19" s="340">
        <f t="shared" si="5"/>
        <v>0</v>
      </c>
      <c r="Q19" s="342">
        <f t="shared" si="6"/>
        <v>4.4801349397590364</v>
      </c>
      <c r="R19" s="340">
        <f t="shared" si="7"/>
        <v>100</v>
      </c>
      <c r="S19" s="340">
        <f t="shared" si="8"/>
        <v>0</v>
      </c>
      <c r="T19" s="191"/>
      <c r="U19" s="190"/>
    </row>
    <row r="20" spans="2:21" ht="16.5" customHeight="1" x14ac:dyDescent="0.25">
      <c r="B20" s="189"/>
      <c r="C20" s="357" t="s">
        <v>438</v>
      </c>
      <c r="D20" s="358">
        <f>IFERROR(SUMPRODUCT(D7:D19,E7:E19)+SUMPRODUCT(D46:D49,E46:E49),0)</f>
        <v>0</v>
      </c>
      <c r="E20" s="358">
        <f>IFERROR(SUM(E7:E19,E46:E49),0)</f>
        <v>0</v>
      </c>
      <c r="F20" s="359">
        <f>IFERROR((SUMPRODUCT(E7:E19,F7:F19)+SUMPRODUCT(E46:E49,F46:F49))/E20,0)</f>
        <v>0</v>
      </c>
      <c r="G20" s="359">
        <f>IFERROR((SUMPRODUCT(E7:E19,G7:G19)+SUMPRODUCT(E46:E49,G46:G49))/E20,0)</f>
        <v>0</v>
      </c>
      <c r="H20" s="359">
        <f>IFERROR(SUM(H7:H19,H46:H49),0)</f>
        <v>0</v>
      </c>
      <c r="I20" s="359">
        <f>IFERROR((SUMPRODUCT($E$7:$E$19,I7:I19)+SUMPRODUCT($E$46:$E$49,I46:I49))/Inputs!H14,0)</f>
        <v>0</v>
      </c>
      <c r="J20" s="360">
        <f>IFERROR((SUMPRODUCT(E7:E19,J7:J19)+SUMPRODUCT(E46:E49,J46:J49))/E20,0)</f>
        <v>0</v>
      </c>
      <c r="K20" s="359">
        <f>IFERROR((SUMPRODUCT($E$7:$E$19,K7:K19)+SUMPRODUCT($E$46:$E$49,K46:K49))/Inputs!H14,0)</f>
        <v>0</v>
      </c>
      <c r="L20" s="359">
        <f t="shared" si="4"/>
        <v>512736</v>
      </c>
      <c r="M20" s="360">
        <f>IFERROR((SUMPRODUCT(M7:M19,$L$7:$L$19)+SUMPRODUCT(M46:M49,L46:L49))/$L$20,0)</f>
        <v>0</v>
      </c>
      <c r="N20" s="360">
        <f>IFERROR((SUMPRODUCT(N7:N19,$L$7:$L$19)+SUMPRODUCT(N46:N49,L46:L49))/$L$20,0)</f>
        <v>0</v>
      </c>
      <c r="O20" s="358">
        <f>IFERROR(P20/E20,0)</f>
        <v>419</v>
      </c>
      <c r="P20" s="358">
        <f>IFERROR(SUM(P7:P19,P46:P49),0)</f>
        <v>0</v>
      </c>
      <c r="Q20" s="358">
        <f>IFERROR(L20/P20,0)</f>
        <v>5.4630071599045342</v>
      </c>
      <c r="R20" s="358">
        <f>IFERROR(S20/E20,0)</f>
        <v>100</v>
      </c>
      <c r="S20" s="358">
        <f>IFERROR(SUM(S7:S19,S46:S49),0)</f>
        <v>0</v>
      </c>
      <c r="T20" s="191"/>
      <c r="U20" s="190"/>
    </row>
    <row r="21" spans="2:21" ht="15.75" customHeight="1" x14ac:dyDescent="0.25">
      <c r="B21" s="189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0"/>
    </row>
    <row r="22" spans="2:21" x14ac:dyDescent="0.25">
      <c r="B22" s="189"/>
      <c r="C22" s="17" t="s">
        <v>439</v>
      </c>
      <c r="D22" s="18"/>
      <c r="E22" s="18"/>
      <c r="F22" s="18"/>
      <c r="G22" s="18"/>
      <c r="H22" s="18"/>
      <c r="I22" s="191"/>
      <c r="J22" s="191"/>
      <c r="K22" s="265" t="s">
        <v>440</v>
      </c>
      <c r="L22" s="266"/>
      <c r="M22" s="266"/>
      <c r="N22" s="266"/>
      <c r="O22" s="267"/>
      <c r="P22" s="266" t="s">
        <v>441</v>
      </c>
      <c r="Q22" s="267"/>
      <c r="R22" s="266"/>
      <c r="S22" s="266" t="s">
        <v>442</v>
      </c>
      <c r="T22" s="267"/>
      <c r="U22" s="190"/>
    </row>
    <row r="23" spans="2:21" x14ac:dyDescent="0.25">
      <c r="B23" s="189"/>
      <c r="C23" s="361" t="s">
        <v>443</v>
      </c>
      <c r="D23" s="361" t="s">
        <v>444</v>
      </c>
      <c r="E23" s="361" t="s">
        <v>445</v>
      </c>
      <c r="F23" s="361" t="s">
        <v>446</v>
      </c>
      <c r="G23" s="361" t="s">
        <v>419</v>
      </c>
      <c r="H23" s="361" t="s">
        <v>447</v>
      </c>
      <c r="I23" s="191"/>
      <c r="J23" s="191"/>
      <c r="K23" s="17" t="s">
        <v>448</v>
      </c>
      <c r="L23" s="18"/>
      <c r="M23" s="18" t="s">
        <v>449</v>
      </c>
      <c r="N23" s="18" t="s">
        <v>450</v>
      </c>
      <c r="O23" s="123" t="s">
        <v>421</v>
      </c>
      <c r="P23" s="18" t="s">
        <v>166</v>
      </c>
      <c r="Q23" s="123" t="s">
        <v>451</v>
      </c>
      <c r="R23" s="18" t="s">
        <v>452</v>
      </c>
      <c r="S23" s="18" t="s">
        <v>453</v>
      </c>
      <c r="T23" s="123" t="s">
        <v>451</v>
      </c>
      <c r="U23" s="190"/>
    </row>
    <row r="24" spans="2:21" x14ac:dyDescent="0.25">
      <c r="B24" s="189"/>
      <c r="C24" s="362">
        <f>IFERROR(0,0)</f>
        <v>0</v>
      </c>
      <c r="D24" s="363">
        <f>IFERROR(E24/12,0)</f>
        <v>2.5</v>
      </c>
      <c r="E24" s="363">
        <f>IFERROR(30,0)</f>
        <v>30</v>
      </c>
      <c r="F24" s="364">
        <f>IFERROR(Inputs!L6,0)</f>
        <v>0.03</v>
      </c>
      <c r="G24" s="364">
        <f>IFERROR(Inputs!L7,0)</f>
        <v>2.5000000000000001E-2</v>
      </c>
      <c r="H24" s="363">
        <f>IFERROR(C24*E24*(1-F24)/12,0)</f>
        <v>0</v>
      </c>
      <c r="I24" s="191"/>
      <c r="J24" s="191"/>
      <c r="K24" s="268" t="s">
        <v>454</v>
      </c>
      <c r="L24" s="229"/>
      <c r="M24" s="67">
        <f>IFERROR(0/100,0)</f>
        <v>0</v>
      </c>
      <c r="N24" s="229">
        <f>IFERROR(+E8+E12+E16+E46,0)</f>
        <v>0</v>
      </c>
      <c r="O24" s="251">
        <f>+IFERROR((P8+P12+P16)/N24,0)</f>
        <v>0</v>
      </c>
      <c r="P24" s="202">
        <f>+IFERROR(L8/E8,0)</f>
        <v>0</v>
      </c>
      <c r="Q24" s="68">
        <f>+IFERROR(P24/O24,0)</f>
        <v>0</v>
      </c>
      <c r="R24" s="202">
        <f>+IFERROR((H12+H16)/(E12+E16),0)</f>
        <v>0</v>
      </c>
      <c r="S24" s="202">
        <f>+IFERROR((L12+L16)/(E12+E16),0)</f>
        <v>0</v>
      </c>
      <c r="T24" s="68">
        <f>IFERROR(+S24/O12,0)</f>
        <v>0</v>
      </c>
      <c r="U24" s="190"/>
    </row>
    <row r="25" spans="2:21" x14ac:dyDescent="0.25">
      <c r="B25" s="189"/>
      <c r="C25" s="191"/>
      <c r="D25" s="191"/>
      <c r="E25" s="191"/>
      <c r="F25" s="191"/>
      <c r="G25" s="191"/>
      <c r="H25" s="191"/>
      <c r="I25" s="191"/>
      <c r="J25" s="191"/>
      <c r="K25" s="269" t="s">
        <v>455</v>
      </c>
      <c r="L25" s="211"/>
      <c r="M25" s="61">
        <f>IFERROR(100/100,0)</f>
        <v>1</v>
      </c>
      <c r="N25" s="211">
        <f>IFERROR(+E9+E13+E17+E7+E47,0)</f>
        <v>0</v>
      </c>
      <c r="O25" s="270">
        <f>+IFERROR((P7+P9+P13+P17)/N25,0)</f>
        <v>419</v>
      </c>
      <c r="P25" s="198">
        <f>+IFERROR(L9/E9,0)</f>
        <v>0</v>
      </c>
      <c r="Q25" s="62">
        <f>+IFERROR(P25/O25,0)</f>
        <v>0</v>
      </c>
      <c r="R25" s="198">
        <f>+IFERROR((H13+H17)/(E13+E17),0)</f>
        <v>0</v>
      </c>
      <c r="S25" s="198">
        <f>+IFERROR((L13+L17)/(E13+E17),0)</f>
        <v>2289</v>
      </c>
      <c r="T25" s="62">
        <f>IFERROR(+S25/O13,0)</f>
        <v>5.4630071599045342</v>
      </c>
      <c r="U25" s="190"/>
    </row>
    <row r="26" spans="2:21" x14ac:dyDescent="0.25">
      <c r="B26" s="189"/>
      <c r="C26" s="17" t="s">
        <v>168</v>
      </c>
      <c r="D26" s="18"/>
      <c r="E26" s="18" t="s">
        <v>188</v>
      </c>
      <c r="F26" s="18" t="s">
        <v>456</v>
      </c>
      <c r="G26" s="18" t="s">
        <v>187</v>
      </c>
      <c r="H26" s="18" t="s">
        <v>27</v>
      </c>
      <c r="I26" s="18" t="s">
        <v>419</v>
      </c>
      <c r="J26" s="191"/>
      <c r="K26" s="268" t="s">
        <v>457</v>
      </c>
      <c r="L26" s="229"/>
      <c r="M26" s="67">
        <f>IFERROR(0/100,0)</f>
        <v>0</v>
      </c>
      <c r="N26" s="229">
        <f>IFERROR(+E10+E14+E18+E48,0)</f>
        <v>0</v>
      </c>
      <c r="O26" s="251">
        <f>+IFERROR((P10+P14+P18)/N26,0)</f>
        <v>0</v>
      </c>
      <c r="P26" s="202">
        <f>+IFERROR(L10/E10,0)</f>
        <v>0</v>
      </c>
      <c r="Q26" s="68">
        <f>+IFERROR(P26/O26,0)</f>
        <v>0</v>
      </c>
      <c r="R26" s="202">
        <f>+IFERROR((H14+H18)/(E14+E18),0)</f>
        <v>0</v>
      </c>
      <c r="S26" s="202">
        <f>+IFERROR((L14+L18)/(E14+E18),0)</f>
        <v>0</v>
      </c>
      <c r="T26" s="68">
        <f>IFERROR(+S26/O14,0)</f>
        <v>0</v>
      </c>
      <c r="U26" s="190"/>
    </row>
    <row r="27" spans="2:21" x14ac:dyDescent="0.25">
      <c r="B27" s="189"/>
      <c r="C27" s="268" t="s">
        <v>458</v>
      </c>
      <c r="D27" s="229"/>
      <c r="E27" s="229" t="s">
        <v>459</v>
      </c>
      <c r="F27" s="229">
        <f>IFERROR(Inputs!H15,0)</f>
        <v>224</v>
      </c>
      <c r="G27" s="207">
        <f>IFERROR(50,0)</f>
        <v>50</v>
      </c>
      <c r="H27" s="202">
        <f>IFERROR(G27*F27*(1-N20),0)</f>
        <v>10864</v>
      </c>
      <c r="I27" s="35">
        <f>IFERROR(3/100,0)</f>
        <v>0.03</v>
      </c>
      <c r="J27" s="191"/>
      <c r="K27" s="269" t="s">
        <v>460</v>
      </c>
      <c r="L27" s="211"/>
      <c r="M27" s="61">
        <f>IFERROR(0/100,0)</f>
        <v>0</v>
      </c>
      <c r="N27" s="211">
        <f>IFERROR(+E11+E15+E19+E49,0)</f>
        <v>0</v>
      </c>
      <c r="O27" s="270">
        <f>+IFERROR((P11+P15+P19)/N27,0)</f>
        <v>0</v>
      </c>
      <c r="P27" s="198">
        <f>+IFERROR(L11/E11,0)</f>
        <v>0</v>
      </c>
      <c r="Q27" s="62">
        <f>+IFERROR(P27/O27,0)</f>
        <v>0</v>
      </c>
      <c r="R27" s="198">
        <f>+IFERROR((H15+H19)/(E15+E19),0)</f>
        <v>0</v>
      </c>
      <c r="S27" s="198">
        <f>+IFERROR((L15+L19)/(E15+E19),0)</f>
        <v>0</v>
      </c>
      <c r="T27" s="62">
        <f>IFERROR(+S27/O15,0)</f>
        <v>0</v>
      </c>
      <c r="U27" s="190"/>
    </row>
    <row r="28" spans="2:21" x14ac:dyDescent="0.25">
      <c r="B28" s="189"/>
      <c r="C28" s="269" t="s">
        <v>461</v>
      </c>
      <c r="D28" s="211"/>
      <c r="E28" s="211" t="str">
        <f>IFERROR(+'(Z+) OpEx'!C14,0)</f>
        <v xml:space="preserve">   Electric</v>
      </c>
      <c r="F28" s="198">
        <f>IFERROR(+'(Z+) OpEx'!E14,0)</f>
        <v>6921.6</v>
      </c>
      <c r="G28" s="214">
        <f>IFERROR(0,0)</f>
        <v>0</v>
      </c>
      <c r="H28" s="198">
        <f>IFERROR(+F28*G28*(1-$N$20),0)</f>
        <v>0</v>
      </c>
      <c r="I28" s="199">
        <f>IFERROR(+'(Z+) OpEx'!J14,0)</f>
        <v>0.03</v>
      </c>
      <c r="J28" s="191"/>
      <c r="K28" s="365" t="s">
        <v>27</v>
      </c>
      <c r="L28" s="366"/>
      <c r="M28" s="367">
        <f>IFERROR(SUM(M24:M27),0)</f>
        <v>1</v>
      </c>
      <c r="N28" s="366">
        <f>IFERROR(+SUM(N24:N27),0)</f>
        <v>224</v>
      </c>
      <c r="O28" s="368">
        <f>IFERROR(+P20/N28,0)</f>
        <v>419</v>
      </c>
      <c r="P28" s="369">
        <f>+IFERROR(SUM(L8:L11)/SUM(E8:E11),0)</f>
        <v>0</v>
      </c>
      <c r="Q28" s="370">
        <f>IFERROR(P28/(SUM(P8:P11)/SUM(E8:E11)),0)</f>
        <v>0</v>
      </c>
      <c r="R28" s="369">
        <f>IFERROR(+SUM(H12:H19,H46:H49)/SUM(E12:E19,E46:E49),0)</f>
        <v>0</v>
      </c>
      <c r="S28" s="369">
        <f>IFERROR(+SUM(L12:L19,L46:L49)/SUM(E12:E19,E46:E49),0)</f>
        <v>0</v>
      </c>
      <c r="T28" s="370">
        <f>IFERROR(+SUM(L12:L19,L46:L49)/(SUM(P12:P19,P46:P49)),0)</f>
        <v>0</v>
      </c>
      <c r="U28" s="190"/>
    </row>
    <row r="29" spans="2:21" x14ac:dyDescent="0.25">
      <c r="B29" s="189"/>
      <c r="C29" s="268" t="s">
        <v>462</v>
      </c>
      <c r="D29" s="229"/>
      <c r="E29" s="229" t="str">
        <f>IFERROR(+'(Z+) OpEx'!C15,0)</f>
        <v xml:space="preserve">   Water/Sewer</v>
      </c>
      <c r="F29" s="202">
        <f>IFERROR(+'(Z+) OpEx'!E15,0)</f>
        <v>6921.6</v>
      </c>
      <c r="G29" s="210">
        <f>IFERROR(0,0)</f>
        <v>0</v>
      </c>
      <c r="H29" s="202">
        <f>IFERROR(+F29*G29*(1-$N$20),0)</f>
        <v>0</v>
      </c>
      <c r="I29" s="35">
        <f>IFERROR(+'(Z+) OpEx'!J15,0)</f>
        <v>0.03</v>
      </c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0"/>
    </row>
    <row r="30" spans="2:21" x14ac:dyDescent="0.25">
      <c r="B30" s="189"/>
      <c r="C30" s="269" t="s">
        <v>463</v>
      </c>
      <c r="D30" s="211"/>
      <c r="E30" s="211" t="str">
        <f>IFERROR(+'(Z+) OpEx'!C16,0)</f>
        <v xml:space="preserve">   Gas</v>
      </c>
      <c r="F30" s="198">
        <f>IFERROR(+'(Z+) OpEx'!E16,0)</f>
        <v>4614.4000000000005</v>
      </c>
      <c r="G30" s="214">
        <f>IFERROR(0,0)</f>
        <v>0</v>
      </c>
      <c r="H30" s="198">
        <f>IFERROR(+F30*G30*(1-$N$20),0)</f>
        <v>0</v>
      </c>
      <c r="I30" s="199">
        <f>IFERROR(+'(Z+) OpEx'!J16,0)</f>
        <v>0.03</v>
      </c>
      <c r="J30" s="191"/>
      <c r="K30" s="371" t="s">
        <v>464</v>
      </c>
      <c r="L30" s="372"/>
      <c r="M30" s="372"/>
      <c r="N30" s="372"/>
      <c r="O30" s="373"/>
      <c r="P30" s="372" t="s">
        <v>441</v>
      </c>
      <c r="Q30" s="373"/>
      <c r="R30" s="372"/>
      <c r="S30" s="372" t="s">
        <v>442</v>
      </c>
      <c r="T30" s="373"/>
      <c r="U30" s="190"/>
    </row>
    <row r="31" spans="2:21" x14ac:dyDescent="0.25">
      <c r="B31" s="189"/>
      <c r="C31" s="268" t="s">
        <v>465</v>
      </c>
      <c r="D31" s="229"/>
      <c r="E31" s="229" t="str">
        <f>IFERROR(+'(Z+) OpEx'!C17,0)</f>
        <v xml:space="preserve">   Trash</v>
      </c>
      <c r="F31" s="202">
        <f>IFERROR(+'(Z+) OpEx'!E17,0)</f>
        <v>6460.16</v>
      </c>
      <c r="G31" s="210">
        <f>IFERROR(0,0)</f>
        <v>0</v>
      </c>
      <c r="H31" s="202">
        <f>IFERROR(+F31*G31*(1-$N$20),0)</f>
        <v>0</v>
      </c>
      <c r="I31" s="35">
        <f>IFERROR(+'(Z+) OpEx'!J17,0)</f>
        <v>0.03</v>
      </c>
      <c r="J31" s="191"/>
      <c r="K31" s="374" t="s">
        <v>448</v>
      </c>
      <c r="L31" s="375"/>
      <c r="M31" s="375" t="s">
        <v>449</v>
      </c>
      <c r="N31" s="375" t="s">
        <v>450</v>
      </c>
      <c r="O31" s="376" t="s">
        <v>421</v>
      </c>
      <c r="P31" s="375" t="s">
        <v>166</v>
      </c>
      <c r="Q31" s="376" t="s">
        <v>451</v>
      </c>
      <c r="R31" s="375" t="s">
        <v>452</v>
      </c>
      <c r="S31" s="375" t="s">
        <v>453</v>
      </c>
      <c r="T31" s="376" t="s">
        <v>451</v>
      </c>
      <c r="U31" s="190"/>
    </row>
    <row r="32" spans="2:21" x14ac:dyDescent="0.25">
      <c r="B32" s="189"/>
      <c r="C32" s="269" t="s">
        <v>466</v>
      </c>
      <c r="D32" s="211"/>
      <c r="E32" s="211" t="s">
        <v>467</v>
      </c>
      <c r="F32" s="211">
        <f>IFERROR(0,0)</f>
        <v>0</v>
      </c>
      <c r="G32" s="197">
        <f>IFERROR(50,0)</f>
        <v>50</v>
      </c>
      <c r="H32" s="198">
        <f>IFERROR(+G32*F32,0)</f>
        <v>0</v>
      </c>
      <c r="I32" s="199">
        <f>IFERROR(3/100,0)</f>
        <v>0.03</v>
      </c>
      <c r="J32" s="191"/>
      <c r="K32" s="268" t="s">
        <v>454</v>
      </c>
      <c r="L32" s="229"/>
      <c r="M32" s="67">
        <f>IFERROR(M24,0)</f>
        <v>0</v>
      </c>
      <c r="N32" s="229">
        <f t="shared" ref="N32:O35" si="10">IFERROR(+N24,0)</f>
        <v>0</v>
      </c>
      <c r="O32" s="251">
        <f t="shared" si="10"/>
        <v>0</v>
      </c>
      <c r="P32" s="202">
        <f>IFERROR(+P24*Inputs!$F$34,0)</f>
        <v>0</v>
      </c>
      <c r="Q32" s="68">
        <f>+IFERROR(P32/O32,0)</f>
        <v>0</v>
      </c>
      <c r="R32" s="202">
        <f>IFERROR(+R24*Inputs!$F$34,0)</f>
        <v>0</v>
      </c>
      <c r="S32" s="202">
        <f>IFERROR(+S24*INDEX('(Z+) Monthly CF'!$F$9:$HB$9,1,MATCH(Inputs!$D$34,'(Z+) Monthly CF'!$F$5:$HB$5,0)),0)</f>
        <v>0</v>
      </c>
      <c r="T32" s="68">
        <f>+IFERROR(S32/O32,0)</f>
        <v>0</v>
      </c>
      <c r="U32" s="190"/>
    </row>
    <row r="33" spans="2:21" x14ac:dyDescent="0.25">
      <c r="B33" s="189"/>
      <c r="C33" s="268" t="s">
        <v>468</v>
      </c>
      <c r="D33" s="229"/>
      <c r="E33" s="229" t="s">
        <v>469</v>
      </c>
      <c r="F33" s="67">
        <f>IFERROR(10/100,0)</f>
        <v>0.1</v>
      </c>
      <c r="G33" s="207">
        <f>IFERROR(35,0)</f>
        <v>35</v>
      </c>
      <c r="H33" s="202">
        <f>IFERROR(+ROUND(E20*F33,0)*G33,0)</f>
        <v>770</v>
      </c>
      <c r="I33" s="35">
        <f>IFERROR(+M20,0)</f>
        <v>2.5000000000000001E-2</v>
      </c>
      <c r="J33" s="191"/>
      <c r="K33" s="269" t="s">
        <v>455</v>
      </c>
      <c r="L33" s="211"/>
      <c r="M33" s="61">
        <f>IFERROR(M25,0)</f>
        <v>1</v>
      </c>
      <c r="N33" s="211">
        <f t="shared" si="10"/>
        <v>224</v>
      </c>
      <c r="O33" s="270">
        <f t="shared" si="10"/>
        <v>419</v>
      </c>
      <c r="P33" s="198">
        <f>IFERROR(+P25*Inputs!$F$34,0)</f>
        <v>0</v>
      </c>
      <c r="Q33" s="62">
        <f>+IFERROR(P33/O33,0)</f>
        <v>0</v>
      </c>
      <c r="R33" s="198">
        <f>IFERROR(+R25*Inputs!$F$34,0)</f>
        <v>0</v>
      </c>
      <c r="S33" s="198">
        <f>IFERROR(+S25*INDEX('(Z+) Monthly CF'!$F$9:$HB$9,1,MATCH(Inputs!$D$34,'(Z+) Monthly CF'!$F$5:$HB$5,0)),0)</f>
        <v>2444.7967921507388</v>
      </c>
      <c r="T33" s="62">
        <f>+IFERROR(S33/O33,0)</f>
        <v>5.8348372127702595</v>
      </c>
      <c r="U33" s="190"/>
    </row>
    <row r="34" spans="2:21" x14ac:dyDescent="0.25">
      <c r="B34" s="189"/>
      <c r="C34" s="269" t="s">
        <v>470</v>
      </c>
      <c r="D34" s="211"/>
      <c r="E34" s="211" t="s">
        <v>411</v>
      </c>
      <c r="F34" s="211">
        <f>IFERROR(+E20,0)</f>
        <v>224</v>
      </c>
      <c r="G34" s="197">
        <f>IFERROR(10,0)</f>
        <v>10</v>
      </c>
      <c r="H34" s="198">
        <f>IFERROR(+F34*G34*(1-$N$20),0)</f>
        <v>2172.7999999999997</v>
      </c>
      <c r="I34" s="199">
        <f>IFERROR(3/100,0)</f>
        <v>0.03</v>
      </c>
      <c r="J34" s="191"/>
      <c r="K34" s="268" t="s">
        <v>457</v>
      </c>
      <c r="L34" s="229"/>
      <c r="M34" s="67">
        <f>IFERROR(M26,0)</f>
        <v>0</v>
      </c>
      <c r="N34" s="229">
        <f t="shared" si="10"/>
        <v>0</v>
      </c>
      <c r="O34" s="251">
        <f t="shared" si="10"/>
        <v>0</v>
      </c>
      <c r="P34" s="202">
        <f>IFERROR(+P26*Inputs!$F$34,0)</f>
        <v>0</v>
      </c>
      <c r="Q34" s="68">
        <f>+IFERROR(P34/O34,0)</f>
        <v>0</v>
      </c>
      <c r="R34" s="202">
        <f>IFERROR(+R26*Inputs!$F$34,0)</f>
        <v>0</v>
      </c>
      <c r="S34" s="202">
        <f>IFERROR(+S26*INDEX('(Z+) Monthly CF'!$F$9:$HB$9,1,MATCH(Inputs!$D$34,'(Z+) Monthly CF'!$F$5:$HB$5,0)),0)</f>
        <v>0</v>
      </c>
      <c r="T34" s="68">
        <f>+IFERROR(S34/O34,0)</f>
        <v>0</v>
      </c>
      <c r="U34" s="190"/>
    </row>
    <row r="35" spans="2:21" x14ac:dyDescent="0.25">
      <c r="B35" s="189"/>
      <c r="C35" s="268" t="s">
        <v>471</v>
      </c>
      <c r="D35" s="229"/>
      <c r="E35" s="229" t="s">
        <v>472</v>
      </c>
      <c r="F35" s="202">
        <f>IFERROR(+'(Z+) OpEx'!E24,0)</f>
        <v>41529.599999999999</v>
      </c>
      <c r="G35" s="210">
        <f>IFERROR(50/100,0)</f>
        <v>0.5</v>
      </c>
      <c r="H35" s="202">
        <f>IFERROR((+G35*F35)/100,0)</f>
        <v>207.648</v>
      </c>
      <c r="I35" s="35">
        <f>IFERROR(0/100,0)</f>
        <v>0</v>
      </c>
      <c r="J35" s="191"/>
      <c r="K35" s="269" t="s">
        <v>460</v>
      </c>
      <c r="L35" s="211"/>
      <c r="M35" s="61">
        <f>IFERROR(M27,0)</f>
        <v>0</v>
      </c>
      <c r="N35" s="211">
        <f t="shared" si="10"/>
        <v>0</v>
      </c>
      <c r="O35" s="270">
        <f t="shared" si="10"/>
        <v>0</v>
      </c>
      <c r="P35" s="198">
        <f>IFERROR(+P27*Inputs!$F$34,0)</f>
        <v>0</v>
      </c>
      <c r="Q35" s="62">
        <f>+IFERROR(P35/O35,0)</f>
        <v>0</v>
      </c>
      <c r="R35" s="198">
        <f>IFERROR(+R27*Inputs!$F$34,0)</f>
        <v>0</v>
      </c>
      <c r="S35" s="198">
        <f>IFERROR(+S27*INDEX('(Z+) Monthly CF'!$F$9:$HB$9,1,MATCH(Inputs!$D$34,'(Z+) Monthly CF'!$F$5:$HB$5,0)),0)</f>
        <v>0</v>
      </c>
      <c r="T35" s="62">
        <f>+IFERROR(S35/O35,0)</f>
        <v>0</v>
      </c>
      <c r="U35" s="190"/>
    </row>
    <row r="36" spans="2:21" x14ac:dyDescent="0.25">
      <c r="B36" s="189"/>
      <c r="C36" s="377" t="s">
        <v>473</v>
      </c>
      <c r="D36" s="378"/>
      <c r="E36" s="378"/>
      <c r="F36" s="378"/>
      <c r="G36" s="379"/>
      <c r="H36" s="380">
        <f>IFERROR(+SUM(H27:H35),0)</f>
        <v>14014.447999999999</v>
      </c>
      <c r="I36" s="381">
        <f>IFERROR(+SUMPRODUCT(I27:I35,H27:H35)/SUM(H27:H35),0)</f>
        <v>2.9280782232735818E-2</v>
      </c>
      <c r="J36" s="191"/>
      <c r="K36" s="365" t="s">
        <v>27</v>
      </c>
      <c r="L36" s="366"/>
      <c r="M36" s="367">
        <f>IFERROR(SUM(M32:M35),0)</f>
        <v>1</v>
      </c>
      <c r="N36" s="366">
        <f>IFERROR(+SUM(N32:N35),0)</f>
        <v>224</v>
      </c>
      <c r="O36" s="368">
        <f>IFERROR(+O28,0)</f>
        <v>419</v>
      </c>
      <c r="P36" s="369">
        <f>+IFERROR(SUM(L8:L11)/SUM(E8:E11),0)*Inputs!$F$34</f>
        <v>0</v>
      </c>
      <c r="Q36" s="370">
        <f>+P36/(SUM(O16:O19)/SUM(E16:E19))</f>
        <v>0</v>
      </c>
      <c r="R36" s="369">
        <f>IFERROR(+SUM(H12:H19,H46:H49)/SUM(E12:E19,E46:E49)*Inputs!$F$34,0)</f>
        <v>0</v>
      </c>
      <c r="S36" s="369">
        <f>IFERROR(+SUM(L12:L19,L46:L49)/SUM(E12:E19,E46:E49)*Inputs!$F$34,0)</f>
        <v>0</v>
      </c>
      <c r="T36" s="370">
        <f>+IFERROR(S36/O36,0)</f>
        <v>5.8348372127702595</v>
      </c>
      <c r="U36" s="190"/>
    </row>
    <row r="37" spans="2:21" x14ac:dyDescent="0.25">
      <c r="B37" s="189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0"/>
    </row>
    <row r="38" spans="2:21" x14ac:dyDescent="0.25">
      <c r="B38" s="189"/>
      <c r="C38" s="17" t="s">
        <v>474</v>
      </c>
      <c r="D38" s="18"/>
      <c r="E38" s="18" t="s">
        <v>475</v>
      </c>
      <c r="F38" s="18" t="s">
        <v>476</v>
      </c>
      <c r="G38" s="18" t="s">
        <v>161</v>
      </c>
      <c r="H38" s="18" t="s">
        <v>477</v>
      </c>
      <c r="I38" s="18" t="s">
        <v>478</v>
      </c>
      <c r="J38" s="18" t="s">
        <v>27</v>
      </c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0"/>
    </row>
    <row r="39" spans="2:21" x14ac:dyDescent="0.25">
      <c r="B39" s="189"/>
      <c r="C39" s="268" t="s">
        <v>479</v>
      </c>
      <c r="D39" s="229"/>
      <c r="E39" s="285">
        <f>IFERROR(0.5,0)</f>
        <v>0.5</v>
      </c>
      <c r="F39" s="285">
        <f>IFERROR(35,0)</f>
        <v>35</v>
      </c>
      <c r="G39" s="202">
        <f>IFERROR(+F39*52*40,0)</f>
        <v>72800</v>
      </c>
      <c r="H39" s="67">
        <f>IFERROR(10/100,0)</f>
        <v>0.1</v>
      </c>
      <c r="I39" s="67">
        <f>IFERROR(20/100,0)</f>
        <v>0.2</v>
      </c>
      <c r="J39" s="382">
        <f>IFERROR(+G39*(1+H39)*(1+I39)*E39,0)</f>
        <v>48048</v>
      </c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0"/>
    </row>
    <row r="40" spans="2:21" x14ac:dyDescent="0.25">
      <c r="B40" s="189"/>
      <c r="C40" s="269" t="s">
        <v>480</v>
      </c>
      <c r="D40" s="211"/>
      <c r="E40" s="291">
        <f>IFERROR(0.5,0)</f>
        <v>0.5</v>
      </c>
      <c r="F40" s="291">
        <f>IFERROR(22,0)</f>
        <v>22</v>
      </c>
      <c r="G40" s="198">
        <f>IFERROR(+F40*52*40,0)</f>
        <v>45760</v>
      </c>
      <c r="H40" s="61">
        <f>IFERROR(5/100,0)</f>
        <v>0.05</v>
      </c>
      <c r="I40" s="61">
        <f>IFERROR(20/100,0)</f>
        <v>0.2</v>
      </c>
      <c r="J40" s="383">
        <f>IFERROR(+G40*(1+H40)*(1+I40)*E40,0)</f>
        <v>28828.799999999999</v>
      </c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0"/>
    </row>
    <row r="41" spans="2:21" x14ac:dyDescent="0.25">
      <c r="B41" s="189"/>
      <c r="C41" s="268" t="s">
        <v>481</v>
      </c>
      <c r="D41" s="229"/>
      <c r="E41" s="285">
        <f>IFERROR(0.5,0)</f>
        <v>0.5</v>
      </c>
      <c r="F41" s="285">
        <f>IFERROR(29,0)</f>
        <v>29</v>
      </c>
      <c r="G41" s="202">
        <f>IFERROR(+F41*52*40,0)</f>
        <v>60320</v>
      </c>
      <c r="H41" s="67">
        <f>IFERROR(10/100,0)</f>
        <v>0.1</v>
      </c>
      <c r="I41" s="67">
        <f>IFERROR(20/100,0)</f>
        <v>0.2</v>
      </c>
      <c r="J41" s="382">
        <f>IFERROR(+G41*(1+H41)*(1+I41)*E41,0)</f>
        <v>39811.199999999997</v>
      </c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0"/>
    </row>
    <row r="42" spans="2:21" x14ac:dyDescent="0.25">
      <c r="B42" s="189"/>
      <c r="C42" s="269" t="s">
        <v>482</v>
      </c>
      <c r="D42" s="211"/>
      <c r="E42" s="291">
        <f>IFERROR(0.5,0)</f>
        <v>0.5</v>
      </c>
      <c r="F42" s="291">
        <f>IFERROR(18,0)</f>
        <v>18</v>
      </c>
      <c r="G42" s="198">
        <f>IFERROR(+F42*52*40,0)</f>
        <v>37440</v>
      </c>
      <c r="H42" s="61">
        <f>IFERROR(5/100,0)</f>
        <v>0.05</v>
      </c>
      <c r="I42" s="61">
        <f>IFERROR(20/100,0)</f>
        <v>0.2</v>
      </c>
      <c r="J42" s="383">
        <f>IFERROR(+G42*(1+H42)*(1+I42)*E42,0)</f>
        <v>23587.200000000001</v>
      </c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0"/>
    </row>
    <row r="43" spans="2:21" x14ac:dyDescent="0.25">
      <c r="B43" s="189"/>
      <c r="C43" s="271" t="s">
        <v>27</v>
      </c>
      <c r="D43" s="243"/>
      <c r="E43" s="243"/>
      <c r="F43" s="243"/>
      <c r="G43" s="243"/>
      <c r="H43" s="243"/>
      <c r="I43" s="243"/>
      <c r="J43" s="384">
        <f>IFERROR(+SUM(J39:J42),0)</f>
        <v>140275.20000000001</v>
      </c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0"/>
    </row>
    <row r="44" spans="2:21" ht="15.75" customHeight="1" x14ac:dyDescent="0.25">
      <c r="B44" s="189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0"/>
    </row>
    <row r="45" spans="2:21" ht="15.75" customHeight="1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2:21" ht="16.5" customHeight="1" x14ac:dyDescent="0.25">
      <c r="B46" s="189"/>
      <c r="C46" s="354" t="inlineStr">
        <is>
          <t>Restricted Tier C 0BR</t>
        </is>
      </c>
      <c r="D46" s="340">
        <f>IFERROR(1,0)</f>
        <v>1</v>
      </c>
      <c r="E46" s="340">
        <f>IFERROR(0,0)</f>
        <v>0</v>
      </c>
      <c r="F46" s="342">
        <f>IFERROR(0,0)</f>
        <v>0</v>
      </c>
      <c r="G46" s="342">
        <f>IFERROR(0,0)</f>
        <v>0</v>
      </c>
      <c r="H46" s="342">
        <f>IFERROR(G46*E46,0)</f>
        <v>0</v>
      </c>
      <c r="I46" s="342">
        <f>IFERROR(0,0)</f>
        <v>0</v>
      </c>
      <c r="J46" s="343">
        <f>IFERROR(100/100,0)</f>
        <v>1</v>
      </c>
      <c r="K46" s="342">
        <f>IFERROR((I46-G46)*J46+G46,0)</f>
        <v>0</v>
      </c>
      <c r="L46" s="342">
        <f>IFERROR(K46*E46,0)</f>
        <v>0</v>
      </c>
      <c r="M46" s="343">
        <f>IFERROR(+Inputs!$L$7,0)</f>
        <v>2.5E-2</v>
      </c>
      <c r="N46" s="343">
        <f>IFERROR(+Inputs!$L$6,0)</f>
        <v>0.03</v>
      </c>
      <c r="O46" s="340">
        <f>IFERROR(O8,0)</f>
        <v>0</v>
      </c>
      <c r="P46" s="340">
        <f>IFERROR(O46*E46,0)</f>
        <v>0</v>
      </c>
      <c r="Q46" s="342">
        <f>IFERROR(K46/O46,0)</f>
        <v>0</v>
      </c>
      <c r="R46" s="340">
        <f>IFERROR(100,0)</f>
        <v>100</v>
      </c>
      <c r="S46" s="340">
        <f>IFERROR(R46*E46,0)</f>
        <v>0</v>
      </c>
      <c r="T46" s="191"/>
      <c r="U46" s="190"/>
    </row>
    <row r="47" spans="2:21" ht="16.5" customHeight="1" x14ac:dyDescent="0.25">
      <c r="B47" s="189"/>
      <c r="C47" s="354" t="inlineStr">
        <is>
          <t>Restricted Tier C 1BR</t>
        </is>
      </c>
      <c r="D47" s="340">
        <f>IFERROR(0,0)</f>
        <v>0</v>
      </c>
      <c r="E47" s="340">
        <f>IFERROR(0,0)</f>
        <v>0</v>
      </c>
      <c r="F47" s="342">
        <f>IFERROR(0,0)</f>
        <v>0</v>
      </c>
      <c r="G47" s="342">
        <f>IFERROR(0,0)</f>
        <v>0</v>
      </c>
      <c r="H47" s="342">
        <f>IFERROR(G47*E47,0)</f>
        <v>0</v>
      </c>
      <c r="I47" s="342">
        <f>IFERROR(0,0)</f>
        <v>0</v>
      </c>
      <c r="J47" s="343">
        <f>IFERROR(100/100,0)</f>
        <v>1</v>
      </c>
      <c r="K47" s="342">
        <f>IFERROR((I47-G47)*J47+G47,0)</f>
        <v>0</v>
      </c>
      <c r="L47" s="342">
        <f>IFERROR(K47*E47,0)</f>
        <v>0</v>
      </c>
      <c r="M47" s="343">
        <f>IFERROR(+Inputs!$L$7,0)</f>
        <v>2.5E-2</v>
      </c>
      <c r="N47" s="343">
        <f>IFERROR(+Inputs!$L$6,0)</f>
        <v>0.03</v>
      </c>
      <c r="O47" s="340">
        <f>IFERROR(O9,0)</f>
        <v>0</v>
      </c>
      <c r="P47" s="340">
        <f>IFERROR(O47*E47,0)</f>
        <v>0</v>
      </c>
      <c r="Q47" s="342">
        <f>IFERROR(K47/O47,0)</f>
        <v>0</v>
      </c>
      <c r="R47" s="340">
        <f>IFERROR(100,0)</f>
        <v>100</v>
      </c>
      <c r="S47" s="340">
        <f>IFERROR(R47*E47,0)</f>
        <v>0</v>
      </c>
      <c r="T47" s="191"/>
      <c r="U47" s="190"/>
    </row>
    <row r="48" spans="2:21" ht="16.5" customHeight="1" x14ac:dyDescent="0.25">
      <c r="B48" s="189"/>
      <c r="C48" s="354" t="inlineStr">
        <is>
          <t>Restricted Tier C 2BR</t>
        </is>
      </c>
      <c r="D48" s="340">
        <f>IFERROR(2,0)</f>
        <v>2</v>
      </c>
      <c r="E48" s="340">
        <f>IFERROR(0,0)</f>
        <v>0</v>
      </c>
      <c r="F48" s="342">
        <f>IFERROR(0,0)</f>
        <v>0</v>
      </c>
      <c r="G48" s="342">
        <f>IFERROR(0,0)</f>
        <v>0</v>
      </c>
      <c r="H48" s="342">
        <f>IFERROR(G48*E48,0)</f>
        <v>0</v>
      </c>
      <c r="I48" s="342">
        <f>IFERROR(0,0)</f>
        <v>0</v>
      </c>
      <c r="J48" s="343">
        <f>IFERROR(100/100,0)</f>
        <v>1</v>
      </c>
      <c r="K48" s="342">
        <f>IFERROR((I48-G48)*J48+G48,0)</f>
        <v>0</v>
      </c>
      <c r="L48" s="342">
        <f>IFERROR(K48*E48,0)</f>
        <v>0</v>
      </c>
      <c r="M48" s="343">
        <f>IFERROR(+Inputs!$L$7,0)</f>
        <v>2.5E-2</v>
      </c>
      <c r="N48" s="343">
        <f>IFERROR(+Inputs!$L$6,0)</f>
        <v>0.03</v>
      </c>
      <c r="O48" s="340">
        <f>IFERROR(O10,0)</f>
        <v>0</v>
      </c>
      <c r="P48" s="340">
        <f>IFERROR(O48*E48,0)</f>
        <v>0</v>
      </c>
      <c r="Q48" s="342">
        <f>IFERROR(K48/O48,0)</f>
        <v>0</v>
      </c>
      <c r="R48" s="340">
        <f>IFERROR(100,0)</f>
        <v>100</v>
      </c>
      <c r="S48" s="340">
        <f>IFERROR(R48*E48,0)</f>
        <v>0</v>
      </c>
      <c r="T48" s="191"/>
      <c r="U48" s="190"/>
    </row>
    <row r="49" spans="2:21" ht="16.5" customHeight="1" x14ac:dyDescent="0.25">
      <c r="B49" s="189"/>
      <c r="C49" s="354" t="inlineStr">
        <is>
          <t>Restricted Tier C 3BR</t>
        </is>
      </c>
      <c r="D49" s="340">
        <f>IFERROR(3,0)</f>
        <v>3</v>
      </c>
      <c r="E49" s="340">
        <f>IFERROR(0,0)</f>
        <v>0</v>
      </c>
      <c r="F49" s="342">
        <f>IFERROR(0,0)</f>
        <v>0</v>
      </c>
      <c r="G49" s="342">
        <f>IFERROR(0,0)</f>
        <v>0</v>
      </c>
      <c r="H49" s="342">
        <f>IFERROR(G49*E49,0)</f>
        <v>0</v>
      </c>
      <c r="I49" s="342">
        <f>IFERROR(0,0)</f>
        <v>0</v>
      </c>
      <c r="J49" s="343">
        <f>IFERROR(100/100,0)</f>
        <v>1</v>
      </c>
      <c r="K49" s="342">
        <f>IFERROR((I49-G49)*J49+G49,0)</f>
        <v>0</v>
      </c>
      <c r="L49" s="342">
        <f>IFERROR(K49*E49,0)</f>
        <v>0</v>
      </c>
      <c r="M49" s="343">
        <f>IFERROR(+Inputs!$L$7,0)</f>
        <v>2.5E-2</v>
      </c>
      <c r="N49" s="343">
        <f>IFERROR(+Inputs!$L$6,0)</f>
        <v>0.03</v>
      </c>
      <c r="O49" s="340">
        <f>IFERROR(O11,0)</f>
        <v>0</v>
      </c>
      <c r="P49" s="340">
        <f>IFERROR(O49*E49,0)</f>
        <v>0</v>
      </c>
      <c r="Q49" s="342">
        <f>IFERROR(K49/O49,0)</f>
        <v>0</v>
      </c>
      <c r="R49" s="340">
        <f>IFERROR(100,0)</f>
        <v>100</v>
      </c>
      <c r="S49" s="340">
        <f>IFERROR(R49*E49,0)</f>
        <v>0</v>
      </c>
      <c r="T49" s="191"/>
      <c r="U49" s="190"/>
    </row>
  </sheetData>
  <mergeCells count="1">
    <mergeCell ref="C3:S3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DU109"/>
  <sheetViews>
    <sheetView showGridLines="0" zoomScaleNormal="100" workbookViewId="0">
      <pane xSplit="1" ySplit="4" topLeftCell="B53" activePane="bottomRight" state="frozen"/>
      <selection pane="topRight" activeCell="B1" sqref="B1"/>
      <selection pane="bottomLeft" activeCell="A53" sqref="A53"/>
      <selection pane="bottomRight" activeCell="D78" sqref="D78"/>
    </sheetView>
  </sheetViews>
  <sheetFormatPr defaultColWidth="8.7109375" defaultRowHeight="15" x14ac:dyDescent="0.25"/>
  <cols>
    <col min="1" max="1" width="34.42578125" style="385" customWidth="1"/>
    <col min="2" max="2" width="28.7109375" customWidth="1"/>
    <col min="3" max="3" width="13.140625" customWidth="1"/>
    <col min="4" max="4" width="11.140625" customWidth="1"/>
    <col min="5" max="5" width="18" customWidth="1"/>
    <col min="6" max="6" width="12.28515625" customWidth="1"/>
    <col min="7" max="8" width="11.140625" customWidth="1"/>
    <col min="9" max="9" width="15" customWidth="1"/>
    <col min="10" max="12" width="13.42578125" customWidth="1"/>
    <col min="13" max="13" width="16" customWidth="1"/>
    <col min="14" max="15" width="13.42578125" customWidth="1"/>
    <col min="16" max="26" width="15" customWidth="1"/>
    <col min="27" max="37" width="12.5703125" customWidth="1"/>
    <col min="38" max="38" width="15.28515625" customWidth="1"/>
    <col min="39" max="92" width="12.5703125" customWidth="1"/>
    <col min="93" max="93" width="15.28515625" customWidth="1"/>
    <col min="94" max="107" width="12" customWidth="1"/>
    <col min="108" max="108" width="11.140625" customWidth="1"/>
    <col min="109" max="118" width="12" customWidth="1"/>
    <col min="119" max="119" width="11.140625" customWidth="1"/>
    <col min="120" max="125" width="12" customWidth="1"/>
  </cols>
  <sheetData>
    <row r="1" spans="1:125" ht="30" customHeight="1" x14ac:dyDescent="0.25">
      <c r="A1" s="386" t="s">
        <v>483</v>
      </c>
      <c r="D1" s="387"/>
      <c r="F1" s="388"/>
      <c r="G1" s="388"/>
      <c r="H1" s="388"/>
      <c r="I1" s="388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90"/>
      <c r="V1" s="390"/>
      <c r="W1" s="390"/>
      <c r="X1" s="390"/>
      <c r="Y1" s="390"/>
      <c r="Z1" s="390"/>
      <c r="AA1" s="390"/>
      <c r="AB1" s="390"/>
      <c r="AC1" s="390"/>
      <c r="AD1" s="390"/>
      <c r="AE1" s="390"/>
      <c r="AF1" s="390"/>
      <c r="AG1" s="390"/>
      <c r="AH1" s="390"/>
      <c r="AI1" s="390"/>
      <c r="AJ1" s="390"/>
      <c r="AK1" s="390"/>
      <c r="AL1" s="390"/>
      <c r="AM1" s="390"/>
      <c r="AN1" s="390"/>
      <c r="AO1" s="390"/>
      <c r="AP1" s="390"/>
      <c r="AQ1" s="390"/>
      <c r="AR1" s="390"/>
      <c r="AS1" s="390"/>
      <c r="AT1" s="390"/>
      <c r="AU1" s="390"/>
      <c r="AV1" s="390"/>
      <c r="AW1" s="390"/>
      <c r="AX1" s="390"/>
      <c r="AY1" s="390"/>
      <c r="AZ1" s="390"/>
      <c r="BA1" s="390"/>
      <c r="BB1" s="390"/>
      <c r="BC1" s="390"/>
      <c r="BD1" s="390"/>
      <c r="BE1" s="390"/>
      <c r="BF1" s="390"/>
      <c r="BG1" s="390"/>
      <c r="BH1" s="390"/>
      <c r="BI1" s="390"/>
      <c r="BJ1" s="390"/>
      <c r="BK1" s="390"/>
      <c r="BL1" s="390"/>
      <c r="BM1" s="390"/>
      <c r="BN1" s="390"/>
      <c r="BO1" s="390"/>
      <c r="BP1" s="390"/>
      <c r="BQ1" s="390"/>
      <c r="BR1" s="390"/>
      <c r="BS1" s="390"/>
      <c r="BT1" s="390"/>
      <c r="BU1" s="390"/>
      <c r="BV1" s="390"/>
      <c r="BW1" s="390"/>
      <c r="BX1" s="390"/>
      <c r="BY1" s="390"/>
      <c r="BZ1" s="390"/>
      <c r="CA1" s="390"/>
      <c r="CB1" s="390"/>
      <c r="CC1" s="390"/>
      <c r="CD1" s="390"/>
      <c r="CE1" s="390"/>
      <c r="CF1" s="390"/>
      <c r="CG1" s="390"/>
      <c r="CH1" s="390"/>
      <c r="CI1" s="390"/>
      <c r="CJ1" s="390"/>
      <c r="CK1" s="390"/>
      <c r="CL1" s="390"/>
      <c r="CM1" s="390"/>
      <c r="CN1" s="390"/>
      <c r="CO1" s="390"/>
      <c r="CP1" s="390"/>
      <c r="CQ1" s="390"/>
      <c r="CR1" s="390"/>
      <c r="CS1" s="390"/>
      <c r="CT1" s="390"/>
      <c r="CU1" s="390"/>
      <c r="CV1" s="390"/>
      <c r="CW1" s="390"/>
      <c r="CX1" s="390"/>
      <c r="CY1" s="390"/>
      <c r="CZ1" s="390"/>
      <c r="DA1" s="390"/>
      <c r="DB1" s="390"/>
      <c r="DC1" s="390"/>
      <c r="DD1" s="390"/>
      <c r="DE1" s="390"/>
      <c r="DF1" s="390"/>
      <c r="DG1" s="390"/>
      <c r="DH1" s="390"/>
      <c r="DI1" s="390"/>
      <c r="DJ1" s="390"/>
      <c r="DK1" s="390"/>
      <c r="DL1" s="390"/>
      <c r="DM1" s="390"/>
      <c r="DN1" s="390"/>
      <c r="DO1" s="390"/>
      <c r="DP1" s="390"/>
      <c r="DQ1" s="390"/>
      <c r="DR1" s="390"/>
      <c r="DS1" s="390"/>
      <c r="DT1" s="390"/>
      <c r="DU1" s="390"/>
    </row>
    <row r="2" spans="1:125" ht="16.5" customHeight="1" x14ac:dyDescent="0.25">
      <c r="A2" s="391" t="s">
        <v>484</v>
      </c>
      <c r="D2" s="387"/>
      <c r="F2" s="388"/>
      <c r="G2" s="388"/>
      <c r="H2" s="388"/>
      <c r="I2" s="388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90"/>
      <c r="V2" s="390"/>
      <c r="W2" s="390"/>
      <c r="X2" s="390"/>
      <c r="Y2" s="390"/>
      <c r="Z2" s="390"/>
      <c r="AA2" s="390"/>
      <c r="AB2" s="390"/>
      <c r="AC2" s="390"/>
      <c r="AD2" s="390"/>
      <c r="AE2" s="390"/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0"/>
      <c r="AT2" s="390"/>
      <c r="AU2" s="390"/>
      <c r="AV2" s="390"/>
      <c r="AW2" s="390"/>
      <c r="AX2" s="390"/>
      <c r="AY2" s="390"/>
      <c r="AZ2" s="390"/>
      <c r="BA2" s="390"/>
      <c r="BB2" s="390"/>
      <c r="BC2" s="390"/>
      <c r="BD2" s="390"/>
      <c r="BE2" s="390"/>
      <c r="BF2" s="390"/>
      <c r="BG2" s="390"/>
      <c r="BH2" s="390"/>
      <c r="BI2" s="390"/>
      <c r="BJ2" s="390"/>
      <c r="BK2" s="390"/>
      <c r="BL2" s="390"/>
      <c r="BM2" s="390"/>
      <c r="BN2" s="390"/>
      <c r="BO2" s="390"/>
      <c r="BP2" s="390"/>
      <c r="BQ2" s="390"/>
      <c r="BR2" s="390"/>
      <c r="BS2" s="390"/>
      <c r="BT2" s="390"/>
      <c r="BU2" s="390"/>
      <c r="BV2" s="390"/>
      <c r="BW2" s="390"/>
      <c r="BX2" s="390"/>
      <c r="BY2" s="390"/>
      <c r="BZ2" s="390"/>
      <c r="CA2" s="390"/>
      <c r="CB2" s="390"/>
      <c r="CC2" s="390"/>
      <c r="CD2" s="390"/>
      <c r="CE2" s="390"/>
      <c r="CF2" s="390"/>
      <c r="CG2" s="390"/>
      <c r="CH2" s="390"/>
      <c r="CI2" s="390"/>
      <c r="CJ2" s="390"/>
      <c r="CK2" s="390"/>
      <c r="CL2" s="390"/>
      <c r="CM2" s="390"/>
      <c r="CN2" s="390"/>
      <c r="CO2" s="390"/>
      <c r="CP2" s="390"/>
      <c r="CQ2" s="390"/>
      <c r="CR2" s="390"/>
      <c r="CS2" s="390"/>
      <c r="CT2" s="390"/>
      <c r="CU2" s="390"/>
      <c r="CV2" s="390"/>
      <c r="CW2" s="390"/>
      <c r="CX2" s="390"/>
      <c r="CY2" s="390"/>
      <c r="CZ2" s="390"/>
      <c r="DA2" s="390"/>
      <c r="DB2" s="390"/>
      <c r="DC2" s="390"/>
      <c r="DD2" s="390"/>
      <c r="DE2" s="390"/>
      <c r="DF2" s="390"/>
      <c r="DG2" s="390"/>
      <c r="DH2" s="390"/>
      <c r="DI2" s="390"/>
      <c r="DJ2" s="390"/>
      <c r="DK2" s="390"/>
      <c r="DL2" s="390"/>
      <c r="DM2" s="390"/>
      <c r="DN2" s="390"/>
      <c r="DO2" s="390"/>
      <c r="DP2" s="390"/>
      <c r="DQ2" s="390"/>
      <c r="DR2" s="390"/>
      <c r="DS2" s="390"/>
      <c r="DT2" s="390"/>
      <c r="DU2" s="390"/>
    </row>
    <row r="3" spans="1:125" x14ac:dyDescent="0.25">
      <c r="D3" s="392" t="s">
        <v>485</v>
      </c>
      <c r="F3" s="388"/>
      <c r="G3" s="388"/>
      <c r="H3" s="388"/>
      <c r="I3" s="388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0"/>
      <c r="AI3" s="390"/>
      <c r="AJ3" s="390"/>
      <c r="AK3" s="390"/>
      <c r="AL3" s="390"/>
      <c r="AM3" s="390"/>
      <c r="AN3" s="390"/>
      <c r="AO3" s="390"/>
      <c r="AP3" s="390"/>
      <c r="AQ3" s="390"/>
      <c r="AR3" s="390"/>
      <c r="AS3" s="390"/>
      <c r="AT3" s="390"/>
      <c r="AU3" s="390"/>
      <c r="AV3" s="390"/>
      <c r="AW3" s="390"/>
      <c r="AX3" s="390"/>
      <c r="AY3" s="390"/>
      <c r="AZ3" s="390"/>
      <c r="BA3" s="390"/>
      <c r="BB3" s="390"/>
      <c r="BC3" s="390"/>
      <c r="BD3" s="390"/>
      <c r="BE3" s="390"/>
      <c r="BF3" s="390"/>
      <c r="BG3" s="390"/>
      <c r="BH3" s="390"/>
      <c r="BI3" s="390"/>
      <c r="BJ3" s="390"/>
      <c r="BK3" s="390"/>
      <c r="BL3" s="390"/>
      <c r="BM3" s="390"/>
      <c r="BN3" s="390"/>
      <c r="BO3" s="390"/>
      <c r="BP3" s="390"/>
      <c r="BQ3" s="390"/>
      <c r="BR3" s="390"/>
      <c r="BS3" s="390"/>
      <c r="BT3" s="390"/>
      <c r="BU3" s="390"/>
      <c r="BV3" s="390"/>
      <c r="BW3" s="390"/>
      <c r="BX3" s="390"/>
      <c r="BY3" s="390"/>
      <c r="BZ3" s="390"/>
      <c r="CA3" s="390"/>
      <c r="CB3" s="390"/>
      <c r="CC3" s="390"/>
      <c r="CD3" s="390"/>
      <c r="CE3" s="390"/>
      <c r="CF3" s="390"/>
      <c r="CG3" s="390"/>
      <c r="CH3" s="390"/>
      <c r="CI3" s="390"/>
      <c r="CJ3" s="390"/>
      <c r="CK3" s="390"/>
      <c r="CL3" s="390"/>
      <c r="CM3" s="390"/>
      <c r="CN3" s="390"/>
      <c r="CO3" s="390"/>
      <c r="CP3" s="390"/>
      <c r="CQ3" s="390"/>
      <c r="CR3" s="390"/>
      <c r="CS3" s="390"/>
      <c r="CT3" s="390"/>
      <c r="CU3" s="390"/>
      <c r="CV3" s="390"/>
      <c r="CW3" s="390"/>
      <c r="CX3" s="390"/>
      <c r="CY3" s="390"/>
      <c r="CZ3" s="390"/>
      <c r="DA3" s="390"/>
      <c r="DB3" s="390"/>
      <c r="DC3" s="390"/>
      <c r="DD3" s="390"/>
      <c r="DE3" s="390"/>
      <c r="DF3" s="390"/>
      <c r="DG3" s="390"/>
      <c r="DH3" s="390"/>
      <c r="DI3" s="390"/>
      <c r="DJ3" s="390"/>
      <c r="DK3" s="390"/>
      <c r="DL3" s="390"/>
      <c r="DM3" s="390"/>
      <c r="DN3" s="390"/>
      <c r="DO3" s="390"/>
      <c r="DP3" s="390"/>
      <c r="DQ3" s="390"/>
      <c r="DR3" s="390"/>
      <c r="DS3" s="390"/>
      <c r="DT3" s="390"/>
      <c r="DU3" s="390"/>
    </row>
    <row r="4" spans="1:125" x14ac:dyDescent="0.25">
      <c r="A4" s="393" t="s">
        <v>55</v>
      </c>
      <c r="B4" s="394"/>
      <c r="C4" s="394"/>
      <c r="D4" s="395"/>
      <c r="E4" s="394"/>
      <c r="F4" s="396">
        <f>+EOMONTH(Inputs!E20,0)</f>
        <v>46387</v>
      </c>
      <c r="G4" s="396">
        <f>EOMONTH($F$4, 1)</f>
        <v>46418</v>
      </c>
      <c r="H4" s="396">
        <f>EOMONTH($G$4, 1)</f>
        <v>46446</v>
      </c>
      <c r="I4" s="396">
        <f>EOMONTH($H$4, 1)</f>
        <v>46477</v>
      </c>
      <c r="J4" s="397">
        <f>EOMONTH($I$4, 1)</f>
        <v>46507</v>
      </c>
      <c r="K4" s="397">
        <f>EOMONTH($J$4, 1)</f>
        <v>46538</v>
      </c>
      <c r="L4" s="397">
        <f>EOMONTH($K$4, 1)</f>
        <v>46568</v>
      </c>
      <c r="M4" s="397">
        <f>EOMONTH($L$4, 1)</f>
        <v>46599</v>
      </c>
      <c r="N4" s="397">
        <f>EOMONTH($M$4, 1)</f>
        <v>46630</v>
      </c>
      <c r="O4" s="397">
        <f>EOMONTH($N$4, 1)</f>
        <v>46660</v>
      </c>
      <c r="P4" s="397">
        <f>EOMONTH($O$4, 1)</f>
        <v>46691</v>
      </c>
      <c r="Q4" s="397">
        <f>EOMONTH($P$4, 1)</f>
        <v>46721</v>
      </c>
      <c r="R4" s="397">
        <f>EOMONTH($Q$4, 1)</f>
        <v>46752</v>
      </c>
      <c r="S4" s="397">
        <f>EOMONTH($R$4, 1)</f>
        <v>46783</v>
      </c>
      <c r="T4" s="397">
        <f>EOMONTH($S$4, 1)</f>
        <v>46812</v>
      </c>
      <c r="U4" s="398">
        <f>EOMONTH($T$4, 1)</f>
        <v>46843</v>
      </c>
      <c r="V4" s="398">
        <f>EOMONTH($U$4, 1)</f>
        <v>46873</v>
      </c>
      <c r="W4" s="398">
        <f>EOMONTH($V$4, 1)</f>
        <v>46904</v>
      </c>
      <c r="X4" s="398">
        <f>EOMONTH($W$4, 1)</f>
        <v>46934</v>
      </c>
      <c r="Y4" s="398">
        <f>EOMONTH($X$4, 1)</f>
        <v>46965</v>
      </c>
      <c r="Z4" s="398">
        <f>EOMONTH($Y$4, 1)</f>
        <v>46996</v>
      </c>
      <c r="AA4" s="398">
        <f>EOMONTH($Z$4, 1)</f>
        <v>47026</v>
      </c>
      <c r="AB4" s="398">
        <f>EOMONTH($AA$4, 1)</f>
        <v>47057</v>
      </c>
      <c r="AC4" s="398">
        <f>EOMONTH($AB$4, 1)</f>
        <v>47087</v>
      </c>
      <c r="AD4" s="398">
        <f>EOMONTH($AC$4, 1)</f>
        <v>47118</v>
      </c>
      <c r="AE4" s="398">
        <f>EOMONTH($AD$4, 1)</f>
        <v>47149</v>
      </c>
      <c r="AF4" s="398">
        <f>EOMONTH($AE$4, 1)</f>
        <v>47177</v>
      </c>
      <c r="AG4" s="398">
        <f>EOMONTH($AF$4, 1)</f>
        <v>47208</v>
      </c>
      <c r="AH4" s="398">
        <f>EOMONTH($AG$4, 1)</f>
        <v>47238</v>
      </c>
      <c r="AI4" s="398">
        <f>EOMONTH($AH$4, 1)</f>
        <v>47269</v>
      </c>
      <c r="AJ4" s="398">
        <f>EOMONTH($AI$4, 1)</f>
        <v>47299</v>
      </c>
      <c r="AK4" s="398">
        <f>EOMONTH($AJ$4, 1)</f>
        <v>47330</v>
      </c>
      <c r="AL4" s="398">
        <f>EOMONTH($AK$4, 1)</f>
        <v>47361</v>
      </c>
      <c r="AM4" s="398">
        <f>EOMONTH($AL$4, 1)</f>
        <v>47391</v>
      </c>
      <c r="AN4" s="398">
        <f>EOMONTH($AM$4, 1)</f>
        <v>47422</v>
      </c>
      <c r="AO4" s="398">
        <f>EOMONTH($AN$4, 1)</f>
        <v>47452</v>
      </c>
      <c r="AP4" s="398">
        <f>EOMONTH($AO$4, 1)</f>
        <v>47483</v>
      </c>
      <c r="AQ4" s="398">
        <f>EOMONTH($AP$4, 1)</f>
        <v>47514</v>
      </c>
      <c r="AR4" s="398">
        <f>EOMONTH($AQ$4, 1)</f>
        <v>47542</v>
      </c>
      <c r="AS4" s="398">
        <f>EOMONTH($AR$4, 1)</f>
        <v>47573</v>
      </c>
      <c r="AT4" s="398">
        <f>EOMONTH($AS$4, 1)</f>
        <v>47603</v>
      </c>
      <c r="AU4" s="398">
        <f>EOMONTH($AT$4, 1)</f>
        <v>47634</v>
      </c>
      <c r="AV4" s="398">
        <f>EOMONTH($AU$4, 1)</f>
        <v>47664</v>
      </c>
      <c r="AW4" s="398">
        <f>EOMONTH($AV$4, 1)</f>
        <v>47695</v>
      </c>
      <c r="AX4" s="398">
        <f>EOMONTH($AW$4, 1)</f>
        <v>47726</v>
      </c>
      <c r="AY4" s="398">
        <f>EOMONTH($AX$4, 1)</f>
        <v>47756</v>
      </c>
      <c r="AZ4" s="398">
        <f>EOMONTH($AY$4, 1)</f>
        <v>47787</v>
      </c>
      <c r="BA4" s="398">
        <f>EOMONTH($AZ$4, 1)</f>
        <v>47817</v>
      </c>
      <c r="BB4" s="398">
        <f>EOMONTH($BA$4, 1)</f>
        <v>47848</v>
      </c>
      <c r="BC4" s="398">
        <f>EOMONTH($BB$4, 1)</f>
        <v>47879</v>
      </c>
      <c r="BD4" s="398">
        <f>EOMONTH($BC$4, 1)</f>
        <v>47907</v>
      </c>
      <c r="BE4" s="398">
        <f>EOMONTH($BD$4, 1)</f>
        <v>47938</v>
      </c>
      <c r="BF4" s="398">
        <f>EOMONTH($BE$4, 1)</f>
        <v>47968</v>
      </c>
      <c r="BG4" s="398">
        <f>EOMONTH($BF$4, 1)</f>
        <v>47999</v>
      </c>
      <c r="BH4" s="398">
        <f>EOMONTH($BG$4, 1)</f>
        <v>48029</v>
      </c>
      <c r="BI4" s="398">
        <f>EOMONTH($BH$4, 1)</f>
        <v>48060</v>
      </c>
      <c r="BJ4" s="398">
        <f>EOMONTH($BI$4, 1)</f>
        <v>48091</v>
      </c>
      <c r="BK4" s="398">
        <f>EOMONTH($BJ$4, 1)</f>
        <v>48121</v>
      </c>
      <c r="BL4" s="398">
        <f>EOMONTH($BK$4, 1)</f>
        <v>48152</v>
      </c>
      <c r="BM4" s="398">
        <f>EOMONTH($BL$4, 1)</f>
        <v>48182</v>
      </c>
      <c r="BN4" s="398">
        <f>EOMONTH($BM$4, 1)</f>
        <v>48213</v>
      </c>
      <c r="BO4" s="398">
        <f>EOMONTH($BN$4, 1)</f>
        <v>48244</v>
      </c>
      <c r="BP4" s="398">
        <f>EOMONTH($BO$4, 1)</f>
        <v>48273</v>
      </c>
      <c r="BQ4" s="398">
        <f>EOMONTH($BP$4, 1)</f>
        <v>48304</v>
      </c>
      <c r="BR4" s="398">
        <f>EOMONTH($BQ$4, 1)</f>
        <v>48334</v>
      </c>
      <c r="BS4" s="398">
        <f>EOMONTH($BR$4, 1)</f>
        <v>48365</v>
      </c>
      <c r="BT4" s="398">
        <f>EOMONTH($BS$4, 1)</f>
        <v>48395</v>
      </c>
      <c r="BU4" s="398">
        <f>EOMONTH($BT$4, 1)</f>
        <v>48426</v>
      </c>
      <c r="BV4" s="398">
        <f>EOMONTH($BU$4, 1)</f>
        <v>48457</v>
      </c>
      <c r="BW4" s="398">
        <f>EOMONTH($BV$4, 1)</f>
        <v>48487</v>
      </c>
      <c r="BX4" s="398">
        <f>EOMONTH($BW$4, 1)</f>
        <v>48518</v>
      </c>
      <c r="BY4" s="398">
        <f>EOMONTH($BX$4, 1)</f>
        <v>48548</v>
      </c>
      <c r="BZ4" s="398">
        <f>EOMONTH($BY$4, 1)</f>
        <v>48579</v>
      </c>
      <c r="CA4" s="398">
        <f>EOMONTH($BZ$4, 1)</f>
        <v>48610</v>
      </c>
      <c r="CB4" s="398">
        <f>EOMONTH($CA$4, 1)</f>
        <v>48638</v>
      </c>
      <c r="CC4" s="398">
        <f>EOMONTH($CB$4, 1)</f>
        <v>48669</v>
      </c>
      <c r="CD4" s="398">
        <f>EOMONTH($CC$4, 1)</f>
        <v>48699</v>
      </c>
      <c r="CE4" s="398">
        <f>EOMONTH($CD$4, 1)</f>
        <v>48730</v>
      </c>
      <c r="CF4" s="398">
        <f>EOMONTH($CE$4, 1)</f>
        <v>48760</v>
      </c>
      <c r="CG4" s="398">
        <f>EOMONTH($CF$4, 1)</f>
        <v>48791</v>
      </c>
      <c r="CH4" s="398">
        <f>EOMONTH($CG$4, 1)</f>
        <v>48822</v>
      </c>
      <c r="CI4" s="398">
        <f>EOMONTH($CH$4, 1)</f>
        <v>48852</v>
      </c>
      <c r="CJ4" s="398">
        <f>EOMONTH($CI$4, 1)</f>
        <v>48883</v>
      </c>
      <c r="CK4" s="398">
        <f>EOMONTH($CJ$4, 1)</f>
        <v>48913</v>
      </c>
      <c r="CL4" s="398">
        <f>EOMONTH($CK$4, 1)</f>
        <v>48944</v>
      </c>
      <c r="CM4" s="398">
        <f>EOMONTH($CL$4, 1)</f>
        <v>48975</v>
      </c>
      <c r="CN4" s="398">
        <f>EOMONTH($CM$4, 1)</f>
        <v>49003</v>
      </c>
      <c r="CO4" s="398">
        <f>EOMONTH($CN$4, 1)</f>
        <v>49034</v>
      </c>
      <c r="CP4" s="398">
        <f>EOMONTH($CO$4, 1)</f>
        <v>49064</v>
      </c>
      <c r="CQ4" s="398">
        <f>EOMONTH($CP$4, 1)</f>
        <v>49095</v>
      </c>
      <c r="CR4" s="398">
        <f>EOMONTH($CQ$4, 1)</f>
        <v>49125</v>
      </c>
      <c r="CS4" s="398">
        <f>EOMONTH($CR$4, 1)</f>
        <v>49156</v>
      </c>
      <c r="CT4" s="398">
        <f>EOMONTH($CS$4, 1)</f>
        <v>49187</v>
      </c>
      <c r="CU4" s="398">
        <f>EOMONTH($CT$4, 1)</f>
        <v>49217</v>
      </c>
      <c r="CV4" s="398">
        <f>EOMONTH($CU$4, 1)</f>
        <v>49248</v>
      </c>
      <c r="CW4" s="398">
        <f>EOMONTH($CV$4, 1)</f>
        <v>49278</v>
      </c>
      <c r="CX4" s="398">
        <f>EOMONTH($CW$4, 1)</f>
        <v>49309</v>
      </c>
      <c r="CY4" s="398">
        <f>EOMONTH($CX$4, 1)</f>
        <v>49340</v>
      </c>
      <c r="CZ4" s="398">
        <f>EOMONTH($CY$4, 1)</f>
        <v>49368</v>
      </c>
      <c r="DA4" s="398">
        <f>EOMONTH($CZ$4, 1)</f>
        <v>49399</v>
      </c>
      <c r="DB4" s="398">
        <f>EOMONTH($DA$4, 1)</f>
        <v>49429</v>
      </c>
      <c r="DC4" s="398">
        <f>EOMONTH($DB$4, 1)</f>
        <v>49460</v>
      </c>
      <c r="DD4" s="398">
        <f>EOMONTH($DC$4, 1)</f>
        <v>49490</v>
      </c>
      <c r="DE4" s="398">
        <f>EOMONTH($DD$4, 1)</f>
        <v>49521</v>
      </c>
      <c r="DF4" s="398">
        <f>EOMONTH($DE$4, 1)</f>
        <v>49552</v>
      </c>
      <c r="DG4" s="398">
        <f>EOMONTH($DF$4, 1)</f>
        <v>49582</v>
      </c>
      <c r="DH4" s="398">
        <f>EOMONTH($DG$4, 1)</f>
        <v>49613</v>
      </c>
      <c r="DI4" s="398">
        <f>EOMONTH($DH$4, 1)</f>
        <v>49643</v>
      </c>
      <c r="DJ4" s="398">
        <f>EOMONTH($DI$4, 1)</f>
        <v>49674</v>
      </c>
      <c r="DK4" s="398">
        <f>EOMONTH($DJ$4, 1)</f>
        <v>49705</v>
      </c>
      <c r="DL4" s="398">
        <f>EOMONTH($DK$4, 1)</f>
        <v>49734</v>
      </c>
      <c r="DM4" s="398">
        <f t="shared" ref="DM4:DU4" si="0">EOMONTH(DL4, 1)</f>
        <v>49765</v>
      </c>
      <c r="DN4" s="398">
        <f t="shared" si="0"/>
        <v>49795</v>
      </c>
      <c r="DO4" s="398">
        <f t="shared" si="0"/>
        <v>49826</v>
      </c>
      <c r="DP4" s="398">
        <f t="shared" si="0"/>
        <v>49856</v>
      </c>
      <c r="DQ4" s="398">
        <f t="shared" si="0"/>
        <v>49887</v>
      </c>
      <c r="DR4" s="398">
        <f t="shared" si="0"/>
        <v>49918</v>
      </c>
      <c r="DS4" s="398">
        <f t="shared" si="0"/>
        <v>49948</v>
      </c>
      <c r="DT4" s="398">
        <f t="shared" si="0"/>
        <v>49979</v>
      </c>
      <c r="DU4" s="398">
        <f t="shared" si="0"/>
        <v>50009</v>
      </c>
    </row>
    <row r="5" spans="1:125" x14ac:dyDescent="0.25">
      <c r="A5" s="399" t="s">
        <v>54</v>
      </c>
      <c r="D5" s="387"/>
      <c r="F5" s="400">
        <v>1</v>
      </c>
      <c r="G5" s="400">
        <f t="shared" ref="G5:AL5" si="1">F5+1</f>
        <v>2</v>
      </c>
      <c r="H5" s="400">
        <f t="shared" si="1"/>
        <v>3</v>
      </c>
      <c r="I5" s="400">
        <f t="shared" si="1"/>
        <v>4</v>
      </c>
      <c r="J5" s="401">
        <f t="shared" si="1"/>
        <v>5</v>
      </c>
      <c r="K5" s="401">
        <f t="shared" si="1"/>
        <v>6</v>
      </c>
      <c r="L5" s="401">
        <f t="shared" si="1"/>
        <v>7</v>
      </c>
      <c r="M5" s="401">
        <f t="shared" si="1"/>
        <v>8</v>
      </c>
      <c r="N5" s="401">
        <f t="shared" si="1"/>
        <v>9</v>
      </c>
      <c r="O5" s="401">
        <f t="shared" si="1"/>
        <v>10</v>
      </c>
      <c r="P5" s="401">
        <f t="shared" si="1"/>
        <v>11</v>
      </c>
      <c r="Q5" s="401">
        <f t="shared" si="1"/>
        <v>12</v>
      </c>
      <c r="R5" s="401">
        <f t="shared" si="1"/>
        <v>13</v>
      </c>
      <c r="S5" s="401">
        <f t="shared" si="1"/>
        <v>14</v>
      </c>
      <c r="T5" s="401">
        <f t="shared" si="1"/>
        <v>15</v>
      </c>
      <c r="U5" s="402">
        <f t="shared" si="1"/>
        <v>16</v>
      </c>
      <c r="V5" s="402">
        <f t="shared" si="1"/>
        <v>17</v>
      </c>
      <c r="W5" s="402">
        <f t="shared" si="1"/>
        <v>18</v>
      </c>
      <c r="X5" s="402">
        <f t="shared" si="1"/>
        <v>19</v>
      </c>
      <c r="Y5" s="402">
        <f t="shared" si="1"/>
        <v>20</v>
      </c>
      <c r="Z5" s="402">
        <f t="shared" si="1"/>
        <v>21</v>
      </c>
      <c r="AA5" s="402">
        <f t="shared" si="1"/>
        <v>22</v>
      </c>
      <c r="AB5" s="402">
        <f t="shared" si="1"/>
        <v>23</v>
      </c>
      <c r="AC5" s="402">
        <f t="shared" si="1"/>
        <v>24</v>
      </c>
      <c r="AD5" s="402">
        <f t="shared" si="1"/>
        <v>25</v>
      </c>
      <c r="AE5" s="402">
        <f t="shared" si="1"/>
        <v>26</v>
      </c>
      <c r="AF5" s="402">
        <f t="shared" si="1"/>
        <v>27</v>
      </c>
      <c r="AG5" s="402">
        <f t="shared" si="1"/>
        <v>28</v>
      </c>
      <c r="AH5" s="402">
        <f t="shared" si="1"/>
        <v>29</v>
      </c>
      <c r="AI5" s="402">
        <f t="shared" si="1"/>
        <v>30</v>
      </c>
      <c r="AJ5" s="402">
        <f t="shared" si="1"/>
        <v>31</v>
      </c>
      <c r="AK5" s="402">
        <f t="shared" si="1"/>
        <v>32</v>
      </c>
      <c r="AL5" s="402">
        <f t="shared" si="1"/>
        <v>33</v>
      </c>
      <c r="AM5" s="402">
        <f t="shared" ref="AM5:BR5" si="2">AL5+1</f>
        <v>34</v>
      </c>
      <c r="AN5" s="402">
        <f t="shared" si="2"/>
        <v>35</v>
      </c>
      <c r="AO5" s="402">
        <f t="shared" si="2"/>
        <v>36</v>
      </c>
      <c r="AP5" s="402">
        <f t="shared" si="2"/>
        <v>37</v>
      </c>
      <c r="AQ5" s="402">
        <f t="shared" si="2"/>
        <v>38</v>
      </c>
      <c r="AR5" s="402">
        <f t="shared" si="2"/>
        <v>39</v>
      </c>
      <c r="AS5" s="402">
        <f t="shared" si="2"/>
        <v>40</v>
      </c>
      <c r="AT5" s="402">
        <f t="shared" si="2"/>
        <v>41</v>
      </c>
      <c r="AU5" s="402">
        <f t="shared" si="2"/>
        <v>42</v>
      </c>
      <c r="AV5" s="402">
        <f t="shared" si="2"/>
        <v>43</v>
      </c>
      <c r="AW5" s="402">
        <f t="shared" si="2"/>
        <v>44</v>
      </c>
      <c r="AX5" s="402">
        <f t="shared" si="2"/>
        <v>45</v>
      </c>
      <c r="AY5" s="402">
        <f t="shared" si="2"/>
        <v>46</v>
      </c>
      <c r="AZ5" s="402">
        <f t="shared" si="2"/>
        <v>47</v>
      </c>
      <c r="BA5" s="402">
        <f t="shared" si="2"/>
        <v>48</v>
      </c>
      <c r="BB5" s="402">
        <f t="shared" si="2"/>
        <v>49</v>
      </c>
      <c r="BC5" s="402">
        <f t="shared" si="2"/>
        <v>50</v>
      </c>
      <c r="BD5" s="402">
        <f t="shared" si="2"/>
        <v>51</v>
      </c>
      <c r="BE5" s="402">
        <f t="shared" si="2"/>
        <v>52</v>
      </c>
      <c r="BF5" s="402">
        <f t="shared" si="2"/>
        <v>53</v>
      </c>
      <c r="BG5" s="402">
        <f t="shared" si="2"/>
        <v>54</v>
      </c>
      <c r="BH5" s="402">
        <f t="shared" si="2"/>
        <v>55</v>
      </c>
      <c r="BI5" s="402">
        <f t="shared" si="2"/>
        <v>56</v>
      </c>
      <c r="BJ5" s="402">
        <f t="shared" si="2"/>
        <v>57</v>
      </c>
      <c r="BK5" s="402">
        <f t="shared" si="2"/>
        <v>58</v>
      </c>
      <c r="BL5" s="402">
        <f t="shared" si="2"/>
        <v>59</v>
      </c>
      <c r="BM5" s="402">
        <f t="shared" si="2"/>
        <v>60</v>
      </c>
      <c r="BN5" s="402">
        <f t="shared" si="2"/>
        <v>61</v>
      </c>
      <c r="BO5" s="402">
        <f t="shared" si="2"/>
        <v>62</v>
      </c>
      <c r="BP5" s="402">
        <f t="shared" si="2"/>
        <v>63</v>
      </c>
      <c r="BQ5" s="402">
        <f t="shared" si="2"/>
        <v>64</v>
      </c>
      <c r="BR5" s="402">
        <f t="shared" si="2"/>
        <v>65</v>
      </c>
      <c r="BS5" s="402">
        <f t="shared" ref="BS5:CX5" si="3">BR5+1</f>
        <v>66</v>
      </c>
      <c r="BT5" s="402">
        <f t="shared" si="3"/>
        <v>67</v>
      </c>
      <c r="BU5" s="402">
        <f t="shared" si="3"/>
        <v>68</v>
      </c>
      <c r="BV5" s="402">
        <f t="shared" si="3"/>
        <v>69</v>
      </c>
      <c r="BW5" s="402">
        <f t="shared" si="3"/>
        <v>70</v>
      </c>
      <c r="BX5" s="402">
        <f t="shared" si="3"/>
        <v>71</v>
      </c>
      <c r="BY5" s="402">
        <f t="shared" si="3"/>
        <v>72</v>
      </c>
      <c r="BZ5" s="402">
        <f t="shared" si="3"/>
        <v>73</v>
      </c>
      <c r="CA5" s="402">
        <f t="shared" si="3"/>
        <v>74</v>
      </c>
      <c r="CB5" s="402">
        <f t="shared" si="3"/>
        <v>75</v>
      </c>
      <c r="CC5" s="402">
        <f t="shared" si="3"/>
        <v>76</v>
      </c>
      <c r="CD5" s="402">
        <f t="shared" si="3"/>
        <v>77</v>
      </c>
      <c r="CE5" s="402">
        <f t="shared" si="3"/>
        <v>78</v>
      </c>
      <c r="CF5" s="402">
        <f t="shared" si="3"/>
        <v>79</v>
      </c>
      <c r="CG5" s="402">
        <f t="shared" si="3"/>
        <v>80</v>
      </c>
      <c r="CH5" s="402">
        <f t="shared" si="3"/>
        <v>81</v>
      </c>
      <c r="CI5" s="402">
        <f t="shared" si="3"/>
        <v>82</v>
      </c>
      <c r="CJ5" s="402">
        <f t="shared" si="3"/>
        <v>83</v>
      </c>
      <c r="CK5" s="402">
        <f t="shared" si="3"/>
        <v>84</v>
      </c>
      <c r="CL5" s="402">
        <f t="shared" si="3"/>
        <v>85</v>
      </c>
      <c r="CM5" s="402">
        <f t="shared" si="3"/>
        <v>86</v>
      </c>
      <c r="CN5" s="402">
        <f t="shared" si="3"/>
        <v>87</v>
      </c>
      <c r="CO5" s="402">
        <f t="shared" si="3"/>
        <v>88</v>
      </c>
      <c r="CP5" s="402">
        <f t="shared" si="3"/>
        <v>89</v>
      </c>
      <c r="CQ5" s="402">
        <f t="shared" si="3"/>
        <v>90</v>
      </c>
      <c r="CR5" s="402">
        <f t="shared" si="3"/>
        <v>91</v>
      </c>
      <c r="CS5" s="402">
        <f t="shared" si="3"/>
        <v>92</v>
      </c>
      <c r="CT5" s="402">
        <f t="shared" si="3"/>
        <v>93</v>
      </c>
      <c r="CU5" s="402">
        <f t="shared" si="3"/>
        <v>94</v>
      </c>
      <c r="CV5" s="402">
        <f t="shared" si="3"/>
        <v>95</v>
      </c>
      <c r="CW5" s="402">
        <f t="shared" si="3"/>
        <v>96</v>
      </c>
      <c r="CX5" s="402">
        <f t="shared" si="3"/>
        <v>97</v>
      </c>
      <c r="CY5" s="402">
        <f t="shared" ref="CY5:DU5" si="4">CX5+1</f>
        <v>98</v>
      </c>
      <c r="CZ5" s="402">
        <f t="shared" si="4"/>
        <v>99</v>
      </c>
      <c r="DA5" s="402">
        <f t="shared" si="4"/>
        <v>100</v>
      </c>
      <c r="DB5" s="402">
        <f t="shared" si="4"/>
        <v>101</v>
      </c>
      <c r="DC5" s="402">
        <f t="shared" si="4"/>
        <v>102</v>
      </c>
      <c r="DD5" s="402">
        <f t="shared" si="4"/>
        <v>103</v>
      </c>
      <c r="DE5" s="402">
        <f t="shared" si="4"/>
        <v>104</v>
      </c>
      <c r="DF5" s="402">
        <f t="shared" si="4"/>
        <v>105</v>
      </c>
      <c r="DG5" s="402">
        <f t="shared" si="4"/>
        <v>106</v>
      </c>
      <c r="DH5" s="402">
        <f t="shared" si="4"/>
        <v>107</v>
      </c>
      <c r="DI5" s="402">
        <f t="shared" si="4"/>
        <v>108</v>
      </c>
      <c r="DJ5" s="402">
        <f t="shared" si="4"/>
        <v>109</v>
      </c>
      <c r="DK5" s="402">
        <f t="shared" si="4"/>
        <v>110</v>
      </c>
      <c r="DL5" s="402">
        <f t="shared" si="4"/>
        <v>111</v>
      </c>
      <c r="DM5" s="402">
        <f t="shared" si="4"/>
        <v>112</v>
      </c>
      <c r="DN5" s="402">
        <f t="shared" si="4"/>
        <v>113</v>
      </c>
      <c r="DO5" s="402">
        <f t="shared" si="4"/>
        <v>114</v>
      </c>
      <c r="DP5" s="402">
        <f t="shared" si="4"/>
        <v>115</v>
      </c>
      <c r="DQ5" s="402">
        <f t="shared" si="4"/>
        <v>116</v>
      </c>
      <c r="DR5" s="402">
        <f t="shared" si="4"/>
        <v>117</v>
      </c>
      <c r="DS5" s="402">
        <f t="shared" si="4"/>
        <v>118</v>
      </c>
      <c r="DT5" s="402">
        <f t="shared" si="4"/>
        <v>119</v>
      </c>
      <c r="DU5" s="402">
        <f t="shared" si="4"/>
        <v>120</v>
      </c>
    </row>
    <row r="6" spans="1:125" x14ac:dyDescent="0.25">
      <c r="A6" s="399" t="s">
        <v>117</v>
      </c>
      <c r="D6" s="387"/>
      <c r="F6" s="400">
        <f t="shared" ref="F6:AK6" si="5">ROUNDUP(F5/12,0)</f>
        <v>1</v>
      </c>
      <c r="G6" s="400">
        <f t="shared" si="5"/>
        <v>1</v>
      </c>
      <c r="H6" s="400">
        <f t="shared" si="5"/>
        <v>1</v>
      </c>
      <c r="I6" s="400">
        <f t="shared" si="5"/>
        <v>1</v>
      </c>
      <c r="J6" s="401">
        <f t="shared" si="5"/>
        <v>1</v>
      </c>
      <c r="K6" s="401">
        <f t="shared" si="5"/>
        <v>1</v>
      </c>
      <c r="L6" s="401">
        <f t="shared" si="5"/>
        <v>1</v>
      </c>
      <c r="M6" s="401">
        <f t="shared" si="5"/>
        <v>1</v>
      </c>
      <c r="N6" s="401">
        <f t="shared" si="5"/>
        <v>1</v>
      </c>
      <c r="O6" s="401">
        <f t="shared" si="5"/>
        <v>1</v>
      </c>
      <c r="P6" s="401">
        <f t="shared" si="5"/>
        <v>1</v>
      </c>
      <c r="Q6" s="401">
        <f t="shared" si="5"/>
        <v>1</v>
      </c>
      <c r="R6" s="401">
        <f t="shared" si="5"/>
        <v>2</v>
      </c>
      <c r="S6" s="401">
        <f t="shared" si="5"/>
        <v>2</v>
      </c>
      <c r="T6" s="401">
        <f t="shared" si="5"/>
        <v>2</v>
      </c>
      <c r="U6" s="402">
        <f t="shared" si="5"/>
        <v>2</v>
      </c>
      <c r="V6" s="402">
        <f t="shared" si="5"/>
        <v>2</v>
      </c>
      <c r="W6" s="402">
        <f t="shared" si="5"/>
        <v>2</v>
      </c>
      <c r="X6" s="402">
        <f t="shared" si="5"/>
        <v>2</v>
      </c>
      <c r="Y6" s="402">
        <f t="shared" si="5"/>
        <v>2</v>
      </c>
      <c r="Z6" s="402">
        <f t="shared" si="5"/>
        <v>2</v>
      </c>
      <c r="AA6" s="402">
        <f t="shared" si="5"/>
        <v>2</v>
      </c>
      <c r="AB6" s="402">
        <f t="shared" si="5"/>
        <v>2</v>
      </c>
      <c r="AC6" s="402">
        <f t="shared" si="5"/>
        <v>2</v>
      </c>
      <c r="AD6" s="402">
        <f t="shared" si="5"/>
        <v>3</v>
      </c>
      <c r="AE6" s="402">
        <f t="shared" si="5"/>
        <v>3</v>
      </c>
      <c r="AF6" s="402">
        <f t="shared" si="5"/>
        <v>3</v>
      </c>
      <c r="AG6" s="402">
        <f t="shared" si="5"/>
        <v>3</v>
      </c>
      <c r="AH6" s="402">
        <f t="shared" si="5"/>
        <v>3</v>
      </c>
      <c r="AI6" s="402">
        <f t="shared" si="5"/>
        <v>3</v>
      </c>
      <c r="AJ6" s="402">
        <f t="shared" si="5"/>
        <v>3</v>
      </c>
      <c r="AK6" s="402">
        <f t="shared" si="5"/>
        <v>3</v>
      </c>
      <c r="AL6" s="402">
        <f t="shared" ref="AL6:BQ6" si="6">ROUNDUP(AL5/12,0)</f>
        <v>3</v>
      </c>
      <c r="AM6" s="402">
        <f t="shared" si="6"/>
        <v>3</v>
      </c>
      <c r="AN6" s="402">
        <f t="shared" si="6"/>
        <v>3</v>
      </c>
      <c r="AO6" s="402">
        <f t="shared" si="6"/>
        <v>3</v>
      </c>
      <c r="AP6" s="402">
        <f t="shared" si="6"/>
        <v>4</v>
      </c>
      <c r="AQ6" s="402">
        <f t="shared" si="6"/>
        <v>4</v>
      </c>
      <c r="AR6" s="402">
        <f t="shared" si="6"/>
        <v>4</v>
      </c>
      <c r="AS6" s="402">
        <f t="shared" si="6"/>
        <v>4</v>
      </c>
      <c r="AT6" s="402">
        <f t="shared" si="6"/>
        <v>4</v>
      </c>
      <c r="AU6" s="402">
        <f t="shared" si="6"/>
        <v>4</v>
      </c>
      <c r="AV6" s="402">
        <f t="shared" si="6"/>
        <v>4</v>
      </c>
      <c r="AW6" s="402">
        <f t="shared" si="6"/>
        <v>4</v>
      </c>
      <c r="AX6" s="402">
        <f t="shared" si="6"/>
        <v>4</v>
      </c>
      <c r="AY6" s="402">
        <f t="shared" si="6"/>
        <v>4</v>
      </c>
      <c r="AZ6" s="402">
        <f t="shared" si="6"/>
        <v>4</v>
      </c>
      <c r="BA6" s="402">
        <f t="shared" si="6"/>
        <v>4</v>
      </c>
      <c r="BB6" s="402">
        <f t="shared" si="6"/>
        <v>5</v>
      </c>
      <c r="BC6" s="402">
        <f t="shared" si="6"/>
        <v>5</v>
      </c>
      <c r="BD6" s="402">
        <f t="shared" si="6"/>
        <v>5</v>
      </c>
      <c r="BE6" s="402">
        <f t="shared" si="6"/>
        <v>5</v>
      </c>
      <c r="BF6" s="402">
        <f t="shared" si="6"/>
        <v>5</v>
      </c>
      <c r="BG6" s="402">
        <f t="shared" si="6"/>
        <v>5</v>
      </c>
      <c r="BH6" s="402">
        <f t="shared" si="6"/>
        <v>5</v>
      </c>
      <c r="BI6" s="402">
        <f t="shared" si="6"/>
        <v>5</v>
      </c>
      <c r="BJ6" s="402">
        <f t="shared" si="6"/>
        <v>5</v>
      </c>
      <c r="BK6" s="402">
        <f t="shared" si="6"/>
        <v>5</v>
      </c>
      <c r="BL6" s="402">
        <f t="shared" si="6"/>
        <v>5</v>
      </c>
      <c r="BM6" s="402">
        <f t="shared" si="6"/>
        <v>5</v>
      </c>
      <c r="BN6" s="402">
        <f t="shared" si="6"/>
        <v>6</v>
      </c>
      <c r="BO6" s="402">
        <f t="shared" si="6"/>
        <v>6</v>
      </c>
      <c r="BP6" s="402">
        <f t="shared" si="6"/>
        <v>6</v>
      </c>
      <c r="BQ6" s="402">
        <f t="shared" si="6"/>
        <v>6</v>
      </c>
      <c r="BR6" s="402">
        <f t="shared" ref="BR6:CW6" si="7">ROUNDUP(BR5/12,0)</f>
        <v>6</v>
      </c>
      <c r="BS6" s="402">
        <f t="shared" si="7"/>
        <v>6</v>
      </c>
      <c r="BT6" s="402">
        <f t="shared" si="7"/>
        <v>6</v>
      </c>
      <c r="BU6" s="402">
        <f t="shared" si="7"/>
        <v>6</v>
      </c>
      <c r="BV6" s="402">
        <f t="shared" si="7"/>
        <v>6</v>
      </c>
      <c r="BW6" s="402">
        <f t="shared" si="7"/>
        <v>6</v>
      </c>
      <c r="BX6" s="402">
        <f t="shared" si="7"/>
        <v>6</v>
      </c>
      <c r="BY6" s="402">
        <f t="shared" si="7"/>
        <v>6</v>
      </c>
      <c r="BZ6" s="402">
        <f t="shared" si="7"/>
        <v>7</v>
      </c>
      <c r="CA6" s="402">
        <f t="shared" si="7"/>
        <v>7</v>
      </c>
      <c r="CB6" s="402">
        <f t="shared" si="7"/>
        <v>7</v>
      </c>
      <c r="CC6" s="402">
        <f t="shared" si="7"/>
        <v>7</v>
      </c>
      <c r="CD6" s="402">
        <f t="shared" si="7"/>
        <v>7</v>
      </c>
      <c r="CE6" s="402">
        <f t="shared" si="7"/>
        <v>7</v>
      </c>
      <c r="CF6" s="402">
        <f t="shared" si="7"/>
        <v>7</v>
      </c>
      <c r="CG6" s="402">
        <f t="shared" si="7"/>
        <v>7</v>
      </c>
      <c r="CH6" s="402">
        <f t="shared" si="7"/>
        <v>7</v>
      </c>
      <c r="CI6" s="402">
        <f t="shared" si="7"/>
        <v>7</v>
      </c>
      <c r="CJ6" s="402">
        <f t="shared" si="7"/>
        <v>7</v>
      </c>
      <c r="CK6" s="402">
        <f t="shared" si="7"/>
        <v>7</v>
      </c>
      <c r="CL6" s="402">
        <f t="shared" si="7"/>
        <v>8</v>
      </c>
      <c r="CM6" s="402">
        <f t="shared" si="7"/>
        <v>8</v>
      </c>
      <c r="CN6" s="402">
        <f t="shared" si="7"/>
        <v>8</v>
      </c>
      <c r="CO6" s="402">
        <f t="shared" si="7"/>
        <v>8</v>
      </c>
      <c r="CP6" s="402">
        <f t="shared" si="7"/>
        <v>8</v>
      </c>
      <c r="CQ6" s="402">
        <f t="shared" si="7"/>
        <v>8</v>
      </c>
      <c r="CR6" s="402">
        <f t="shared" si="7"/>
        <v>8</v>
      </c>
      <c r="CS6" s="402">
        <f t="shared" si="7"/>
        <v>8</v>
      </c>
      <c r="CT6" s="402">
        <f t="shared" si="7"/>
        <v>8</v>
      </c>
      <c r="CU6" s="402">
        <f t="shared" si="7"/>
        <v>8</v>
      </c>
      <c r="CV6" s="402">
        <f t="shared" si="7"/>
        <v>8</v>
      </c>
      <c r="CW6" s="402">
        <f t="shared" si="7"/>
        <v>8</v>
      </c>
      <c r="CX6" s="402">
        <f t="shared" ref="CX6:EC6" si="8">ROUNDUP(CX5/12,0)</f>
        <v>9</v>
      </c>
      <c r="CY6" s="402">
        <f t="shared" si="8"/>
        <v>9</v>
      </c>
      <c r="CZ6" s="402">
        <f t="shared" si="8"/>
        <v>9</v>
      </c>
      <c r="DA6" s="402">
        <f t="shared" si="8"/>
        <v>9</v>
      </c>
      <c r="DB6" s="402">
        <f t="shared" si="8"/>
        <v>9</v>
      </c>
      <c r="DC6" s="402">
        <f t="shared" si="8"/>
        <v>9</v>
      </c>
      <c r="DD6" s="402">
        <f t="shared" si="8"/>
        <v>9</v>
      </c>
      <c r="DE6" s="402">
        <f t="shared" si="8"/>
        <v>9</v>
      </c>
      <c r="DF6" s="402">
        <f t="shared" si="8"/>
        <v>9</v>
      </c>
      <c r="DG6" s="402">
        <f t="shared" si="8"/>
        <v>9</v>
      </c>
      <c r="DH6" s="402">
        <f t="shared" si="8"/>
        <v>9</v>
      </c>
      <c r="DI6" s="402">
        <f t="shared" si="8"/>
        <v>9</v>
      </c>
      <c r="DJ6" s="402">
        <f t="shared" si="8"/>
        <v>10</v>
      </c>
      <c r="DK6" s="402">
        <f t="shared" si="8"/>
        <v>10</v>
      </c>
      <c r="DL6" s="402">
        <f t="shared" si="8"/>
        <v>10</v>
      </c>
      <c r="DM6" s="402">
        <f t="shared" si="8"/>
        <v>10</v>
      </c>
      <c r="DN6" s="402">
        <f t="shared" si="8"/>
        <v>10</v>
      </c>
      <c r="DO6" s="402">
        <f t="shared" si="8"/>
        <v>10</v>
      </c>
      <c r="DP6" s="402">
        <f t="shared" si="8"/>
        <v>10</v>
      </c>
      <c r="DQ6" s="402">
        <f t="shared" si="8"/>
        <v>10</v>
      </c>
      <c r="DR6" s="402">
        <f t="shared" si="8"/>
        <v>10</v>
      </c>
      <c r="DS6" s="402">
        <f t="shared" si="8"/>
        <v>10</v>
      </c>
      <c r="DT6" s="402">
        <f t="shared" si="8"/>
        <v>10</v>
      </c>
      <c r="DU6" s="402">
        <f t="shared" si="8"/>
        <v>10</v>
      </c>
    </row>
    <row r="7" spans="1:125" x14ac:dyDescent="0.25">
      <c r="A7" s="393" t="s">
        <v>486</v>
      </c>
      <c r="B7" s="394"/>
      <c r="C7" s="394"/>
      <c r="D7" s="395"/>
      <c r="E7" s="394"/>
      <c r="F7" s="403">
        <f t="shared" ref="F7:AK7" si="9">+YEAR(F4)</f>
        <v>2026</v>
      </c>
      <c r="G7" s="403">
        <f t="shared" si="9"/>
        <v>2027</v>
      </c>
      <c r="H7" s="403">
        <f t="shared" si="9"/>
        <v>2027</v>
      </c>
      <c r="I7" s="403">
        <f t="shared" si="9"/>
        <v>2027</v>
      </c>
      <c r="J7" s="404">
        <f t="shared" si="9"/>
        <v>2027</v>
      </c>
      <c r="K7" s="404">
        <f t="shared" si="9"/>
        <v>2027</v>
      </c>
      <c r="L7" s="404">
        <f t="shared" si="9"/>
        <v>2027</v>
      </c>
      <c r="M7" s="404">
        <f t="shared" si="9"/>
        <v>2027</v>
      </c>
      <c r="N7" s="404">
        <f t="shared" si="9"/>
        <v>2027</v>
      </c>
      <c r="O7" s="404">
        <f t="shared" si="9"/>
        <v>2027</v>
      </c>
      <c r="P7" s="404">
        <f t="shared" si="9"/>
        <v>2027</v>
      </c>
      <c r="Q7" s="404">
        <f t="shared" si="9"/>
        <v>2027</v>
      </c>
      <c r="R7" s="404">
        <f t="shared" si="9"/>
        <v>2027</v>
      </c>
      <c r="S7" s="404">
        <f t="shared" si="9"/>
        <v>2028</v>
      </c>
      <c r="T7" s="404">
        <f t="shared" si="9"/>
        <v>2028</v>
      </c>
      <c r="U7" s="405">
        <f t="shared" si="9"/>
        <v>2028</v>
      </c>
      <c r="V7" s="405">
        <f t="shared" si="9"/>
        <v>2028</v>
      </c>
      <c r="W7" s="405">
        <f t="shared" si="9"/>
        <v>2028</v>
      </c>
      <c r="X7" s="405">
        <f t="shared" si="9"/>
        <v>2028</v>
      </c>
      <c r="Y7" s="405">
        <f t="shared" si="9"/>
        <v>2028</v>
      </c>
      <c r="Z7" s="405">
        <f t="shared" si="9"/>
        <v>2028</v>
      </c>
      <c r="AA7" s="405">
        <f t="shared" si="9"/>
        <v>2028</v>
      </c>
      <c r="AB7" s="405">
        <f t="shared" si="9"/>
        <v>2028</v>
      </c>
      <c r="AC7" s="405">
        <f t="shared" si="9"/>
        <v>2028</v>
      </c>
      <c r="AD7" s="405">
        <f t="shared" si="9"/>
        <v>2028</v>
      </c>
      <c r="AE7" s="405">
        <f t="shared" si="9"/>
        <v>2029</v>
      </c>
      <c r="AF7" s="405">
        <f t="shared" si="9"/>
        <v>2029</v>
      </c>
      <c r="AG7" s="405">
        <f t="shared" si="9"/>
        <v>2029</v>
      </c>
      <c r="AH7" s="405">
        <f t="shared" si="9"/>
        <v>2029</v>
      </c>
      <c r="AI7" s="405">
        <f t="shared" si="9"/>
        <v>2029</v>
      </c>
      <c r="AJ7" s="405">
        <f t="shared" si="9"/>
        <v>2029</v>
      </c>
      <c r="AK7" s="405">
        <f t="shared" si="9"/>
        <v>2029</v>
      </c>
      <c r="AL7" s="405">
        <f t="shared" ref="AL7:BQ7" si="10">+YEAR(AL4)</f>
        <v>2029</v>
      </c>
      <c r="AM7" s="405">
        <f t="shared" si="10"/>
        <v>2029</v>
      </c>
      <c r="AN7" s="405">
        <f t="shared" si="10"/>
        <v>2029</v>
      </c>
      <c r="AO7" s="405">
        <f t="shared" si="10"/>
        <v>2029</v>
      </c>
      <c r="AP7" s="405">
        <f t="shared" si="10"/>
        <v>2029</v>
      </c>
      <c r="AQ7" s="405">
        <f t="shared" si="10"/>
        <v>2030</v>
      </c>
      <c r="AR7" s="405">
        <f t="shared" si="10"/>
        <v>2030</v>
      </c>
      <c r="AS7" s="405">
        <f t="shared" si="10"/>
        <v>2030</v>
      </c>
      <c r="AT7" s="405">
        <f t="shared" si="10"/>
        <v>2030</v>
      </c>
      <c r="AU7" s="405">
        <f t="shared" si="10"/>
        <v>2030</v>
      </c>
      <c r="AV7" s="405">
        <f t="shared" si="10"/>
        <v>2030</v>
      </c>
      <c r="AW7" s="405">
        <f t="shared" si="10"/>
        <v>2030</v>
      </c>
      <c r="AX7" s="405">
        <f t="shared" si="10"/>
        <v>2030</v>
      </c>
      <c r="AY7" s="405">
        <f t="shared" si="10"/>
        <v>2030</v>
      </c>
      <c r="AZ7" s="405">
        <f t="shared" si="10"/>
        <v>2030</v>
      </c>
      <c r="BA7" s="405">
        <f t="shared" si="10"/>
        <v>2030</v>
      </c>
      <c r="BB7" s="405">
        <f t="shared" si="10"/>
        <v>2030</v>
      </c>
      <c r="BC7" s="405">
        <f t="shared" si="10"/>
        <v>2031</v>
      </c>
      <c r="BD7" s="405">
        <f t="shared" si="10"/>
        <v>2031</v>
      </c>
      <c r="BE7" s="405">
        <f t="shared" si="10"/>
        <v>2031</v>
      </c>
      <c r="BF7" s="405">
        <f t="shared" si="10"/>
        <v>2031</v>
      </c>
      <c r="BG7" s="405">
        <f t="shared" si="10"/>
        <v>2031</v>
      </c>
      <c r="BH7" s="405">
        <f t="shared" si="10"/>
        <v>2031</v>
      </c>
      <c r="BI7" s="405">
        <f t="shared" si="10"/>
        <v>2031</v>
      </c>
      <c r="BJ7" s="405">
        <f t="shared" si="10"/>
        <v>2031</v>
      </c>
      <c r="BK7" s="405">
        <f t="shared" si="10"/>
        <v>2031</v>
      </c>
      <c r="BL7" s="405">
        <f t="shared" si="10"/>
        <v>2031</v>
      </c>
      <c r="BM7" s="405">
        <f t="shared" si="10"/>
        <v>2031</v>
      </c>
      <c r="BN7" s="405">
        <f t="shared" si="10"/>
        <v>2031</v>
      </c>
      <c r="BO7" s="405">
        <f t="shared" si="10"/>
        <v>2032</v>
      </c>
      <c r="BP7" s="405">
        <f t="shared" si="10"/>
        <v>2032</v>
      </c>
      <c r="BQ7" s="405">
        <f t="shared" si="10"/>
        <v>2032</v>
      </c>
      <c r="BR7" s="405">
        <f t="shared" ref="BR7:CW7" si="11">+YEAR(BR4)</f>
        <v>2032</v>
      </c>
      <c r="BS7" s="405">
        <f t="shared" si="11"/>
        <v>2032</v>
      </c>
      <c r="BT7" s="405">
        <f t="shared" si="11"/>
        <v>2032</v>
      </c>
      <c r="BU7" s="405">
        <f t="shared" si="11"/>
        <v>2032</v>
      </c>
      <c r="BV7" s="405">
        <f t="shared" si="11"/>
        <v>2032</v>
      </c>
      <c r="BW7" s="405">
        <f t="shared" si="11"/>
        <v>2032</v>
      </c>
      <c r="BX7" s="405">
        <f t="shared" si="11"/>
        <v>2032</v>
      </c>
      <c r="BY7" s="405">
        <f t="shared" si="11"/>
        <v>2032</v>
      </c>
      <c r="BZ7" s="405">
        <f t="shared" si="11"/>
        <v>2032</v>
      </c>
      <c r="CA7" s="405">
        <f t="shared" si="11"/>
        <v>2033</v>
      </c>
      <c r="CB7" s="405">
        <f t="shared" si="11"/>
        <v>2033</v>
      </c>
      <c r="CC7" s="405">
        <f t="shared" si="11"/>
        <v>2033</v>
      </c>
      <c r="CD7" s="405">
        <f t="shared" si="11"/>
        <v>2033</v>
      </c>
      <c r="CE7" s="405">
        <f t="shared" si="11"/>
        <v>2033</v>
      </c>
      <c r="CF7" s="405">
        <f t="shared" si="11"/>
        <v>2033</v>
      </c>
      <c r="CG7" s="405">
        <f t="shared" si="11"/>
        <v>2033</v>
      </c>
      <c r="CH7" s="405">
        <f t="shared" si="11"/>
        <v>2033</v>
      </c>
      <c r="CI7" s="405">
        <f t="shared" si="11"/>
        <v>2033</v>
      </c>
      <c r="CJ7" s="405">
        <f t="shared" si="11"/>
        <v>2033</v>
      </c>
      <c r="CK7" s="405">
        <f t="shared" si="11"/>
        <v>2033</v>
      </c>
      <c r="CL7" s="405">
        <f t="shared" si="11"/>
        <v>2033</v>
      </c>
      <c r="CM7" s="405">
        <f t="shared" si="11"/>
        <v>2034</v>
      </c>
      <c r="CN7" s="405">
        <f t="shared" si="11"/>
        <v>2034</v>
      </c>
      <c r="CO7" s="405">
        <f t="shared" si="11"/>
        <v>2034</v>
      </c>
      <c r="CP7" s="405">
        <f t="shared" si="11"/>
        <v>2034</v>
      </c>
      <c r="CQ7" s="405">
        <f t="shared" si="11"/>
        <v>2034</v>
      </c>
      <c r="CR7" s="405">
        <f t="shared" si="11"/>
        <v>2034</v>
      </c>
      <c r="CS7" s="405">
        <f t="shared" si="11"/>
        <v>2034</v>
      </c>
      <c r="CT7" s="405">
        <f t="shared" si="11"/>
        <v>2034</v>
      </c>
      <c r="CU7" s="405">
        <f t="shared" si="11"/>
        <v>2034</v>
      </c>
      <c r="CV7" s="405">
        <f t="shared" si="11"/>
        <v>2034</v>
      </c>
      <c r="CW7" s="405">
        <f t="shared" si="11"/>
        <v>2034</v>
      </c>
      <c r="CX7" s="405">
        <f t="shared" ref="CX7:DU7" si="12">+YEAR(CX4)</f>
        <v>2034</v>
      </c>
      <c r="CY7" s="405">
        <f t="shared" si="12"/>
        <v>2035</v>
      </c>
      <c r="CZ7" s="405">
        <f t="shared" si="12"/>
        <v>2035</v>
      </c>
      <c r="DA7" s="405">
        <f t="shared" si="12"/>
        <v>2035</v>
      </c>
      <c r="DB7" s="405">
        <f t="shared" si="12"/>
        <v>2035</v>
      </c>
      <c r="DC7" s="405">
        <f t="shared" si="12"/>
        <v>2035</v>
      </c>
      <c r="DD7" s="405">
        <f t="shared" si="12"/>
        <v>2035</v>
      </c>
      <c r="DE7" s="405">
        <f t="shared" si="12"/>
        <v>2035</v>
      </c>
      <c r="DF7" s="405">
        <f t="shared" si="12"/>
        <v>2035</v>
      </c>
      <c r="DG7" s="405">
        <f t="shared" si="12"/>
        <v>2035</v>
      </c>
      <c r="DH7" s="405">
        <f t="shared" si="12"/>
        <v>2035</v>
      </c>
      <c r="DI7" s="405">
        <f t="shared" si="12"/>
        <v>2035</v>
      </c>
      <c r="DJ7" s="405">
        <f t="shared" si="12"/>
        <v>2035</v>
      </c>
      <c r="DK7" s="405">
        <f t="shared" si="12"/>
        <v>2036</v>
      </c>
      <c r="DL7" s="405">
        <f t="shared" si="12"/>
        <v>2036</v>
      </c>
      <c r="DM7" s="405">
        <f t="shared" si="12"/>
        <v>2036</v>
      </c>
      <c r="DN7" s="405">
        <f t="shared" si="12"/>
        <v>2036</v>
      </c>
      <c r="DO7" s="405">
        <f t="shared" si="12"/>
        <v>2036</v>
      </c>
      <c r="DP7" s="405">
        <f t="shared" si="12"/>
        <v>2036</v>
      </c>
      <c r="DQ7" s="405">
        <f t="shared" si="12"/>
        <v>2036</v>
      </c>
      <c r="DR7" s="405">
        <f t="shared" si="12"/>
        <v>2036</v>
      </c>
      <c r="DS7" s="405">
        <f t="shared" si="12"/>
        <v>2036</v>
      </c>
      <c r="DT7" s="405">
        <f t="shared" si="12"/>
        <v>2036</v>
      </c>
      <c r="DU7" s="405">
        <f t="shared" si="12"/>
        <v>2036</v>
      </c>
    </row>
    <row r="8" spans="1:125" x14ac:dyDescent="0.25">
      <c r="D8" s="387"/>
      <c r="F8" s="388"/>
      <c r="G8" s="388"/>
      <c r="H8" s="388"/>
      <c r="I8" s="388"/>
      <c r="J8" s="389"/>
      <c r="K8" s="389"/>
      <c r="L8" s="389"/>
      <c r="M8" s="389"/>
      <c r="N8" s="389"/>
      <c r="O8" s="389"/>
      <c r="P8" s="389"/>
      <c r="Q8" s="389"/>
      <c r="R8" s="389"/>
      <c r="S8" s="389"/>
      <c r="T8" s="389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</row>
    <row r="9" spans="1:125" x14ac:dyDescent="0.25">
      <c r="A9" s="399" t="s">
        <v>487</v>
      </c>
      <c r="D9" s="387"/>
      <c r="F9" s="406">
        <f>+IFERROR(IF(AND(F5&gt;=Inputs!$L$10,F5&lt;Inputs!$D$29),(1+Inputs!$L$7)^(('(Z+) Monthly CF'!F5-Inputs!$L$10)/12),IF(F5&gt;=Inputs!$D$29,E9*((1+Inputs!$L$7)^(1/12)),1)),0)</f>
        <v>1</v>
      </c>
      <c r="G9" s="406">
        <f>+IFERROR(IF(AND(G5&gt;=Inputs!$L$10,G5&lt;Inputs!$D$29),(1+Inputs!$L$7)^(('(Z+) Monthly CF'!G5-Inputs!$L$10)/12),IF(G5&gt;=Inputs!$D$29,F9*((1+Inputs!$L$7)^(1/12)),1)),0)</f>
        <v>1.0020598362698427</v>
      </c>
      <c r="H9" s="406">
        <f>+IFERROR(IF(AND(H5&gt;=Inputs!$L$10,H5&lt;Inputs!$D$29),(1+Inputs!$L$7)^(('(Z+) Monthly CF'!H5-Inputs!$L$10)/12),IF(H5&gt;=Inputs!$D$29,G9*((1+Inputs!$L$7)^(1/12)),1)),0)</f>
        <v>1.0041239154651442</v>
      </c>
      <c r="I9" s="406">
        <f>+IFERROR(IF(AND(I5&gt;=Inputs!$L$10,I5&lt;Inputs!$D$29),(1+Inputs!$L$7)^(('(Z+) Monthly CF'!I5-Inputs!$L$10)/12),IF(I5&gt;=Inputs!$D$29,H9*((1+Inputs!$L$7)^(1/12)),1)),0)</f>
        <v>1.0061922463256361</v>
      </c>
      <c r="J9" s="407">
        <f>+IFERROR(IF(AND(J5&gt;=Inputs!$L$10,J5&lt;Inputs!$D$29),(1+Inputs!$L$7)^(('(Z+) Monthly CF'!J5-Inputs!$L$10)/12),IF(J5&gt;=Inputs!$D$29,I9*((1+Inputs!$L$7)^(1/12)),1)),0)</f>
        <v>1.0082648376090522</v>
      </c>
      <c r="K9" s="407">
        <f>+IFERROR(IF(AND(K5&gt;=Inputs!$L$10,K5&lt;Inputs!$D$29),(1+Inputs!$L$7)^(('(Z+) Monthly CF'!K5-Inputs!$L$10)/12),IF(K5&gt;=Inputs!$D$29,J9*((1+Inputs!$L$7)^(1/12)),1)),0)</f>
        <v>1.0103416980911666</v>
      </c>
      <c r="L9" s="407">
        <f>+IFERROR(IF(AND(L5&gt;=Inputs!$L$10,L5&lt;Inputs!$D$29),(1+Inputs!$L$7)^(('(Z+) Monthly CF'!L5-Inputs!$L$10)/12),IF(L5&gt;=Inputs!$D$29,K9*((1+Inputs!$L$7)^(1/12)),1)),0)</f>
        <v>1.0124228365658292</v>
      </c>
      <c r="M9" s="407">
        <f>+IFERROR(IF(AND(M5&gt;=Inputs!$L$10,M5&lt;Inputs!$D$29),(1+Inputs!$L$7)^(('(Z+) Monthly CF'!M5-Inputs!$L$10)/12),IF(M5&gt;=Inputs!$D$29,L9*((1+Inputs!$L$7)^(1/12)),1)),0)</f>
        <v>1.0145082618450048</v>
      </c>
      <c r="N9" s="407">
        <f>+IFERROR(IF(AND(N5&gt;=Inputs!$L$10,N5&lt;Inputs!$D$29),(1+Inputs!$L$7)^(('(Z+) Monthly CF'!N5-Inputs!$L$10)/12),IF(N5&gt;=Inputs!$D$29,M9*((1+Inputs!$L$7)^(1/12)),1)),0)</f>
        <v>1.0165979827588083</v>
      </c>
      <c r="O9" s="407">
        <f>+IFERROR(IF(AND(O5&gt;=Inputs!$L$10,O5&lt;Inputs!$D$29),(1+Inputs!$L$7)^(('(Z+) Monthly CF'!O5-Inputs!$L$10)/12),IF(O5&gt;=Inputs!$D$29,N9*((1+Inputs!$L$7)^(1/12)),1)),0)</f>
        <v>1.0186920081555439</v>
      </c>
      <c r="P9" s="407">
        <f>+IFERROR(IF(AND(P5&gt;=Inputs!$L$10,P5&lt;Inputs!$D$29),(1+Inputs!$L$7)^(('(Z+) Monthly CF'!P5-Inputs!$L$10)/12),IF(P5&gt;=Inputs!$D$29,O9*((1+Inputs!$L$7)^(1/12)),1)),0)</f>
        <v>1.0207903469017419</v>
      </c>
      <c r="Q9" s="407">
        <f>+IFERROR(IF(AND(Q5&gt;=Inputs!$L$10,Q5&lt;Inputs!$D$29),(1+Inputs!$L$7)^(('(Z+) Monthly CF'!Q5-Inputs!$L$10)/12),IF(Q5&gt;=Inputs!$D$29,P9*((1+Inputs!$L$7)^(1/12)),1)),0)</f>
        <v>1.0228930078821956</v>
      </c>
      <c r="R9" s="407">
        <f>+IFERROR(IF(AND(R5&gt;=Inputs!$L$10,R5&lt;Inputs!$D$29),(1+Inputs!$L$7)^(('(Z+) Monthly CF'!R5-Inputs!$L$10)/12),IF(R5&gt;=Inputs!$D$29,Q9*((1+Inputs!$L$7)^(1/12)),1)),0)</f>
        <v>1.0249999999999999</v>
      </c>
      <c r="S9" s="407">
        <f>+IFERROR(IF(AND(S5&gt;=Inputs!$L$10,S5&lt;Inputs!$D$29),(1+Inputs!$L$7)^(('(Z+) Monthly CF'!S5-Inputs!$L$10)/12),IF(S5&gt;=Inputs!$D$29,R9*((1+Inputs!$L$7)^(1/12)),1)),0)</f>
        <v>1.0271113321765888</v>
      </c>
      <c r="T9" s="407">
        <f>+IFERROR(IF(AND(T5&gt;=Inputs!$L$10,T5&lt;Inputs!$D$29),(1+Inputs!$L$7)^(('(Z+) Monthly CF'!T5-Inputs!$L$10)/12),IF(T5&gt;=Inputs!$D$29,S9*((1+Inputs!$L$7)^(1/12)),1)),0)</f>
        <v>1.0292270133517727</v>
      </c>
      <c r="U9" s="408">
        <f>+IFERROR(IF(AND(U5&gt;=Inputs!$L$10,U5&lt;Inputs!$D$29),(1+Inputs!$L$7)^(('(Z+) Monthly CF'!U5-Inputs!$L$10)/12),IF(U5&gt;=Inputs!$D$29,T9*((1+Inputs!$L$7)^(1/12)),1)),0)</f>
        <v>1.0313470524837769</v>
      </c>
      <c r="V9" s="408">
        <f>+IFERROR(IF(AND(V5&gt;=Inputs!$L$10,V5&lt;Inputs!$D$29),(1+Inputs!$L$7)^(('(Z+) Monthly CF'!V5-Inputs!$L$10)/12),IF(V5&gt;=Inputs!$D$29,U9*((1+Inputs!$L$7)^(1/12)),1)),0)</f>
        <v>1.0334714585492784</v>
      </c>
      <c r="W9" s="408">
        <f>+IFERROR(IF(AND(W5&gt;=Inputs!$L$10,W5&lt;Inputs!$D$29),(1+Inputs!$L$7)^(('(Z+) Monthly CF'!W5-Inputs!$L$10)/12),IF(W5&gt;=Inputs!$D$29,V9*((1+Inputs!$L$7)^(1/12)),1)),0)</f>
        <v>1.0356002405434457</v>
      </c>
      <c r="X9" s="408">
        <f>+IFERROR(IF(AND(X5&gt;=Inputs!$L$10,X5&lt;Inputs!$D$29),(1+Inputs!$L$7)^(('(Z+) Monthly CF'!X5-Inputs!$L$10)/12),IF(X5&gt;=Inputs!$D$29,W9*((1+Inputs!$L$7)^(1/12)),1)),0)</f>
        <v>1.0377334074799749</v>
      </c>
      <c r="Y9" s="408">
        <f>+IFERROR(IF(AND(Y5&gt;=Inputs!$L$10,Y5&lt;Inputs!$D$29),(1+Inputs!$L$7)^(('(Z+) Monthly CF'!Y5-Inputs!$L$10)/12),IF(Y5&gt;=Inputs!$D$29,X9*((1+Inputs!$L$7)^(1/12)),1)),0)</f>
        <v>1.0398709683911298</v>
      </c>
      <c r="Z9" s="408">
        <f>+IFERROR(IF(AND(Z5&gt;=Inputs!$L$10,Z5&lt;Inputs!$D$29),(1+Inputs!$L$7)^(('(Z+) Monthly CF'!Z5-Inputs!$L$10)/12),IF(Z5&gt;=Inputs!$D$29,Y9*((1+Inputs!$L$7)^(1/12)),1)),0)</f>
        <v>1.0420129323277785</v>
      </c>
      <c r="AA9" s="408">
        <f>+IFERROR(IF(AND(AA5&gt;=Inputs!$L$10,AA5&lt;Inputs!$D$29),(1+Inputs!$L$7)^(('(Z+) Monthly CF'!AA5-Inputs!$L$10)/12),IF(AA5&gt;=Inputs!$D$29,Z9*((1+Inputs!$L$7)^(1/12)),1)),0)</f>
        <v>1.0441593083594325</v>
      </c>
      <c r="AB9" s="408">
        <f>+IFERROR(IF(AND(AB5&gt;=Inputs!$L$10,AB5&lt;Inputs!$D$29),(1+Inputs!$L$7)^(('(Z+) Monthly CF'!AB5-Inputs!$L$10)/12),IF(AB5&gt;=Inputs!$D$29,AA9*((1+Inputs!$L$7)^(1/12)),1)),0)</f>
        <v>1.0463101055742852</v>
      </c>
      <c r="AC9" s="408">
        <f>+IFERROR(IF(AND(AC5&gt;=Inputs!$L$10,AC5&lt;Inputs!$D$29),(1+Inputs!$L$7)^(('(Z+) Monthly CF'!AC5-Inputs!$L$10)/12),IF(AC5&gt;=Inputs!$D$29,AB9*((1+Inputs!$L$7)^(1/12)),1)),0)</f>
        <v>1.0484653330792502</v>
      </c>
      <c r="AD9" s="408">
        <f>+IFERROR(IF(AND(AD5&gt;=Inputs!$L$10,AD5&lt;Inputs!$D$29),(1+Inputs!$L$7)^(('(Z+) Monthly CF'!AD5-Inputs!$L$10)/12),IF(AD5&gt;=Inputs!$D$29,AC9*((1+Inputs!$L$7)^(1/12)),1)),0)</f>
        <v>1.0506249999999995</v>
      </c>
      <c r="AE9" s="408">
        <f>+IFERROR(IF(AND(AE5&gt;=Inputs!$L$10,AE5&lt;Inputs!$D$29),(1+Inputs!$L$7)^(('(Z+) Monthly CF'!AE5-Inputs!$L$10)/12),IF(AE5&gt;=Inputs!$D$29,AD9*((1+Inputs!$L$7)^(1/12)),1)),0)</f>
        <v>1.052789115481003</v>
      </c>
      <c r="AF9" s="408">
        <f>+IFERROR(IF(AND(AF5&gt;=Inputs!$L$10,AF5&lt;Inputs!$D$29),(1+Inputs!$L$7)^(('(Z+) Monthly CF'!AF5-Inputs!$L$10)/12),IF(AF5&gt;=Inputs!$D$29,AE9*((1+Inputs!$L$7)^(1/12)),1)),0)</f>
        <v>1.0549576886855663</v>
      </c>
      <c r="AG9" s="408">
        <f>+IFERROR(IF(AND(AG5&gt;=Inputs!$L$10,AG5&lt;Inputs!$D$29),(1+Inputs!$L$7)^(('(Z+) Monthly CF'!AG5-Inputs!$L$10)/12),IF(AG5&gt;=Inputs!$D$29,AF9*((1+Inputs!$L$7)^(1/12)),1)),0)</f>
        <v>1.0571307287958702</v>
      </c>
      <c r="AH9" s="408">
        <f>+IFERROR(IF(AND(AH5&gt;=Inputs!$L$10,AH5&lt;Inputs!$D$29),(1+Inputs!$L$7)^(('(Z+) Monthly CF'!AH5-Inputs!$L$10)/12),IF(AH5&gt;=Inputs!$D$29,AG9*((1+Inputs!$L$7)^(1/12)),1)),0)</f>
        <v>1.0593082450130094</v>
      </c>
      <c r="AI9" s="408">
        <f>+IFERROR(IF(AND(AI5&gt;=Inputs!$L$10,AI5&lt;Inputs!$D$29),(1+Inputs!$L$7)^(('(Z+) Monthly CF'!AI5-Inputs!$L$10)/12),IF(AI5&gt;=Inputs!$D$29,AH9*((1+Inputs!$L$7)^(1/12)),1)),0)</f>
        <v>1.0614902465570306</v>
      </c>
      <c r="AJ9" s="408">
        <f>+IFERROR(IF(AND(AJ5&gt;=Inputs!$L$10,AJ5&lt;Inputs!$D$29),(1+Inputs!$L$7)^(('(Z+) Monthly CF'!AJ5-Inputs!$L$10)/12),IF(AJ5&gt;=Inputs!$D$29,AI9*((1+Inputs!$L$7)^(1/12)),1)),0)</f>
        <v>1.0636767426669731</v>
      </c>
      <c r="AK9" s="408">
        <f>+IFERROR(IF(AND(AK5&gt;=Inputs!$L$10,AK5&lt;Inputs!$D$29),(1+Inputs!$L$7)^(('(Z+) Monthly CF'!AK5-Inputs!$L$10)/12),IF(AK5&gt;=Inputs!$D$29,AJ9*((1+Inputs!$L$7)^(1/12)),1)),0)</f>
        <v>1.0658677426009067</v>
      </c>
      <c r="AL9" s="408">
        <f>+IFERROR(IF(AND(AL5&gt;=Inputs!$L$10,AL5&lt;Inputs!$D$29),(1+Inputs!$L$7)^(('(Z+) Monthly CF'!AL5-Inputs!$L$10)/12),IF(AL5&gt;=Inputs!$D$29,AK9*((1+Inputs!$L$7)^(1/12)),1)),0)</f>
        <v>1.0680632556359715</v>
      </c>
      <c r="AM9" s="408">
        <f>+IFERROR(IF(AND(AM5&gt;=Inputs!$L$10,AM5&lt;Inputs!$D$29),(1+Inputs!$L$7)^(('(Z+) Monthly CF'!AM5-Inputs!$L$10)/12),IF(AM5&gt;=Inputs!$D$29,AL9*((1+Inputs!$L$7)^(1/12)),1)),0)</f>
        <v>1.0702632910684169</v>
      </c>
      <c r="AN9" s="408">
        <f>+IFERROR(IF(AND(AN5&gt;=Inputs!$L$10,AN5&lt;Inputs!$D$29),(1+Inputs!$L$7)^(('(Z+) Monthly CF'!AN5-Inputs!$L$10)/12),IF(AN5&gt;=Inputs!$D$29,AM9*((1+Inputs!$L$7)^(1/12)),1)),0)</f>
        <v>1.0724678582136409</v>
      </c>
      <c r="AO9" s="408">
        <f>+IFERROR(IF(AND(AO5&gt;=Inputs!$L$10,AO5&lt;Inputs!$D$29),(1+Inputs!$L$7)^(('(Z+) Monthly CF'!AO5-Inputs!$L$10)/12),IF(AO5&gt;=Inputs!$D$29,AN9*((1+Inputs!$L$7)^(1/12)),1)),0)</f>
        <v>1.0746769664062299</v>
      </c>
      <c r="AP9" s="408">
        <f>+IFERROR(IF(AND(AP5&gt;=Inputs!$L$10,AP5&lt;Inputs!$D$29),(1+Inputs!$L$7)^(('(Z+) Monthly CF'!AP5-Inputs!$L$10)/12),IF(AP5&gt;=Inputs!$D$29,AO9*((1+Inputs!$L$7)^(1/12)),1)),0)</f>
        <v>1.0768906249999981</v>
      </c>
      <c r="AQ9" s="408">
        <f>+IFERROR(IF(AND(AQ5&gt;=Inputs!$L$10,AQ5&lt;Inputs!$D$29),(1+Inputs!$L$7)^(('(Z+) Monthly CF'!AQ5-Inputs!$L$10)/12),IF(AQ5&gt;=Inputs!$D$29,AP9*((1+Inputs!$L$7)^(1/12)),1)),0)</f>
        <v>1.0791088433680267</v>
      </c>
      <c r="AR9" s="408">
        <f>+IFERROR(IF(AND(AR5&gt;=Inputs!$L$10,AR5&lt;Inputs!$D$29),(1+Inputs!$L$7)^(('(Z+) Monthly CF'!AR5-Inputs!$L$10)/12),IF(AR5&gt;=Inputs!$D$29,AQ9*((1+Inputs!$L$7)^(1/12)),1)),0)</f>
        <v>1.0813316309027041</v>
      </c>
      <c r="AS9" s="408">
        <f>+IFERROR(IF(AND(AS5&gt;=Inputs!$L$10,AS5&lt;Inputs!$D$29),(1+Inputs!$L$7)^(('(Z+) Monthly CF'!AS5-Inputs!$L$10)/12),IF(AS5&gt;=Inputs!$D$29,AR9*((1+Inputs!$L$7)^(1/12)),1)),0)</f>
        <v>1.0835589970157657</v>
      </c>
      <c r="AT9" s="408">
        <f>+IFERROR(IF(AND(AT5&gt;=Inputs!$L$10,AT5&lt;Inputs!$D$29),(1+Inputs!$L$7)^(('(Z+) Monthly CF'!AT5-Inputs!$L$10)/12),IF(AT5&gt;=Inputs!$D$29,AS9*((1+Inputs!$L$7)^(1/12)),1)),0)</f>
        <v>1.0857909511383332</v>
      </c>
      <c r="AU9" s="408">
        <f>+IFERROR(IF(AND(AU5&gt;=Inputs!$L$10,AU5&lt;Inputs!$D$29),(1+Inputs!$L$7)^(('(Z+) Monthly CF'!AU5-Inputs!$L$10)/12),IF(AU5&gt;=Inputs!$D$29,AT9*((1+Inputs!$L$7)^(1/12)),1)),0)</f>
        <v>1.0880275027209549</v>
      </c>
      <c r="AV9" s="408">
        <f>+IFERROR(IF(AND(AV5&gt;=Inputs!$L$10,AV5&lt;Inputs!$D$29),(1+Inputs!$L$7)^(('(Z+) Monthly CF'!AV5-Inputs!$L$10)/12),IF(AV5&gt;=Inputs!$D$29,AU9*((1+Inputs!$L$7)^(1/12)),1)),0)</f>
        <v>1.0902686612336461</v>
      </c>
      <c r="AW9" s="408">
        <f>+IFERROR(IF(AND(AW5&gt;=Inputs!$L$10,AW5&lt;Inputs!$D$29),(1+Inputs!$L$7)^(('(Z+) Monthly CF'!AW5-Inputs!$L$10)/12),IF(AW5&gt;=Inputs!$D$29,AV9*((1+Inputs!$L$7)^(1/12)),1)),0)</f>
        <v>1.092514436165928</v>
      </c>
      <c r="AX9" s="408">
        <f>+IFERROR(IF(AND(AX5&gt;=Inputs!$L$10,AX5&lt;Inputs!$D$29),(1+Inputs!$L$7)^(('(Z+) Monthly CF'!AX5-Inputs!$L$10)/12),IF(AX5&gt;=Inputs!$D$29,AW9*((1+Inputs!$L$7)^(1/12)),1)),0)</f>
        <v>1.0947648370268694</v>
      </c>
      <c r="AY9" s="408">
        <f>+IFERROR(IF(AND(AY5&gt;=Inputs!$L$10,AY5&lt;Inputs!$D$29),(1+Inputs!$L$7)^(('(Z+) Monthly CF'!AY5-Inputs!$L$10)/12),IF(AY5&gt;=Inputs!$D$29,AX9*((1+Inputs!$L$7)^(1/12)),1)),0)</f>
        <v>1.097019873345126</v>
      </c>
      <c r="AZ9" s="408">
        <f>+IFERROR(IF(AND(AZ5&gt;=Inputs!$L$10,AZ5&lt;Inputs!$D$29),(1+Inputs!$L$7)^(('(Z+) Monthly CF'!AZ5-Inputs!$L$10)/12),IF(AZ5&gt;=Inputs!$D$29,AY9*((1+Inputs!$L$7)^(1/12)),1)),0)</f>
        <v>1.0992795546689806</v>
      </c>
      <c r="BA9" s="408">
        <f>+IFERROR(IF(AND(BA5&gt;=Inputs!$L$10,BA5&lt;Inputs!$D$29),(1+Inputs!$L$7)^(('(Z+) Monthly CF'!BA5-Inputs!$L$10)/12),IF(BA5&gt;=Inputs!$D$29,AZ9*((1+Inputs!$L$7)^(1/12)),1)),0)</f>
        <v>1.1015438905663844</v>
      </c>
      <c r="BB9" s="408">
        <f>+IFERROR(IF(AND(BB5&gt;=Inputs!$L$10,BB5&lt;Inputs!$D$29),(1+Inputs!$L$7)^(('(Z+) Monthly CF'!BB5-Inputs!$L$10)/12),IF(BB5&gt;=Inputs!$D$29,BA9*((1+Inputs!$L$7)^(1/12)),1)),0)</f>
        <v>1.1038128906249967</v>
      </c>
      <c r="BC9" s="408">
        <f>+IFERROR(IF(AND(BC5&gt;=Inputs!$L$10,BC5&lt;Inputs!$D$29),(1+Inputs!$L$7)^(('(Z+) Monthly CF'!BC5-Inputs!$L$10)/12),IF(BC5&gt;=Inputs!$D$29,BB9*((1+Inputs!$L$7)^(1/12)),1)),0)</f>
        <v>1.106086564452226</v>
      </c>
      <c r="BD9" s="408">
        <f>+IFERROR(IF(AND(BD5&gt;=Inputs!$L$10,BD5&lt;Inputs!$D$29),(1+Inputs!$L$7)^(('(Z+) Monthly CF'!BD5-Inputs!$L$10)/12),IF(BD5&gt;=Inputs!$D$29,BC9*((1+Inputs!$L$7)^(1/12)),1)),0)</f>
        <v>1.1083649216752705</v>
      </c>
      <c r="BE9" s="408">
        <f>+IFERROR(IF(AND(BE5&gt;=Inputs!$L$10,BE5&lt;Inputs!$D$29),(1+Inputs!$L$7)^(('(Z+) Monthly CF'!BE5-Inputs!$L$10)/12),IF(BE5&gt;=Inputs!$D$29,BD9*((1+Inputs!$L$7)^(1/12)),1)),0)</f>
        <v>1.1106479719411586</v>
      </c>
      <c r="BF9" s="408">
        <f>+IFERROR(IF(AND(BF5&gt;=Inputs!$L$10,BF5&lt;Inputs!$D$29),(1+Inputs!$L$7)^(('(Z+) Monthly CF'!BF5-Inputs!$L$10)/12),IF(BF5&gt;=Inputs!$D$29,BE9*((1+Inputs!$L$7)^(1/12)),1)),0)</f>
        <v>1.1129357249167904</v>
      </c>
      <c r="BG9" s="408">
        <f>+IFERROR(IF(AND(BG5&gt;=Inputs!$L$10,BG5&lt;Inputs!$D$29),(1+Inputs!$L$7)^(('(Z+) Monthly CF'!BG5-Inputs!$L$10)/12),IF(BG5&gt;=Inputs!$D$29,BF9*((1+Inputs!$L$7)^(1/12)),1)),0)</f>
        <v>1.1152281902889778</v>
      </c>
      <c r="BH9" s="408">
        <f>+IFERROR(IF(AND(BH5&gt;=Inputs!$L$10,BH5&lt;Inputs!$D$29),(1+Inputs!$L$7)^(('(Z+) Monthly CF'!BH5-Inputs!$L$10)/12),IF(BH5&gt;=Inputs!$D$29,BG9*((1+Inputs!$L$7)^(1/12)),1)),0)</f>
        <v>1.117525377764486</v>
      </c>
      <c r="BI9" s="408">
        <f>+IFERROR(IF(AND(BI5&gt;=Inputs!$L$10,BI5&lt;Inputs!$D$29),(1+Inputs!$L$7)^(('(Z+) Monthly CF'!BI5-Inputs!$L$10)/12),IF(BI5&gt;=Inputs!$D$29,BH9*((1+Inputs!$L$7)^(1/12)),1)),0)</f>
        <v>1.1198272970700751</v>
      </c>
      <c r="BJ9" s="408">
        <f>+IFERROR(IF(AND(BJ5&gt;=Inputs!$L$10,BJ5&lt;Inputs!$D$29),(1+Inputs!$L$7)^(('(Z+) Monthly CF'!BJ5-Inputs!$L$10)/12),IF(BJ5&gt;=Inputs!$D$29,BI9*((1+Inputs!$L$7)^(1/12)),1)),0)</f>
        <v>1.12213395795254</v>
      </c>
      <c r="BK9" s="408">
        <f>+IFERROR(IF(AND(BK5&gt;=Inputs!$L$10,BK5&lt;Inputs!$D$29),(1+Inputs!$L$7)^(('(Z+) Monthly CF'!BK5-Inputs!$L$10)/12),IF(BK5&gt;=Inputs!$D$29,BJ9*((1+Inputs!$L$7)^(1/12)),1)),0)</f>
        <v>1.1244453701787529</v>
      </c>
      <c r="BL9" s="408">
        <f>+IFERROR(IF(AND(BL5&gt;=Inputs!$L$10,BL5&lt;Inputs!$D$29),(1+Inputs!$L$7)^(('(Z+) Monthly CF'!BL5-Inputs!$L$10)/12),IF(BL5&gt;=Inputs!$D$29,BK9*((1+Inputs!$L$7)^(1/12)),1)),0)</f>
        <v>1.1267615435357039</v>
      </c>
      <c r="BM9" s="408">
        <f>+IFERROR(IF(AND(BM5&gt;=Inputs!$L$10,BM5&lt;Inputs!$D$29),(1+Inputs!$L$7)^(('(Z+) Monthly CF'!BM5-Inputs!$L$10)/12),IF(BM5&gt;=Inputs!$D$29,BL9*((1+Inputs!$L$7)^(1/12)),1)),0)</f>
        <v>1.1290824878305428</v>
      </c>
      <c r="BN9" s="408">
        <f>+IFERROR(IF(AND(BN5&gt;=Inputs!$L$10,BN5&lt;Inputs!$D$29),(1+Inputs!$L$7)^(('(Z+) Monthly CF'!BN5-Inputs!$L$10)/12),IF(BN5&gt;=Inputs!$D$29,BM9*((1+Inputs!$L$7)^(1/12)),1)),0)</f>
        <v>1.1314082128906204</v>
      </c>
      <c r="BO9" s="408">
        <f>+IFERROR(IF(AND(BO5&gt;=Inputs!$L$10,BO5&lt;Inputs!$D$29),(1+Inputs!$L$7)^(('(Z+) Monthly CF'!BO5-Inputs!$L$10)/12),IF(BO5&gt;=Inputs!$D$29,BN9*((1+Inputs!$L$7)^(1/12)),1)),0)</f>
        <v>1.1337387285635305</v>
      </c>
      <c r="BP9" s="408">
        <f>+IFERROR(IF(AND(BP5&gt;=Inputs!$L$10,BP5&lt;Inputs!$D$29),(1+Inputs!$L$7)^(('(Z+) Monthly CF'!BP5-Inputs!$L$10)/12),IF(BP5&gt;=Inputs!$D$29,BO9*((1+Inputs!$L$7)^(1/12)),1)),0)</f>
        <v>1.1360740447171511</v>
      </c>
      <c r="BQ9" s="408">
        <f>+IFERROR(IF(AND(BQ5&gt;=Inputs!$L$10,BQ5&lt;Inputs!$D$29),(1+Inputs!$L$7)^(('(Z+) Monthly CF'!BQ5-Inputs!$L$10)/12),IF(BQ5&gt;=Inputs!$D$29,BP9*((1+Inputs!$L$7)^(1/12)),1)),0)</f>
        <v>1.1384141712396865</v>
      </c>
      <c r="BR9" s="408">
        <f>+IFERROR(IF(AND(BR5&gt;=Inputs!$L$10,BR5&lt;Inputs!$D$29),(1+Inputs!$L$7)^(('(Z+) Monthly CF'!BR5-Inputs!$L$10)/12),IF(BR5&gt;=Inputs!$D$29,BQ9*((1+Inputs!$L$7)^(1/12)),1)),0)</f>
        <v>1.140759118039709</v>
      </c>
      <c r="BS9" s="408">
        <f>+IFERROR(IF(AND(BS5&gt;=Inputs!$L$10,BS5&lt;Inputs!$D$29),(1+Inputs!$L$7)^(('(Z+) Monthly CF'!BS5-Inputs!$L$10)/12),IF(BS5&gt;=Inputs!$D$29,BR9*((1+Inputs!$L$7)^(1/12)),1)),0)</f>
        <v>1.1431088950462009</v>
      </c>
      <c r="BT9" s="408">
        <f>+IFERROR(IF(AND(BT5&gt;=Inputs!$L$10,BT5&lt;Inputs!$D$29),(1+Inputs!$L$7)^(('(Z+) Monthly CF'!BT5-Inputs!$L$10)/12),IF(BT5&gt;=Inputs!$D$29,BS9*((1+Inputs!$L$7)^(1/12)),1)),0)</f>
        <v>1.145463512208597</v>
      </c>
      <c r="BU9" s="408">
        <f>+IFERROR(IF(AND(BU5&gt;=Inputs!$L$10,BU5&lt;Inputs!$D$29),(1+Inputs!$L$7)^(('(Z+) Monthly CF'!BU5-Inputs!$L$10)/12),IF(BU5&gt;=Inputs!$D$29,BT9*((1+Inputs!$L$7)^(1/12)),1)),0)</f>
        <v>1.1478229794968258</v>
      </c>
      <c r="BV9" s="408">
        <f>+IFERROR(IF(AND(BV5&gt;=Inputs!$L$10,BV5&lt;Inputs!$D$29),(1+Inputs!$L$7)^(('(Z+) Monthly CF'!BV5-Inputs!$L$10)/12),IF(BV5&gt;=Inputs!$D$29,BU9*((1+Inputs!$L$7)^(1/12)),1)),0)</f>
        <v>1.1501873069013522</v>
      </c>
      <c r="BW9" s="408">
        <f>+IFERROR(IF(AND(BW5&gt;=Inputs!$L$10,BW5&lt;Inputs!$D$29),(1+Inputs!$L$7)^(('(Z+) Monthly CF'!BW5-Inputs!$L$10)/12),IF(BW5&gt;=Inputs!$D$29,BV9*((1+Inputs!$L$7)^(1/12)),1)),0)</f>
        <v>1.1525565044332202</v>
      </c>
      <c r="BX9" s="408">
        <f>+IFERROR(IF(AND(BX5&gt;=Inputs!$L$10,BX5&lt;Inputs!$D$29),(1+Inputs!$L$7)^(('(Z+) Monthly CF'!BX5-Inputs!$L$10)/12),IF(BX5&gt;=Inputs!$D$29,BW9*((1+Inputs!$L$7)^(1/12)),1)),0)</f>
        <v>1.1549305821240949</v>
      </c>
      <c r="BY9" s="408">
        <f>+IFERROR(IF(AND(BY5&gt;=Inputs!$L$10,BY5&lt;Inputs!$D$29),(1+Inputs!$L$7)^(('(Z+) Monthly CF'!BY5-Inputs!$L$10)/12),IF(BY5&gt;=Inputs!$D$29,BX9*((1+Inputs!$L$7)^(1/12)),1)),0)</f>
        <v>1.1573095500263046</v>
      </c>
      <c r="BZ9" s="408">
        <f>+IFERROR(IF(AND(BZ5&gt;=Inputs!$L$10,BZ5&lt;Inputs!$D$29),(1+Inputs!$L$7)^(('(Z+) Monthly CF'!BZ5-Inputs!$L$10)/12),IF(BZ5&gt;=Inputs!$D$29,BY9*((1+Inputs!$L$7)^(1/12)),1)),0)</f>
        <v>1.1596934182128842</v>
      </c>
      <c r="CA9" s="408">
        <f>+IFERROR(IF(AND(CA5&gt;=Inputs!$L$10,CA5&lt;Inputs!$D$29),(1+Inputs!$L$7)^(('(Z+) Monthly CF'!CA5-Inputs!$L$10)/12),IF(CA5&gt;=Inputs!$D$29,BZ9*((1+Inputs!$L$7)^(1/12)),1)),0)</f>
        <v>1.1620821967776169</v>
      </c>
      <c r="CB9" s="408">
        <f>+IFERROR(IF(AND(CB5&gt;=Inputs!$L$10,CB5&lt;Inputs!$D$29),(1+Inputs!$L$7)^(('(Z+) Monthly CF'!CB5-Inputs!$L$10)/12),IF(CB5&gt;=Inputs!$D$29,CA9*((1+Inputs!$L$7)^(1/12)),1)),0)</f>
        <v>1.164475895835078</v>
      </c>
      <c r="CC9" s="408">
        <f>+IFERROR(IF(AND(CC5&gt;=Inputs!$L$10,CC5&lt;Inputs!$D$29),(1+Inputs!$L$7)^(('(Z+) Monthly CF'!CC5-Inputs!$L$10)/12),IF(CC5&gt;=Inputs!$D$29,CB9*((1+Inputs!$L$7)^(1/12)),1)),0)</f>
        <v>1.1668745255206767</v>
      </c>
      <c r="CD9" s="408">
        <f>+IFERROR(IF(AND(CD5&gt;=Inputs!$L$10,CD5&lt;Inputs!$D$29),(1+Inputs!$L$7)^(('(Z+) Monthly CF'!CD5-Inputs!$L$10)/12),IF(CD5&gt;=Inputs!$D$29,CC9*((1+Inputs!$L$7)^(1/12)),1)),0)</f>
        <v>1.1692780959906997</v>
      </c>
      <c r="CE9" s="408">
        <f>+IFERROR(IF(AND(CE5&gt;=Inputs!$L$10,CE5&lt;Inputs!$D$29),(1+Inputs!$L$7)^(('(Z+) Monthly CF'!CE5-Inputs!$L$10)/12),IF(CE5&gt;=Inputs!$D$29,CD9*((1+Inputs!$L$7)^(1/12)),1)),0)</f>
        <v>1.1716866174223539</v>
      </c>
      <c r="CF9" s="408">
        <f>+IFERROR(IF(AND(CF5&gt;=Inputs!$L$10,CF5&lt;Inputs!$D$29),(1+Inputs!$L$7)^(('(Z+) Monthly CF'!CF5-Inputs!$L$10)/12),IF(CF5&gt;=Inputs!$D$29,CE9*((1+Inputs!$L$7)^(1/12)),1)),0)</f>
        <v>1.1741001000138098</v>
      </c>
      <c r="CG9" s="408">
        <f>+IFERROR(IF(AND(CG5&gt;=Inputs!$L$10,CG5&lt;Inputs!$D$29),(1+Inputs!$L$7)^(('(Z+) Monthly CF'!CG5-Inputs!$L$10)/12),IF(CG5&gt;=Inputs!$D$29,CF9*((1+Inputs!$L$7)^(1/12)),1)),0)</f>
        <v>1.1765185539842442</v>
      </c>
      <c r="CH9" s="408">
        <f>+IFERROR(IF(AND(CH5&gt;=Inputs!$L$10,CH5&lt;Inputs!$D$29),(1+Inputs!$L$7)^(('(Z+) Monthly CF'!CH5-Inputs!$L$10)/12),IF(CH5&gt;=Inputs!$D$29,CG9*((1+Inputs!$L$7)^(1/12)),1)),0)</f>
        <v>1.178941989573884</v>
      </c>
      <c r="CI9" s="408">
        <f>+IFERROR(IF(AND(CI5&gt;=Inputs!$L$10,CI5&lt;Inputs!$D$29),(1+Inputs!$L$7)^(('(Z+) Monthly CF'!CI5-Inputs!$L$10)/12),IF(CI5&gt;=Inputs!$D$29,CH9*((1+Inputs!$L$7)^(1/12)),1)),0)</f>
        <v>1.1813704170440489</v>
      </c>
      <c r="CJ9" s="408">
        <f>+IFERROR(IF(AND(CJ5&gt;=Inputs!$L$10,CJ5&lt;Inputs!$D$29),(1+Inputs!$L$7)^(('(Z+) Monthly CF'!CJ5-Inputs!$L$10)/12),IF(CJ5&gt;=Inputs!$D$29,CI9*((1+Inputs!$L$7)^(1/12)),1)),0)</f>
        <v>1.1838038466771954</v>
      </c>
      <c r="CK9" s="408">
        <f>+IFERROR(IF(AND(CK5&gt;=Inputs!$L$10,CK5&lt;Inputs!$D$29),(1+Inputs!$L$7)^(('(Z+) Monthly CF'!CK5-Inputs!$L$10)/12),IF(CK5&gt;=Inputs!$D$29,CJ9*((1+Inputs!$L$7)^(1/12)),1)),0)</f>
        <v>1.1862422887769604</v>
      </c>
      <c r="CL9" s="408">
        <f>+IFERROR(IF(AND(CL5&gt;=Inputs!$L$10,CL5&lt;Inputs!$D$29),(1+Inputs!$L$7)^(('(Z+) Monthly CF'!CL5-Inputs!$L$10)/12),IF(CL5&gt;=Inputs!$D$29,CK9*((1+Inputs!$L$7)^(1/12)),1)),0)</f>
        <v>1.1886857536682045</v>
      </c>
      <c r="CM9" s="408">
        <f>+IFERROR(IF(AND(CM5&gt;=Inputs!$L$10,CM5&lt;Inputs!$D$29),(1+Inputs!$L$7)^(('(Z+) Monthly CF'!CM5-Inputs!$L$10)/12),IF(CM5&gt;=Inputs!$D$29,CL9*((1+Inputs!$L$7)^(1/12)),1)),0)</f>
        <v>1.1911342516970556</v>
      </c>
      <c r="CN9" s="408">
        <f>+IFERROR(IF(AND(CN5&gt;=Inputs!$L$10,CN5&lt;Inputs!$D$29),(1+Inputs!$L$7)^(('(Z+) Monthly CF'!CN5-Inputs!$L$10)/12),IF(CN5&gt;=Inputs!$D$29,CM9*((1+Inputs!$L$7)^(1/12)),1)),0)</f>
        <v>1.1935877932309531</v>
      </c>
      <c r="CO9" s="408">
        <f>+IFERROR(IF(AND(CO5&gt;=Inputs!$L$10,CO5&lt;Inputs!$D$29),(1+Inputs!$L$7)^(('(Z+) Monthly CF'!CO5-Inputs!$L$10)/12),IF(CO5&gt;=Inputs!$D$29,CN9*((1+Inputs!$L$7)^(1/12)),1)),0)</f>
        <v>1.1960463886586918</v>
      </c>
      <c r="CP9" s="408">
        <f>+IFERROR(IF(AND(CP5&gt;=Inputs!$L$10,CP5&lt;Inputs!$D$29),(1+Inputs!$L$7)^(('(Z+) Monthly CF'!CP5-Inputs!$L$10)/12),IF(CP5&gt;=Inputs!$D$29,CO9*((1+Inputs!$L$7)^(1/12)),1)),0)</f>
        <v>1.1985100483904654</v>
      </c>
      <c r="CQ9" s="408">
        <f>+IFERROR(IF(AND(CQ5&gt;=Inputs!$L$10,CQ5&lt;Inputs!$D$29),(1+Inputs!$L$7)^(('(Z+) Monthly CF'!CQ5-Inputs!$L$10)/12),IF(CQ5&gt;=Inputs!$D$29,CP9*((1+Inputs!$L$7)^(1/12)),1)),0)</f>
        <v>1.200978782857911</v>
      </c>
      <c r="CR9" s="408">
        <f>+IFERROR(IF(AND(CR5&gt;=Inputs!$L$10,CR5&lt;Inputs!$D$29),(1+Inputs!$L$7)^(('(Z+) Monthly CF'!CR5-Inputs!$L$10)/12),IF(CR5&gt;=Inputs!$D$29,CQ9*((1+Inputs!$L$7)^(1/12)),1)),0)</f>
        <v>1.2034526025141534</v>
      </c>
      <c r="CS9" s="408">
        <f>+IFERROR(IF(AND(CS5&gt;=Inputs!$L$10,CS5&lt;Inputs!$D$29),(1+Inputs!$L$7)^(('(Z+) Monthly CF'!CS5-Inputs!$L$10)/12),IF(CS5&gt;=Inputs!$D$29,CR9*((1+Inputs!$L$7)^(1/12)),1)),0)</f>
        <v>1.2059315178338488</v>
      </c>
      <c r="CT9" s="408">
        <f>+IFERROR(IF(AND(CT5&gt;=Inputs!$L$10,CT5&lt;Inputs!$D$29),(1+Inputs!$L$7)^(('(Z+) Monthly CF'!CT5-Inputs!$L$10)/12),IF(CT5&gt;=Inputs!$D$29,CS9*((1+Inputs!$L$7)^(1/12)),1)),0)</f>
        <v>1.2084155393132294</v>
      </c>
      <c r="CU9" s="408">
        <f>+IFERROR(IF(AND(CU5&gt;=Inputs!$L$10,CU5&lt;Inputs!$D$29),(1+Inputs!$L$7)^(('(Z+) Monthly CF'!CU5-Inputs!$L$10)/12),IF(CU5&gt;=Inputs!$D$29,CT9*((1+Inputs!$L$7)^(1/12)),1)),0)</f>
        <v>1.2109046774701484</v>
      </c>
      <c r="CV9" s="408">
        <f>+IFERROR(IF(AND(CV5&gt;=Inputs!$L$10,CV5&lt;Inputs!$D$29),(1+Inputs!$L$7)^(('(Z+) Monthly CF'!CV5-Inputs!$L$10)/12),IF(CV5&gt;=Inputs!$D$29,CU9*((1+Inputs!$L$7)^(1/12)),1)),0)</f>
        <v>1.2133989428441236</v>
      </c>
      <c r="CW9" s="408">
        <f>+IFERROR(IF(AND(CW5&gt;=Inputs!$L$10,CW5&lt;Inputs!$D$29),(1+Inputs!$L$7)^(('(Z+) Monthly CF'!CW5-Inputs!$L$10)/12),IF(CW5&gt;=Inputs!$D$29,CV9*((1+Inputs!$L$7)^(1/12)),1)),0)</f>
        <v>1.2158983459963828</v>
      </c>
      <c r="CX9" s="408">
        <f>+IFERROR(IF(AND(CX5&gt;=Inputs!$L$10,CX5&lt;Inputs!$D$29),(1+Inputs!$L$7)^(('(Z+) Monthly CF'!CX5-Inputs!$L$10)/12),IF(CX5&gt;=Inputs!$D$29,CW9*((1+Inputs!$L$7)^(1/12)),1)),0)</f>
        <v>1.2184028975099079</v>
      </c>
      <c r="CY9" s="408">
        <f>+IFERROR(IF(AND(CY5&gt;=Inputs!$L$10,CY5&lt;Inputs!$D$29),(1+Inputs!$L$7)^(('(Z+) Monthly CF'!CY5-Inputs!$L$10)/12),IF(CY5&gt;=Inputs!$D$29,CX9*((1+Inputs!$L$7)^(1/12)),1)),0)</f>
        <v>1.2209126079894803</v>
      </c>
      <c r="CZ9" s="408">
        <f>+IFERROR(IF(AND(CZ5&gt;=Inputs!$L$10,CZ5&lt;Inputs!$D$29),(1+Inputs!$L$7)^(('(Z+) Monthly CF'!CZ5-Inputs!$L$10)/12),IF(CZ5&gt;=Inputs!$D$29,CY9*((1+Inputs!$L$7)^(1/12)),1)),0)</f>
        <v>1.2234274880617253</v>
      </c>
      <c r="DA9" s="408">
        <f>+IFERROR(IF(AND(DA5&gt;=Inputs!$L$10,DA5&lt;Inputs!$D$29),(1+Inputs!$L$7)^(('(Z+) Monthly CF'!DA5-Inputs!$L$10)/12),IF(DA5&gt;=Inputs!$D$29,CZ9*((1+Inputs!$L$7)^(1/12)),1)),0)</f>
        <v>1.2259475483751574</v>
      </c>
      <c r="DB9" s="408">
        <f>+IFERROR(IF(AND(DB5&gt;=Inputs!$L$10,DB5&lt;Inputs!$D$29),(1+Inputs!$L$7)^(('(Z+) Monthly CF'!DB5-Inputs!$L$10)/12),IF(DB5&gt;=Inputs!$D$29,DA9*((1+Inputs!$L$7)^(1/12)),1)),0)</f>
        <v>1.2284727996002254</v>
      </c>
      <c r="DC9" s="408">
        <f>+IFERROR(IF(AND(DC5&gt;=Inputs!$L$10,DC5&lt;Inputs!$D$29),(1+Inputs!$L$7)^(('(Z+) Monthly CF'!DC5-Inputs!$L$10)/12),IF(DC5&gt;=Inputs!$D$29,DB9*((1+Inputs!$L$7)^(1/12)),1)),0)</f>
        <v>1.2310032524293573</v>
      </c>
      <c r="DD9" s="408">
        <f>+IFERROR(IF(AND(DD5&gt;=Inputs!$L$10,DD5&lt;Inputs!$D$29),(1+Inputs!$L$7)^(('(Z+) Monthly CF'!DD5-Inputs!$L$10)/12),IF(DD5&gt;=Inputs!$D$29,DC9*((1+Inputs!$L$7)^(1/12)),1)),0)</f>
        <v>1.2335389175770057</v>
      </c>
      <c r="DE9" s="408">
        <f>+IFERROR(IF(AND(DE5&gt;=Inputs!$L$10,DE5&lt;Inputs!$D$29),(1+Inputs!$L$7)^(('(Z+) Monthly CF'!DE5-Inputs!$L$10)/12),IF(DE5&gt;=Inputs!$D$29,DD9*((1+Inputs!$L$7)^(1/12)),1)),0)</f>
        <v>1.2360798057796933</v>
      </c>
      <c r="DF9" s="408">
        <f>+IFERROR(IF(AND(DF5&gt;=Inputs!$L$10,DF5&lt;Inputs!$D$29),(1+Inputs!$L$7)^(('(Z+) Monthly CF'!DF5-Inputs!$L$10)/12),IF(DF5&gt;=Inputs!$D$29,DE9*((1+Inputs!$L$7)^(1/12)),1)),0)</f>
        <v>1.2386259277960585</v>
      </c>
      <c r="DG9" s="408">
        <f>+IFERROR(IF(AND(DG5&gt;=Inputs!$L$10,DG5&lt;Inputs!$D$29),(1+Inputs!$L$7)^(('(Z+) Monthly CF'!DG5-Inputs!$L$10)/12),IF(DG5&gt;=Inputs!$D$29,DF9*((1+Inputs!$L$7)^(1/12)),1)),0)</f>
        <v>1.2411772944069004</v>
      </c>
      <c r="DH9" s="408">
        <f>+IFERROR(IF(AND(DH5&gt;=Inputs!$L$10,DH5&lt;Inputs!$D$29),(1+Inputs!$L$7)^(('(Z+) Monthly CF'!DH5-Inputs!$L$10)/12),IF(DH5&gt;=Inputs!$D$29,DG9*((1+Inputs!$L$7)^(1/12)),1)),0)</f>
        <v>1.243733916415225</v>
      </c>
      <c r="DI9" s="408">
        <f>+IFERROR(IF(AND(DI5&gt;=Inputs!$L$10,DI5&lt;Inputs!$D$29),(1+Inputs!$L$7)^(('(Z+) Monthly CF'!DI5-Inputs!$L$10)/12),IF(DI5&gt;=Inputs!$D$29,DH9*((1+Inputs!$L$7)^(1/12)),1)),0)</f>
        <v>1.2462958046462906</v>
      </c>
      <c r="DJ9" s="408">
        <f>+IFERROR(IF(AND(DJ5&gt;=Inputs!$L$10,DJ5&lt;Inputs!$D$29),(1+Inputs!$L$7)^(('(Z+) Monthly CF'!DJ5-Inputs!$L$10)/12),IF(DJ5&gt;=Inputs!$D$29,DI9*((1+Inputs!$L$7)^(1/12)),1)),0)</f>
        <v>1.2488629699476539</v>
      </c>
      <c r="DK9" s="408">
        <f>+IFERROR(IF(AND(DK5&gt;=Inputs!$L$10,DK5&lt;Inputs!$D$29),(1+Inputs!$L$7)^(('(Z+) Monthly CF'!DK5-Inputs!$L$10)/12),IF(DK5&gt;=Inputs!$D$29,DJ9*((1+Inputs!$L$7)^(1/12)),1)),0)</f>
        <v>1.2514354231892155</v>
      </c>
      <c r="DL9" s="408">
        <f>+IFERROR(IF(AND(DL5&gt;=Inputs!$L$10,DL5&lt;Inputs!$D$29),(1+Inputs!$L$7)^(('(Z+) Monthly CF'!DL5-Inputs!$L$10)/12),IF(DL5&gt;=Inputs!$D$29,DK9*((1+Inputs!$L$7)^(1/12)),1)),0)</f>
        <v>1.2540131752632666</v>
      </c>
      <c r="DM9" s="408">
        <f>+IFERROR(IF(AND(DM5&gt;=Inputs!$L$10,DM5&lt;Inputs!$D$29),(1+Inputs!$L$7)^(('(Z+) Monthly CF'!DM5-Inputs!$L$10)/12),IF(DM5&gt;=Inputs!$D$29,DL9*((1+Inputs!$L$7)^(1/12)),1)),0)</f>
        <v>1.2565962370845345</v>
      </c>
      <c r="DN9" s="408">
        <f>+IFERROR(IF(AND(DN5&gt;=Inputs!$L$10,DN5&lt;Inputs!$D$29),(1+Inputs!$L$7)^(('(Z+) Monthly CF'!DN5-Inputs!$L$10)/12),IF(DN5&gt;=Inputs!$D$29,DM9*((1+Inputs!$L$7)^(1/12)),1)),0)</f>
        <v>1.2591846195902292</v>
      </c>
      <c r="DO9" s="408">
        <f>+IFERROR(IF(AND(DO5&gt;=Inputs!$L$10,DO5&lt;Inputs!$D$29),(1+Inputs!$L$7)^(('(Z+) Monthly CF'!DO5-Inputs!$L$10)/12),IF(DO5&gt;=Inputs!$D$29,DN9*((1+Inputs!$L$7)^(1/12)),1)),0)</f>
        <v>1.2617783337400892</v>
      </c>
      <c r="DP9" s="408">
        <f>+IFERROR(IF(AND(DP5&gt;=Inputs!$L$10,DP5&lt;Inputs!$D$29),(1+Inputs!$L$7)^(('(Z+) Monthly CF'!DP5-Inputs!$L$10)/12),IF(DP5&gt;=Inputs!$D$29,DO9*((1+Inputs!$L$7)^(1/12)),1)),0)</f>
        <v>1.2643773905164288</v>
      </c>
      <c r="DQ9" s="408">
        <f>+IFERROR(IF(AND(DQ5&gt;=Inputs!$L$10,DQ5&lt;Inputs!$D$29),(1+Inputs!$L$7)^(('(Z+) Monthly CF'!DQ5-Inputs!$L$10)/12),IF(DQ5&gt;=Inputs!$D$29,DP9*((1+Inputs!$L$7)^(1/12)),1)),0)</f>
        <v>1.2669818009241838</v>
      </c>
      <c r="DR9" s="408">
        <f>+IFERROR(IF(AND(DR5&gt;=Inputs!$L$10,DR5&lt;Inputs!$D$29),(1+Inputs!$L$7)^(('(Z+) Monthly CF'!DR5-Inputs!$L$10)/12),IF(DR5&gt;=Inputs!$D$29,DQ9*((1+Inputs!$L$7)^(1/12)),1)),0)</f>
        <v>1.2695915759909582</v>
      </c>
      <c r="DS9" s="408">
        <f>+IFERROR(IF(AND(DS5&gt;=Inputs!$L$10,DS5&lt;Inputs!$D$29),(1+Inputs!$L$7)^(('(Z+) Monthly CF'!DS5-Inputs!$L$10)/12),IF(DS5&gt;=Inputs!$D$29,DR9*((1+Inputs!$L$7)^(1/12)),1)),0)</f>
        <v>1.2722067267670711</v>
      </c>
      <c r="DT9" s="408">
        <f>+IFERROR(IF(AND(DT5&gt;=Inputs!$L$10,DT5&lt;Inputs!$D$29),(1+Inputs!$L$7)^(('(Z+) Monthly CF'!DT5-Inputs!$L$10)/12),IF(DT5&gt;=Inputs!$D$29,DS9*((1+Inputs!$L$7)^(1/12)),1)),0)</f>
        <v>1.2748272643256038</v>
      </c>
      <c r="DU9" s="408">
        <f>+IFERROR(IF(AND(DU5&gt;=Inputs!$L$10,DU5&lt;Inputs!$D$29),(1+Inputs!$L$7)^(('(Z+) Monthly CF'!DU5-Inputs!$L$10)/12),IF(DU5&gt;=Inputs!$D$29,DT9*((1+Inputs!$L$7)^(1/12)),1)),0)</f>
        <v>1.2774531997624461</v>
      </c>
    </row>
    <row r="10" spans="1:125" x14ac:dyDescent="0.25">
      <c r="A10" s="399" t="s">
        <v>488</v>
      </c>
      <c r="D10" s="387"/>
      <c r="F10" s="406">
        <f>+IFERROR(IF(AND(F5&gt;=Inputs!$L$10,F5&lt;Inputs!$D$29),(1+'(Z+) OpEx'!$I$27)^(('(Z+) Monthly CF'!F5-Inputs!$L$10)/12),IF(F5&gt;=Inputs!$D$29,E10*((1+'(Z+) OpEx'!$J$27)^(1/12)),1)),0)</f>
        <v>1</v>
      </c>
      <c r="G10" s="406">
        <f>+IFERROR(IF(AND(G5&gt;=Inputs!$L$10,G5&lt;Inputs!$D$29),(1+'(Z+) OpEx'!$I$27)^(('(Z+) Monthly CF'!G5-Inputs!$L$10)/12),IF(G5&gt;=Inputs!$D$29,F10*((1+'(Z+) OpEx'!$J$27)^(1/12)),1)),0)</f>
        <v>1.0024662697723037</v>
      </c>
      <c r="H10" s="406">
        <f>+IFERROR(IF(AND(H5&gt;=Inputs!$L$10,H5&lt;Inputs!$D$29),(1+'(Z+) OpEx'!$I$27)^(('(Z+) Monthly CF'!H5-Inputs!$L$10)/12),IF(H5&gt;=Inputs!$D$29,G10*((1+'(Z+) OpEx'!$J$27)^(1/12)),1)),0)</f>
        <v>1.0049386220311969</v>
      </c>
      <c r="I10" s="406">
        <f>+IFERROR(IF(AND(I5&gt;=Inputs!$L$10,I5&lt;Inputs!$D$29),(1+'(Z+) OpEx'!$I$27)^(('(Z+) Monthly CF'!I5-Inputs!$L$10)/12),IF(I5&gt;=Inputs!$D$29,H10*((1+'(Z+) OpEx'!$J$27)^(1/12)),1)),0)</f>
        <v>1.0074170717777329</v>
      </c>
      <c r="J10" s="407">
        <f>+IFERROR(IF(AND(J5&gt;=Inputs!$L$10,J5&lt;Inputs!$D$29),(1+'(Z+) OpEx'!$I$27)^(('(Z+) Monthly CF'!J5-Inputs!$L$10)/12),IF(J5&gt;=Inputs!$D$29,I10*((1+'(Z+) OpEx'!$J$27)^(1/12)),1)),0)</f>
        <v>1.0099016340499609</v>
      </c>
      <c r="K10" s="407">
        <f>+IFERROR(IF(AND(K5&gt;=Inputs!$L$10,K5&lt;Inputs!$D$29),(1+'(Z+) OpEx'!$I$27)^(('(Z+) Monthly CF'!K5-Inputs!$L$10)/12),IF(K5&gt;=Inputs!$D$29,J10*((1+'(Z+) OpEx'!$J$27)^(1/12)),1)),0)</f>
        <v>1.0123923239230184</v>
      </c>
      <c r="L10" s="407">
        <f>+IFERROR(IF(AND(L5&gt;=Inputs!$L$10,L5&lt;Inputs!$D$29),(1+'(Z+) OpEx'!$I$27)^(('(Z+) Monthly CF'!L5-Inputs!$L$10)/12),IF(L5&gt;=Inputs!$D$29,K10*((1+'(Z+) OpEx'!$J$27)^(1/12)),1)),0)</f>
        <v>1.014889156509222</v>
      </c>
      <c r="M10" s="407">
        <f>+IFERROR(IF(AND(M5&gt;=Inputs!$L$10,M5&lt;Inputs!$D$29),(1+'(Z+) OpEx'!$I$27)^(('(Z+) Monthly CF'!M5-Inputs!$L$10)/12),IF(M5&gt;=Inputs!$D$29,L10*((1+'(Z+) OpEx'!$J$27)^(1/12)),1)),0)</f>
        <v>1.0173921469581593</v>
      </c>
      <c r="N10" s="407">
        <f>+IFERROR(IF(AND(N5&gt;=Inputs!$L$10,N5&lt;Inputs!$D$29),(1+'(Z+) OpEx'!$I$27)^(('(Z+) Monthly CF'!N5-Inputs!$L$10)/12),IF(N5&gt;=Inputs!$D$29,M10*((1+'(Z+) OpEx'!$J$27)^(1/12)),1)),0)</f>
        <v>1.0199013104567813</v>
      </c>
      <c r="O10" s="407">
        <f>+IFERROR(IF(AND(O5&gt;=Inputs!$L$10,O5&lt;Inputs!$D$29),(1+'(Z+) OpEx'!$I$27)^(('(Z+) Monthly CF'!O5-Inputs!$L$10)/12),IF(O5&gt;=Inputs!$D$29,N10*((1+'(Z+) OpEx'!$J$27)^(1/12)),1)),0)</f>
        <v>1.0224166622294937</v>
      </c>
      <c r="P10" s="407">
        <f>+IFERROR(IF(AND(P5&gt;=Inputs!$L$10,P5&lt;Inputs!$D$29),(1+'(Z+) OpEx'!$I$27)^(('(Z+) Monthly CF'!P5-Inputs!$L$10)/12),IF(P5&gt;=Inputs!$D$29,O10*((1+'(Z+) OpEx'!$J$27)^(1/12)),1)),0)</f>
        <v>1.0249382175382498</v>
      </c>
      <c r="Q10" s="407">
        <f>+IFERROR(IF(AND(Q5&gt;=Inputs!$L$10,Q5&lt;Inputs!$D$29),(1+'(Z+) OpEx'!$I$27)^(('(Z+) Monthly CF'!Q5-Inputs!$L$10)/12),IF(Q5&gt;=Inputs!$D$29,P10*((1+'(Z+) OpEx'!$J$27)^(1/12)),1)),0)</f>
        <v>1.0274659916826432</v>
      </c>
      <c r="R10" s="407">
        <f>+IFERROR(IF(AND(R5&gt;=Inputs!$L$10,R5&lt;Inputs!$D$29),(1+'(Z+) OpEx'!$I$27)^(('(Z+) Monthly CF'!R5-Inputs!$L$10)/12),IF(R5&gt;=Inputs!$D$29,Q10*((1+'(Z+) OpEx'!$J$27)^(1/12)),1)),0)</f>
        <v>1.03</v>
      </c>
      <c r="S10" s="407">
        <f>+IFERROR(IF(AND(S5&gt;=Inputs!$L$10,S5&lt;Inputs!$D$29),(1+'(Z+) OpEx'!$I$27)^(('(Z+) Monthly CF'!S5-Inputs!$L$10)/12),IF(S5&gt;=Inputs!$D$29,R10*((1+'(Z+) OpEx'!$J$27)^(1/12)),1)),0)</f>
        <v>1.0325402578654728</v>
      </c>
      <c r="T10" s="407">
        <f>+IFERROR(IF(AND(T5&gt;=Inputs!$L$10,T5&lt;Inputs!$D$29),(1+'(Z+) OpEx'!$I$27)^(('(Z+) Monthly CF'!T5-Inputs!$L$10)/12),IF(T5&gt;=Inputs!$D$29,S10*((1+'(Z+) OpEx'!$J$27)^(1/12)),1)),0)</f>
        <v>1.0350867806921329</v>
      </c>
      <c r="U10" s="408">
        <f>+IFERROR(IF(AND(U5&gt;=Inputs!$L$10,U5&lt;Inputs!$D$29),(1+'(Z+) OpEx'!$I$27)^(('(Z+) Monthly CF'!U5-Inputs!$L$10)/12),IF(U5&gt;=Inputs!$D$29,T10*((1+'(Z+) OpEx'!$J$27)^(1/12)),1)),0)</f>
        <v>1.037639583931065</v>
      </c>
      <c r="V10" s="408">
        <f>+IFERROR(IF(AND(V5&gt;=Inputs!$L$10,V5&lt;Inputs!$D$29),(1+'(Z+) OpEx'!$I$27)^(('(Z+) Monthly CF'!V5-Inputs!$L$10)/12),IF(V5&gt;=Inputs!$D$29,U10*((1+'(Z+) OpEx'!$J$27)^(1/12)),1)),0)</f>
        <v>1.0401986830714598</v>
      </c>
      <c r="W10" s="408">
        <f>+IFERROR(IF(AND(W5&gt;=Inputs!$L$10,W5&lt;Inputs!$D$29),(1+'(Z+) OpEx'!$I$27)^(('(Z+) Monthly CF'!W5-Inputs!$L$10)/12),IF(W5&gt;=Inputs!$D$29,V10*((1+'(Z+) OpEx'!$J$27)^(1/12)),1)),0)</f>
        <v>1.042764093640709</v>
      </c>
      <c r="X10" s="408">
        <f>+IFERROR(IF(AND(X5&gt;=Inputs!$L$10,X5&lt;Inputs!$D$29),(1+'(Z+) OpEx'!$I$27)^(('(Z+) Monthly CF'!X5-Inputs!$L$10)/12),IF(X5&gt;=Inputs!$D$29,W10*((1+'(Z+) OpEx'!$J$27)^(1/12)),1)),0)</f>
        <v>1.0453358312044987</v>
      </c>
      <c r="Y10" s="408">
        <f>+IFERROR(IF(AND(Y5&gt;=Inputs!$L$10,Y5&lt;Inputs!$D$29),(1+'(Z+) OpEx'!$I$27)^(('(Z+) Monthly CF'!Y5-Inputs!$L$10)/12),IF(Y5&gt;=Inputs!$D$29,X10*((1+'(Z+) OpEx'!$J$27)^(1/12)),1)),0)</f>
        <v>1.0479139113669043</v>
      </c>
      <c r="Z10" s="408">
        <f>+IFERROR(IF(AND(Z5&gt;=Inputs!$L$10,Z5&lt;Inputs!$D$29),(1+'(Z+) OpEx'!$I$27)^(('(Z+) Monthly CF'!Z5-Inputs!$L$10)/12),IF(Z5&gt;=Inputs!$D$29,Y10*((1+'(Z+) OpEx'!$J$27)^(1/12)),1)),0)</f>
        <v>1.0504983497704847</v>
      </c>
      <c r="AA10" s="408">
        <f>+IFERROR(IF(AND(AA5&gt;=Inputs!$L$10,AA5&lt;Inputs!$D$29),(1+'(Z+) OpEx'!$I$27)^(('(Z+) Monthly CF'!AA5-Inputs!$L$10)/12),IF(AA5&gt;=Inputs!$D$29,Z10*((1+'(Z+) OpEx'!$J$27)^(1/12)),1)),0)</f>
        <v>1.0530343712110934</v>
      </c>
      <c r="AB10" s="408">
        <f>+IFERROR(IF(AND(AB5&gt;=Inputs!$L$10,AB5&lt;Inputs!$D$29),(1+'(Z+) OpEx'!$I$27)^(('(Z+) Monthly CF'!AB5-Inputs!$L$10)/12),IF(AB5&gt;=Inputs!$D$29,AA10*((1+'(Z+) OpEx'!$J$27)^(1/12)),1)),0)</f>
        <v>1.0555765148933491</v>
      </c>
      <c r="AC10" s="408">
        <f>+IFERROR(IF(AND(AC5&gt;=Inputs!$L$10,AC5&lt;Inputs!$D$29),(1+'(Z+) OpEx'!$I$27)^(('(Z+) Monthly CF'!AC5-Inputs!$L$10)/12),IF(AC5&gt;=Inputs!$D$29,AB10*((1+'(Z+) OpEx'!$J$27)^(1/12)),1)),0)</f>
        <v>1.0581247955970337</v>
      </c>
      <c r="AD10" s="408">
        <f>+IFERROR(IF(AND(AD5&gt;=Inputs!$L$10,AD5&lt;Inputs!$D$29),(1+'(Z+) OpEx'!$I$27)^(('(Z+) Monthly CF'!AD5-Inputs!$L$10)/12),IF(AD5&gt;=Inputs!$D$29,AC10*((1+'(Z+) OpEx'!$J$27)^(1/12)),1)),0)</f>
        <v>1.0606792281376083</v>
      </c>
      <c r="AE10" s="408">
        <f>+IFERROR(IF(AND(AE5&gt;=Inputs!$L$10,AE5&lt;Inputs!$D$29),(1+'(Z+) OpEx'!$I$27)^(('(Z+) Monthly CF'!AE5-Inputs!$L$10)/12),IF(AE5&gt;=Inputs!$D$29,AD10*((1+'(Z+) OpEx'!$J$27)^(1/12)),1)),0)</f>
        <v>1.0632398273663008</v>
      </c>
      <c r="AF10" s="408">
        <f>+IFERROR(IF(AND(AF5&gt;=Inputs!$L$10,AF5&lt;Inputs!$D$29),(1+'(Z+) OpEx'!$I$27)^(('(Z+) Monthly CF'!AF5-Inputs!$L$10)/12),IF(AF5&gt;=Inputs!$D$29,AE10*((1+'(Z+) OpEx'!$J$27)^(1/12)),1)),0)</f>
        <v>1.0658066081701918</v>
      </c>
      <c r="AG10" s="408">
        <f>+IFERROR(IF(AND(AG5&gt;=Inputs!$L$10,AG5&lt;Inputs!$D$29),(1+'(Z+) OpEx'!$I$27)^(('(Z+) Monthly CF'!AG5-Inputs!$L$10)/12),IF(AG5&gt;=Inputs!$D$29,AF10*((1+'(Z+) OpEx'!$J$27)^(1/12)),1)),0)</f>
        <v>1.0683795854723004</v>
      </c>
      <c r="AH10" s="408">
        <f>+IFERROR(IF(AND(AH5&gt;=Inputs!$L$10,AH5&lt;Inputs!$D$29),(1+'(Z+) OpEx'!$I$27)^(('(Z+) Monthly CF'!AH5-Inputs!$L$10)/12),IF(AH5&gt;=Inputs!$D$29,AG10*((1+'(Z+) OpEx'!$J$27)^(1/12)),1)),0)</f>
        <v>1.070958774231672</v>
      </c>
      <c r="AI10" s="408">
        <f>+IFERROR(IF(AND(AI5&gt;=Inputs!$L$10,AI5&lt;Inputs!$D$29),(1+'(Z+) OpEx'!$I$27)^(('(Z+) Monthly CF'!AI5-Inputs!$L$10)/12),IF(AI5&gt;=Inputs!$D$29,AH10*((1+'(Z+) OpEx'!$J$27)^(1/12)),1)),0)</f>
        <v>1.0735441894434645</v>
      </c>
      <c r="AJ10" s="408">
        <f>+IFERROR(IF(AND(AJ5&gt;=Inputs!$L$10,AJ5&lt;Inputs!$D$29),(1+'(Z+) OpEx'!$I$27)^(('(Z+) Monthly CF'!AJ5-Inputs!$L$10)/12),IF(AJ5&gt;=Inputs!$D$29,AI10*((1+'(Z+) OpEx'!$J$27)^(1/12)),1)),0)</f>
        <v>1.076135846139036</v>
      </c>
      <c r="AK10" s="408">
        <f>+IFERROR(IF(AND(AK5&gt;=Inputs!$L$10,AK5&lt;Inputs!$D$29),(1+'(Z+) OpEx'!$I$27)^(('(Z+) Monthly CF'!AK5-Inputs!$L$10)/12),IF(AK5&gt;=Inputs!$D$29,AJ10*((1+'(Z+) OpEx'!$J$27)^(1/12)),1)),0)</f>
        <v>1.078733759386032</v>
      </c>
      <c r="AL10" s="408">
        <f>+IFERROR(IF(AND(AL5&gt;=Inputs!$L$10,AL5&lt;Inputs!$D$29),(1+'(Z+) OpEx'!$I$27)^(('(Z+) Monthly CF'!AL5-Inputs!$L$10)/12),IF(AL5&gt;=Inputs!$D$29,AK10*((1+'(Z+) OpEx'!$J$27)^(1/12)),1)),0)</f>
        <v>1.081337944288473</v>
      </c>
      <c r="AM10" s="408">
        <f>+IFERROR(IF(AND(AM5&gt;=Inputs!$L$10,AM5&lt;Inputs!$D$29),(1+'(Z+) OpEx'!$I$27)^(('(Z+) Monthly CF'!AM5-Inputs!$L$10)/12),IF(AM5&gt;=Inputs!$D$29,AL10*((1+'(Z+) OpEx'!$J$27)^(1/12)),1)),0)</f>
        <v>1.083948415986842</v>
      </c>
      <c r="AN10" s="408">
        <f>+IFERROR(IF(AND(AN5&gt;=Inputs!$L$10,AN5&lt;Inputs!$D$29),(1+'(Z+) OpEx'!$I$27)^(('(Z+) Monthly CF'!AN5-Inputs!$L$10)/12),IF(AN5&gt;=Inputs!$D$29,AM10*((1+'(Z+) OpEx'!$J$27)^(1/12)),1)),0)</f>
        <v>1.0865651896581734</v>
      </c>
      <c r="AO10" s="408">
        <f>+IFERROR(IF(AND(AO5&gt;=Inputs!$L$10,AO5&lt;Inputs!$D$29),(1+'(Z+) OpEx'!$I$27)^(('(Z+) Monthly CF'!AO5-Inputs!$L$10)/12),IF(AO5&gt;=Inputs!$D$29,AN10*((1+'(Z+) OpEx'!$J$27)^(1/12)),1)),0)</f>
        <v>1.0891882805161401</v>
      </c>
      <c r="AP10" s="408">
        <f>+IFERROR(IF(AND(AP5&gt;=Inputs!$L$10,AP5&lt;Inputs!$D$29),(1+'(Z+) OpEx'!$I$27)^(('(Z+) Monthly CF'!AP5-Inputs!$L$10)/12),IF(AP5&gt;=Inputs!$D$29,AO10*((1+'(Z+) OpEx'!$J$27)^(1/12)),1)),0)</f>
        <v>1.091817703811143</v>
      </c>
      <c r="AQ10" s="408">
        <f>+IFERROR(IF(AND(AQ5&gt;=Inputs!$L$10,AQ5&lt;Inputs!$D$29),(1+'(Z+) OpEx'!$I$27)^(('(Z+) Monthly CF'!AQ5-Inputs!$L$10)/12),IF(AQ5&gt;=Inputs!$D$29,AP10*((1+'(Z+) OpEx'!$J$27)^(1/12)),1)),0)</f>
        <v>1.0944534748303989</v>
      </c>
      <c r="AR10" s="408">
        <f>+IFERROR(IF(AND(AR5&gt;=Inputs!$L$10,AR5&lt;Inputs!$D$29),(1+'(Z+) OpEx'!$I$27)^(('(Z+) Monthly CF'!AR5-Inputs!$L$10)/12),IF(AR5&gt;=Inputs!$D$29,AQ10*((1+'(Z+) OpEx'!$J$27)^(1/12)),1)),0)</f>
        <v>1.0970956088980297</v>
      </c>
      <c r="AS10" s="408">
        <f>+IFERROR(IF(AND(AS5&gt;=Inputs!$L$10,AS5&lt;Inputs!$D$29),(1+'(Z+) OpEx'!$I$27)^(('(Z+) Monthly CF'!AS5-Inputs!$L$10)/12),IF(AS5&gt;=Inputs!$D$29,AR10*((1+'(Z+) OpEx'!$J$27)^(1/12)),1)),0)</f>
        <v>1.0997441213751515</v>
      </c>
      <c r="AT10" s="408">
        <f>+IFERROR(IF(AND(AT5&gt;=Inputs!$L$10,AT5&lt;Inputs!$D$29),(1+'(Z+) OpEx'!$I$27)^(('(Z+) Monthly CF'!AT5-Inputs!$L$10)/12),IF(AT5&gt;=Inputs!$D$29,AS10*((1+'(Z+) OpEx'!$J$27)^(1/12)),1)),0)</f>
        <v>1.102399027659964</v>
      </c>
      <c r="AU10" s="408">
        <f>+IFERROR(IF(AND(AU5&gt;=Inputs!$L$10,AU5&lt;Inputs!$D$29),(1+'(Z+) OpEx'!$I$27)^(('(Z+) Monthly CF'!AU5-Inputs!$L$10)/12),IF(AU5&gt;=Inputs!$D$29,AT10*((1+'(Z+) OpEx'!$J$27)^(1/12)),1)),0)</f>
        <v>1.1050603431878396</v>
      </c>
      <c r="AV10" s="408">
        <f>+IFERROR(IF(AND(AV5&gt;=Inputs!$L$10,AV5&lt;Inputs!$D$29),(1+'(Z+) OpEx'!$I$27)^(('(Z+) Monthly CF'!AV5-Inputs!$L$10)/12),IF(AV5&gt;=Inputs!$D$29,AU10*((1+'(Z+) OpEx'!$J$27)^(1/12)),1)),0)</f>
        <v>1.1077280834314136</v>
      </c>
      <c r="AW10" s="408">
        <f>+IFERROR(IF(AND(AW5&gt;=Inputs!$L$10,AW5&lt;Inputs!$D$29),(1+'(Z+) OpEx'!$I$27)^(('(Z+) Monthly CF'!AW5-Inputs!$L$10)/12),IF(AW5&gt;=Inputs!$D$29,AV10*((1+'(Z+) OpEx'!$J$27)^(1/12)),1)),0)</f>
        <v>1.1104022639006739</v>
      </c>
      <c r="AX10" s="408">
        <f>+IFERROR(IF(AND(AX5&gt;=Inputs!$L$10,AX5&lt;Inputs!$D$29),(1+'(Z+) OpEx'!$I$27)^(('(Z+) Monthly CF'!AX5-Inputs!$L$10)/12),IF(AX5&gt;=Inputs!$D$29,AW10*((1+'(Z+) OpEx'!$J$27)^(1/12)),1)),0)</f>
        <v>1.1130829001430513</v>
      </c>
      <c r="AY10" s="408">
        <f>+IFERROR(IF(AND(AY5&gt;=Inputs!$L$10,AY5&lt;Inputs!$D$29),(1+'(Z+) OpEx'!$I$27)^(('(Z+) Monthly CF'!AY5-Inputs!$L$10)/12),IF(AY5&gt;=Inputs!$D$29,AX10*((1+'(Z+) OpEx'!$J$27)^(1/12)),1)),0)</f>
        <v>1.11577000774351</v>
      </c>
      <c r="AZ10" s="408">
        <f>+IFERROR(IF(AND(AZ5&gt;=Inputs!$L$10,AZ5&lt;Inputs!$D$29),(1+'(Z+) OpEx'!$I$27)^(('(Z+) Monthly CF'!AZ5-Inputs!$L$10)/12),IF(AZ5&gt;=Inputs!$D$29,AY10*((1+'(Z+) OpEx'!$J$27)^(1/12)),1)),0)</f>
        <v>1.1184636023246379</v>
      </c>
      <c r="BA10" s="408">
        <f>+IFERROR(IF(AND(BA5&gt;=Inputs!$L$10,BA5&lt;Inputs!$D$29),(1+'(Z+) OpEx'!$I$27)^(('(Z+) Monthly CF'!BA5-Inputs!$L$10)/12),IF(BA5&gt;=Inputs!$D$29,AZ10*((1+'(Z+) OpEx'!$J$27)^(1/12)),1)),0)</f>
        <v>1.1211636995467378</v>
      </c>
      <c r="BB10" s="408">
        <f>+IFERROR(IF(AND(BB5&gt;=Inputs!$L$10,BB5&lt;Inputs!$D$29),(1+'(Z+) OpEx'!$I$27)^(('(Z+) Monthly CF'!BB5-Inputs!$L$10)/12),IF(BB5&gt;=Inputs!$D$29,BA10*((1+'(Z+) OpEx'!$J$27)^(1/12)),1)),0)</f>
        <v>1.1238703151079177</v>
      </c>
      <c r="BC10" s="408">
        <f>+IFERROR(IF(AND(BC5&gt;=Inputs!$L$10,BC5&lt;Inputs!$D$29),(1+'(Z+) OpEx'!$I$27)^(('(Z+) Monthly CF'!BC5-Inputs!$L$10)/12),IF(BC5&gt;=Inputs!$D$29,BB10*((1+'(Z+) OpEx'!$J$27)^(1/12)),1)),0)</f>
        <v>1.1265834647441832</v>
      </c>
      <c r="BD10" s="408">
        <f>+IFERROR(IF(AND(BD5&gt;=Inputs!$L$10,BD5&lt;Inputs!$D$29),(1+'(Z+) OpEx'!$I$27)^(('(Z+) Monthly CF'!BD5-Inputs!$L$10)/12),IF(BD5&gt;=Inputs!$D$29,BC10*((1+'(Z+) OpEx'!$J$27)^(1/12)),1)),0)</f>
        <v>1.1293031642295281</v>
      </c>
      <c r="BE10" s="408">
        <f>+IFERROR(IF(AND(BE5&gt;=Inputs!$L$10,BE5&lt;Inputs!$D$29),(1+'(Z+) OpEx'!$I$27)^(('(Z+) Monthly CF'!BE5-Inputs!$L$10)/12),IF(BE5&gt;=Inputs!$D$29,BD10*((1+'(Z+) OpEx'!$J$27)^(1/12)),1)),0)</f>
        <v>1.1320294293760265</v>
      </c>
      <c r="BF10" s="408">
        <f>+IFERROR(IF(AND(BF5&gt;=Inputs!$L$10,BF5&lt;Inputs!$D$29),(1+'(Z+) OpEx'!$I$27)^(('(Z+) Monthly CF'!BF5-Inputs!$L$10)/12),IF(BF5&gt;=Inputs!$D$29,BE10*((1+'(Z+) OpEx'!$J$27)^(1/12)),1)),0)</f>
        <v>1.1347622760339244</v>
      </c>
      <c r="BG10" s="408">
        <f>+IFERROR(IF(AND(BG5&gt;=Inputs!$L$10,BG5&lt;Inputs!$D$29),(1+'(Z+) OpEx'!$I$27)^(('(Z+) Monthly CF'!BG5-Inputs!$L$10)/12),IF(BG5&gt;=Inputs!$D$29,BF10*((1+'(Z+) OpEx'!$J$27)^(1/12)),1)),0)</f>
        <v>1.1375017200917326</v>
      </c>
      <c r="BH10" s="408">
        <f>+IFERROR(IF(AND(BH5&gt;=Inputs!$L$10,BH5&lt;Inputs!$D$29),(1+'(Z+) OpEx'!$I$27)^(('(Z+) Monthly CF'!BH5-Inputs!$L$10)/12),IF(BH5&gt;=Inputs!$D$29,BG10*((1+'(Z+) OpEx'!$J$27)^(1/12)),1)),0)</f>
        <v>1.1402477774763178</v>
      </c>
      <c r="BI10" s="408">
        <f>+IFERROR(IF(AND(BI5&gt;=Inputs!$L$10,BI5&lt;Inputs!$D$29),(1+'(Z+) OpEx'!$I$27)^(('(Z+) Monthly CF'!BI5-Inputs!$L$10)/12),IF(BI5&gt;=Inputs!$D$29,BH10*((1+'(Z+) OpEx'!$J$27)^(1/12)),1)),0)</f>
        <v>1.1430004641529965</v>
      </c>
      <c r="BJ10" s="408">
        <f>+IFERROR(IF(AND(BJ5&gt;=Inputs!$L$10,BJ5&lt;Inputs!$D$29),(1+'(Z+) OpEx'!$I$27)^(('(Z+) Monthly CF'!BJ5-Inputs!$L$10)/12),IF(BJ5&gt;=Inputs!$D$29,BI10*((1+'(Z+) OpEx'!$J$27)^(1/12)),1)),0)</f>
        <v>1.1457597961256274</v>
      </c>
      <c r="BK10" s="408">
        <f>+IFERROR(IF(AND(BK5&gt;=Inputs!$L$10,BK5&lt;Inputs!$D$29),(1+'(Z+) OpEx'!$I$27)^(('(Z+) Monthly CF'!BK5-Inputs!$L$10)/12),IF(BK5&gt;=Inputs!$D$29,BJ10*((1+'(Z+) OpEx'!$J$27)^(1/12)),1)),0)</f>
        <v>1.1485257894367038</v>
      </c>
      <c r="BL10" s="408">
        <f>+IFERROR(IF(AND(BL5&gt;=Inputs!$L$10,BL5&lt;Inputs!$D$29),(1+'(Z+) OpEx'!$I$27)^(('(Z+) Monthly CF'!BL5-Inputs!$L$10)/12),IF(BL5&gt;=Inputs!$D$29,BK10*((1+'(Z+) OpEx'!$J$27)^(1/12)),1)),0)</f>
        <v>1.1512984601674479</v>
      </c>
      <c r="BM10" s="408">
        <f>+IFERROR(IF(AND(BM5&gt;=Inputs!$L$10,BM5&lt;Inputs!$D$29),(1+'(Z+) OpEx'!$I$27)^(('(Z+) Monthly CF'!BM5-Inputs!$L$10)/12),IF(BM5&gt;=Inputs!$D$29,BL10*((1+'(Z+) OpEx'!$J$27)^(1/12)),1)),0)</f>
        <v>1.1540778244379033</v>
      </c>
      <c r="BN10" s="408">
        <f>+IFERROR(IF(AND(BN5&gt;=Inputs!$L$10,BN5&lt;Inputs!$D$29),(1+'(Z+) OpEx'!$I$27)^(('(Z+) Monthly CF'!BN5-Inputs!$L$10)/12),IF(BN5&gt;=Inputs!$D$29,BM10*((1+'(Z+) OpEx'!$J$27)^(1/12)),1)),0)</f>
        <v>1.1568638984070294</v>
      </c>
      <c r="BO10" s="408">
        <f>+IFERROR(IF(AND(BO5&gt;=Inputs!$L$10,BO5&lt;Inputs!$D$29),(1+'(Z+) OpEx'!$I$27)^(('(Z+) Monthly CF'!BO5-Inputs!$L$10)/12),IF(BO5&gt;=Inputs!$D$29,BN10*((1+'(Z+) OpEx'!$J$27)^(1/12)),1)),0)</f>
        <v>1.1596566982727954</v>
      </c>
      <c r="BP10" s="408">
        <f>+IFERROR(IF(AND(BP5&gt;=Inputs!$L$10,BP5&lt;Inputs!$D$29),(1+'(Z+) OpEx'!$I$27)^(('(Z+) Monthly CF'!BP5-Inputs!$L$10)/12),IF(BP5&gt;=Inputs!$D$29,BO10*((1+'(Z+) OpEx'!$J$27)^(1/12)),1)),0)</f>
        <v>1.1624562402722738</v>
      </c>
      <c r="BQ10" s="408">
        <f>+IFERROR(IF(AND(BQ5&gt;=Inputs!$L$10,BQ5&lt;Inputs!$D$29),(1+'(Z+) OpEx'!$I$27)^(('(Z+) Monthly CF'!BQ5-Inputs!$L$10)/12),IF(BQ5&gt;=Inputs!$D$29,BP10*((1+'(Z+) OpEx'!$J$27)^(1/12)),1)),0)</f>
        <v>1.1652625406817356</v>
      </c>
      <c r="BR10" s="408">
        <f>+IFERROR(IF(AND(BR5&gt;=Inputs!$L$10,BR5&lt;Inputs!$D$29),(1+'(Z+) OpEx'!$I$27)^(('(Z+) Monthly CF'!BR5-Inputs!$L$10)/12),IF(BR5&gt;=Inputs!$D$29,BQ10*((1+'(Z+) OpEx'!$J$27)^(1/12)),1)),0)</f>
        <v>1.1680756158167442</v>
      </c>
      <c r="BS10" s="408">
        <f>+IFERROR(IF(AND(BS5&gt;=Inputs!$L$10,BS5&lt;Inputs!$D$29),(1+'(Z+) OpEx'!$I$27)^(('(Z+) Monthly CF'!BS5-Inputs!$L$10)/12),IF(BS5&gt;=Inputs!$D$29,BR10*((1+'(Z+) OpEx'!$J$27)^(1/12)),1)),0)</f>
        <v>1.170895482032251</v>
      </c>
      <c r="BT10" s="408">
        <f>+IFERROR(IF(AND(BT5&gt;=Inputs!$L$10,BT5&lt;Inputs!$D$29),(1+'(Z+) OpEx'!$I$27)^(('(Z+) Monthly CF'!BT5-Inputs!$L$10)/12),IF(BT5&gt;=Inputs!$D$29,BS10*((1+'(Z+) OpEx'!$J$27)^(1/12)),1)),0)</f>
        <v>1.1737221557226898</v>
      </c>
      <c r="BU10" s="408">
        <f>+IFERROR(IF(AND(BU5&gt;=Inputs!$L$10,BU5&lt;Inputs!$D$29),(1+'(Z+) OpEx'!$I$27)^(('(Z+) Monthly CF'!BU5-Inputs!$L$10)/12),IF(BU5&gt;=Inputs!$D$29,BT10*((1+'(Z+) OpEx'!$J$27)^(1/12)),1)),0)</f>
        <v>1.1765556533220725</v>
      </c>
      <c r="BV10" s="408">
        <f>+IFERROR(IF(AND(BV5&gt;=Inputs!$L$10,BV5&lt;Inputs!$D$29),(1+'(Z+) OpEx'!$I$27)^(('(Z+) Monthly CF'!BV5-Inputs!$L$10)/12),IF(BV5&gt;=Inputs!$D$29,BU10*((1+'(Z+) OpEx'!$J$27)^(1/12)),1)),0)</f>
        <v>1.1793959913040846</v>
      </c>
      <c r="BW10" s="408">
        <f>+IFERROR(IF(AND(BW5&gt;=Inputs!$L$10,BW5&lt;Inputs!$D$29),(1+'(Z+) OpEx'!$I$27)^(('(Z+) Monthly CF'!BW5-Inputs!$L$10)/12),IF(BW5&gt;=Inputs!$D$29,BV10*((1+'(Z+) OpEx'!$J$27)^(1/12)),1)),0)</f>
        <v>1.1822431861821807</v>
      </c>
      <c r="BX10" s="408">
        <f>+IFERROR(IF(AND(BX5&gt;=Inputs!$L$10,BX5&lt;Inputs!$D$29),(1+'(Z+) OpEx'!$I$27)^(('(Z+) Monthly CF'!BX5-Inputs!$L$10)/12),IF(BX5&gt;=Inputs!$D$29,BW10*((1+'(Z+) OpEx'!$J$27)^(1/12)),1)),0)</f>
        <v>1.1850972545096812</v>
      </c>
      <c r="BY10" s="408">
        <f>+IFERROR(IF(AND(BY5&gt;=Inputs!$L$10,BY5&lt;Inputs!$D$29),(1+'(Z+) OpEx'!$I$27)^(('(Z+) Monthly CF'!BY5-Inputs!$L$10)/12),IF(BY5&gt;=Inputs!$D$29,BX10*((1+'(Z+) OpEx'!$J$27)^(1/12)),1)),0)</f>
        <v>1.1879582128798678</v>
      </c>
      <c r="BZ10" s="408">
        <f>+IFERROR(IF(AND(BZ5&gt;=Inputs!$L$10,BZ5&lt;Inputs!$D$29),(1+'(Z+) OpEx'!$I$27)^(('(Z+) Monthly CF'!BZ5-Inputs!$L$10)/12),IF(BZ5&gt;=Inputs!$D$29,BY10*((1+'(Z+) OpEx'!$J$27)^(1/12)),1)),0)</f>
        <v>1.1908260779260802</v>
      </c>
      <c r="CA10" s="408">
        <f>+IFERROR(IF(AND(CA5&gt;=Inputs!$L$10,CA5&lt;Inputs!$D$29),(1+'(Z+) OpEx'!$I$27)^(('(Z+) Monthly CF'!CA5-Inputs!$L$10)/12),IF(CA5&gt;=Inputs!$D$29,BZ10*((1+'(Z+) OpEx'!$J$27)^(1/12)),1)),0)</f>
        <v>1.1937008663218127</v>
      </c>
      <c r="CB10" s="408">
        <f>+IFERROR(IF(AND(CB5&gt;=Inputs!$L$10,CB5&lt;Inputs!$D$29),(1+'(Z+) OpEx'!$I$27)^(('(Z+) Monthly CF'!CB5-Inputs!$L$10)/12),IF(CB5&gt;=Inputs!$D$29,CA10*((1+'(Z+) OpEx'!$J$27)^(1/12)),1)),0)</f>
        <v>1.1965825947808117</v>
      </c>
      <c r="CC10" s="408">
        <f>+IFERROR(IF(AND(CC5&gt;=Inputs!$L$10,CC5&lt;Inputs!$D$29),(1+'(Z+) OpEx'!$I$27)^(('(Z+) Monthly CF'!CC5-Inputs!$L$10)/12),IF(CC5&gt;=Inputs!$D$29,CB10*((1+'(Z+) OpEx'!$J$27)^(1/12)),1)),0)</f>
        <v>1.1994712800571725</v>
      </c>
      <c r="CD10" s="408">
        <f>+IFERROR(IF(AND(CD5&gt;=Inputs!$L$10,CD5&lt;Inputs!$D$29),(1+'(Z+) OpEx'!$I$27)^(('(Z+) Monthly CF'!CD5-Inputs!$L$10)/12),IF(CD5&gt;=Inputs!$D$29,CC10*((1+'(Z+) OpEx'!$J$27)^(1/12)),1)),0)</f>
        <v>1.2023669389454363</v>
      </c>
      <c r="CE10" s="408">
        <f>+IFERROR(IF(AND(CE5&gt;=Inputs!$L$10,CE5&lt;Inputs!$D$29),(1+'(Z+) OpEx'!$I$27)^(('(Z+) Monthly CF'!CE5-Inputs!$L$10)/12),IF(CE5&gt;=Inputs!$D$29,CD10*((1+'(Z+) OpEx'!$J$27)^(1/12)),1)),0)</f>
        <v>1.2052695882806883</v>
      </c>
      <c r="CF10" s="408">
        <f>+IFERROR(IF(AND(CF5&gt;=Inputs!$L$10,CF5&lt;Inputs!$D$29),(1+'(Z+) OpEx'!$I$27)^(('(Z+) Monthly CF'!CF5-Inputs!$L$10)/12),IF(CF5&gt;=Inputs!$D$29,CE10*((1+'(Z+) OpEx'!$J$27)^(1/12)),1)),0)</f>
        <v>1.2081792449386557</v>
      </c>
      <c r="CG10" s="408">
        <f>+IFERROR(IF(AND(CG5&gt;=Inputs!$L$10,CG5&lt;Inputs!$D$29),(1+'(Z+) OpEx'!$I$27)^(('(Z+) Monthly CF'!CG5-Inputs!$L$10)/12),IF(CG5&gt;=Inputs!$D$29,CF10*((1+'(Z+) OpEx'!$J$27)^(1/12)),1)),0)</f>
        <v>1.2110959258358054</v>
      </c>
      <c r="CH10" s="408">
        <f>+IFERROR(IF(AND(CH5&gt;=Inputs!$L$10,CH5&lt;Inputs!$D$29),(1+'(Z+) OpEx'!$I$27)^(('(Z+) Monthly CF'!CH5-Inputs!$L$10)/12),IF(CH5&gt;=Inputs!$D$29,CG10*((1+'(Z+) OpEx'!$J$27)^(1/12)),1)),0)</f>
        <v>1.2140196479294425</v>
      </c>
      <c r="CI10" s="408">
        <f>+IFERROR(IF(AND(CI5&gt;=Inputs!$L$10,CI5&lt;Inputs!$D$29),(1+'(Z+) OpEx'!$I$27)^(('(Z+) Monthly CF'!CI5-Inputs!$L$10)/12),IF(CI5&gt;=Inputs!$D$29,CH10*((1+'(Z+) OpEx'!$J$27)^(1/12)),1)),0)</f>
        <v>1.2169504282178094</v>
      </c>
      <c r="CJ10" s="408">
        <f>+IFERROR(IF(AND(CJ5&gt;=Inputs!$L$10,CJ5&lt;Inputs!$D$29),(1+'(Z+) OpEx'!$I$27)^(('(Z+) Monthly CF'!CJ5-Inputs!$L$10)/12),IF(CJ5&gt;=Inputs!$D$29,CI10*((1+'(Z+) OpEx'!$J$27)^(1/12)),1)),0)</f>
        <v>1.2198882837401837</v>
      </c>
      <c r="CK10" s="408">
        <f>+IFERROR(IF(AND(CK5&gt;=Inputs!$L$10,CK5&lt;Inputs!$D$29),(1+'(Z+) OpEx'!$I$27)^(('(Z+) Monthly CF'!CK5-Inputs!$L$10)/12),IF(CK5&gt;=Inputs!$D$29,CJ10*((1+'(Z+) OpEx'!$J$27)^(1/12)),1)),0)</f>
        <v>1.2228332315769779</v>
      </c>
      <c r="CL10" s="408">
        <f>+IFERROR(IF(AND(CL5&gt;=Inputs!$L$10,CL5&lt;Inputs!$D$29),(1+'(Z+) OpEx'!$I$27)^(('(Z+) Monthly CF'!CL5-Inputs!$L$10)/12),IF(CL5&gt;=Inputs!$D$29,CK10*((1+'(Z+) OpEx'!$J$27)^(1/12)),1)),0)</f>
        <v>1.2257852888498384</v>
      </c>
      <c r="CM10" s="408">
        <f>+IFERROR(IF(AND(CM5&gt;=Inputs!$L$10,CM5&lt;Inputs!$D$29),(1+'(Z+) OpEx'!$I$27)^(('(Z+) Monthly CF'!CM5-Inputs!$L$10)/12),IF(CM5&gt;=Inputs!$D$29,CL10*((1+'(Z+) OpEx'!$J$27)^(1/12)),1)),0)</f>
        <v>1.2287444727217456</v>
      </c>
      <c r="CN10" s="408">
        <f>+IFERROR(IF(AND(CN5&gt;=Inputs!$L$10,CN5&lt;Inputs!$D$29),(1+'(Z+) OpEx'!$I$27)^(('(Z+) Monthly CF'!CN5-Inputs!$L$10)/12),IF(CN5&gt;=Inputs!$D$29,CM10*((1+'(Z+) OpEx'!$J$27)^(1/12)),1)),0)</f>
        <v>1.2317108003971127</v>
      </c>
      <c r="CO10" s="408">
        <f>+IFERROR(IF(AND(CO5&gt;=Inputs!$L$10,CO5&lt;Inputs!$D$29),(1+'(Z+) OpEx'!$I$27)^(('(Z+) Monthly CF'!CO5-Inputs!$L$10)/12),IF(CO5&gt;=Inputs!$D$29,CN10*((1+'(Z+) OpEx'!$J$27)^(1/12)),1)),0)</f>
        <v>1.2346842891218868</v>
      </c>
      <c r="CP10" s="408">
        <f>+IFERROR(IF(AND(CP5&gt;=Inputs!$L$10,CP5&lt;Inputs!$D$29),(1+'(Z+) OpEx'!$I$27)^(('(Z+) Monthly CF'!CP5-Inputs!$L$10)/12),IF(CP5&gt;=Inputs!$D$29,CO10*((1+'(Z+) OpEx'!$J$27)^(1/12)),1)),0)</f>
        <v>1.2376649561836484</v>
      </c>
      <c r="CQ10" s="408">
        <f>+IFERROR(IF(AND(CQ5&gt;=Inputs!$L$10,CQ5&lt;Inputs!$D$29),(1+'(Z+) OpEx'!$I$27)^(('(Z+) Monthly CF'!CQ5-Inputs!$L$10)/12),IF(CQ5&gt;=Inputs!$D$29,CP10*((1+'(Z+) OpEx'!$J$27)^(1/12)),1)),0)</f>
        <v>1.2406528189117121</v>
      </c>
      <c r="CR10" s="408">
        <f>+IFERROR(IF(AND(CR5&gt;=Inputs!$L$10,CR5&lt;Inputs!$D$29),(1+'(Z+) OpEx'!$I$27)^(('(Z+) Monthly CF'!CR5-Inputs!$L$10)/12),IF(CR5&gt;=Inputs!$D$29,CQ10*((1+'(Z+) OpEx'!$J$27)^(1/12)),1)),0)</f>
        <v>1.2436478946772276</v>
      </c>
      <c r="CS10" s="408">
        <f>+IFERROR(IF(AND(CS5&gt;=Inputs!$L$10,CS5&lt;Inputs!$D$29),(1+'(Z+) OpEx'!$I$27)^(('(Z+) Monthly CF'!CS5-Inputs!$L$10)/12),IF(CS5&gt;=Inputs!$D$29,CR10*((1+'(Z+) OpEx'!$J$27)^(1/12)),1)),0)</f>
        <v>1.2466502008932805</v>
      </c>
      <c r="CT10" s="408">
        <f>+IFERROR(IF(AND(CT5&gt;=Inputs!$L$10,CT5&lt;Inputs!$D$29),(1+'(Z+) OpEx'!$I$27)^(('(Z+) Monthly CF'!CT5-Inputs!$L$10)/12),IF(CT5&gt;=Inputs!$D$29,CS10*((1+'(Z+) OpEx'!$J$27)^(1/12)),1)),0)</f>
        <v>1.2496597550149935</v>
      </c>
      <c r="CU10" s="408">
        <f>+IFERROR(IF(AND(CU5&gt;=Inputs!$L$10,CU5&lt;Inputs!$D$29),(1+'(Z+) OpEx'!$I$27)^(('(Z+) Monthly CF'!CU5-Inputs!$L$10)/12),IF(CU5&gt;=Inputs!$D$29,CT10*((1+'(Z+) OpEx'!$J$27)^(1/12)),1)),0)</f>
        <v>1.2526765745396278</v>
      </c>
      <c r="CV10" s="408">
        <f>+IFERROR(IF(AND(CV5&gt;=Inputs!$L$10,CV5&lt;Inputs!$D$29),(1+'(Z+) OpEx'!$I$27)^(('(Z+) Monthly CF'!CV5-Inputs!$L$10)/12),IF(CV5&gt;=Inputs!$D$29,CU10*((1+'(Z+) OpEx'!$J$27)^(1/12)),1)),0)</f>
        <v>1.2557006770066852</v>
      </c>
      <c r="CW10" s="408">
        <f>+IFERROR(IF(AND(CW5&gt;=Inputs!$L$10,CW5&lt;Inputs!$D$29),(1+'(Z+) OpEx'!$I$27)^(('(Z+) Monthly CF'!CW5-Inputs!$L$10)/12),IF(CW5&gt;=Inputs!$D$29,CV10*((1+'(Z+) OpEx'!$J$27)^(1/12)),1)),0)</f>
        <v>1.2587320799980097</v>
      </c>
      <c r="CX10" s="408">
        <f>+IFERROR(IF(AND(CX5&gt;=Inputs!$L$10,CX5&lt;Inputs!$D$29),(1+'(Z+) OpEx'!$I$27)^(('(Z+) Monthly CF'!CX5-Inputs!$L$10)/12),IF(CX5&gt;=Inputs!$D$29,CW10*((1+'(Z+) OpEx'!$J$27)^(1/12)),1)),0)</f>
        <v>1.2617708011378899</v>
      </c>
      <c r="CY10" s="408">
        <f>+IFERROR(IF(AND(CY5&gt;=Inputs!$L$10,CY5&lt;Inputs!$D$29),(1+'(Z+) OpEx'!$I$27)^(('(Z+) Monthly CF'!CY5-Inputs!$L$10)/12),IF(CY5&gt;=Inputs!$D$29,CX10*((1+'(Z+) OpEx'!$J$27)^(1/12)),1)),0)</f>
        <v>1.2648168580931614</v>
      </c>
      <c r="CZ10" s="408">
        <f>+IFERROR(IF(AND(CZ5&gt;=Inputs!$L$10,CZ5&lt;Inputs!$D$29),(1+'(Z+) OpEx'!$I$27)^(('(Z+) Monthly CF'!CZ5-Inputs!$L$10)/12),IF(CZ5&gt;=Inputs!$D$29,CY10*((1+'(Z+) OpEx'!$J$27)^(1/12)),1)),0)</f>
        <v>1.2678702685733094</v>
      </c>
      <c r="DA10" s="408">
        <f>+IFERROR(IF(AND(DA5&gt;=Inputs!$L$10,DA5&lt;Inputs!$D$29),(1+'(Z+) OpEx'!$I$27)^(('(Z+) Monthly CF'!DA5-Inputs!$L$10)/12),IF(DA5&gt;=Inputs!$D$29,CZ10*((1+'(Z+) OpEx'!$J$27)^(1/12)),1)),0)</f>
        <v>1.2709310503305722</v>
      </c>
      <c r="DB10" s="408">
        <f>+IFERROR(IF(AND(DB5&gt;=Inputs!$L$10,DB5&lt;Inputs!$D$29),(1+'(Z+) OpEx'!$I$27)^(('(Z+) Monthly CF'!DB5-Inputs!$L$10)/12),IF(DB5&gt;=Inputs!$D$29,DA10*((1+'(Z+) OpEx'!$J$27)^(1/12)),1)),0)</f>
        <v>1.2739992211600435</v>
      </c>
      <c r="DC10" s="408">
        <f>+IFERROR(IF(AND(DC5&gt;=Inputs!$L$10,DC5&lt;Inputs!$D$29),(1+'(Z+) OpEx'!$I$27)^(('(Z+) Monthly CF'!DC5-Inputs!$L$10)/12),IF(DC5&gt;=Inputs!$D$29,DB10*((1+'(Z+) OpEx'!$J$27)^(1/12)),1)),0)</f>
        <v>1.2770747988997768</v>
      </c>
      <c r="DD10" s="408">
        <f>+IFERROR(IF(AND(DD5&gt;=Inputs!$L$10,DD5&lt;Inputs!$D$29),(1+'(Z+) OpEx'!$I$27)^(('(Z+) Monthly CF'!DD5-Inputs!$L$10)/12),IF(DD5&gt;=Inputs!$D$29,DC10*((1+'(Z+) OpEx'!$J$27)^(1/12)),1)),0)</f>
        <v>1.2801578014308883</v>
      </c>
      <c r="DE10" s="408">
        <f>+IFERROR(IF(AND(DE5&gt;=Inputs!$L$10,DE5&lt;Inputs!$D$29),(1+'(Z+) OpEx'!$I$27)^(('(Z+) Monthly CF'!DE5-Inputs!$L$10)/12),IF(DE5&gt;=Inputs!$D$29,DD10*((1+'(Z+) OpEx'!$J$27)^(1/12)),1)),0)</f>
        <v>1.2832482466776614</v>
      </c>
      <c r="DF10" s="408">
        <f>+IFERROR(IF(AND(DF5&gt;=Inputs!$L$10,DF5&lt;Inputs!$D$29),(1+'(Z+) OpEx'!$I$27)^(('(Z+) Monthly CF'!DF5-Inputs!$L$10)/12),IF(DF5&gt;=Inputs!$D$29,DE10*((1+'(Z+) OpEx'!$J$27)^(1/12)),1)),0)</f>
        <v>1.2863461526076507</v>
      </c>
      <c r="DG10" s="408">
        <f>+IFERROR(IF(AND(DG5&gt;=Inputs!$L$10,DG5&lt;Inputs!$D$29),(1+'(Z+) OpEx'!$I$27)^(('(Z+) Monthly CF'!DG5-Inputs!$L$10)/12),IF(DG5&gt;=Inputs!$D$29,DF10*((1+'(Z+) OpEx'!$J$27)^(1/12)),1)),0)</f>
        <v>1.2894515372317867</v>
      </c>
      <c r="DH10" s="408">
        <f>+IFERROR(IF(AND(DH5&gt;=Inputs!$L$10,DH5&lt;Inputs!$D$29),(1+'(Z+) OpEx'!$I$27)^(('(Z+) Monthly CF'!DH5-Inputs!$L$10)/12),IF(DH5&gt;=Inputs!$D$29,DG10*((1+'(Z+) OpEx'!$J$27)^(1/12)),1)),0)</f>
        <v>1.29256441860448</v>
      </c>
      <c r="DI10" s="408">
        <f>+IFERROR(IF(AND(DI5&gt;=Inputs!$L$10,DI5&lt;Inputs!$D$29),(1+'(Z+) OpEx'!$I$27)^(('(Z+) Monthly CF'!DI5-Inputs!$L$10)/12),IF(DI5&gt;=Inputs!$D$29,DH10*((1+'(Z+) OpEx'!$J$27)^(1/12)),1)),0)</f>
        <v>1.2956848148237268</v>
      </c>
      <c r="DJ10" s="408">
        <f>+IFERROR(IF(AND(DJ5&gt;=Inputs!$L$10,DJ5&lt;Inputs!$D$29),(1+'(Z+) OpEx'!$I$27)^(('(Z+) Monthly CF'!DJ5-Inputs!$L$10)/12),IF(DJ5&gt;=Inputs!$D$29,DI10*((1+'(Z+) OpEx'!$J$27)^(1/12)),1)),0)</f>
        <v>1.2988127440312138</v>
      </c>
      <c r="DK10" s="408">
        <f>+IFERROR(IF(AND(DK5&gt;=Inputs!$L$10,DK5&lt;Inputs!$D$29),(1+'(Z+) OpEx'!$I$27)^(('(Z+) Monthly CF'!DK5-Inputs!$L$10)/12),IF(DK5&gt;=Inputs!$D$29,DJ10*((1+'(Z+) OpEx'!$J$27)^(1/12)),1)),0)</f>
        <v>1.3019482244124239</v>
      </c>
      <c r="DL10" s="408">
        <f>+IFERROR(IF(AND(DL5&gt;=Inputs!$L$10,DL5&lt;Inputs!$D$29),(1+'(Z+) OpEx'!$I$27)^(('(Z+) Monthly CF'!DL5-Inputs!$L$10)/12),IF(DL5&gt;=Inputs!$D$29,DK10*((1+'(Z+) OpEx'!$J$27)^(1/12)),1)),0)</f>
        <v>1.3050912741967415</v>
      </c>
      <c r="DM10" s="408">
        <f>+IFERROR(IF(AND(DM5&gt;=Inputs!$L$10,DM5&lt;Inputs!$D$29),(1+'(Z+) OpEx'!$I$27)^(('(Z+) Monthly CF'!DM5-Inputs!$L$10)/12),IF(DM5&gt;=Inputs!$D$29,DL10*((1+'(Z+) OpEx'!$J$27)^(1/12)),1)),0)</f>
        <v>1.3082419116575594</v>
      </c>
      <c r="DN10" s="408">
        <f>+IFERROR(IF(AND(DN5&gt;=Inputs!$L$10,DN5&lt;Inputs!$D$29),(1+'(Z+) OpEx'!$I$27)^(('(Z+) Monthly CF'!DN5-Inputs!$L$10)/12),IF(DN5&gt;=Inputs!$D$29,DM10*((1+'(Z+) OpEx'!$J$27)^(1/12)),1)),0)</f>
        <v>1.3114001551123837</v>
      </c>
      <c r="DO10" s="408">
        <f>+IFERROR(IF(AND(DO5&gt;=Inputs!$L$10,DO5&lt;Inputs!$D$29),(1+'(Z+) OpEx'!$I$27)^(('(Z+) Monthly CF'!DO5-Inputs!$L$10)/12),IF(DO5&gt;=Inputs!$D$29,DN10*((1+'(Z+) OpEx'!$J$27)^(1/12)),1)),0)</f>
        <v>1.3145660229229417</v>
      </c>
      <c r="DP10" s="408">
        <f>+IFERROR(IF(AND(DP5&gt;=Inputs!$L$10,DP5&lt;Inputs!$D$29),(1+'(Z+) OpEx'!$I$27)^(('(Z+) Monthly CF'!DP5-Inputs!$L$10)/12),IF(DP5&gt;=Inputs!$D$29,DO10*((1+'(Z+) OpEx'!$J$27)^(1/12)),1)),0)</f>
        <v>1.3177395334952873</v>
      </c>
      <c r="DQ10" s="408">
        <f>+IFERROR(IF(AND(DQ5&gt;=Inputs!$L$10,DQ5&lt;Inputs!$D$29),(1+'(Z+) OpEx'!$I$27)^(('(Z+) Monthly CF'!DQ5-Inputs!$L$10)/12),IF(DQ5&gt;=Inputs!$D$29,DP10*((1+'(Z+) OpEx'!$J$27)^(1/12)),1)),0)</f>
        <v>1.3209207052799092</v>
      </c>
      <c r="DR10" s="408">
        <f>+IFERROR(IF(AND(DR5&gt;=Inputs!$L$10,DR5&lt;Inputs!$D$29),(1+'(Z+) OpEx'!$I$27)^(('(Z+) Monthly CF'!DR5-Inputs!$L$10)/12),IF(DR5&gt;=Inputs!$D$29,DQ10*((1+'(Z+) OpEx'!$J$27)^(1/12)),1)),0)</f>
        <v>1.3241095567718375</v>
      </c>
      <c r="DS10" s="408">
        <f>+IFERROR(IF(AND(DS5&gt;=Inputs!$L$10,DS5&lt;Inputs!$D$29),(1+'(Z+) OpEx'!$I$27)^(('(Z+) Monthly CF'!DS5-Inputs!$L$10)/12),IF(DS5&gt;=Inputs!$D$29,DR10*((1+'(Z+) OpEx'!$J$27)^(1/12)),1)),0)</f>
        <v>1.3273061065107512</v>
      </c>
      <c r="DT10" s="408">
        <f>+IFERROR(IF(AND(DT5&gt;=Inputs!$L$10,DT5&lt;Inputs!$D$29),(1+'(Z+) OpEx'!$I$27)^(('(Z+) Monthly CF'!DT5-Inputs!$L$10)/12),IF(DT5&gt;=Inputs!$D$29,DS10*((1+'(Z+) OpEx'!$J$27)^(1/12)),1)),0)</f>
        <v>1.3305103730810866</v>
      </c>
      <c r="DU10" s="408">
        <f>+IFERROR(IF(AND(DU5&gt;=Inputs!$L$10,DU5&lt;Inputs!$D$29),(1+'(Z+) OpEx'!$I$27)^(('(Z+) Monthly CF'!DU5-Inputs!$L$10)/12),IF(DU5&gt;=Inputs!$D$29,DT10*((1+'(Z+) OpEx'!$J$27)^(1/12)),1)),0)</f>
        <v>1.3337223751121445</v>
      </c>
    </row>
    <row r="11" spans="1:125" x14ac:dyDescent="0.25">
      <c r="A11" s="399" t="s">
        <v>489</v>
      </c>
      <c r="D11" s="387"/>
      <c r="F11" s="409">
        <f>+IFERROR(IF(AND(F5&gt;=Inputs!$L$10,F5&lt;Inputs!$D$29),'(Z+) Rent Roll'!$K$20*(1+Inputs!$L$7)^(('(Z+) Monthly CF'!F5-Inputs!$L$10)/12),IF(F5&gt;=Inputs!$D$29,E11*((1+Inputs!$L$7)^(1/12)),'(Z+) Rent Roll'!$K$20)),0)</f>
        <v>2289</v>
      </c>
      <c r="G11" s="409">
        <f>+IFERROR(IF(AND(G5&gt;=Inputs!$L$10,F5&lt;Inputs!$D$29),'(Z+) Rent Roll'!$K$20*(1+Inputs!$L$7)^(('(Z+) Monthly CF'!F5-Inputs!$L$10)/12),IF(G5&gt;=Inputs!$D$29,F11*((1+Inputs!$L$7)^(1/12)),'(Z+) Rent Roll'!$K$20)),0)</f>
        <v>2289</v>
      </c>
      <c r="H11" s="409">
        <f>+IFERROR(IF(AND(H5&gt;=Inputs!$L$10,F5&lt;Inputs!$D$29),'(Z+) Rent Roll'!$K$20*(1+Inputs!$L$7)^(('(Z+) Monthly CF'!F5-Inputs!$L$10)/12),IF(H5&gt;=Inputs!$D$29,G11*((1+Inputs!$L$7)^(1/12)),'(Z+) Rent Roll'!$K$20)),0)</f>
        <v>2289</v>
      </c>
      <c r="I11" s="409">
        <f>+IFERROR(IF(AND(I5&gt;=Inputs!$L$10,F5&lt;Inputs!$D$29),'(Z+) Rent Roll'!$K$20*(1+Inputs!$L$7)^(('(Z+) Monthly CF'!F5-Inputs!$L$10)/12),IF(I5&gt;=Inputs!$D$29,H11*((1+Inputs!$L$7)^(1/12)),'(Z+) Rent Roll'!$K$20)),0)</f>
        <v>2289</v>
      </c>
      <c r="J11" s="410">
        <f>+IFERROR(IF(AND(J5&gt;=Inputs!$L$10,F5&lt;Inputs!$D$29),'(Z+) Rent Roll'!$K$20*(1+Inputs!$L$7)^(('(Z+) Monthly CF'!F5-Inputs!$L$10)/12),IF(J5&gt;=Inputs!$D$29,I11*((1+Inputs!$L$7)^(1/12)),'(Z+) Rent Roll'!$K$20)),0)</f>
        <v>2289</v>
      </c>
      <c r="K11" s="410">
        <f>+IFERROR(IF(AND(K5&gt;=Inputs!$L$10,F5&lt;Inputs!$D$29),'(Z+) Rent Roll'!$K$20*(1+Inputs!$L$7)^(('(Z+) Monthly CF'!F5-Inputs!$L$10)/12),IF(K5&gt;=Inputs!$D$29,J11*((1+Inputs!$L$7)^(1/12)),'(Z+) Rent Roll'!$K$20)),0)</f>
        <v>2289</v>
      </c>
      <c r="L11" s="410">
        <f>+IFERROR(IF(AND(L5&gt;=Inputs!$L$10,F5&lt;Inputs!$D$29),'(Z+) Rent Roll'!$K$20*(1+Inputs!$L$7)^(('(Z+) Monthly CF'!F5-Inputs!$L$10)/12),IF(L5&gt;=Inputs!$D$29,K11*((1+Inputs!$L$7)^(1/12)),'(Z+) Rent Roll'!$K$20)),0)</f>
        <v>2289</v>
      </c>
      <c r="M11" s="410">
        <f>+IFERROR(IF(AND(M5&gt;=Inputs!$L$10,F5&lt;Inputs!$D$29),'(Z+) Rent Roll'!$K$20*(1+Inputs!$L$7)^(('(Z+) Monthly CF'!F5-Inputs!$L$10)/12),IF(M5&gt;=Inputs!$D$29,L11*((1+Inputs!$L$7)^(1/12)),'(Z+) Rent Roll'!$K$20)),0)</f>
        <v>2289</v>
      </c>
      <c r="N11" s="410">
        <f>+IFERROR(IF(AND(N5&gt;=Inputs!$L$10,F5&lt;Inputs!$D$29),'(Z+) Rent Roll'!$K$20*(1+Inputs!$L$7)^(('(Z+) Monthly CF'!F5-Inputs!$L$10)/12),IF(N5&gt;=Inputs!$D$29,M11*((1+Inputs!$L$7)^(1/12)),'(Z+) Rent Roll'!$K$20)),0)</f>
        <v>2289</v>
      </c>
      <c r="O11" s="410">
        <f>+IFERROR(IF(AND(O5&gt;=Inputs!$L$10,F5&lt;Inputs!$D$29),'(Z+) Rent Roll'!$K$20*(1+Inputs!$L$7)^(('(Z+) Monthly CF'!F5-Inputs!$L$10)/12),IF(O5&gt;=Inputs!$D$29,N11*((1+Inputs!$L$7)^(1/12)),'(Z+) Rent Roll'!$K$20)),0)</f>
        <v>2289</v>
      </c>
      <c r="P11" s="410">
        <f>+IFERROR(IF(AND(P5&gt;=Inputs!$L$10,F5&lt;Inputs!$D$29),'(Z+) Rent Roll'!$K$20*(1+Inputs!$L$7)^(('(Z+) Monthly CF'!F5-Inputs!$L$10)/12),IF(P5&gt;=Inputs!$D$29,O11*((1+Inputs!$L$7)^(1/12)),'(Z+) Rent Roll'!$K$20)),0)</f>
        <v>2289</v>
      </c>
      <c r="Q11" s="410">
        <f>+IFERROR(IF(AND(Q5&gt;=Inputs!$L$10,F5&lt;Inputs!$D$29),'(Z+) Rent Roll'!$K$20*(1+Inputs!$L$7)^(('(Z+) Monthly CF'!F5-Inputs!$L$10)/12),IF(Q5&gt;=Inputs!$D$29,P11*((1+Inputs!$L$7)^(1/12)),'(Z+) Rent Roll'!$K$20)),0)</f>
        <v>2289</v>
      </c>
      <c r="R11" s="410">
        <f>+IFERROR(IF(AND(R5&gt;=Inputs!$L$10,F5&lt;Inputs!$D$29),'(Z+) Rent Roll'!$K$20*(1+Inputs!$L$7)^(('(Z+) Monthly CF'!F5-Inputs!$L$10)/12),IF(R5&gt;=Inputs!$D$29,Q11*((1+Inputs!$L$7)^(1/12)),'(Z+) Rent Roll'!$K$20)),0)</f>
        <v>2289</v>
      </c>
      <c r="S11" s="410">
        <f>+IFERROR(IF(AND(S5&gt;=Inputs!$L$10,F5&lt;Inputs!$D$29),'(Z+) Rent Roll'!$K$20*(1+Inputs!$L$7)^(('(Z+) Monthly CF'!F5-Inputs!$L$10)/12),IF(S5&gt;=Inputs!$D$29,R11*((1+Inputs!$L$7)^(1/12)),'(Z+) Rent Roll'!$K$20)),0)</f>
        <v>2289</v>
      </c>
      <c r="T11" s="410">
        <f>+IFERROR(IF(AND(T5&gt;=Inputs!$L$10,F5&lt;Inputs!$D$29),'(Z+) Rent Roll'!$K$20*(1+Inputs!$L$7)^(('(Z+) Monthly CF'!F5-Inputs!$L$10)/12),IF(T5&gt;=Inputs!$D$29,S11*((1+Inputs!$L$7)^(1/12)),'(Z+) Rent Roll'!$K$20)),0)</f>
        <v>2289</v>
      </c>
      <c r="U11" s="411">
        <f>+IFERROR(IF(AND(U5&gt;=Inputs!$L$10,F5&lt;Inputs!$D$29),'(Z+) Rent Roll'!$K$20*(1+Inputs!$L$7)^(('(Z+) Monthly CF'!F5-Inputs!$L$10)/12),IF(U5&gt;=Inputs!$D$29,T11*((1+Inputs!$L$7)^(1/12)),'(Z+) Rent Roll'!$K$20)),0)</f>
        <v>2289</v>
      </c>
      <c r="V11" s="411">
        <f>+IFERROR(IF(AND(V5&gt;=Inputs!$L$10,F5&lt;Inputs!$D$29),'(Z+) Rent Roll'!$K$20*(1+Inputs!$L$7)^(('(Z+) Monthly CF'!F5-Inputs!$L$10)/12),IF(V5&gt;=Inputs!$D$29,U11*((1+Inputs!$L$7)^(1/12)),'(Z+) Rent Roll'!$K$20)),0)</f>
        <v>2289</v>
      </c>
      <c r="W11" s="411">
        <f>+IFERROR(IF(AND(W5&gt;=Inputs!$L$10,F5&lt;Inputs!$D$29),'(Z+) Rent Roll'!$K$20*(1+Inputs!$L$7)^(('(Z+) Monthly CF'!F5-Inputs!$L$10)/12),IF(W5&gt;=Inputs!$D$29,V11*((1+Inputs!$L$7)^(1/12)),'(Z+) Rent Roll'!$K$20)),0)</f>
        <v>2289</v>
      </c>
      <c r="X11" s="411">
        <f>+IFERROR(IF(AND(X5&gt;=Inputs!$L$10,F5&lt;Inputs!$D$29),'(Z+) Rent Roll'!$K$20*(1+Inputs!$L$7)^(('(Z+) Monthly CF'!F5-Inputs!$L$10)/12),IF(X5&gt;=Inputs!$D$29,W11*((1+Inputs!$L$7)^(1/12)),'(Z+) Rent Roll'!$K$20)),0)</f>
        <v>2289</v>
      </c>
      <c r="Y11" s="411">
        <f>+IFERROR(IF(AND(Y5&gt;=Inputs!$L$10,F5&lt;Inputs!$D$29),'(Z+) Rent Roll'!$K$20*(1+Inputs!$L$7)^(('(Z+) Monthly CF'!F5-Inputs!$L$10)/12),IF(Y5&gt;=Inputs!$D$29,X11*((1+Inputs!$L$7)^(1/12)),'(Z+) Rent Roll'!$K$20)),0)</f>
        <v>2289</v>
      </c>
      <c r="Z11" s="411">
        <f>+IFERROR(IF(AND(Z5&gt;=Inputs!$L$10,F5&lt;Inputs!$D$29),'(Z+) Rent Roll'!$K$20*(1+Inputs!$L$7)^(('(Z+) Monthly CF'!F5-Inputs!$L$10)/12),IF(Z5&gt;=Inputs!$D$29,Y11*((1+Inputs!$L$7)^(1/12)),'(Z+) Rent Roll'!$K$20)),0)</f>
        <v>2289</v>
      </c>
      <c r="AA11" s="411">
        <f>+IFERROR(IF(AND(AA5&gt;=Inputs!$L$10,F5&lt;Inputs!$D$29),'(Z+) Rent Roll'!$K$20*(1+Inputs!$L$7)^(('(Z+) Monthly CF'!F5-Inputs!$L$10)/12),IF(AA5&gt;=Inputs!$D$29,Z11*((1+Inputs!$L$7)^(1/12)),'(Z+) Rent Roll'!$K$20)),0)</f>
        <v>2289</v>
      </c>
      <c r="AB11" s="411">
        <f>+IFERROR(IF(AND(AB5&gt;=Inputs!$L$10,F5&lt;Inputs!$D$29),'(Z+) Rent Roll'!$K$20*(1+Inputs!$L$7)^(('(Z+) Monthly CF'!F5-Inputs!$L$10)/12),IF(AB5&gt;=Inputs!$D$29,AA11*((1+Inputs!$L$7)^(1/12)),'(Z+) Rent Roll'!$K$20)),0)</f>
        <v>2289</v>
      </c>
      <c r="AC11" s="411">
        <f>+IFERROR(IF(AND(AC5&gt;=Inputs!$L$10,F5&lt;Inputs!$D$29),'(Z+) Rent Roll'!$K$20*(1+Inputs!$L$7)^(('(Z+) Monthly CF'!F5-Inputs!$L$10)/12),IF(AC5&gt;=Inputs!$D$29,AB11*((1+Inputs!$L$7)^(1/12)),'(Z+) Rent Roll'!$K$20)),0)</f>
        <v>2289</v>
      </c>
      <c r="AD11" s="411">
        <f>+IFERROR(IF(AND(AD5&gt;=Inputs!$L$10,F5&lt;Inputs!$D$29),'(Z+) Rent Roll'!$K$20*(1+Inputs!$L$7)^(('(Z+) Monthly CF'!F5-Inputs!$L$10)/12),IF(AD5&gt;=Inputs!$D$29,AC11*((1+Inputs!$L$7)^(1/12)),'(Z+) Rent Roll'!$K$20)),0)</f>
        <v>2289</v>
      </c>
      <c r="AE11" s="411">
        <f>+IFERROR(IF(AND(AE5&gt;=Inputs!$L$10,F5&lt;Inputs!$D$29),'(Z+) Rent Roll'!$K$20*(1+Inputs!$L$7)^(('(Z+) Monthly CF'!F5-Inputs!$L$10)/12),IF(AE5&gt;=Inputs!$D$29,AD11*((1+Inputs!$L$7)^(1/12)),'(Z+) Rent Roll'!$K$20)),0)</f>
        <v>2289</v>
      </c>
      <c r="AF11" s="411">
        <f>+IFERROR(IF(AND(AF5&gt;=Inputs!$L$10,F5&lt;Inputs!$D$29),'(Z+) Rent Roll'!$K$20*(1+Inputs!$L$7)^(('(Z+) Monthly CF'!F5-Inputs!$L$10)/12),IF(AF5&gt;=Inputs!$D$29,AE11*((1+Inputs!$L$7)^(1/12)),'(Z+) Rent Roll'!$K$20)),0)</f>
        <v>2289</v>
      </c>
      <c r="AG11" s="411">
        <f>+IFERROR(IF(AND(AG5&gt;=Inputs!$L$10,F5&lt;Inputs!$D$29),'(Z+) Rent Roll'!$K$20*(1+Inputs!$L$7)^(('(Z+) Monthly CF'!F5-Inputs!$L$10)/12),IF(AG5&gt;=Inputs!$D$29,AF11*((1+Inputs!$L$7)^(1/12)),'(Z+) Rent Roll'!$K$20)),0)</f>
        <v>2289</v>
      </c>
      <c r="AH11" s="411">
        <f>+IFERROR(IF(AND(AH5&gt;=Inputs!$L$10,F5&lt;Inputs!$D$29),'(Z+) Rent Roll'!$K$20*(1+Inputs!$L$7)^(('(Z+) Monthly CF'!F5-Inputs!$L$10)/12),IF(AH5&gt;=Inputs!$D$29,AG11*((1+Inputs!$L$7)^(1/12)),'(Z+) Rent Roll'!$K$20)),0)</f>
        <v>2289</v>
      </c>
      <c r="AI11" s="411">
        <f>+IFERROR(IF(AND(AI5&gt;=Inputs!$L$10,F5&lt;Inputs!$D$29),'(Z+) Rent Roll'!$K$20*(1+Inputs!$L$7)^(('(Z+) Monthly CF'!F5-Inputs!$L$10)/12),IF(AI5&gt;=Inputs!$D$29,AH11*((1+Inputs!$L$7)^(1/12)),'(Z+) Rent Roll'!$K$20)),0)</f>
        <v>2289</v>
      </c>
      <c r="AJ11" s="411">
        <f>+IFERROR(IF(AND(AJ5&gt;=Inputs!$L$10,F5&lt;Inputs!$D$29),'(Z+) Rent Roll'!$K$20*(1+Inputs!$L$7)^(('(Z+) Monthly CF'!F5-Inputs!$L$10)/12),IF(AJ5&gt;=Inputs!$D$29,AI11*((1+Inputs!$L$7)^(1/12)),'(Z+) Rent Roll'!$K$20)),0)</f>
        <v>2289</v>
      </c>
      <c r="AK11" s="411">
        <f>+IFERROR(IF(AND(AK5&gt;=Inputs!$L$10,F5&lt;Inputs!$D$29),'(Z+) Rent Roll'!$K$20*(1+Inputs!$L$7)^(('(Z+) Monthly CF'!F5-Inputs!$L$10)/12),IF(AK5&gt;=Inputs!$D$29,AJ11*((1+Inputs!$L$7)^(1/12)),'(Z+) Rent Roll'!$K$20)),0)</f>
        <v>2289</v>
      </c>
      <c r="AL11" s="411">
        <f>+IFERROR(IF(AND(AL5&gt;=Inputs!$L$10,F5&lt;Inputs!$D$29),'(Z+) Rent Roll'!$K$20*(1+Inputs!$L$7)^(('(Z+) Monthly CF'!F5-Inputs!$L$10)/12),IF(AL5&gt;=Inputs!$D$29,AK11*((1+Inputs!$L$7)^(1/12)),'(Z+) Rent Roll'!$K$20)),0)</f>
        <v>2289</v>
      </c>
      <c r="AM11" s="411">
        <f>+IFERROR(IF(AND(AM5&gt;=Inputs!$L$10,F5&lt;Inputs!$D$29),'(Z+) Rent Roll'!$K$20*(1+Inputs!$L$7)^(('(Z+) Monthly CF'!F5-Inputs!$L$10)/12),IF(AM5&gt;=Inputs!$D$29,AL11*((1+Inputs!$L$7)^(1/12)),'(Z+) Rent Roll'!$K$20)),0)</f>
        <v>2289</v>
      </c>
      <c r="AN11" s="411">
        <f>+IFERROR(IF(AND(AN5&gt;=Inputs!$L$10,F5&lt;Inputs!$D$29),'(Z+) Rent Roll'!$K$20*(1+Inputs!$L$7)^(('(Z+) Monthly CF'!F5-Inputs!$L$10)/12),IF(AN5&gt;=Inputs!$D$29,AM11*((1+Inputs!$L$7)^(1/12)),'(Z+) Rent Roll'!$K$20)),0)</f>
        <v>2289</v>
      </c>
      <c r="AO11" s="411">
        <f>+IFERROR(IF(AND(AO5&gt;=Inputs!$L$10,F5&lt;Inputs!$D$29),'(Z+) Rent Roll'!$K$20*(1+Inputs!$L$7)^(('(Z+) Monthly CF'!F5-Inputs!$L$10)/12),IF(AO5&gt;=Inputs!$D$29,AN11*((1+Inputs!$L$7)^(1/12)),'(Z+) Rent Roll'!$K$20)),0)</f>
        <v>2289</v>
      </c>
      <c r="AP11" s="411">
        <f>+IFERROR(IF(AND(AP5&gt;=Inputs!$L$10,F5&lt;Inputs!$D$29),'(Z+) Rent Roll'!$K$20*(1+Inputs!$L$7)^(('(Z+) Monthly CF'!F5-Inputs!$L$10)/12),IF(AP5&gt;=Inputs!$D$29,AO11*((1+Inputs!$L$7)^(1/12)),'(Z+) Rent Roll'!$K$20)),0)</f>
        <v>2289</v>
      </c>
      <c r="AQ11" s="411">
        <f>+IFERROR(IF(AND(AQ5&gt;=Inputs!$L$10,F5&lt;Inputs!$D$29),'(Z+) Rent Roll'!$K$20*(1+Inputs!$L$7)^(('(Z+) Monthly CF'!F5-Inputs!$L$10)/12),IF(AQ5&gt;=Inputs!$D$29,AP11*((1+Inputs!$L$7)^(1/12)),'(Z+) Rent Roll'!$K$20)),0)</f>
        <v>2289</v>
      </c>
      <c r="AR11" s="411">
        <f>+IFERROR(IF(AND(AR5&gt;=Inputs!$L$10,F5&lt;Inputs!$D$29),'(Z+) Rent Roll'!$K$20*(1+Inputs!$L$7)^(('(Z+) Monthly CF'!F5-Inputs!$L$10)/12),IF(AR5&gt;=Inputs!$D$29,AQ11*((1+Inputs!$L$7)^(1/12)),'(Z+) Rent Roll'!$K$20)),0)</f>
        <v>2289</v>
      </c>
      <c r="AS11" s="411">
        <f>+IFERROR(IF(AND(AS5&gt;=Inputs!$L$10,F5&lt;Inputs!$D$29),'(Z+) Rent Roll'!$K$20*(1+Inputs!$L$7)^(('(Z+) Monthly CF'!F5-Inputs!$L$10)/12),IF(AS5&gt;=Inputs!$D$29,AR11*((1+Inputs!$L$7)^(1/12)),'(Z+) Rent Roll'!$K$20)),0)</f>
        <v>2289</v>
      </c>
      <c r="AT11" s="411">
        <f>+IFERROR(IF(AND(AT5&gt;=Inputs!$L$10,F5&lt;Inputs!$D$29),'(Z+) Rent Roll'!$K$20*(1+Inputs!$L$7)^(('(Z+) Monthly CF'!F5-Inputs!$L$10)/12),IF(AT5&gt;=Inputs!$D$29,AS11*((1+Inputs!$L$7)^(1/12)),'(Z+) Rent Roll'!$K$20)),0)</f>
        <v>2289</v>
      </c>
      <c r="AU11" s="411">
        <f>+IFERROR(IF(AND(AU5&gt;=Inputs!$L$10,F5&lt;Inputs!$D$29),'(Z+) Rent Roll'!$K$20*(1+Inputs!$L$7)^(('(Z+) Monthly CF'!F5-Inputs!$L$10)/12),IF(AU5&gt;=Inputs!$D$29,AT11*((1+Inputs!$L$7)^(1/12)),'(Z+) Rent Roll'!$K$20)),0)</f>
        <v>2289</v>
      </c>
      <c r="AV11" s="411">
        <f>+IFERROR(IF(AND(AV5&gt;=Inputs!$L$10,F5&lt;Inputs!$D$29),'(Z+) Rent Roll'!$K$20*(1+Inputs!$L$7)^(('(Z+) Monthly CF'!F5-Inputs!$L$10)/12),IF(AV5&gt;=Inputs!$D$29,AU11*((1+Inputs!$L$7)^(1/12)),'(Z+) Rent Roll'!$K$20)),0)</f>
        <v>2289</v>
      </c>
      <c r="AW11" s="411">
        <f>+IFERROR(IF(AND(AW5&gt;=Inputs!$L$10,F5&lt;Inputs!$D$29),'(Z+) Rent Roll'!$K$20*(1+Inputs!$L$7)^(('(Z+) Monthly CF'!F5-Inputs!$L$10)/12),IF(AW5&gt;=Inputs!$D$29,AV11*((1+Inputs!$L$7)^(1/12)),'(Z+) Rent Roll'!$K$20)),0)</f>
        <v>2289</v>
      </c>
      <c r="AX11" s="411">
        <f>+IFERROR(IF(AND(AX5&gt;=Inputs!$L$10,F5&lt;Inputs!$D$29),'(Z+) Rent Roll'!$K$20*(1+Inputs!$L$7)^(('(Z+) Monthly CF'!F5-Inputs!$L$10)/12),IF(AX5&gt;=Inputs!$D$29,AW11*((1+Inputs!$L$7)^(1/12)),'(Z+) Rent Roll'!$K$20)),0)</f>
        <v>2289</v>
      </c>
      <c r="AY11" s="411">
        <f>+IFERROR(IF(AND(AY5&gt;=Inputs!$L$10,F5&lt;Inputs!$D$29),'(Z+) Rent Roll'!$K$20*(1+Inputs!$L$7)^(('(Z+) Monthly CF'!F5-Inputs!$L$10)/12),IF(AY5&gt;=Inputs!$D$29,AX11*((1+Inputs!$L$7)^(1/12)),'(Z+) Rent Roll'!$K$20)),0)</f>
        <v>2289</v>
      </c>
      <c r="AZ11" s="411">
        <f>+IFERROR(IF(AND(AZ5&gt;=Inputs!$L$10,F5&lt;Inputs!$D$29),'(Z+) Rent Roll'!$K$20*(1+Inputs!$L$7)^(('(Z+) Monthly CF'!F5-Inputs!$L$10)/12),IF(AZ5&gt;=Inputs!$D$29,AY11*((1+Inputs!$L$7)^(1/12)),'(Z+) Rent Roll'!$K$20)),0)</f>
        <v>2289</v>
      </c>
      <c r="BA11" s="411">
        <f>+IFERROR(IF(AND(BA5&gt;=Inputs!$L$10,F5&lt;Inputs!$D$29),'(Z+) Rent Roll'!$K$20*(1+Inputs!$L$7)^(('(Z+) Monthly CF'!F5-Inputs!$L$10)/12),IF(BA5&gt;=Inputs!$D$29,AZ11*((1+Inputs!$L$7)^(1/12)),'(Z+) Rent Roll'!$K$20)),0)</f>
        <v>2289</v>
      </c>
      <c r="BB11" s="411">
        <f>+IFERROR(IF(AND(BB5&gt;=Inputs!$L$10,F5&lt;Inputs!$D$29),'(Z+) Rent Roll'!$K$20*(1+Inputs!$L$7)^(('(Z+) Monthly CF'!F5-Inputs!$L$10)/12),IF(BB5&gt;=Inputs!$D$29,BA11*((1+Inputs!$L$7)^(1/12)),'(Z+) Rent Roll'!$K$20)),0)</f>
        <v>2289</v>
      </c>
      <c r="BC11" s="411">
        <f>+IFERROR(IF(AND(BC5&gt;=Inputs!$L$10,F5&lt;Inputs!$D$29),'(Z+) Rent Roll'!$K$20*(1+Inputs!$L$7)^(('(Z+) Monthly CF'!F5-Inputs!$L$10)/12),IF(BC5&gt;=Inputs!$D$29,BB11*((1+Inputs!$L$7)^(1/12)),'(Z+) Rent Roll'!$K$20)),0)</f>
        <v>2289</v>
      </c>
      <c r="BD11" s="411">
        <f>+IFERROR(IF(AND(BD5&gt;=Inputs!$L$10,F5&lt;Inputs!$D$29),'(Z+) Rent Roll'!$K$20*(1+Inputs!$L$7)^(('(Z+) Monthly CF'!F5-Inputs!$L$10)/12),IF(BD5&gt;=Inputs!$D$29,BC11*((1+Inputs!$L$7)^(1/12)),'(Z+) Rent Roll'!$K$20)),0)</f>
        <v>2289</v>
      </c>
      <c r="BE11" s="411">
        <f>+IFERROR(IF(AND(BE5&gt;=Inputs!$L$10,F5&lt;Inputs!$D$29),'(Z+) Rent Roll'!$K$20*(1+Inputs!$L$7)^(('(Z+) Monthly CF'!F5-Inputs!$L$10)/12),IF(BE5&gt;=Inputs!$D$29,BD11*((1+Inputs!$L$7)^(1/12)),'(Z+) Rent Roll'!$K$20)),0)</f>
        <v>2289</v>
      </c>
      <c r="BF11" s="411">
        <f>+IFERROR(IF(AND(BF5&gt;=Inputs!$L$10,F5&lt;Inputs!$D$29),'(Z+) Rent Roll'!$K$20*(1+Inputs!$L$7)^(('(Z+) Monthly CF'!F5-Inputs!$L$10)/12),IF(BF5&gt;=Inputs!$D$29,BE11*((1+Inputs!$L$7)^(1/12)),'(Z+) Rent Roll'!$K$20)),0)</f>
        <v>2289</v>
      </c>
      <c r="BG11" s="411">
        <f>+IFERROR(IF(AND(BG5&gt;=Inputs!$L$10,F5&lt;Inputs!$D$29),'(Z+) Rent Roll'!$K$20*(1+Inputs!$L$7)^(('(Z+) Monthly CF'!F5-Inputs!$L$10)/12),IF(BG5&gt;=Inputs!$D$29,BF11*((1+Inputs!$L$7)^(1/12)),'(Z+) Rent Roll'!$K$20)),0)</f>
        <v>2289</v>
      </c>
      <c r="BH11" s="411">
        <f>+IFERROR(IF(AND(BH5&gt;=Inputs!$L$10,F5&lt;Inputs!$D$29),'(Z+) Rent Roll'!$K$20*(1+Inputs!$L$7)^(('(Z+) Monthly CF'!F5-Inputs!$L$10)/12),IF(BH5&gt;=Inputs!$D$29,BG11*((1+Inputs!$L$7)^(1/12)),'(Z+) Rent Roll'!$K$20)),0)</f>
        <v>2289</v>
      </c>
      <c r="BI11" s="411">
        <f>+IFERROR(IF(AND(BI5&gt;=Inputs!$L$10,F5&lt;Inputs!$D$29),'(Z+) Rent Roll'!$K$20*(1+Inputs!$L$7)^(('(Z+) Monthly CF'!F5-Inputs!$L$10)/12),IF(BI5&gt;=Inputs!$D$29,BH11*((1+Inputs!$L$7)^(1/12)),'(Z+) Rent Roll'!$K$20)),0)</f>
        <v>2289</v>
      </c>
      <c r="BJ11" s="411">
        <f>+IFERROR(IF(AND(BJ5&gt;=Inputs!$L$10,F5&lt;Inputs!$D$29),'(Z+) Rent Roll'!$K$20*(1+Inputs!$L$7)^(('(Z+) Monthly CF'!F5-Inputs!$L$10)/12),IF(BJ5&gt;=Inputs!$D$29,BI11*((1+Inputs!$L$7)^(1/12)),'(Z+) Rent Roll'!$K$20)),0)</f>
        <v>2289</v>
      </c>
      <c r="BK11" s="411">
        <f>+IFERROR(IF(AND(BK5&gt;=Inputs!$L$10,F5&lt;Inputs!$D$29),'(Z+) Rent Roll'!$K$20*(1+Inputs!$L$7)^(('(Z+) Monthly CF'!F5-Inputs!$L$10)/12),IF(BK5&gt;=Inputs!$D$29,BJ11*((1+Inputs!$L$7)^(1/12)),'(Z+) Rent Roll'!$K$20)),0)</f>
        <v>2289</v>
      </c>
      <c r="BL11" s="411">
        <f>+IFERROR(IF(AND(BL5&gt;=Inputs!$L$10,F5&lt;Inputs!$D$29),'(Z+) Rent Roll'!$K$20*(1+Inputs!$L$7)^(('(Z+) Monthly CF'!F5-Inputs!$L$10)/12),IF(BL5&gt;=Inputs!$D$29,BK11*((1+Inputs!$L$7)^(1/12)),'(Z+) Rent Roll'!$K$20)),0)</f>
        <v>2289</v>
      </c>
      <c r="BM11" s="411">
        <f>+IFERROR(IF(AND(BM5&gt;=Inputs!$L$10,F5&lt;Inputs!$D$29),'(Z+) Rent Roll'!$K$20*(1+Inputs!$L$7)^(('(Z+) Monthly CF'!F5-Inputs!$L$10)/12),IF(BM5&gt;=Inputs!$D$29,BL11*((1+Inputs!$L$7)^(1/12)),'(Z+) Rent Roll'!$K$20)),0)</f>
        <v>2289</v>
      </c>
      <c r="BN11" s="411">
        <f>+IFERROR(IF(AND(BN5&gt;=Inputs!$L$10,F5&lt;Inputs!$D$29),'(Z+) Rent Roll'!$K$20*(1+Inputs!$L$7)^(('(Z+) Monthly CF'!F5-Inputs!$L$10)/12),IF(BN5&gt;=Inputs!$D$29,BM11*((1+Inputs!$L$7)^(1/12)),'(Z+) Rent Roll'!$K$20)),0)</f>
        <v>2289</v>
      </c>
      <c r="BO11" s="411">
        <f>+IFERROR(IF(AND(BO5&gt;=Inputs!$L$10,F5&lt;Inputs!$D$29),'(Z+) Rent Roll'!$K$20*(1+Inputs!$L$7)^(('(Z+) Monthly CF'!F5-Inputs!$L$10)/12),IF(BO5&gt;=Inputs!$D$29,BN11*((1+Inputs!$L$7)^(1/12)),'(Z+) Rent Roll'!$K$20)),0)</f>
        <v>2289</v>
      </c>
      <c r="BP11" s="411">
        <f>+IFERROR(IF(AND(BP5&gt;=Inputs!$L$10,F5&lt;Inputs!$D$29),'(Z+) Rent Roll'!$K$20*(1+Inputs!$L$7)^(('(Z+) Monthly CF'!F5-Inputs!$L$10)/12),IF(BP5&gt;=Inputs!$D$29,BO11*((1+Inputs!$L$7)^(1/12)),'(Z+) Rent Roll'!$K$20)),0)</f>
        <v>2289</v>
      </c>
      <c r="BQ11" s="411">
        <f>+IFERROR(IF(AND(BQ5&gt;=Inputs!$L$10,F5&lt;Inputs!$D$29),'(Z+) Rent Roll'!$K$20*(1+Inputs!$L$7)^(('(Z+) Monthly CF'!F5-Inputs!$L$10)/12),IF(BQ5&gt;=Inputs!$D$29,BP11*((1+Inputs!$L$7)^(1/12)),'(Z+) Rent Roll'!$K$20)),0)</f>
        <v>2289</v>
      </c>
      <c r="BR11" s="411">
        <f>+IFERROR(IF(AND(BR5&gt;=Inputs!$L$10,F5&lt;Inputs!$D$29),'(Z+) Rent Roll'!$K$20*(1+Inputs!$L$7)^(('(Z+) Monthly CF'!F5-Inputs!$L$10)/12),IF(BR5&gt;=Inputs!$D$29,BQ11*((1+Inputs!$L$7)^(1/12)),'(Z+) Rent Roll'!$K$20)),0)</f>
        <v>2289</v>
      </c>
      <c r="BS11" s="411">
        <f>+IFERROR(IF(AND(BS5&gt;=Inputs!$L$10,F5&lt;Inputs!$D$29),'(Z+) Rent Roll'!$K$20*(1+Inputs!$L$7)^(('(Z+) Monthly CF'!F5-Inputs!$L$10)/12),IF(BS5&gt;=Inputs!$D$29,BR11*((1+Inputs!$L$7)^(1/12)),'(Z+) Rent Roll'!$K$20)),0)</f>
        <v>2289</v>
      </c>
      <c r="BT11" s="411">
        <f>+IFERROR(IF(AND(BT5&gt;=Inputs!$L$10,F5&lt;Inputs!$D$29),'(Z+) Rent Roll'!$K$20*(1+Inputs!$L$7)^(('(Z+) Monthly CF'!F5-Inputs!$L$10)/12),IF(BT5&gt;=Inputs!$D$29,BS11*((1+Inputs!$L$7)^(1/12)),'(Z+) Rent Roll'!$K$20)),0)</f>
        <v>2289</v>
      </c>
      <c r="BU11" s="411">
        <f>+IFERROR(IF(AND(BU5&gt;=Inputs!$L$10,F5&lt;Inputs!$D$29),'(Z+) Rent Roll'!$K$20*(1+Inputs!$L$7)^(('(Z+) Monthly CF'!F5-Inputs!$L$10)/12),IF(BU5&gt;=Inputs!$D$29,BT11*((1+Inputs!$L$7)^(1/12)),'(Z+) Rent Roll'!$K$20)),0)</f>
        <v>2289</v>
      </c>
      <c r="BV11" s="411">
        <f>+IFERROR(IF(AND(BV5&gt;=Inputs!$L$10,F5&lt;Inputs!$D$29),'(Z+) Rent Roll'!$K$20*(1+Inputs!$L$7)^(('(Z+) Monthly CF'!F5-Inputs!$L$10)/12),IF(BV5&gt;=Inputs!$D$29,BU11*((1+Inputs!$L$7)^(1/12)),'(Z+) Rent Roll'!$K$20)),0)</f>
        <v>2289</v>
      </c>
      <c r="BW11" s="411">
        <f>+IFERROR(IF(AND(BW5&gt;=Inputs!$L$10,F5&lt;Inputs!$D$29),'(Z+) Rent Roll'!$K$20*(1+Inputs!$L$7)^(('(Z+) Monthly CF'!F5-Inputs!$L$10)/12),IF(BW5&gt;=Inputs!$D$29,BV11*((1+Inputs!$L$7)^(1/12)),'(Z+) Rent Roll'!$K$20)),0)</f>
        <v>2289</v>
      </c>
      <c r="BX11" s="411">
        <f>+IFERROR(IF(AND(BX5&gt;=Inputs!$L$10,F5&lt;Inputs!$D$29),'(Z+) Rent Roll'!$K$20*(1+Inputs!$L$7)^(('(Z+) Monthly CF'!F5-Inputs!$L$10)/12),IF(BX5&gt;=Inputs!$D$29,BW11*((1+Inputs!$L$7)^(1/12)),'(Z+) Rent Roll'!$K$20)),0)</f>
        <v>2289</v>
      </c>
      <c r="BY11" s="411">
        <f>+IFERROR(IF(AND(BY5&gt;=Inputs!$L$10,F5&lt;Inputs!$D$29),'(Z+) Rent Roll'!$K$20*(1+Inputs!$L$7)^(('(Z+) Monthly CF'!F5-Inputs!$L$10)/12),IF(BY5&gt;=Inputs!$D$29,BX11*((1+Inputs!$L$7)^(1/12)),'(Z+) Rent Roll'!$K$20)),0)</f>
        <v>2289</v>
      </c>
      <c r="BZ11" s="411">
        <f>+IFERROR(IF(AND(BZ5&gt;=Inputs!$L$10,F5&lt;Inputs!$D$29),'(Z+) Rent Roll'!$K$20*(1+Inputs!$L$7)^(('(Z+) Monthly CF'!F5-Inputs!$L$10)/12),IF(BZ5&gt;=Inputs!$D$29,BY11*((1+Inputs!$L$7)^(1/12)),'(Z+) Rent Roll'!$K$20)),0)</f>
        <v>2289</v>
      </c>
      <c r="CA11" s="411">
        <f>+IFERROR(IF(AND(CA5&gt;=Inputs!$L$10,F5&lt;Inputs!$D$29),'(Z+) Rent Roll'!$K$20*(1+Inputs!$L$7)^(('(Z+) Monthly CF'!F5-Inputs!$L$10)/12),IF(CA5&gt;=Inputs!$D$29,BZ11*((1+Inputs!$L$7)^(1/12)),'(Z+) Rent Roll'!$K$20)),0)</f>
        <v>2289</v>
      </c>
      <c r="CB11" s="411">
        <f>+IFERROR(IF(AND(CB5&gt;=Inputs!$L$10,F5&lt;Inputs!$D$29),'(Z+) Rent Roll'!$K$20*(1+Inputs!$L$7)^(('(Z+) Monthly CF'!F5-Inputs!$L$10)/12),IF(CB5&gt;=Inputs!$D$29,CA11*((1+Inputs!$L$7)^(1/12)),'(Z+) Rent Roll'!$K$20)),0)</f>
        <v>2289</v>
      </c>
      <c r="CC11" s="411">
        <f>+IFERROR(IF(AND(CC5&gt;=Inputs!$L$10,F5&lt;Inputs!$D$29),'(Z+) Rent Roll'!$K$20*(1+Inputs!$L$7)^(('(Z+) Monthly CF'!F5-Inputs!$L$10)/12),IF(CC5&gt;=Inputs!$D$29,CB11*((1+Inputs!$L$7)^(1/12)),'(Z+) Rent Roll'!$K$20)),0)</f>
        <v>2289</v>
      </c>
      <c r="CD11" s="411">
        <f>+IFERROR(IF(AND(CD5&gt;=Inputs!$L$10,F5&lt;Inputs!$D$29),'(Z+) Rent Roll'!$K$20*(1+Inputs!$L$7)^(('(Z+) Monthly CF'!F5-Inputs!$L$10)/12),IF(CD5&gt;=Inputs!$D$29,CC11*((1+Inputs!$L$7)^(1/12)),'(Z+) Rent Roll'!$K$20)),0)</f>
        <v>2289</v>
      </c>
      <c r="CE11" s="411">
        <f>+IFERROR(IF(AND(CE5&gt;=Inputs!$L$10,F5&lt;Inputs!$D$29),'(Z+) Rent Roll'!$K$20*(1+Inputs!$L$7)^(('(Z+) Monthly CF'!F5-Inputs!$L$10)/12),IF(CE5&gt;=Inputs!$D$29,CD11*((1+Inputs!$L$7)^(1/12)),'(Z+) Rent Roll'!$K$20)),0)</f>
        <v>2289</v>
      </c>
      <c r="CF11" s="411">
        <f>+IFERROR(IF(AND(CF5&gt;=Inputs!$L$10,F5&lt;Inputs!$D$29),'(Z+) Rent Roll'!$K$20*(1+Inputs!$L$7)^(('(Z+) Monthly CF'!F5-Inputs!$L$10)/12),IF(CF5&gt;=Inputs!$D$29,CE11*((1+Inputs!$L$7)^(1/12)),'(Z+) Rent Roll'!$K$20)),0)</f>
        <v>2289</v>
      </c>
      <c r="CG11" s="411">
        <f>+IFERROR(IF(AND(CG5&gt;=Inputs!$L$10,F5&lt;Inputs!$D$29),'(Z+) Rent Roll'!$K$20*(1+Inputs!$L$7)^(('(Z+) Monthly CF'!F5-Inputs!$L$10)/12),IF(CG5&gt;=Inputs!$D$29,CF11*((1+Inputs!$L$7)^(1/12)),'(Z+) Rent Roll'!$K$20)),0)</f>
        <v>2289</v>
      </c>
      <c r="CH11" s="411">
        <f>+IFERROR(IF(AND(CH5&gt;=Inputs!$L$10,F5&lt;Inputs!$D$29),'(Z+) Rent Roll'!$K$20*(1+Inputs!$L$7)^(('(Z+) Monthly CF'!F5-Inputs!$L$10)/12),IF(CH5&gt;=Inputs!$D$29,CG11*((1+Inputs!$L$7)^(1/12)),'(Z+) Rent Roll'!$K$20)),0)</f>
        <v>2289</v>
      </c>
      <c r="CI11" s="411">
        <f>+IFERROR(IF(AND(CI5&gt;=Inputs!$L$10,F5&lt;Inputs!$D$29),'(Z+) Rent Roll'!$K$20*(1+Inputs!$L$7)^(('(Z+) Monthly CF'!F5-Inputs!$L$10)/12),IF(CI5&gt;=Inputs!$D$29,CH11*((1+Inputs!$L$7)^(1/12)),'(Z+) Rent Roll'!$K$20)),0)</f>
        <v>2289</v>
      </c>
      <c r="CJ11" s="411">
        <f>+IFERROR(IF(AND(CJ5&gt;=Inputs!$L$10,F5&lt;Inputs!$D$29),'(Z+) Rent Roll'!$K$20*(1+Inputs!$L$7)^(('(Z+) Monthly CF'!F5-Inputs!$L$10)/12),IF(CJ5&gt;=Inputs!$D$29,CI11*((1+Inputs!$L$7)^(1/12)),'(Z+) Rent Roll'!$K$20)),0)</f>
        <v>2289</v>
      </c>
      <c r="CK11" s="411">
        <f>+IFERROR(IF(AND(CK5&gt;=Inputs!$L$10,F5&lt;Inputs!$D$29),'(Z+) Rent Roll'!$K$20*(1+Inputs!$L$7)^(('(Z+) Monthly CF'!F5-Inputs!$L$10)/12),IF(CK5&gt;=Inputs!$D$29,CJ11*((1+Inputs!$L$7)^(1/12)),'(Z+) Rent Roll'!$K$20)),0)</f>
        <v>2289</v>
      </c>
      <c r="CL11" s="411">
        <f>+IFERROR(IF(AND(CL5&gt;=Inputs!$L$10,F5&lt;Inputs!$D$29),'(Z+) Rent Roll'!$K$20*(1+Inputs!$L$7)^(('(Z+) Monthly CF'!F5-Inputs!$L$10)/12),IF(CL5&gt;=Inputs!$D$29,CK11*((1+Inputs!$L$7)^(1/12)),'(Z+) Rent Roll'!$K$20)),0)</f>
        <v>2289</v>
      </c>
      <c r="CM11" s="411">
        <f>+IFERROR(IF(AND(CM5&gt;=Inputs!$L$10,F5&lt;Inputs!$D$29),'(Z+) Rent Roll'!$K$20*(1+Inputs!$L$7)^(('(Z+) Monthly CF'!F5-Inputs!$L$10)/12),IF(CM5&gt;=Inputs!$D$29,CL11*((1+Inputs!$L$7)^(1/12)),'(Z+) Rent Roll'!$K$20)),0)</f>
        <v>2289</v>
      </c>
      <c r="CN11" s="411">
        <f>+IFERROR(IF(AND(CN5&gt;=Inputs!$L$10,F5&lt;Inputs!$D$29),'(Z+) Rent Roll'!$K$20*(1+Inputs!$L$7)^(('(Z+) Monthly CF'!F5-Inputs!$L$10)/12),IF(CN5&gt;=Inputs!$D$29,CM11*((1+Inputs!$L$7)^(1/12)),'(Z+) Rent Roll'!$K$20)),0)</f>
        <v>2289</v>
      </c>
      <c r="CO11" s="411">
        <f>+IFERROR(IF(AND(CO5&gt;=Inputs!$L$10,F5&lt;Inputs!$D$29),'(Z+) Rent Roll'!$K$20*(1+Inputs!$L$7)^(('(Z+) Monthly CF'!F5-Inputs!$L$10)/12),IF(CO5&gt;=Inputs!$D$29,CN11*((1+Inputs!$L$7)^(1/12)),'(Z+) Rent Roll'!$K$20)),0)</f>
        <v>2289</v>
      </c>
      <c r="CP11" s="411">
        <f>+IFERROR(IF(AND(CP5&gt;=Inputs!$L$10,F5&lt;Inputs!$D$29),'(Z+) Rent Roll'!$K$20*(1+Inputs!$L$7)^(('(Z+) Monthly CF'!F5-Inputs!$L$10)/12),IF(CP5&gt;=Inputs!$D$29,CO11*((1+Inputs!$L$7)^(1/12)),'(Z+) Rent Roll'!$K$20)),0)</f>
        <v>2289</v>
      </c>
      <c r="CQ11" s="411">
        <f>+IFERROR(IF(AND(CQ5&gt;=Inputs!$L$10,F5&lt;Inputs!$D$29),'(Z+) Rent Roll'!$K$20*(1+Inputs!$L$7)^(('(Z+) Monthly CF'!F5-Inputs!$L$10)/12),IF(CQ5&gt;=Inputs!$D$29,CP11*((1+Inputs!$L$7)^(1/12)),'(Z+) Rent Roll'!$K$20)),0)</f>
        <v>2289</v>
      </c>
      <c r="CR11" s="411">
        <f>+IFERROR(IF(AND(CR5&gt;=Inputs!$L$10,F5&lt;Inputs!$D$29),'(Z+) Rent Roll'!$K$20*(1+Inputs!$L$7)^(('(Z+) Monthly CF'!F5-Inputs!$L$10)/12),IF(CR5&gt;=Inputs!$D$29,CQ11*((1+Inputs!$L$7)^(1/12)),'(Z+) Rent Roll'!$K$20)),0)</f>
        <v>2289</v>
      </c>
      <c r="CS11" s="411">
        <f>+IFERROR(IF(AND(CS5&gt;=Inputs!$L$10,F5&lt;Inputs!$D$29),'(Z+) Rent Roll'!$K$20*(1+Inputs!$L$7)^(('(Z+) Monthly CF'!F5-Inputs!$L$10)/12),IF(CS5&gt;=Inputs!$D$29,CR11*((1+Inputs!$L$7)^(1/12)),'(Z+) Rent Roll'!$K$20)),0)</f>
        <v>2289</v>
      </c>
      <c r="CT11" s="411">
        <f>+IFERROR(IF(AND(CT5&gt;=Inputs!$L$10,F5&lt;Inputs!$D$29),'(Z+) Rent Roll'!$K$20*(1+Inputs!$L$7)^(('(Z+) Monthly CF'!F5-Inputs!$L$10)/12),IF(CT5&gt;=Inputs!$D$29,CS11*((1+Inputs!$L$7)^(1/12)),'(Z+) Rent Roll'!$K$20)),0)</f>
        <v>2289</v>
      </c>
      <c r="CU11" s="411">
        <f>+IFERROR(IF(AND(CU5&gt;=Inputs!$L$10,F5&lt;Inputs!$D$29),'(Z+) Rent Roll'!$K$20*(1+Inputs!$L$7)^(('(Z+) Monthly CF'!F5-Inputs!$L$10)/12),IF(CU5&gt;=Inputs!$D$29,CT11*((1+Inputs!$L$7)^(1/12)),'(Z+) Rent Roll'!$K$20)),0)</f>
        <v>2289</v>
      </c>
      <c r="CV11" s="411">
        <f>+IFERROR(IF(AND(CV5&gt;=Inputs!$L$10,F5&lt;Inputs!$D$29),'(Z+) Rent Roll'!$K$20*(1+Inputs!$L$7)^(('(Z+) Monthly CF'!F5-Inputs!$L$10)/12),IF(CV5&gt;=Inputs!$D$29,CU11*((1+Inputs!$L$7)^(1/12)),'(Z+) Rent Roll'!$K$20)),0)</f>
        <v>2289</v>
      </c>
      <c r="CW11" s="411">
        <f>+IFERROR(IF(AND(CW5&gt;=Inputs!$L$10,F5&lt;Inputs!$D$29),'(Z+) Rent Roll'!$K$20*(1+Inputs!$L$7)^(('(Z+) Monthly CF'!F5-Inputs!$L$10)/12),IF(CW5&gt;=Inputs!$D$29,CV11*((1+Inputs!$L$7)^(1/12)),'(Z+) Rent Roll'!$K$20)),0)</f>
        <v>2289</v>
      </c>
      <c r="CX11" s="411">
        <f>+IFERROR(IF(AND(CX5&gt;=Inputs!$L$10,F5&lt;Inputs!$D$29),'(Z+) Rent Roll'!$K$20*(1+Inputs!$L$7)^(('(Z+) Monthly CF'!F5-Inputs!$L$10)/12),IF(CX5&gt;=Inputs!$D$29,CW11*((1+Inputs!$L$7)^(1/12)),'(Z+) Rent Roll'!$K$20)),0)</f>
        <v>2289</v>
      </c>
      <c r="CY11" s="411">
        <f>+IFERROR(IF(AND(CY5&gt;=Inputs!$L$10,F5&lt;Inputs!$D$29),'(Z+) Rent Roll'!$K$20*(1+Inputs!$L$7)^(('(Z+) Monthly CF'!F5-Inputs!$L$10)/12),IF(CY5&gt;=Inputs!$D$29,CX11*((1+Inputs!$L$7)^(1/12)),'(Z+) Rent Roll'!$K$20)),0)</f>
        <v>2289</v>
      </c>
      <c r="CZ11" s="411">
        <f>+IFERROR(IF(AND(CZ5&gt;=Inputs!$L$10,F5&lt;Inputs!$D$29),'(Z+) Rent Roll'!$K$20*(1+Inputs!$L$7)^(('(Z+) Monthly CF'!F5-Inputs!$L$10)/12),IF(CZ5&gt;=Inputs!$D$29,CY11*((1+Inputs!$L$7)^(1/12)),'(Z+) Rent Roll'!$K$20)),0)</f>
        <v>2289</v>
      </c>
      <c r="DA11" s="411">
        <f>+IFERROR(IF(AND(DA5&gt;=Inputs!$L$10,F5&lt;Inputs!$D$29),'(Z+) Rent Roll'!$K$20*(1+Inputs!$L$7)^(('(Z+) Monthly CF'!F5-Inputs!$L$10)/12),IF(DA5&gt;=Inputs!$D$29,CZ11*((1+Inputs!$L$7)^(1/12)),'(Z+) Rent Roll'!$K$20)),0)</f>
        <v>2289</v>
      </c>
      <c r="DB11" s="411">
        <f>+IFERROR(IF(AND(DB5&gt;=Inputs!$L$10,F5&lt;Inputs!$D$29),'(Z+) Rent Roll'!$K$20*(1+Inputs!$L$7)^(('(Z+) Monthly CF'!F5-Inputs!$L$10)/12),IF(DB5&gt;=Inputs!$D$29,DA11*((1+Inputs!$L$7)^(1/12)),'(Z+) Rent Roll'!$K$20)),0)</f>
        <v>2289</v>
      </c>
      <c r="DC11" s="411">
        <f>+IFERROR(IF(AND(DC5&gt;=Inputs!$L$10,F5&lt;Inputs!$D$29),'(Z+) Rent Roll'!$K$20*(1+Inputs!$L$7)^(('(Z+) Monthly CF'!F5-Inputs!$L$10)/12),IF(DC5&gt;=Inputs!$D$29,DB11*((1+Inputs!$L$7)^(1/12)),'(Z+) Rent Roll'!$K$20)),0)</f>
        <v>2289</v>
      </c>
      <c r="DD11" s="411">
        <f>+IFERROR(IF(AND(DD5&gt;=Inputs!$L$10,F5&lt;Inputs!$D$29),'(Z+) Rent Roll'!$K$20*(1+Inputs!$L$7)^(('(Z+) Monthly CF'!F5-Inputs!$L$10)/12),IF(DD5&gt;=Inputs!$D$29,DC11*((1+Inputs!$L$7)^(1/12)),'(Z+) Rent Roll'!$K$20)),0)</f>
        <v>2289</v>
      </c>
      <c r="DE11" s="411">
        <f>+IFERROR(IF(AND(DE5&gt;=Inputs!$L$10,F5&lt;Inputs!$D$29),'(Z+) Rent Roll'!$K$20*(1+Inputs!$L$7)^(('(Z+) Monthly CF'!F5-Inputs!$L$10)/12),IF(DE5&gt;=Inputs!$D$29,DD11*((1+Inputs!$L$7)^(1/12)),'(Z+) Rent Roll'!$K$20)),0)</f>
        <v>2289</v>
      </c>
      <c r="DF11" s="411">
        <f>+IFERROR(IF(AND(DF5&gt;=Inputs!$L$10,F5&lt;Inputs!$D$29),'(Z+) Rent Roll'!$K$20*(1+Inputs!$L$7)^(('(Z+) Monthly CF'!F5-Inputs!$L$10)/12),IF(DF5&gt;=Inputs!$D$29,DE11*((1+Inputs!$L$7)^(1/12)),'(Z+) Rent Roll'!$K$20)),0)</f>
        <v>2289</v>
      </c>
      <c r="DG11" s="411">
        <f>+IFERROR(IF(AND(DG5&gt;=Inputs!$L$10,F5&lt;Inputs!$D$29),'(Z+) Rent Roll'!$K$20*(1+Inputs!$L$7)^(('(Z+) Monthly CF'!F5-Inputs!$L$10)/12),IF(DG5&gt;=Inputs!$D$29,DF11*((1+Inputs!$L$7)^(1/12)),'(Z+) Rent Roll'!$K$20)),0)</f>
        <v>2289</v>
      </c>
      <c r="DH11" s="411">
        <f>+IFERROR(IF(AND(DH5&gt;=Inputs!$L$10,F5&lt;Inputs!$D$29),'(Z+) Rent Roll'!$K$20*(1+Inputs!$L$7)^(('(Z+) Monthly CF'!F5-Inputs!$L$10)/12),IF(DH5&gt;=Inputs!$D$29,DG11*((1+Inputs!$L$7)^(1/12)),'(Z+) Rent Roll'!$K$20)),0)</f>
        <v>2289</v>
      </c>
      <c r="DI11" s="411">
        <f>+IFERROR(IF(AND(DI5&gt;=Inputs!$L$10,F5&lt;Inputs!$D$29),'(Z+) Rent Roll'!$K$20*(1+Inputs!$L$7)^(('(Z+) Monthly CF'!F5-Inputs!$L$10)/12),IF(DI5&gt;=Inputs!$D$29,DH11*((1+Inputs!$L$7)^(1/12)),'(Z+) Rent Roll'!$K$20)),0)</f>
        <v>2289</v>
      </c>
      <c r="DJ11" s="411">
        <f>+IFERROR(IF(AND(DJ5&gt;=Inputs!$L$10,F5&lt;Inputs!$D$29),'(Z+) Rent Roll'!$K$20*(1+Inputs!$L$7)^(('(Z+) Monthly CF'!F5-Inputs!$L$10)/12),IF(DJ5&gt;=Inputs!$D$29,DI11*((1+Inputs!$L$7)^(1/12)),'(Z+) Rent Roll'!$K$20)),0)</f>
        <v>2289</v>
      </c>
      <c r="DK11" s="411">
        <f>+IFERROR(IF(AND(DK5&gt;=Inputs!$L$10,F5&lt;Inputs!$D$29),'(Z+) Rent Roll'!$K$20*(1+Inputs!$L$7)^(('(Z+) Monthly CF'!F5-Inputs!$L$10)/12),IF(DK5&gt;=Inputs!$D$29,DJ11*((1+Inputs!$L$7)^(1/12)),'(Z+) Rent Roll'!$K$20)),0)</f>
        <v>2289</v>
      </c>
      <c r="DL11" s="411">
        <f>+IFERROR(IF(AND(DL5&gt;=Inputs!$L$10,F5&lt;Inputs!$D$29),'(Z+) Rent Roll'!$K$20*(1+Inputs!$L$7)^(('(Z+) Monthly CF'!F5-Inputs!$L$10)/12),IF(DL5&gt;=Inputs!$D$29,DK11*((1+Inputs!$L$7)^(1/12)),'(Z+) Rent Roll'!$K$20)),0)</f>
        <v>2289</v>
      </c>
      <c r="DM11" s="411">
        <f>+IFERROR(IF(AND(DM5&gt;=Inputs!$L$10,F5&lt;Inputs!$D$29),'(Z+) Rent Roll'!$K$20*(1+Inputs!$L$7)^(('(Z+) Monthly CF'!F5-Inputs!$L$10)/12),IF(DM5&gt;=Inputs!$D$29,DL11*((1+Inputs!$L$7)^(1/12)),'(Z+) Rent Roll'!$K$20)),0)</f>
        <v>2289</v>
      </c>
      <c r="DN11" s="411">
        <f>+IFERROR(IF(AND(DN5&gt;=Inputs!$L$10,G5&lt;Inputs!$D$29),'(Z+) Rent Roll'!$K$20*(1+Inputs!$L$7)^(('(Z+) Monthly CF'!G5-Inputs!$L$10)/12),IF(DN5&gt;=Inputs!$D$29,DM11*((1+Inputs!$L$7)^(1/12)),'(Z+) Rent Roll'!$K$20)),0)</f>
        <v>2293.7149652216699</v>
      </c>
      <c r="DO11" s="411">
        <f>+IFERROR(IF(AND(DO5&gt;=Inputs!$L$10,H5&lt;Inputs!$D$29),'(Z+) Rent Roll'!$K$20*(1+Inputs!$L$7)^(('(Z+) Monthly CF'!H5-Inputs!$L$10)/12),IF(DO5&gt;=Inputs!$D$29,DN11*((1+Inputs!$L$7)^(1/12)),'(Z+) Rent Roll'!$K$20)),0)</f>
        <v>2298.4396424997153</v>
      </c>
      <c r="DP11" s="411">
        <f>+IFERROR(IF(AND(DP5&gt;=Inputs!$L$10,I5&lt;Inputs!$D$29),'(Z+) Rent Roll'!$K$20*(1+Inputs!$L$7)^(('(Z+) Monthly CF'!I5-Inputs!$L$10)/12),IF(DP5&gt;=Inputs!$D$29,DO11*((1+Inputs!$L$7)^(1/12)),'(Z+) Rent Roll'!$K$20)),0)</f>
        <v>2303.1740518393808</v>
      </c>
      <c r="DQ11" s="411">
        <f>+IFERROR(IF(AND(DQ5&gt;=Inputs!$L$10,J5&lt;Inputs!$D$29),'(Z+) Rent Roll'!$K$20*(1+Inputs!$L$7)^(('(Z+) Monthly CF'!J5-Inputs!$L$10)/12),IF(DQ5&gt;=Inputs!$D$29,DP11*((1+Inputs!$L$7)^(1/12)),'(Z+) Rent Roll'!$K$20)),0)</f>
        <v>2307.9182132871206</v>
      </c>
      <c r="DR11" s="411">
        <f>+IFERROR(IF(AND(DR5&gt;=Inputs!$L$10,K5&lt;Inputs!$D$29),'(Z+) Rent Roll'!$K$20*(1+Inputs!$L$7)^(('(Z+) Monthly CF'!K5-Inputs!$L$10)/12),IF(DR5&gt;=Inputs!$D$29,DQ11*((1+Inputs!$L$7)^(1/12)),'(Z+) Rent Roll'!$K$20)),0)</f>
        <v>2312.6721469306804</v>
      </c>
      <c r="DS11" s="411">
        <f>+IFERROR(IF(AND(DS5&gt;=Inputs!$L$10,L5&lt;Inputs!$D$29),'(Z+) Rent Roll'!$K$20*(1+Inputs!$L$7)^(('(Z+) Monthly CF'!L5-Inputs!$L$10)/12),IF(DS5&gt;=Inputs!$D$29,DR11*((1+Inputs!$L$7)^(1/12)),'(Z+) Rent Roll'!$K$20)),0)</f>
        <v>2317.4358728991829</v>
      </c>
      <c r="DT11" s="411">
        <f>+IFERROR(IF(AND(DT5&gt;=Inputs!$L$10,M5&lt;Inputs!$D$29),'(Z+) Rent Roll'!$K$20*(1+Inputs!$L$7)^(('(Z+) Monthly CF'!M5-Inputs!$L$10)/12),IF(DT5&gt;=Inputs!$D$29,DS11*((1+Inputs!$L$7)^(1/12)),'(Z+) Rent Roll'!$K$20)),0)</f>
        <v>2322.2094113632161</v>
      </c>
      <c r="DU11" s="411">
        <f>+IFERROR(IF(AND(DU5&gt;=Inputs!$L$10,N5&lt;Inputs!$D$29),'(Z+) Rent Roll'!$K$20*(1+Inputs!$L$7)^(('(Z+) Monthly CF'!N5-Inputs!$L$10)/12),IF(DU5&gt;=Inputs!$D$29,DT11*((1+Inputs!$L$7)^(1/12)),'(Z+) Rent Roll'!$K$20)),0)</f>
        <v>2326.9927825349123</v>
      </c>
    </row>
    <row r="12" spans="1:125" x14ac:dyDescent="0.25">
      <c r="A12" s="393" t="s">
        <v>490</v>
      </c>
      <c r="B12" s="394"/>
      <c r="C12" s="394"/>
      <c r="D12" s="395"/>
      <c r="E12" s="394"/>
      <c r="F12" s="412">
        <f>IFERROR(IF(F4&gt;=Inputs!$E$29,MIN(1/(lease_up_period+1)*(DAYS360(Inputs!$E$29-30,F4)/30),1),0),0)</f>
        <v>0</v>
      </c>
      <c r="G12" s="412">
        <f>IFERROR(IF(G4&gt;=Inputs!$E$29,MIN(1/(lease_up_period+1)*(DAYS360(Inputs!$E$29-30,G4)/30),1),0),0)</f>
        <v>0</v>
      </c>
      <c r="H12" s="412">
        <f>IFERROR(IF(H4&gt;=Inputs!$E$29,MIN(1/(lease_up_period+1)*(DAYS360(Inputs!$E$29-30,H4)/30),1),0),0)</f>
        <v>0</v>
      </c>
      <c r="I12" s="412">
        <f>IFERROR(IF(I4&gt;=Inputs!$E$29,MIN(1/(lease_up_period+1)*(DAYS360(Inputs!$E$29-30,I4)/30),1),0),0)</f>
        <v>0</v>
      </c>
      <c r="J12" s="413">
        <f>IFERROR(IF(J4&gt;=Inputs!$E$29,MIN(1/(lease_up_period+1)*(DAYS360(Inputs!$E$29-30,J4)/30),1),0),0)</f>
        <v>0</v>
      </c>
      <c r="K12" s="413">
        <f>IFERROR(IF(K4&gt;=Inputs!$E$29,MIN(1/(lease_up_period+1)*(DAYS360(Inputs!$E$29-30,K4)/30),1),0),0)</f>
        <v>0</v>
      </c>
      <c r="L12" s="413">
        <f>IFERROR(IF(L4&gt;=Inputs!$E$29,MIN(1/(lease_up_period+1)*(DAYS360(Inputs!$E$29-30,L4)/30),1),0),0)</f>
        <v>0</v>
      </c>
      <c r="M12" s="413">
        <f>IFERROR(IF(M4&gt;=Inputs!$E$29,MIN(1/(lease_up_period+1)*(DAYS360(Inputs!$E$29-30,M4)/30),1),0),0)</f>
        <v>0</v>
      </c>
      <c r="N12" s="413">
        <f>IFERROR(IF(N4&gt;=Inputs!$E$29,MIN(1/(lease_up_period+1)*(DAYS360(Inputs!$E$29-30,N4)/30),1),0),0)</f>
        <v>0</v>
      </c>
      <c r="O12" s="413">
        <f>IFERROR(IF(O4&gt;=Inputs!$E$29,MIN(1/(lease_up_period+1)*(DAYS360(Inputs!$E$29-30,O4)/30),1),0),0)</f>
        <v>0</v>
      </c>
      <c r="P12" s="413">
        <f>IFERROR(IF(P4&gt;=Inputs!$E$29,MIN(1/(lease_up_period+1)*(DAYS360(Inputs!$E$29-30,P4)/30),1),0),0)</f>
        <v>0</v>
      </c>
      <c r="Q12" s="413">
        <f>IFERROR(IF(Q4&gt;=Inputs!$E$29,MIN(1/(lease_up_period+1)*(DAYS360(Inputs!$E$29-30,Q4)/30),1),0),0)</f>
        <v>0</v>
      </c>
      <c r="R12" s="413">
        <f>IFERROR(IF(R4&gt;=Inputs!$E$29,MIN(1/(lease_up_period+1)*(DAYS360(Inputs!$E$29-30,R4)/30),1),0),0)</f>
        <v>0</v>
      </c>
      <c r="S12" s="413">
        <f>IFERROR(IF(S4&gt;=Inputs!$E$29,MIN(1/(lease_up_period+1)*(DAYS360(Inputs!$E$29-30,S4)/30),1),0),0)</f>
        <v>0</v>
      </c>
      <c r="T12" s="413">
        <f>IFERROR(IF(T4&gt;=Inputs!$E$29,MIN(1/(lease_up_period+1)*(DAYS360(Inputs!$E$29-30,T4)/30),1),0),0)</f>
        <v>0</v>
      </c>
      <c r="U12" s="414">
        <f>IFERROR(IF(U4&gt;=Inputs!$E$29,MIN(1/(lease_up_period+1)*(DAYS360(Inputs!$E$29-30,U4)/30),1),0),0)</f>
        <v>0</v>
      </c>
      <c r="V12" s="414">
        <f>IFERROR(IF(V4&gt;=Inputs!$E$29,MIN(1/(lease_up_period+1)*(DAYS360(Inputs!$E$29-30,V4)/30),1),0),0)</f>
        <v>0</v>
      </c>
      <c r="W12" s="414">
        <f>IFERROR(IF(W4&gt;=Inputs!$E$29,MIN(1/(lease_up_period+1)*(DAYS360(Inputs!$E$29-30,W4)/30),1),0),0)</f>
        <v>0</v>
      </c>
      <c r="X12" s="414">
        <f>IFERROR(IF(X4&gt;=Inputs!$E$29,MIN(1/(lease_up_period+1)*(DAYS360(Inputs!$E$29-30,X4)/30),1),0),0)</f>
        <v>0</v>
      </c>
      <c r="Y12" s="414">
        <f>IFERROR(IF(Y4&gt;=Inputs!$E$29,MIN(1/(lease_up_period+1)*(DAYS360(Inputs!$E$29-30,Y4)/30),1),0),0)</f>
        <v>0</v>
      </c>
      <c r="Z12" s="414">
        <f>IFERROR(IF(Z4&gt;=Inputs!$E$29,MIN(1/(lease_up_period+1)*(DAYS360(Inputs!$E$29-30,Z4)/30),1),0),0)</f>
        <v>0</v>
      </c>
      <c r="AA12" s="414">
        <f>IFERROR(IF(AA4&gt;=Inputs!$E$29,MIN(1/(lease_up_period+1)*(DAYS360(Inputs!$E$29-30,AA4)/30),1),0),0)</f>
        <v>0.1111111111111111</v>
      </c>
      <c r="AB12" s="414">
        <f>IFERROR(IF(AB4&gt;=Inputs!$E$29,MIN(1/(lease_up_period+1)*(DAYS360(Inputs!$E$29-30,AB4)/30),1),0),0)</f>
        <v>0.22222222222222221</v>
      </c>
      <c r="AC12" s="414">
        <f>IFERROR(IF(AC4&gt;=Inputs!$E$29,MIN(1/(lease_up_period+1)*(DAYS360(Inputs!$E$29-30,AC4)/30),1),0),0)</f>
        <v>0.33333333333333331</v>
      </c>
      <c r="AD12" s="414">
        <f>IFERROR(IF(AD4&gt;=Inputs!$E$29,MIN(1/(lease_up_period+1)*(DAYS360(Inputs!$E$29-30,AD4)/30),1),0),0)</f>
        <v>0.44444444444444442</v>
      </c>
      <c r="AE12" s="414">
        <f>IFERROR(IF(AE4&gt;=Inputs!$E$29,MIN(1/(lease_up_period+1)*(DAYS360(Inputs!$E$29-30,AE4)/30),1),0),0)</f>
        <v>0.55555555555555558</v>
      </c>
      <c r="AF12" s="414">
        <f>IFERROR(IF(AF4&gt;=Inputs!$E$29,MIN(1/(lease_up_period+1)*(DAYS360(Inputs!$E$29-30,AF4)/30),1),0),0)</f>
        <v>0.65925925925925921</v>
      </c>
      <c r="AG12" s="414">
        <f>IFERROR(IF(AG4&gt;=Inputs!$E$29,MIN(1/(lease_up_period+1)*(DAYS360(Inputs!$E$29-30,AG4)/30),1),0),0)</f>
        <v>0.77777777777777768</v>
      </c>
      <c r="AH12" s="414">
        <f>IFERROR(IF(AH4&gt;=Inputs!$E$29,MIN(1/(lease_up_period+1)*(DAYS360(Inputs!$E$29-30,AH4)/30),1),0),0)</f>
        <v>0.88888888888888884</v>
      </c>
      <c r="AI12" s="414">
        <f>IFERROR(IF(AI4&gt;=Inputs!$E$29,MIN(1/(lease_up_period+1)*(DAYS360(Inputs!$E$29-30,AI4)/30),1),0),0)</f>
        <v>1</v>
      </c>
      <c r="AJ12" s="414">
        <f>IFERROR(IF(AJ4&gt;=Inputs!$E$29,MIN(1/(lease_up_period+1)*(DAYS360(Inputs!$E$29-30,AJ4)/30),1),0),0)</f>
        <v>1</v>
      </c>
      <c r="AK12" s="414">
        <f>IFERROR(IF(AK4&gt;=Inputs!$E$29,MIN(1/(lease_up_period+1)*(DAYS360(Inputs!$E$29-30,AK4)/30),1),0),0)</f>
        <v>1</v>
      </c>
      <c r="AL12" s="414">
        <f>IFERROR(IF(AL4&gt;=Inputs!$E$29,MIN(1/(lease_up_period+1)*(DAYS360(Inputs!$E$29-30,AL4)/30),1),0),0)</f>
        <v>1</v>
      </c>
      <c r="AM12" s="414">
        <f>IFERROR(IF(AM4&gt;=Inputs!$E$29,MIN(1/(lease_up_period+1)*(DAYS360(Inputs!$E$29-30,AM4)/30),1),0),0)</f>
        <v>1</v>
      </c>
      <c r="AN12" s="414">
        <f>IFERROR(IF(AN4&gt;=Inputs!$E$29,MIN(1/(lease_up_period+1)*(DAYS360(Inputs!$E$29-30,AN4)/30),1),0),0)</f>
        <v>1</v>
      </c>
      <c r="AO12" s="414">
        <f>IFERROR(IF(AO4&gt;=Inputs!$E$29,MIN(1/(lease_up_period+1)*(DAYS360(Inputs!$E$29-30,AO4)/30),1),0),0)</f>
        <v>1</v>
      </c>
      <c r="AP12" s="414">
        <f>IFERROR(IF(AP4&gt;=Inputs!$E$29,MIN(1/(lease_up_period+1)*(DAYS360(Inputs!$E$29-30,AP4)/30),1),0),0)</f>
        <v>1</v>
      </c>
      <c r="AQ12" s="414">
        <f>IFERROR(IF(AQ4&gt;=Inputs!$E$29,MIN(1/(lease_up_period+1)*(DAYS360(Inputs!$E$29-30,AQ4)/30),1),0),0)</f>
        <v>1</v>
      </c>
      <c r="AR12" s="414">
        <f>IFERROR(IF(AR4&gt;=Inputs!$E$29,MIN(1/(lease_up_period+1)*(DAYS360(Inputs!$E$29-30,AR4)/30),1),0),0)</f>
        <v>1</v>
      </c>
      <c r="AS12" s="414">
        <f>IFERROR(IF(AS4&gt;=Inputs!$E$29,MIN(1/(lease_up_period+1)*(DAYS360(Inputs!$E$29-30,AS4)/30),1),0),0)</f>
        <v>1</v>
      </c>
      <c r="AT12" s="414">
        <f>IFERROR(IF(AT4&gt;=Inputs!$E$29,MIN(1/(lease_up_period+1)*(DAYS360(Inputs!$E$29-30,AT4)/30),1),0),0)</f>
        <v>1</v>
      </c>
      <c r="AU12" s="414">
        <f>IFERROR(IF(AU4&gt;=Inputs!$E$29,MIN(1/(lease_up_period+1)*(DAYS360(Inputs!$E$29-30,AU4)/30),1),0),0)</f>
        <v>1</v>
      </c>
      <c r="AV12" s="414">
        <f>IFERROR(IF(AV4&gt;=Inputs!$E$29,MIN(1/(lease_up_period+1)*(DAYS360(Inputs!$E$29-30,AV4)/30),1),0),0)</f>
        <v>1</v>
      </c>
      <c r="AW12" s="414">
        <f>IFERROR(IF(AW4&gt;=Inputs!$E$29,MIN(1/(lease_up_period+1)*(DAYS360(Inputs!$E$29-30,AW4)/30),1),0),0)</f>
        <v>1</v>
      </c>
      <c r="AX12" s="414">
        <f>IFERROR(IF(AX4&gt;=Inputs!$E$29,MIN(1/(lease_up_period+1)*(DAYS360(Inputs!$E$29-30,AX4)/30),1),0),0)</f>
        <v>1</v>
      </c>
      <c r="AY12" s="414">
        <f>IFERROR(IF(AY4&gt;=Inputs!$E$29,MIN(1/(lease_up_period+1)*(DAYS360(Inputs!$E$29-30,AY4)/30),1),0),0)</f>
        <v>1</v>
      </c>
      <c r="AZ12" s="414">
        <f>IFERROR(IF(AZ4&gt;=Inputs!$E$29,MIN(1/(lease_up_period+1)*(DAYS360(Inputs!$E$29-30,AZ4)/30),1),0),0)</f>
        <v>1</v>
      </c>
      <c r="BA12" s="414">
        <f>IFERROR(IF(BA4&gt;=Inputs!$E$29,MIN(1/(lease_up_period+1)*(DAYS360(Inputs!$E$29-30,BA4)/30),1),0),0)</f>
        <v>1</v>
      </c>
      <c r="BB12" s="414">
        <f>IFERROR(IF(BB4&gt;=Inputs!$E$29,MIN(1/(lease_up_period+1)*(DAYS360(Inputs!$E$29-30,BB4)/30),1),0),0)</f>
        <v>1</v>
      </c>
      <c r="BC12" s="414">
        <f>IFERROR(IF(BC4&gt;=Inputs!$E$29,MIN(1/(lease_up_period+1)*(DAYS360(Inputs!$E$29-30,BC4)/30),1),0),0)</f>
        <v>1</v>
      </c>
      <c r="BD12" s="414">
        <f>IFERROR(IF(BD4&gt;=Inputs!$E$29,MIN(1/(lease_up_period+1)*(DAYS360(Inputs!$E$29-30,BD4)/30),1),0),0)</f>
        <v>1</v>
      </c>
      <c r="BE12" s="414">
        <f>IFERROR(IF(BE4&gt;=Inputs!$E$29,MIN(1/(lease_up_period+1)*(DAYS360(Inputs!$E$29-30,BE4)/30),1),0),0)</f>
        <v>1</v>
      </c>
      <c r="BF12" s="414">
        <f>IFERROR(IF(BF4&gt;=Inputs!$E$29,MIN(1/(lease_up_period+1)*(DAYS360(Inputs!$E$29-30,BF4)/30),1),0),0)</f>
        <v>1</v>
      </c>
      <c r="BG12" s="414">
        <f>IFERROR(IF(BG4&gt;=Inputs!$E$29,MIN(1/(lease_up_period+1)*(DAYS360(Inputs!$E$29-30,BG4)/30),1),0),0)</f>
        <v>1</v>
      </c>
      <c r="BH12" s="414">
        <f>IFERROR(IF(BH4&gt;=Inputs!$E$29,MIN(1/(lease_up_period+1)*(DAYS360(Inputs!$E$29-30,BH4)/30),1),0),0)</f>
        <v>1</v>
      </c>
      <c r="BI12" s="414">
        <f>IFERROR(IF(BI4&gt;=Inputs!$E$29,MIN(1/(lease_up_period+1)*(DAYS360(Inputs!$E$29-30,BI4)/30),1),0),0)</f>
        <v>1</v>
      </c>
      <c r="BJ12" s="414">
        <f>IFERROR(IF(BJ4&gt;=Inputs!$E$29,MIN(1/(lease_up_period+1)*(DAYS360(Inputs!$E$29-30,BJ4)/30),1),0),0)</f>
        <v>1</v>
      </c>
      <c r="BK12" s="414">
        <f>IFERROR(IF(BK4&gt;=Inputs!$E$29,MIN(1/(lease_up_period+1)*(DAYS360(Inputs!$E$29-30,BK4)/30),1),0),0)</f>
        <v>1</v>
      </c>
      <c r="BL12" s="414">
        <f>IFERROR(IF(BL4&gt;=Inputs!$E$29,MIN(1/(lease_up_period+1)*(DAYS360(Inputs!$E$29-30,BL4)/30),1),0),0)</f>
        <v>1</v>
      </c>
      <c r="BM12" s="414">
        <f>IFERROR(IF(BM4&gt;=Inputs!$E$29,MIN(1/(lease_up_period+1)*(DAYS360(Inputs!$E$29-30,BM4)/30),1),0),0)</f>
        <v>1</v>
      </c>
      <c r="BN12" s="414">
        <f>IFERROR(IF(BN4&gt;=Inputs!$E$29,MIN(1/(lease_up_period+1)*(DAYS360(Inputs!$E$29-30,BN4)/30),1),0),0)</f>
        <v>1</v>
      </c>
      <c r="BO12" s="414">
        <f>IFERROR(IF(BO4&gt;=Inputs!$E$29,MIN(1/(lease_up_period+1)*(DAYS360(Inputs!$E$29-30,BO4)/30),1),0),0)</f>
        <v>1</v>
      </c>
      <c r="BP12" s="414">
        <f>IFERROR(IF(BP4&gt;=Inputs!$E$29,MIN(1/(lease_up_period+1)*(DAYS360(Inputs!$E$29-30,BP4)/30),1),0),0)</f>
        <v>1</v>
      </c>
      <c r="BQ12" s="414">
        <f>IFERROR(IF(BQ4&gt;=Inputs!$E$29,MIN(1/(lease_up_period+1)*(DAYS360(Inputs!$E$29-30,BQ4)/30),1),0),0)</f>
        <v>1</v>
      </c>
      <c r="BR12" s="414">
        <f>IFERROR(IF(BR4&gt;=Inputs!$E$29,MIN(1/(lease_up_period+1)*(DAYS360(Inputs!$E$29-30,BR4)/30),1),0),0)</f>
        <v>1</v>
      </c>
      <c r="BS12" s="414">
        <f>IFERROR(IF(BS4&gt;=Inputs!$E$29,MIN(1/(lease_up_period+1)*(DAYS360(Inputs!$E$29-30,BS4)/30),1),0),0)</f>
        <v>1</v>
      </c>
      <c r="BT12" s="414">
        <f>IFERROR(IF(BT4&gt;=Inputs!$E$29,MIN(1/(lease_up_period+1)*(DAYS360(Inputs!$E$29-30,BT4)/30),1),0),0)</f>
        <v>1</v>
      </c>
      <c r="BU12" s="414">
        <f>IFERROR(IF(BU4&gt;=Inputs!$E$29,MIN(1/(lease_up_period+1)*(DAYS360(Inputs!$E$29-30,BU4)/30),1),0),0)</f>
        <v>1</v>
      </c>
      <c r="BV12" s="414">
        <f>IFERROR(IF(BV4&gt;=Inputs!$E$29,MIN(1/(lease_up_period+1)*(DAYS360(Inputs!$E$29-30,BV4)/30),1),0),0)</f>
        <v>1</v>
      </c>
      <c r="BW12" s="414">
        <f>IFERROR(IF(BW4&gt;=Inputs!$E$29,MIN(1/(lease_up_period+1)*(DAYS360(Inputs!$E$29-30,BW4)/30),1),0),0)</f>
        <v>1</v>
      </c>
      <c r="BX12" s="414">
        <f>IFERROR(IF(BX4&gt;=Inputs!$E$29,MIN(1/(lease_up_period+1)*(DAYS360(Inputs!$E$29-30,BX4)/30),1),0),0)</f>
        <v>1</v>
      </c>
      <c r="BY12" s="414">
        <f>IFERROR(IF(BY4&gt;=Inputs!$E$29,MIN(1/(lease_up_period+1)*(DAYS360(Inputs!$E$29-30,BY4)/30),1),0),0)</f>
        <v>1</v>
      </c>
      <c r="BZ12" s="414">
        <f>IFERROR(IF(BZ4&gt;=Inputs!$E$29,MIN(1/(lease_up_period+1)*(DAYS360(Inputs!$E$29-30,BZ4)/30),1),0),0)</f>
        <v>1</v>
      </c>
      <c r="CA12" s="414">
        <f>IFERROR(IF(CA4&gt;=Inputs!$E$29,MIN(1/(lease_up_period+1)*(DAYS360(Inputs!$E$29-30,CA4)/30),1),0),0)</f>
        <v>1</v>
      </c>
      <c r="CB12" s="414">
        <f>IFERROR(IF(CB4&gt;=Inputs!$E$29,MIN(1/(lease_up_period+1)*(DAYS360(Inputs!$E$29-30,CB4)/30),1),0),0)</f>
        <v>1</v>
      </c>
      <c r="CC12" s="414">
        <f>IFERROR(IF(CC4&gt;=Inputs!$E$29,MIN(1/(lease_up_period+1)*(DAYS360(Inputs!$E$29-30,CC4)/30),1),0),0)</f>
        <v>1</v>
      </c>
      <c r="CD12" s="414">
        <f>IFERROR(IF(CD4&gt;=Inputs!$E$29,MIN(1/(lease_up_period+1)*(DAYS360(Inputs!$E$29-30,CD4)/30),1),0),0)</f>
        <v>1</v>
      </c>
      <c r="CE12" s="414">
        <f>IFERROR(IF(CE4&gt;=Inputs!$E$29,MIN(1/(lease_up_period+1)*(DAYS360(Inputs!$E$29-30,CE4)/30),1),0),0)</f>
        <v>1</v>
      </c>
      <c r="CF12" s="414">
        <f>IFERROR(IF(CF4&gt;=Inputs!$E$29,MIN(1/(lease_up_period+1)*(DAYS360(Inputs!$E$29-30,CF4)/30),1),0),0)</f>
        <v>1</v>
      </c>
      <c r="CG12" s="414">
        <f>IFERROR(IF(CG4&gt;=Inputs!$E$29,MIN(1/(lease_up_period+1)*(DAYS360(Inputs!$E$29-30,CG4)/30),1),0),0)</f>
        <v>1</v>
      </c>
      <c r="CH12" s="414">
        <f>IFERROR(IF(CH4&gt;=Inputs!$E$29,MIN(1/(lease_up_period+1)*(DAYS360(Inputs!$E$29-30,CH4)/30),1),0),0)</f>
        <v>1</v>
      </c>
      <c r="CI12" s="414">
        <f>IFERROR(IF(CI4&gt;=Inputs!$E$29,MIN(1/(lease_up_period+1)*(DAYS360(Inputs!$E$29-30,CI4)/30),1),0),0)</f>
        <v>1</v>
      </c>
      <c r="CJ12" s="414">
        <f>IFERROR(IF(CJ4&gt;=Inputs!$E$29,MIN(1/(lease_up_period+1)*(DAYS360(Inputs!$E$29-30,CJ4)/30),1),0),0)</f>
        <v>1</v>
      </c>
      <c r="CK12" s="414">
        <f>IFERROR(IF(CK4&gt;=Inputs!$E$29,MIN(1/(lease_up_period+1)*(DAYS360(Inputs!$E$29-30,CK4)/30),1),0),0)</f>
        <v>1</v>
      </c>
      <c r="CL12" s="414">
        <f>IFERROR(IF(CL4&gt;=Inputs!$E$29,MIN(1/(lease_up_period+1)*(DAYS360(Inputs!$E$29-30,CL4)/30),1),0),0)</f>
        <v>1</v>
      </c>
      <c r="CM12" s="414">
        <f>IFERROR(IF(CM4&gt;=Inputs!$E$29,MIN(1/(lease_up_period+1)*(DAYS360(Inputs!$E$29-30,CM4)/30),1),0),0)</f>
        <v>1</v>
      </c>
      <c r="CN12" s="414">
        <f>IFERROR(IF(CN4&gt;=Inputs!$E$29,MIN(1/(lease_up_period+1)*(DAYS360(Inputs!$E$29-30,CN4)/30),1),0),0)</f>
        <v>1</v>
      </c>
      <c r="CO12" s="414">
        <f>IFERROR(IF(CO4&gt;=Inputs!$E$29,MIN(1/(lease_up_period+1)*(DAYS360(Inputs!$E$29-30,CO4)/30),1),0),0)</f>
        <v>1</v>
      </c>
      <c r="CP12" s="414">
        <f>IFERROR(IF(CP4&gt;=Inputs!$E$29,MIN(1/(lease_up_period+1)*(DAYS360(Inputs!$E$29-30,CP4)/30),1),0),0)</f>
        <v>1</v>
      </c>
      <c r="CQ12" s="414">
        <f>IFERROR(IF(CQ4&gt;=Inputs!$E$29,MIN(1/(lease_up_period+1)*(DAYS360(Inputs!$E$29-30,CQ4)/30),1),0),0)</f>
        <v>1</v>
      </c>
      <c r="CR12" s="414">
        <f>IFERROR(IF(CR4&gt;=Inputs!$E$29,MIN(1/(lease_up_period+1)*(DAYS360(Inputs!$E$29-30,CR4)/30),1),0),0)</f>
        <v>1</v>
      </c>
      <c r="CS12" s="414">
        <f>IFERROR(IF(CS4&gt;=Inputs!$E$29,MIN(1/(lease_up_period+1)*(DAYS360(Inputs!$E$29-30,CS4)/30),1),0),0)</f>
        <v>1</v>
      </c>
      <c r="CT12" s="414">
        <f>IFERROR(IF(CT4&gt;=Inputs!$E$29,MIN(1/(lease_up_period+1)*(DAYS360(Inputs!$E$29-30,CT4)/30),1),0),0)</f>
        <v>1</v>
      </c>
      <c r="CU12" s="414">
        <f>IFERROR(IF(CU4&gt;=Inputs!$E$29,MIN(1/(lease_up_period+1)*(DAYS360(Inputs!$E$29-30,CU4)/30),1),0),0)</f>
        <v>1</v>
      </c>
      <c r="CV12" s="414">
        <f>IFERROR(IF(CV4&gt;=Inputs!$E$29,MIN(1/(lease_up_period+1)*(DAYS360(Inputs!$E$29-30,CV4)/30),1),0),0)</f>
        <v>1</v>
      </c>
      <c r="CW12" s="414">
        <f>IFERROR(IF(CW4&gt;=Inputs!$E$29,MIN(1/(lease_up_period+1)*(DAYS360(Inputs!$E$29-30,CW4)/30),1),0),0)</f>
        <v>1</v>
      </c>
      <c r="CX12" s="414">
        <f>IFERROR(IF(CX4&gt;=Inputs!$E$29,MIN(1/(lease_up_period+1)*(DAYS360(Inputs!$E$29-30,CX4)/30),1),0),0)</f>
        <v>1</v>
      </c>
      <c r="CY12" s="414">
        <f>IFERROR(IF(CY4&gt;=Inputs!$E$29,MIN(1/(lease_up_period+1)*(DAYS360(Inputs!$E$29-30,CY4)/30),1),0),0)</f>
        <v>1</v>
      </c>
      <c r="CZ12" s="414">
        <f>IFERROR(IF(CZ4&gt;=Inputs!$E$29,MIN(1/(lease_up_period+1)*(DAYS360(Inputs!$E$29-30,CZ4)/30),1),0),0)</f>
        <v>1</v>
      </c>
      <c r="DA12" s="414">
        <f>IFERROR(IF(DA4&gt;=Inputs!$E$29,MIN(1/(lease_up_period+1)*(DAYS360(Inputs!$E$29-30,DA4)/30),1),0),0)</f>
        <v>1</v>
      </c>
      <c r="DB12" s="414">
        <f>IFERROR(IF(DB4&gt;=Inputs!$E$29,MIN(1/(lease_up_period+1)*(DAYS360(Inputs!$E$29-30,DB4)/30),1),0),0)</f>
        <v>1</v>
      </c>
      <c r="DC12" s="414">
        <f>IFERROR(IF(DC4&gt;=Inputs!$E$29,MIN(1/(lease_up_period+1)*(DAYS360(Inputs!$E$29-30,DC4)/30),1),0),0)</f>
        <v>1</v>
      </c>
      <c r="DD12" s="414">
        <f>IFERROR(IF(DD4&gt;=Inputs!$E$29,MIN(1/(lease_up_period+1)*(DAYS360(Inputs!$E$29-30,DD4)/30),1),0),0)</f>
        <v>1</v>
      </c>
      <c r="DE12" s="414">
        <f>IFERROR(IF(DE4&gt;=Inputs!$E$29,MIN(1/(lease_up_period+1)*(DAYS360(Inputs!$E$29-30,DE4)/30),1),0),0)</f>
        <v>1</v>
      </c>
      <c r="DF12" s="414">
        <f>IFERROR(IF(DF4&gt;=Inputs!$E$29,MIN(1/(lease_up_period+1)*(DAYS360(Inputs!$E$29-30,DF4)/30),1),0),0)</f>
        <v>1</v>
      </c>
      <c r="DG12" s="414">
        <f>IFERROR(IF(DG4&gt;=Inputs!$E$29,MIN(1/(lease_up_period+1)*(DAYS360(Inputs!$E$29-30,DG4)/30),1),0),0)</f>
        <v>1</v>
      </c>
      <c r="DH12" s="414">
        <f>IFERROR(IF(DH4&gt;=Inputs!$E$29,MIN(1/(lease_up_period+1)*(DAYS360(Inputs!$E$29-30,DH4)/30),1),0),0)</f>
        <v>1</v>
      </c>
      <c r="DI12" s="414">
        <f>IFERROR(IF(DI4&gt;=Inputs!$E$29,MIN(1/(lease_up_period+1)*(DAYS360(Inputs!$E$29-30,DI4)/30),1),0),0)</f>
        <v>1</v>
      </c>
      <c r="DJ12" s="414">
        <f>IFERROR(IF(DJ4&gt;=Inputs!$E$29,MIN(1/(lease_up_period+1)*(DAYS360(Inputs!$E$29-30,DJ4)/30),1),0),0)</f>
        <v>1</v>
      </c>
      <c r="DK12" s="414">
        <f>IFERROR(IF(DK4&gt;=Inputs!$E$29,MIN(1/(lease_up_period+1)*(DAYS360(Inputs!$E$29-30,DK4)/30),1),0),0)</f>
        <v>1</v>
      </c>
      <c r="DL12" s="414">
        <f>IFERROR(IF(DL4&gt;=Inputs!$E$29,MIN(1/(lease_up_period+1)*(DAYS360(Inputs!$E$29-30,DL4)/30),1),0),0)</f>
        <v>1</v>
      </c>
      <c r="DM12" s="414">
        <f>IFERROR(IF(DM4&gt;=Inputs!$E$29,MIN(1/(lease_up_period+1)*(DAYS360(Inputs!$E$29-30,DM4)/30),1),0),0)</f>
        <v>1</v>
      </c>
      <c r="DN12" s="414">
        <f>IFERROR(IF(DN4&gt;=Inputs!$E$29,MIN(1/(lease_up_period+1)*(DAYS360(Inputs!$E$29-30,DN4)/30),1),0),0)</f>
        <v>1</v>
      </c>
      <c r="DO12" s="414">
        <f>IFERROR(IF(DO4&gt;=Inputs!$E$29,MIN(1/(lease_up_period+1)*(DAYS360(Inputs!$E$29-30,DO4)/30),1),0),0)</f>
        <v>1</v>
      </c>
      <c r="DP12" s="414">
        <f>IFERROR(IF(DP4&gt;=Inputs!$E$29,MIN(1/(lease_up_period+1)*(DAYS360(Inputs!$E$29-30,DP4)/30),1),0),0)</f>
        <v>1</v>
      </c>
      <c r="DQ12" s="414">
        <f>IFERROR(IF(DQ4&gt;=Inputs!$E$29,MIN(1/(lease_up_period+1)*(DAYS360(Inputs!$E$29-30,DQ4)/30),1),0),0)</f>
        <v>1</v>
      </c>
      <c r="DR12" s="414">
        <f>IFERROR(IF(DR4&gt;=Inputs!$E$29,MIN(1/(lease_up_period+1)*(DAYS360(Inputs!$E$29-30,DR4)/30),1),0),0)</f>
        <v>1</v>
      </c>
      <c r="DS12" s="414">
        <f>IFERROR(IF(DS4&gt;=Inputs!$E$29,MIN(1/(lease_up_period+1)*(DAYS360(Inputs!$E$29-30,DS4)/30),1),0),0)</f>
        <v>1</v>
      </c>
      <c r="DT12" s="414">
        <f>IFERROR(IF(DT4&gt;=Inputs!$E$29,MIN(1/(lease_up_period+1)*(DAYS360(Inputs!$E$29-30,DT4)/30),1),0),0)</f>
        <v>1</v>
      </c>
      <c r="DU12" s="414">
        <f>IFERROR(IF(DU4&gt;=Inputs!$E$29,MIN(1/(lease_up_period+1)*(DAYS360(Inputs!$E$29-30,DU4)/30),1),0),0)</f>
        <v>1</v>
      </c>
    </row>
    <row r="13" spans="1:125" x14ac:dyDescent="0.25">
      <c r="A13" s="399" t="s">
        <v>491</v>
      </c>
      <c r="D13" s="387"/>
      <c r="F13" s="409">
        <f>IFERROR(IF(F4&gt;=Inputs!$E$29,-FV('(Z+) Rent Roll'!$G$24,ROUNDDOWN(DAYS360(Inputs!$E$29,F4)/30/12,0),0,'(Z+) Rent Roll'!$C$24*'(Z+) Rent Roll'!$D$24),0)*F12,0)</f>
        <v>0</v>
      </c>
      <c r="G13" s="409">
        <f>IFERROR(IF(G4&gt;=Inputs!$E$29,-FV('(Z+) Rent Roll'!$G$24,ROUNDDOWN(DAYS360(Inputs!$E$29,G4)/30/12,0),0,'(Z+) Rent Roll'!$C$24*'(Z+) Rent Roll'!$D$24),0)*G12,0)</f>
        <v>0</v>
      </c>
      <c r="H13" s="409">
        <f>IFERROR(IF(H4&gt;=Inputs!$E$29,-FV('(Z+) Rent Roll'!$G$24,ROUNDDOWN(DAYS360(Inputs!$E$29,H4)/30/12,0),0,'(Z+) Rent Roll'!$C$24*'(Z+) Rent Roll'!$D$24),0)*H12,0)</f>
        <v>0</v>
      </c>
      <c r="I13" s="409">
        <f>IFERROR(IF(I4&gt;=Inputs!$E$29,-FV('(Z+) Rent Roll'!$G$24,ROUNDDOWN(DAYS360(Inputs!$E$29,I4)/30/12,0),0,'(Z+) Rent Roll'!$C$24*'(Z+) Rent Roll'!$D$24),0)*I12,0)</f>
        <v>0</v>
      </c>
      <c r="J13" s="410">
        <f>IFERROR(IF(J4&gt;=Inputs!$E$29,-FV('(Z+) Rent Roll'!$G$24,ROUNDDOWN(DAYS360(Inputs!$E$29,J4)/30/12,0),0,'(Z+) Rent Roll'!$C$24*'(Z+) Rent Roll'!$D$24),0)*J12,0)</f>
        <v>0</v>
      </c>
      <c r="K13" s="410">
        <f>IFERROR(IF(K4&gt;=Inputs!$E$29,-FV('(Z+) Rent Roll'!$G$24,ROUNDDOWN(DAYS360(Inputs!$E$29,K4)/30/12,0),0,'(Z+) Rent Roll'!$C$24*'(Z+) Rent Roll'!$D$24),0)*K12,0)</f>
        <v>0</v>
      </c>
      <c r="L13" s="410">
        <f>IFERROR(IF(L4&gt;=Inputs!$E$29,-FV('(Z+) Rent Roll'!$G$24,ROUNDDOWN(DAYS360(Inputs!$E$29,L4)/30/12,0),0,'(Z+) Rent Roll'!$C$24*'(Z+) Rent Roll'!$D$24),0)*L12,0)</f>
        <v>0</v>
      </c>
      <c r="M13" s="410">
        <f>IFERROR(IF(M4&gt;=Inputs!$E$29,-FV('(Z+) Rent Roll'!$G$24,ROUNDDOWN(DAYS360(Inputs!$E$29,M4)/30/12,0),0,'(Z+) Rent Roll'!$C$24*'(Z+) Rent Roll'!$D$24),0)*M12,0)</f>
        <v>0</v>
      </c>
      <c r="N13" s="410">
        <f>IFERROR(IF(N4&gt;=Inputs!$E$29,-FV('(Z+) Rent Roll'!$G$24,ROUNDDOWN(DAYS360(Inputs!$E$29,N4)/30/12,0),0,'(Z+) Rent Roll'!$C$24*'(Z+) Rent Roll'!$D$24),0)*N12,0)</f>
        <v>0</v>
      </c>
      <c r="O13" s="410">
        <f>IFERROR(IF(O4&gt;=Inputs!$E$29,-FV('(Z+) Rent Roll'!$G$24,ROUNDDOWN(DAYS360(Inputs!$E$29,O4)/30/12,0),0,'(Z+) Rent Roll'!$C$24*'(Z+) Rent Roll'!$D$24),0)*O12,0)</f>
        <v>0</v>
      </c>
      <c r="P13" s="410">
        <f>IFERROR(IF(P4&gt;=Inputs!$E$29,-FV('(Z+) Rent Roll'!$G$24,ROUNDDOWN(DAYS360(Inputs!$E$29,P4)/30/12,0),0,'(Z+) Rent Roll'!$C$24*'(Z+) Rent Roll'!$D$24),0)*P12,0)</f>
        <v>0</v>
      </c>
      <c r="Q13" s="410">
        <f>IFERROR(IF(Q4&gt;=Inputs!$E$29,-FV('(Z+) Rent Roll'!$G$24,ROUNDDOWN(DAYS360(Inputs!$E$29,Q4)/30/12,0),0,'(Z+) Rent Roll'!$C$24*'(Z+) Rent Roll'!$D$24),0)*Q12,0)</f>
        <v>0</v>
      </c>
      <c r="R13" s="410">
        <f>IFERROR(IF(R4&gt;=Inputs!$E$29,-FV('(Z+) Rent Roll'!$G$24,ROUNDDOWN(DAYS360(Inputs!$E$29,R4)/30/12,0),0,'(Z+) Rent Roll'!$C$24*'(Z+) Rent Roll'!$D$24),0)*R12,0)</f>
        <v>0</v>
      </c>
      <c r="S13" s="410">
        <f>IFERROR(IF(S4&gt;=Inputs!$E$29,-FV('(Z+) Rent Roll'!$G$24,ROUNDDOWN(DAYS360(Inputs!$E$29,S4)/30/12,0),0,'(Z+) Rent Roll'!$C$24*'(Z+) Rent Roll'!$D$24),0)*S12,0)</f>
        <v>0</v>
      </c>
      <c r="T13" s="410">
        <f>IFERROR(IF(T4&gt;=Inputs!$E$29,-FV('(Z+) Rent Roll'!$G$24,ROUNDDOWN(DAYS360(Inputs!$E$29,T4)/30/12,0),0,'(Z+) Rent Roll'!$C$24*'(Z+) Rent Roll'!$D$24),0)*T12,0)</f>
        <v>0</v>
      </c>
      <c r="U13" s="411">
        <f>IFERROR(IF(U4&gt;=Inputs!$E$29,-FV('(Z+) Rent Roll'!$G$24,ROUNDDOWN(DAYS360(Inputs!$E$29,U4)/30/12,0),0,'(Z+) Rent Roll'!$C$24*'(Z+) Rent Roll'!$D$24),0)*U12,0)</f>
        <v>0</v>
      </c>
      <c r="V13" s="411">
        <f>IFERROR(IF(V4&gt;=Inputs!$E$29,-FV('(Z+) Rent Roll'!$G$24,ROUNDDOWN(DAYS360(Inputs!$E$29,V4)/30/12,0),0,'(Z+) Rent Roll'!$C$24*'(Z+) Rent Roll'!$D$24),0)*V12,0)</f>
        <v>0</v>
      </c>
      <c r="W13" s="411">
        <f>IFERROR(IF(W4&gt;=Inputs!$E$29,-FV('(Z+) Rent Roll'!$G$24,ROUNDDOWN(DAYS360(Inputs!$E$29,W4)/30/12,0),0,'(Z+) Rent Roll'!$C$24*'(Z+) Rent Roll'!$D$24),0)*W12,0)</f>
        <v>0</v>
      </c>
      <c r="X13" s="411">
        <f>IFERROR(IF(X4&gt;=Inputs!$E$29,-FV('(Z+) Rent Roll'!$G$24,ROUNDDOWN(DAYS360(Inputs!$E$29,X4)/30/12,0),0,'(Z+) Rent Roll'!$C$24*'(Z+) Rent Roll'!$D$24),0)*X12,0)</f>
        <v>0</v>
      </c>
      <c r="Y13" s="411">
        <f>IFERROR(IF(Y4&gt;=Inputs!$E$29,-FV('(Z+) Rent Roll'!$G$24,ROUNDDOWN(DAYS360(Inputs!$E$29,Y4)/30/12,0),0,'(Z+) Rent Roll'!$C$24*'(Z+) Rent Roll'!$D$24),0)*Y12,0)</f>
        <v>0</v>
      </c>
      <c r="Z13" s="411">
        <f>IFERROR(IF(Z4&gt;=Inputs!$E$29,-FV('(Z+) Rent Roll'!$G$24,ROUNDDOWN(DAYS360(Inputs!$E$29,Z4)/30/12,0),0,'(Z+) Rent Roll'!$C$24*'(Z+) Rent Roll'!$D$24),0)*Z12,0)</f>
        <v>0</v>
      </c>
      <c r="AA13" s="411">
        <f>IFERROR(IF(AA4&gt;=Inputs!$E$29,-FV('(Z+) Rent Roll'!$G$24,ROUNDDOWN(DAYS360(Inputs!$E$29,AA4)/30/12,0),0,'(Z+) Rent Roll'!$C$24*'(Z+) Rent Roll'!$D$24),0)*AA12,0)</f>
        <v>0</v>
      </c>
      <c r="AB13" s="411">
        <f>IFERROR(IF(AB4&gt;=Inputs!$E$29,-FV('(Z+) Rent Roll'!$G$24,ROUNDDOWN(DAYS360(Inputs!$E$29,AB4)/30/12,0),0,'(Z+) Rent Roll'!$C$24*'(Z+) Rent Roll'!$D$24),0)*AB12,0)</f>
        <v>0</v>
      </c>
      <c r="AC13" s="411">
        <f>IFERROR(IF(AC4&gt;=Inputs!$E$29,-FV('(Z+) Rent Roll'!$G$24,ROUNDDOWN(DAYS360(Inputs!$E$29,AC4)/30/12,0),0,'(Z+) Rent Roll'!$C$24*'(Z+) Rent Roll'!$D$24),0)*AC12,0)</f>
        <v>0</v>
      </c>
      <c r="AD13" s="411">
        <f>IFERROR(IF(AD4&gt;=Inputs!$E$29,-FV('(Z+) Rent Roll'!$G$24,ROUNDDOWN(DAYS360(Inputs!$E$29,AD4)/30/12,0),0,'(Z+) Rent Roll'!$C$24*'(Z+) Rent Roll'!$D$24),0)*AD12,0)</f>
        <v>0</v>
      </c>
      <c r="AE13" s="411">
        <f>IFERROR(IF(AE4&gt;=Inputs!$E$29,-FV('(Z+) Rent Roll'!$G$24,ROUNDDOWN(DAYS360(Inputs!$E$29,AE4)/30/12,0),0,'(Z+) Rent Roll'!$C$24*'(Z+) Rent Roll'!$D$24),0)*AE12,0)</f>
        <v>0</v>
      </c>
      <c r="AF13" s="411">
        <f>IFERROR(IF(AF4&gt;=Inputs!$E$29,-FV('(Z+) Rent Roll'!$G$24,ROUNDDOWN(DAYS360(Inputs!$E$29,AF4)/30/12,0),0,'(Z+) Rent Roll'!$C$24*'(Z+) Rent Roll'!$D$24),0)*AF12,0)</f>
        <v>0</v>
      </c>
      <c r="AG13" s="411">
        <f>IFERROR(IF(AG4&gt;=Inputs!$E$29,-FV('(Z+) Rent Roll'!$G$24,ROUNDDOWN(DAYS360(Inputs!$E$29,AG4)/30/12,0),0,'(Z+) Rent Roll'!$C$24*'(Z+) Rent Roll'!$D$24),0)*AG12,0)</f>
        <v>0</v>
      </c>
      <c r="AH13" s="411">
        <f>IFERROR(IF(AH4&gt;=Inputs!$E$29,-FV('(Z+) Rent Roll'!$G$24,ROUNDDOWN(DAYS360(Inputs!$E$29,AH4)/30/12,0),0,'(Z+) Rent Roll'!$C$24*'(Z+) Rent Roll'!$D$24),0)*AH12,0)</f>
        <v>0</v>
      </c>
      <c r="AI13" s="411">
        <f>IFERROR(IF(AI4&gt;=Inputs!$E$29,-FV('(Z+) Rent Roll'!$G$24,ROUNDDOWN(DAYS360(Inputs!$E$29,AI4)/30/12,0),0,'(Z+) Rent Roll'!$C$24*'(Z+) Rent Roll'!$D$24),0)*AI12,0)</f>
        <v>0</v>
      </c>
      <c r="AJ13" s="411">
        <f>IFERROR(IF(AJ4&gt;=Inputs!$E$29,-FV('(Z+) Rent Roll'!$G$24,ROUNDDOWN(DAYS360(Inputs!$E$29,AJ4)/30/12,0),0,'(Z+) Rent Roll'!$C$24*'(Z+) Rent Roll'!$D$24),0)*AJ12,0)</f>
        <v>0</v>
      </c>
      <c r="AK13" s="411">
        <f>IFERROR(IF(AK4&gt;=Inputs!$E$29,-FV('(Z+) Rent Roll'!$G$24,ROUNDDOWN(DAYS360(Inputs!$E$29,AK4)/30/12,0),0,'(Z+) Rent Roll'!$C$24*'(Z+) Rent Roll'!$D$24),0)*AK12,0)</f>
        <v>0</v>
      </c>
      <c r="AL13" s="411">
        <f>IFERROR(IF(AL4&gt;=Inputs!$E$29,-FV('(Z+) Rent Roll'!$G$24,ROUNDDOWN(DAYS360(Inputs!$E$29,AL4)/30/12,0),0,'(Z+) Rent Roll'!$C$24*'(Z+) Rent Roll'!$D$24),0)*AL12,0)</f>
        <v>0</v>
      </c>
      <c r="AM13" s="411">
        <f>IFERROR(IF(AM4&gt;=Inputs!$E$29,-FV('(Z+) Rent Roll'!$G$24,ROUNDDOWN(DAYS360(Inputs!$E$29,AM4)/30/12,0),0,'(Z+) Rent Roll'!$C$24*'(Z+) Rent Roll'!$D$24),0)*AM12,0)</f>
        <v>0</v>
      </c>
      <c r="AN13" s="411">
        <f>IFERROR(IF(AN4&gt;=Inputs!$E$29,-FV('(Z+) Rent Roll'!$G$24,ROUNDDOWN(DAYS360(Inputs!$E$29,AN4)/30/12,0),0,'(Z+) Rent Roll'!$C$24*'(Z+) Rent Roll'!$D$24),0)*AN12,0)</f>
        <v>0</v>
      </c>
      <c r="AO13" s="411">
        <f>IFERROR(IF(AO4&gt;=Inputs!$E$29,-FV('(Z+) Rent Roll'!$G$24,ROUNDDOWN(DAYS360(Inputs!$E$29,AO4)/30/12,0),0,'(Z+) Rent Roll'!$C$24*'(Z+) Rent Roll'!$D$24),0)*AO12,0)</f>
        <v>0</v>
      </c>
      <c r="AP13" s="411">
        <f>IFERROR(IF(AP4&gt;=Inputs!$E$29,-FV('(Z+) Rent Roll'!$G$24,ROUNDDOWN(DAYS360(Inputs!$E$29,AP4)/30/12,0),0,'(Z+) Rent Roll'!$C$24*'(Z+) Rent Roll'!$D$24),0)*AP12,0)</f>
        <v>0</v>
      </c>
      <c r="AQ13" s="411">
        <f>IFERROR(IF(AQ4&gt;=Inputs!$E$29,-FV('(Z+) Rent Roll'!$G$24,ROUNDDOWN(DAYS360(Inputs!$E$29,AQ4)/30/12,0),0,'(Z+) Rent Roll'!$C$24*'(Z+) Rent Roll'!$D$24),0)*AQ12,0)</f>
        <v>0</v>
      </c>
      <c r="AR13" s="411">
        <f>IFERROR(IF(AR4&gt;=Inputs!$E$29,-FV('(Z+) Rent Roll'!$G$24,ROUNDDOWN(DAYS360(Inputs!$E$29,AR4)/30/12,0),0,'(Z+) Rent Roll'!$C$24*'(Z+) Rent Roll'!$D$24),0)*AR12,0)</f>
        <v>0</v>
      </c>
      <c r="AS13" s="411">
        <f>IFERROR(IF(AS4&gt;=Inputs!$E$29,-FV('(Z+) Rent Roll'!$G$24,ROUNDDOWN(DAYS360(Inputs!$E$29,AS4)/30/12,0),0,'(Z+) Rent Roll'!$C$24*'(Z+) Rent Roll'!$D$24),0)*AS12,0)</f>
        <v>0</v>
      </c>
      <c r="AT13" s="411">
        <f>IFERROR(IF(AT4&gt;=Inputs!$E$29,-FV('(Z+) Rent Roll'!$G$24,ROUNDDOWN(DAYS360(Inputs!$E$29,AT4)/30/12,0),0,'(Z+) Rent Roll'!$C$24*'(Z+) Rent Roll'!$D$24),0)*AT12,0)</f>
        <v>0</v>
      </c>
      <c r="AU13" s="411">
        <f>IFERROR(IF(AU4&gt;=Inputs!$E$29,-FV('(Z+) Rent Roll'!$G$24,ROUNDDOWN(DAYS360(Inputs!$E$29,AU4)/30/12,0),0,'(Z+) Rent Roll'!$C$24*'(Z+) Rent Roll'!$D$24),0)*AU12,0)</f>
        <v>0</v>
      </c>
      <c r="AV13" s="411">
        <f>IFERROR(IF(AV4&gt;=Inputs!$E$29,-FV('(Z+) Rent Roll'!$G$24,ROUNDDOWN(DAYS360(Inputs!$E$29,AV4)/30/12,0),0,'(Z+) Rent Roll'!$C$24*'(Z+) Rent Roll'!$D$24),0)*AV12,0)</f>
        <v>0</v>
      </c>
      <c r="AW13" s="411">
        <f>IFERROR(IF(AW4&gt;=Inputs!$E$29,-FV('(Z+) Rent Roll'!$G$24,ROUNDDOWN(DAYS360(Inputs!$E$29,AW4)/30/12,0),0,'(Z+) Rent Roll'!$C$24*'(Z+) Rent Roll'!$D$24),0)*AW12,0)</f>
        <v>0</v>
      </c>
      <c r="AX13" s="411">
        <f>IFERROR(IF(AX4&gt;=Inputs!$E$29,-FV('(Z+) Rent Roll'!$G$24,ROUNDDOWN(DAYS360(Inputs!$E$29,AX4)/30/12,0),0,'(Z+) Rent Roll'!$C$24*'(Z+) Rent Roll'!$D$24),0)*AX12,0)</f>
        <v>0</v>
      </c>
      <c r="AY13" s="411">
        <f>IFERROR(IF(AY4&gt;=Inputs!$E$29,-FV('(Z+) Rent Roll'!$G$24,ROUNDDOWN(DAYS360(Inputs!$E$29,AY4)/30/12,0),0,'(Z+) Rent Roll'!$C$24*'(Z+) Rent Roll'!$D$24),0)*AY12,0)</f>
        <v>0</v>
      </c>
      <c r="AZ13" s="411">
        <f>IFERROR(IF(AZ4&gt;=Inputs!$E$29,-FV('(Z+) Rent Roll'!$G$24,ROUNDDOWN(DAYS360(Inputs!$E$29,AZ4)/30/12,0),0,'(Z+) Rent Roll'!$C$24*'(Z+) Rent Roll'!$D$24),0)*AZ12,0)</f>
        <v>0</v>
      </c>
      <c r="BA13" s="411">
        <f>IFERROR(IF(BA4&gt;=Inputs!$E$29,-FV('(Z+) Rent Roll'!$G$24,ROUNDDOWN(DAYS360(Inputs!$E$29,BA4)/30/12,0),0,'(Z+) Rent Roll'!$C$24*'(Z+) Rent Roll'!$D$24),0)*BA12,0)</f>
        <v>0</v>
      </c>
      <c r="BB13" s="411">
        <f>IFERROR(IF(BB4&gt;=Inputs!$E$29,-FV('(Z+) Rent Roll'!$G$24,ROUNDDOWN(DAYS360(Inputs!$E$29,BB4)/30/12,0),0,'(Z+) Rent Roll'!$C$24*'(Z+) Rent Roll'!$D$24),0)*BB12,0)</f>
        <v>0</v>
      </c>
      <c r="BC13" s="411">
        <f>IFERROR(IF(BC4&gt;=Inputs!$E$29,-FV('(Z+) Rent Roll'!$G$24,ROUNDDOWN(DAYS360(Inputs!$E$29,BC4)/30/12,0),0,'(Z+) Rent Roll'!$C$24*'(Z+) Rent Roll'!$D$24),0)*BC12,0)</f>
        <v>0</v>
      </c>
      <c r="BD13" s="411">
        <f>IFERROR(IF(BD4&gt;=Inputs!$E$29,-FV('(Z+) Rent Roll'!$G$24,ROUNDDOWN(DAYS360(Inputs!$E$29,BD4)/30/12,0),0,'(Z+) Rent Roll'!$C$24*'(Z+) Rent Roll'!$D$24),0)*BD12,0)</f>
        <v>0</v>
      </c>
      <c r="BE13" s="411">
        <f>IFERROR(IF(BE4&gt;=Inputs!$E$29,-FV('(Z+) Rent Roll'!$G$24,ROUNDDOWN(DAYS360(Inputs!$E$29,BE4)/30/12,0),0,'(Z+) Rent Roll'!$C$24*'(Z+) Rent Roll'!$D$24),0)*BE12,0)</f>
        <v>0</v>
      </c>
      <c r="BF13" s="411">
        <f>IFERROR(IF(BF4&gt;=Inputs!$E$29,-FV('(Z+) Rent Roll'!$G$24,ROUNDDOWN(DAYS360(Inputs!$E$29,BF4)/30/12,0),0,'(Z+) Rent Roll'!$C$24*'(Z+) Rent Roll'!$D$24),0)*BF12,0)</f>
        <v>0</v>
      </c>
      <c r="BG13" s="411">
        <f>IFERROR(IF(BG4&gt;=Inputs!$E$29,-FV('(Z+) Rent Roll'!$G$24,ROUNDDOWN(DAYS360(Inputs!$E$29,BG4)/30/12,0),0,'(Z+) Rent Roll'!$C$24*'(Z+) Rent Roll'!$D$24),0)*BG12,0)</f>
        <v>0</v>
      </c>
      <c r="BH13" s="411">
        <f>IFERROR(IF(BH4&gt;=Inputs!$E$29,-FV('(Z+) Rent Roll'!$G$24,ROUNDDOWN(DAYS360(Inputs!$E$29,BH4)/30/12,0),0,'(Z+) Rent Roll'!$C$24*'(Z+) Rent Roll'!$D$24),0)*BH12,0)</f>
        <v>0</v>
      </c>
      <c r="BI13" s="411">
        <f>IFERROR(IF(BI4&gt;=Inputs!$E$29,-FV('(Z+) Rent Roll'!$G$24,ROUNDDOWN(DAYS360(Inputs!$E$29,BI4)/30/12,0),0,'(Z+) Rent Roll'!$C$24*'(Z+) Rent Roll'!$D$24),0)*BI12,0)</f>
        <v>0</v>
      </c>
      <c r="BJ13" s="411">
        <f>IFERROR(IF(BJ4&gt;=Inputs!$E$29,-FV('(Z+) Rent Roll'!$G$24,ROUNDDOWN(DAYS360(Inputs!$E$29,BJ4)/30/12,0),0,'(Z+) Rent Roll'!$C$24*'(Z+) Rent Roll'!$D$24),0)*BJ12,0)</f>
        <v>0</v>
      </c>
      <c r="BK13" s="411">
        <f>IFERROR(IF(BK4&gt;=Inputs!$E$29,-FV('(Z+) Rent Roll'!$G$24,ROUNDDOWN(DAYS360(Inputs!$E$29,BK4)/30/12,0),0,'(Z+) Rent Roll'!$C$24*'(Z+) Rent Roll'!$D$24),0)*BK12,0)</f>
        <v>0</v>
      </c>
      <c r="BL13" s="411">
        <f>IFERROR(IF(BL4&gt;=Inputs!$E$29,-FV('(Z+) Rent Roll'!$G$24,ROUNDDOWN(DAYS360(Inputs!$E$29,BL4)/30/12,0),0,'(Z+) Rent Roll'!$C$24*'(Z+) Rent Roll'!$D$24),0)*BL12,0)</f>
        <v>0</v>
      </c>
      <c r="BM13" s="411">
        <f>IFERROR(IF(BM4&gt;=Inputs!$E$29,-FV('(Z+) Rent Roll'!$G$24,ROUNDDOWN(DAYS360(Inputs!$E$29,BM4)/30/12,0),0,'(Z+) Rent Roll'!$C$24*'(Z+) Rent Roll'!$D$24),0)*BM12,0)</f>
        <v>0</v>
      </c>
      <c r="BN13" s="411">
        <f>IFERROR(IF(BN4&gt;=Inputs!$E$29,-FV('(Z+) Rent Roll'!$G$24,ROUNDDOWN(DAYS360(Inputs!$E$29,BN4)/30/12,0),0,'(Z+) Rent Roll'!$C$24*'(Z+) Rent Roll'!$D$24),0)*BN12,0)</f>
        <v>0</v>
      </c>
      <c r="BO13" s="411">
        <f>IFERROR(IF(BO4&gt;=Inputs!$E$29,-FV('(Z+) Rent Roll'!$G$24,ROUNDDOWN(DAYS360(Inputs!$E$29,BO4)/30/12,0),0,'(Z+) Rent Roll'!$C$24*'(Z+) Rent Roll'!$D$24),0)*BO12,0)</f>
        <v>0</v>
      </c>
      <c r="BP13" s="411">
        <f>IFERROR(IF(BP4&gt;=Inputs!$E$29,-FV('(Z+) Rent Roll'!$G$24,ROUNDDOWN(DAYS360(Inputs!$E$29,BP4)/30/12,0),0,'(Z+) Rent Roll'!$C$24*'(Z+) Rent Roll'!$D$24),0)*BP12,0)</f>
        <v>0</v>
      </c>
      <c r="BQ13" s="411">
        <f>IFERROR(IF(BQ4&gt;=Inputs!$E$29,-FV('(Z+) Rent Roll'!$G$24,ROUNDDOWN(DAYS360(Inputs!$E$29,BQ4)/30/12,0),0,'(Z+) Rent Roll'!$C$24*'(Z+) Rent Roll'!$D$24),0)*BQ12,0)</f>
        <v>0</v>
      </c>
      <c r="BR13" s="411">
        <f>IFERROR(IF(BR4&gt;=Inputs!$E$29,-FV('(Z+) Rent Roll'!$G$24,ROUNDDOWN(DAYS360(Inputs!$E$29,BR4)/30/12,0),0,'(Z+) Rent Roll'!$C$24*'(Z+) Rent Roll'!$D$24),0)*BR12,0)</f>
        <v>0</v>
      </c>
      <c r="BS13" s="411">
        <f>IFERROR(IF(BS4&gt;=Inputs!$E$29,-FV('(Z+) Rent Roll'!$G$24,ROUNDDOWN(DAYS360(Inputs!$E$29,BS4)/30/12,0),0,'(Z+) Rent Roll'!$C$24*'(Z+) Rent Roll'!$D$24),0)*BS12,0)</f>
        <v>0</v>
      </c>
      <c r="BT13" s="411">
        <f>IFERROR(IF(BT4&gt;=Inputs!$E$29,-FV('(Z+) Rent Roll'!$G$24,ROUNDDOWN(DAYS360(Inputs!$E$29,BT4)/30/12,0),0,'(Z+) Rent Roll'!$C$24*'(Z+) Rent Roll'!$D$24),0)*BT12,0)</f>
        <v>0</v>
      </c>
      <c r="BU13" s="411">
        <f>IFERROR(IF(BU4&gt;=Inputs!$E$29,-FV('(Z+) Rent Roll'!$G$24,ROUNDDOWN(DAYS360(Inputs!$E$29,BU4)/30/12,0),0,'(Z+) Rent Roll'!$C$24*'(Z+) Rent Roll'!$D$24),0)*BU12,0)</f>
        <v>0</v>
      </c>
      <c r="BV13" s="411">
        <f>IFERROR(IF(BV4&gt;=Inputs!$E$29,-FV('(Z+) Rent Roll'!$G$24,ROUNDDOWN(DAYS360(Inputs!$E$29,BV4)/30/12,0),0,'(Z+) Rent Roll'!$C$24*'(Z+) Rent Roll'!$D$24),0)*BV12,0)</f>
        <v>0</v>
      </c>
      <c r="BW13" s="411">
        <f>IFERROR(IF(BW4&gt;=Inputs!$E$29,-FV('(Z+) Rent Roll'!$G$24,ROUNDDOWN(DAYS360(Inputs!$E$29,BW4)/30/12,0),0,'(Z+) Rent Roll'!$C$24*'(Z+) Rent Roll'!$D$24),0)*BW12,0)</f>
        <v>0</v>
      </c>
      <c r="BX13" s="411">
        <f>IFERROR(IF(BX4&gt;=Inputs!$E$29,-FV('(Z+) Rent Roll'!$G$24,ROUNDDOWN(DAYS360(Inputs!$E$29,BX4)/30/12,0),0,'(Z+) Rent Roll'!$C$24*'(Z+) Rent Roll'!$D$24),0)*BX12,0)</f>
        <v>0</v>
      </c>
      <c r="BY13" s="411">
        <f>IFERROR(IF(BY4&gt;=Inputs!$E$29,-FV('(Z+) Rent Roll'!$G$24,ROUNDDOWN(DAYS360(Inputs!$E$29,BY4)/30/12,0),0,'(Z+) Rent Roll'!$C$24*'(Z+) Rent Roll'!$D$24),0)*BY12,0)</f>
        <v>0</v>
      </c>
      <c r="BZ13" s="411">
        <f>IFERROR(IF(BZ4&gt;=Inputs!$E$29,-FV('(Z+) Rent Roll'!$G$24,ROUNDDOWN(DAYS360(Inputs!$E$29,BZ4)/30/12,0),0,'(Z+) Rent Roll'!$C$24*'(Z+) Rent Roll'!$D$24),0)*BZ12,0)</f>
        <v>0</v>
      </c>
      <c r="CA13" s="411">
        <f>IFERROR(IF(CA4&gt;=Inputs!$E$29,-FV('(Z+) Rent Roll'!$G$24,ROUNDDOWN(DAYS360(Inputs!$E$29,CA4)/30/12,0),0,'(Z+) Rent Roll'!$C$24*'(Z+) Rent Roll'!$D$24),0)*CA12,0)</f>
        <v>0</v>
      </c>
      <c r="CB13" s="411">
        <f>IFERROR(IF(CB4&gt;=Inputs!$E$29,-FV('(Z+) Rent Roll'!$G$24,ROUNDDOWN(DAYS360(Inputs!$E$29,CB4)/30/12,0),0,'(Z+) Rent Roll'!$C$24*'(Z+) Rent Roll'!$D$24),0)*CB12,0)</f>
        <v>0</v>
      </c>
      <c r="CC13" s="411">
        <f>IFERROR(IF(CC4&gt;=Inputs!$E$29,-FV('(Z+) Rent Roll'!$G$24,ROUNDDOWN(DAYS360(Inputs!$E$29,CC4)/30/12,0),0,'(Z+) Rent Roll'!$C$24*'(Z+) Rent Roll'!$D$24),0)*CC12,0)</f>
        <v>0</v>
      </c>
      <c r="CD13" s="411">
        <f>IFERROR(IF(CD4&gt;=Inputs!$E$29,-FV('(Z+) Rent Roll'!$G$24,ROUNDDOWN(DAYS360(Inputs!$E$29,CD4)/30/12,0),0,'(Z+) Rent Roll'!$C$24*'(Z+) Rent Roll'!$D$24),0)*CD12,0)</f>
        <v>0</v>
      </c>
      <c r="CE13" s="411">
        <f>IFERROR(IF(CE4&gt;=Inputs!$E$29,-FV('(Z+) Rent Roll'!$G$24,ROUNDDOWN(DAYS360(Inputs!$E$29,CE4)/30/12,0),0,'(Z+) Rent Roll'!$C$24*'(Z+) Rent Roll'!$D$24),0)*CE12,0)</f>
        <v>0</v>
      </c>
      <c r="CF13" s="411">
        <f>IFERROR(IF(CF4&gt;=Inputs!$E$29,-FV('(Z+) Rent Roll'!$G$24,ROUNDDOWN(DAYS360(Inputs!$E$29,CF4)/30/12,0),0,'(Z+) Rent Roll'!$C$24*'(Z+) Rent Roll'!$D$24),0)*CF12,0)</f>
        <v>0</v>
      </c>
      <c r="CG13" s="411">
        <f>IFERROR(IF(CG4&gt;=Inputs!$E$29,-FV('(Z+) Rent Roll'!$G$24,ROUNDDOWN(DAYS360(Inputs!$E$29,CG4)/30/12,0),0,'(Z+) Rent Roll'!$C$24*'(Z+) Rent Roll'!$D$24),0)*CG12,0)</f>
        <v>0</v>
      </c>
      <c r="CH13" s="411">
        <f>IFERROR(IF(CH4&gt;=Inputs!$E$29,-FV('(Z+) Rent Roll'!$G$24,ROUNDDOWN(DAYS360(Inputs!$E$29,CH4)/30/12,0),0,'(Z+) Rent Roll'!$C$24*'(Z+) Rent Roll'!$D$24),0)*CH12,0)</f>
        <v>0</v>
      </c>
      <c r="CI13" s="411">
        <f>IFERROR(IF(CI4&gt;=Inputs!$E$29,-FV('(Z+) Rent Roll'!$G$24,ROUNDDOWN(DAYS360(Inputs!$E$29,CI4)/30/12,0),0,'(Z+) Rent Roll'!$C$24*'(Z+) Rent Roll'!$D$24),0)*CI12,0)</f>
        <v>0</v>
      </c>
      <c r="CJ13" s="411">
        <f>IFERROR(IF(CJ4&gt;=Inputs!$E$29,-FV('(Z+) Rent Roll'!$G$24,ROUNDDOWN(DAYS360(Inputs!$E$29,CJ4)/30/12,0),0,'(Z+) Rent Roll'!$C$24*'(Z+) Rent Roll'!$D$24),0)*CJ12,0)</f>
        <v>0</v>
      </c>
      <c r="CK13" s="411">
        <f>IFERROR(IF(CK4&gt;=Inputs!$E$29,-FV('(Z+) Rent Roll'!$G$24,ROUNDDOWN(DAYS360(Inputs!$E$29,CK4)/30/12,0),0,'(Z+) Rent Roll'!$C$24*'(Z+) Rent Roll'!$D$24),0)*CK12,0)</f>
        <v>0</v>
      </c>
      <c r="CL13" s="411">
        <f>IFERROR(IF(CL4&gt;=Inputs!$E$29,-FV('(Z+) Rent Roll'!$G$24,ROUNDDOWN(DAYS360(Inputs!$E$29,CL4)/30/12,0),0,'(Z+) Rent Roll'!$C$24*'(Z+) Rent Roll'!$D$24),0)*CL12,0)</f>
        <v>0</v>
      </c>
      <c r="CM13" s="411">
        <f>IFERROR(IF(CM4&gt;=Inputs!$E$29,-FV('(Z+) Rent Roll'!$G$24,ROUNDDOWN(DAYS360(Inputs!$E$29,CM4)/30/12,0),0,'(Z+) Rent Roll'!$C$24*'(Z+) Rent Roll'!$D$24),0)*CM12,0)</f>
        <v>0</v>
      </c>
      <c r="CN13" s="411">
        <f>IFERROR(IF(CN4&gt;=Inputs!$E$29,-FV('(Z+) Rent Roll'!$G$24,ROUNDDOWN(DAYS360(Inputs!$E$29,CN4)/30/12,0),0,'(Z+) Rent Roll'!$C$24*'(Z+) Rent Roll'!$D$24),0)*CN12,0)</f>
        <v>0</v>
      </c>
      <c r="CO13" s="411">
        <f>IFERROR(IF(CO4&gt;=Inputs!$E$29,-FV('(Z+) Rent Roll'!$G$24,ROUNDDOWN(DAYS360(Inputs!$E$29,CO4)/30/12,0),0,'(Z+) Rent Roll'!$C$24*'(Z+) Rent Roll'!$D$24),0)*CO12,0)</f>
        <v>0</v>
      </c>
      <c r="CP13" s="411">
        <f>IFERROR(IF(CP4&gt;=Inputs!$E$29,-FV('(Z+) Rent Roll'!$G$24,ROUNDDOWN(DAYS360(Inputs!$E$29,CP4)/30/12,0),0,'(Z+) Rent Roll'!$C$24*'(Z+) Rent Roll'!$D$24),0)*CP12,0)</f>
        <v>0</v>
      </c>
      <c r="CQ13" s="411">
        <f>IFERROR(IF(CQ4&gt;=Inputs!$E$29,-FV('(Z+) Rent Roll'!$G$24,ROUNDDOWN(DAYS360(Inputs!$E$29,CQ4)/30/12,0),0,'(Z+) Rent Roll'!$C$24*'(Z+) Rent Roll'!$D$24),0)*CQ12,0)</f>
        <v>0</v>
      </c>
      <c r="CR13" s="411">
        <f>IFERROR(IF(CR4&gt;=Inputs!$E$29,-FV('(Z+) Rent Roll'!$G$24,ROUNDDOWN(DAYS360(Inputs!$E$29,CR4)/30/12,0),0,'(Z+) Rent Roll'!$C$24*'(Z+) Rent Roll'!$D$24),0)*CR12,0)</f>
        <v>0</v>
      </c>
      <c r="CS13" s="411">
        <f>IFERROR(IF(CS4&gt;=Inputs!$E$29,-FV('(Z+) Rent Roll'!$G$24,ROUNDDOWN(DAYS360(Inputs!$E$29,CS4)/30/12,0),0,'(Z+) Rent Roll'!$C$24*'(Z+) Rent Roll'!$D$24),0)*CS12,0)</f>
        <v>0</v>
      </c>
      <c r="CT13" s="411">
        <f>IFERROR(IF(CT4&gt;=Inputs!$E$29,-FV('(Z+) Rent Roll'!$G$24,ROUNDDOWN(DAYS360(Inputs!$E$29,CT4)/30/12,0),0,'(Z+) Rent Roll'!$C$24*'(Z+) Rent Roll'!$D$24),0)*CT12,0)</f>
        <v>0</v>
      </c>
      <c r="CU13" s="411">
        <f>IFERROR(IF(CU4&gt;=Inputs!$E$29,-FV('(Z+) Rent Roll'!$G$24,ROUNDDOWN(DAYS360(Inputs!$E$29,CU4)/30/12,0),0,'(Z+) Rent Roll'!$C$24*'(Z+) Rent Roll'!$D$24),0)*CU12,0)</f>
        <v>0</v>
      </c>
      <c r="CV13" s="411">
        <f>IFERROR(IF(CV4&gt;=Inputs!$E$29,-FV('(Z+) Rent Roll'!$G$24,ROUNDDOWN(DAYS360(Inputs!$E$29,CV4)/30/12,0),0,'(Z+) Rent Roll'!$C$24*'(Z+) Rent Roll'!$D$24),0)*CV12,0)</f>
        <v>0</v>
      </c>
      <c r="CW13" s="411">
        <f>IFERROR(IF(CW4&gt;=Inputs!$E$29,-FV('(Z+) Rent Roll'!$G$24,ROUNDDOWN(DAYS360(Inputs!$E$29,CW4)/30/12,0),0,'(Z+) Rent Roll'!$C$24*'(Z+) Rent Roll'!$D$24),0)*CW12,0)</f>
        <v>0</v>
      </c>
      <c r="CX13" s="411">
        <f>IFERROR(IF(CX4&gt;=Inputs!$E$29,-FV('(Z+) Rent Roll'!$G$24,ROUNDDOWN(DAYS360(Inputs!$E$29,CX4)/30/12,0),0,'(Z+) Rent Roll'!$C$24*'(Z+) Rent Roll'!$D$24),0)*CX12,0)</f>
        <v>0</v>
      </c>
      <c r="CY13" s="411">
        <f>IFERROR(IF(CY4&gt;=Inputs!$E$29,-FV('(Z+) Rent Roll'!$G$24,ROUNDDOWN(DAYS360(Inputs!$E$29,CY4)/30/12,0),0,'(Z+) Rent Roll'!$C$24*'(Z+) Rent Roll'!$D$24),0)*CY12,0)</f>
        <v>0</v>
      </c>
      <c r="CZ13" s="411">
        <f>IFERROR(IF(CZ4&gt;=Inputs!$E$29,-FV('(Z+) Rent Roll'!$G$24,ROUNDDOWN(DAYS360(Inputs!$E$29,CZ4)/30/12,0),0,'(Z+) Rent Roll'!$C$24*'(Z+) Rent Roll'!$D$24),0)*CZ12,0)</f>
        <v>0</v>
      </c>
      <c r="DA13" s="411">
        <f>IFERROR(IF(DA4&gt;=Inputs!$E$29,-FV('(Z+) Rent Roll'!$G$24,ROUNDDOWN(DAYS360(Inputs!$E$29,DA4)/30/12,0),0,'(Z+) Rent Roll'!$C$24*'(Z+) Rent Roll'!$D$24),0)*DA12,0)</f>
        <v>0</v>
      </c>
      <c r="DB13" s="411">
        <f>IFERROR(IF(DB4&gt;=Inputs!$E$29,-FV('(Z+) Rent Roll'!$G$24,ROUNDDOWN(DAYS360(Inputs!$E$29,DB4)/30/12,0),0,'(Z+) Rent Roll'!$C$24*'(Z+) Rent Roll'!$D$24),0)*DB12,0)</f>
        <v>0</v>
      </c>
      <c r="DC13" s="411">
        <f>IFERROR(IF(DC4&gt;=Inputs!$E$29,-FV('(Z+) Rent Roll'!$G$24,ROUNDDOWN(DAYS360(Inputs!$E$29,DC4)/30/12,0),0,'(Z+) Rent Roll'!$C$24*'(Z+) Rent Roll'!$D$24),0)*DC12,0)</f>
        <v>0</v>
      </c>
      <c r="DD13" s="411">
        <f>IFERROR(IF(DD4&gt;=Inputs!$E$29,-FV('(Z+) Rent Roll'!$G$24,ROUNDDOWN(DAYS360(Inputs!$E$29,DD4)/30/12,0),0,'(Z+) Rent Roll'!$C$24*'(Z+) Rent Roll'!$D$24),0)*DD12,0)</f>
        <v>0</v>
      </c>
      <c r="DE13" s="411">
        <f>IFERROR(IF(DE4&gt;=Inputs!$E$29,-FV('(Z+) Rent Roll'!$G$24,ROUNDDOWN(DAYS360(Inputs!$E$29,DE4)/30/12,0),0,'(Z+) Rent Roll'!$C$24*'(Z+) Rent Roll'!$D$24),0)*DE12,0)</f>
        <v>0</v>
      </c>
      <c r="DF13" s="411">
        <f>IFERROR(IF(DF4&gt;=Inputs!$E$29,-FV('(Z+) Rent Roll'!$G$24,ROUNDDOWN(DAYS360(Inputs!$E$29,DF4)/30/12,0),0,'(Z+) Rent Roll'!$C$24*'(Z+) Rent Roll'!$D$24),0)*DF12,0)</f>
        <v>0</v>
      </c>
      <c r="DG13" s="411">
        <f>IFERROR(IF(DG4&gt;=Inputs!$E$29,-FV('(Z+) Rent Roll'!$G$24,ROUNDDOWN(DAYS360(Inputs!$E$29,DG4)/30/12,0),0,'(Z+) Rent Roll'!$C$24*'(Z+) Rent Roll'!$D$24),0)*DG12,0)</f>
        <v>0</v>
      </c>
      <c r="DH13" s="411">
        <f>IFERROR(IF(DH4&gt;=Inputs!$E$29,-FV('(Z+) Rent Roll'!$G$24,ROUNDDOWN(DAYS360(Inputs!$E$29,DH4)/30/12,0),0,'(Z+) Rent Roll'!$C$24*'(Z+) Rent Roll'!$D$24),0)*DH12,0)</f>
        <v>0</v>
      </c>
      <c r="DI13" s="411">
        <f>IFERROR(IF(DI4&gt;=Inputs!$E$29,-FV('(Z+) Rent Roll'!$G$24,ROUNDDOWN(DAYS360(Inputs!$E$29,DI4)/30/12,0),0,'(Z+) Rent Roll'!$C$24*'(Z+) Rent Roll'!$D$24),0)*DI12,0)</f>
        <v>0</v>
      </c>
      <c r="DJ13" s="411">
        <f>IFERROR(IF(DJ4&gt;=Inputs!$E$29,-FV('(Z+) Rent Roll'!$G$24,ROUNDDOWN(DAYS360(Inputs!$E$29,DJ4)/30/12,0),0,'(Z+) Rent Roll'!$C$24*'(Z+) Rent Roll'!$D$24),0)*DJ12,0)</f>
        <v>0</v>
      </c>
      <c r="DK13" s="411">
        <f>IFERROR(IF(DK4&gt;=Inputs!$E$29,-FV('(Z+) Rent Roll'!$G$24,ROUNDDOWN(DAYS360(Inputs!$E$29,DK4)/30/12,0),0,'(Z+) Rent Roll'!$C$24*'(Z+) Rent Roll'!$D$24),0)*DK12,0)</f>
        <v>0</v>
      </c>
      <c r="DL13" s="411">
        <f>IFERROR(IF(DL4&gt;=Inputs!$E$29,-FV('(Z+) Rent Roll'!$G$24,ROUNDDOWN(DAYS360(Inputs!$E$29,DL4)/30/12,0),0,'(Z+) Rent Roll'!$C$24*'(Z+) Rent Roll'!$D$24),0)*DL12,0)</f>
        <v>0</v>
      </c>
      <c r="DM13" s="411">
        <f>IFERROR(IF(DM4&gt;=Inputs!$E$29,-FV('(Z+) Rent Roll'!$G$24,ROUNDDOWN(DAYS360(Inputs!$E$29,DM4)/30/12,0),0,'(Z+) Rent Roll'!$C$24*'(Z+) Rent Roll'!$D$24),0)*DM12,0)</f>
        <v>0</v>
      </c>
      <c r="DN13" s="411">
        <f>IFERROR(IF(DN4&gt;=Inputs!$E$29,-FV('(Z+) Rent Roll'!$G$24,ROUNDDOWN(DAYS360(Inputs!$E$29,DN4)/30/12,0),0,'(Z+) Rent Roll'!$C$24*'(Z+) Rent Roll'!$D$24),0)*DN12,0)</f>
        <v>0</v>
      </c>
      <c r="DO13" s="411">
        <f>IFERROR(IF(DO4&gt;=Inputs!$E$29,-FV('(Z+) Rent Roll'!$G$24,ROUNDDOWN(DAYS360(Inputs!$E$29,DO4)/30/12,0),0,'(Z+) Rent Roll'!$C$24*'(Z+) Rent Roll'!$D$24),0)*DO12,0)</f>
        <v>0</v>
      </c>
      <c r="DP13" s="411">
        <f>IFERROR(IF(DP4&gt;=Inputs!$E$29,-FV('(Z+) Rent Roll'!$G$24,ROUNDDOWN(DAYS360(Inputs!$E$29,DP4)/30/12,0),0,'(Z+) Rent Roll'!$C$24*'(Z+) Rent Roll'!$D$24),0)*DP12,0)</f>
        <v>0</v>
      </c>
      <c r="DQ13" s="411">
        <f>IFERROR(IF(DQ4&gt;=Inputs!$E$29,-FV('(Z+) Rent Roll'!$G$24,ROUNDDOWN(DAYS360(Inputs!$E$29,DQ4)/30/12,0),0,'(Z+) Rent Roll'!$C$24*'(Z+) Rent Roll'!$D$24),0)*DQ12,0)</f>
        <v>0</v>
      </c>
      <c r="DR13" s="411">
        <f>IFERROR(IF(DR4&gt;=Inputs!$E$29,-FV('(Z+) Rent Roll'!$G$24,ROUNDDOWN(DAYS360(Inputs!$E$29,DR4)/30/12,0),0,'(Z+) Rent Roll'!$C$24*'(Z+) Rent Roll'!$D$24),0)*DR12,0)</f>
        <v>0</v>
      </c>
      <c r="DS13" s="411">
        <f>IFERROR(IF(DS4&gt;=Inputs!$E$29,-FV('(Z+) Rent Roll'!$G$24,ROUNDDOWN(DAYS360(Inputs!$E$29,DS4)/30/12,0),0,'(Z+) Rent Roll'!$C$24*'(Z+) Rent Roll'!$D$24),0)*DS12,0)</f>
        <v>0</v>
      </c>
      <c r="DT13" s="411">
        <f>IFERROR(IF(DT4&gt;=Inputs!$E$29,-FV('(Z+) Rent Roll'!$G$24,ROUNDDOWN(DAYS360(Inputs!$E$29,DT4)/30/12,0),0,'(Z+) Rent Roll'!$C$24*'(Z+) Rent Roll'!$D$24),0)*DT12,0)</f>
        <v>0</v>
      </c>
      <c r="DU13" s="411">
        <f>IFERROR(IF(DU4&gt;=Inputs!$E$29,-FV('(Z+) Rent Roll'!$G$24,ROUNDDOWN(DAYS360(Inputs!$E$29,DU4)/30/12,0),0,'(Z+) Rent Roll'!$C$24*'(Z+) Rent Roll'!$D$24),0)*DU12,0)</f>
        <v>0</v>
      </c>
    </row>
    <row r="14" spans="1:125" x14ac:dyDescent="0.25">
      <c r="A14" s="399" t="s">
        <v>492</v>
      </c>
      <c r="D14" s="387"/>
      <c r="F14" s="409">
        <f>IFERROR(IF(F$4&gt;=Inputs!$E$29,'(Z+) Rent Roll'!$L$20*'(Z+) Monthly CF'!F$9*F$12,0),0)</f>
        <v>0</v>
      </c>
      <c r="G14" s="409">
        <f>IFERROR(IF(G$4&gt;=Inputs!$E$29,'(Z+) Rent Roll'!$L$20*'(Z+) Monthly CF'!G$9*G$12,0),0)</f>
        <v>0</v>
      </c>
      <c r="H14" s="409">
        <f>IFERROR(IF(H$4&gt;=Inputs!$E$29,'(Z+) Rent Roll'!$L$20*'(Z+) Monthly CF'!H$9*H$12,0),0)</f>
        <v>0</v>
      </c>
      <c r="I14" s="409">
        <f>IFERROR(IF(I$4&gt;=Inputs!$E$29,'(Z+) Rent Roll'!$L$20*'(Z+) Monthly CF'!I$9*I$12,0),0)</f>
        <v>0</v>
      </c>
      <c r="J14" s="410">
        <f>IFERROR(IF(J$4&gt;=Inputs!$E$29,'(Z+) Rent Roll'!$L$20*'(Z+) Monthly CF'!J$9*J$12,0),0)</f>
        <v>0</v>
      </c>
      <c r="K14" s="410">
        <f>IFERROR(IF(K$4&gt;=Inputs!$E$29,'(Z+) Rent Roll'!$L$20*'(Z+) Monthly CF'!K$9*K$12,0),0)</f>
        <v>0</v>
      </c>
      <c r="L14" s="410">
        <f>IFERROR(IF(L$4&gt;=Inputs!$E$29,'(Z+) Rent Roll'!$L$20*'(Z+) Monthly CF'!L$9*L$12,0),0)</f>
        <v>0</v>
      </c>
      <c r="M14" s="410">
        <f>IFERROR(IF(M$4&gt;=Inputs!$E$29,'(Z+) Rent Roll'!$L$20*'(Z+) Monthly CF'!M$9*M$12,0),0)</f>
        <v>0</v>
      </c>
      <c r="N14" s="410">
        <f>IFERROR(IF(N$4&gt;=Inputs!$E$29,'(Z+) Rent Roll'!$L$20*'(Z+) Monthly CF'!N$9*N$12,0),0)</f>
        <v>0</v>
      </c>
      <c r="O14" s="410">
        <f>IFERROR(IF(O$4&gt;=Inputs!$E$29,'(Z+) Rent Roll'!$L$20*'(Z+) Monthly CF'!O$9*O$12,0),0)</f>
        <v>0</v>
      </c>
      <c r="P14" s="410">
        <f>IFERROR(IF(P$4&gt;=Inputs!$E$29,'(Z+) Rent Roll'!$L$20*'(Z+) Monthly CF'!P$9*P$12,0),0)</f>
        <v>0</v>
      </c>
      <c r="Q14" s="410">
        <f>IFERROR(IF(Q$4&gt;=Inputs!$E$29,'(Z+) Rent Roll'!$L$20*'(Z+) Monthly CF'!Q$9*Q$12,0),0)</f>
        <v>0</v>
      </c>
      <c r="R14" s="410">
        <f>IFERROR(IF(R$4&gt;=Inputs!$E$29,'(Z+) Rent Roll'!$L$20*'(Z+) Monthly CF'!R$9*R$12,0),0)</f>
        <v>0</v>
      </c>
      <c r="S14" s="410">
        <f>IFERROR(IF(S$4&gt;=Inputs!$E$29,'(Z+) Rent Roll'!$L$20*'(Z+) Monthly CF'!S$9*S$12,0),0)</f>
        <v>0</v>
      </c>
      <c r="T14" s="410">
        <f>IFERROR(IF(T$4&gt;=Inputs!$E$29,'(Z+) Rent Roll'!$L$20*'(Z+) Monthly CF'!T$9*T$12,0),0)</f>
        <v>0</v>
      </c>
      <c r="U14" s="411">
        <f>IFERROR(IF(U$4&gt;=Inputs!$E$29,'(Z+) Rent Roll'!$L$20*'(Z+) Monthly CF'!U$9*U$12,0),0)</f>
        <v>0</v>
      </c>
      <c r="V14" s="411">
        <f>IFERROR(IF(V$4&gt;=Inputs!$E$29,'(Z+) Rent Roll'!$L$20*'(Z+) Monthly CF'!V$9*V$12,0),0)</f>
        <v>0</v>
      </c>
      <c r="W14" s="411">
        <f>IFERROR(IF(W$4&gt;=Inputs!$E$29,'(Z+) Rent Roll'!$L$20*'(Z+) Monthly CF'!W$9*W$12,0),0)</f>
        <v>0</v>
      </c>
      <c r="X14" s="411">
        <f>IFERROR(IF(X$4&gt;=Inputs!$E$29,'(Z+) Rent Roll'!$L$20*'(Z+) Monthly CF'!X$9*X$12,0),0)</f>
        <v>0</v>
      </c>
      <c r="Y14" s="411">
        <f>IFERROR(IF(Y$4&gt;=Inputs!$E$29,'(Z+) Rent Roll'!$L$20*'(Z+) Monthly CF'!Y$9*Y$12,0),0)</f>
        <v>0</v>
      </c>
      <c r="Z14" s="411">
        <f>IFERROR(IF(Z$4&gt;=Inputs!$E$29,'(Z+) Rent Roll'!$L$20*'(Z+) Monthly CF'!Z$9*Z$12,0),0)</f>
        <v>0</v>
      </c>
      <c r="AA14" s="411">
        <f>IFERROR(IF(AA$4&gt;=Inputs!$E$29,'(Z+) Rent Roll'!$L$20*'(Z+) Monthly CF'!AA$9*AA$12,0),0)</f>
        <v>59486.451903442437</v>
      </c>
      <c r="AB14" s="411">
        <f>IFERROR(IF(AB$4&gt;=Inputs!$E$29,'(Z+) Rent Roll'!$L$20*'(Z+) Monthly CF'!AB$9*AB$12,0),0)</f>
        <v>119217.96850927481</v>
      </c>
      <c r="AC14" s="411">
        <f>IFERROR(IF(AC$4&gt;=Inputs!$E$29,'(Z+) Rent Roll'!$L$20*'(Z+) Monthly CF'!AC$9*AC$12,0),0)</f>
        <v>179195.30700724077</v>
      </c>
      <c r="AD14" s="411">
        <f>IFERROR(IF(AD$4&gt;=Inputs!$E$29,'(Z+) Rent Roll'!$L$20*'(Z+) Monthly CF'!AD$9*AD$12,0),0)</f>
        <v>239419.22666666657</v>
      </c>
      <c r="AE14" s="411">
        <f>IFERROR(IF(AE$4&gt;=Inputs!$E$29,'(Z+) Rent Roll'!$L$20*'(Z+) Monthly CF'!AE$9*AE$12,0),0)</f>
        <v>299890.48884181533</v>
      </c>
      <c r="AF14" s="411">
        <f>IFERROR(IF(AF$4&gt;=Inputs!$E$29,'(Z+) Rent Roll'!$L$20*'(Z+) Monthly CF'!AF$9*AF$12,0),0)</f>
        <v>356603.08078861883</v>
      </c>
      <c r="AG14" s="411">
        <f>IFERROR(IF(AG$4&gt;=Inputs!$E$29,'(Z+) Rent Roll'!$L$20*'(Z+) Monthly CF'!AG$9*AG$12,0),0)</f>
        <v>421578.09661323944</v>
      </c>
      <c r="AH14" s="411">
        <f>IFERROR(IF(AH$4&gt;=Inputs!$E$29,'(Z+) Rent Roll'!$L$20*'(Z+) Monthly CF'!AH$9*AH$12,0),0)</f>
        <v>482795.97539110249</v>
      </c>
      <c r="AI14" s="411">
        <f>IFERROR(IF(AI$4&gt;=Inputs!$E$29,'(Z+) Rent Roll'!$L$20*'(Z+) Monthly CF'!AI$9*AI$12,0),0)</f>
        <v>544264.26305866567</v>
      </c>
      <c r="AJ14" s="411">
        <f>IFERROR(IF(AJ$4&gt;=Inputs!$E$29,'(Z+) Rent Roll'!$L$20*'(Z+) Monthly CF'!AJ$9*AJ$12,0),0)</f>
        <v>545385.35832809308</v>
      </c>
      <c r="AK14" s="411">
        <f>IFERROR(IF(AK$4&gt;=Inputs!$E$29,'(Z+) Rent Roll'!$L$20*'(Z+) Monthly CF'!AK$9*AK$12,0),0)</f>
        <v>546508.76287021849</v>
      </c>
      <c r="AL14" s="411">
        <f>IFERROR(IF(AL$4&gt;=Inputs!$E$29,'(Z+) Rent Roll'!$L$20*'(Z+) Monthly CF'!AL$9*AL$12,0),0)</f>
        <v>547634.48144176544</v>
      </c>
      <c r="AM14" s="411">
        <f>IFERROR(IF(AM$4&gt;=Inputs!$E$29,'(Z+) Rent Roll'!$L$20*'(Z+) Monthly CF'!AM$9*AM$12,0),0)</f>
        <v>548762.51880925579</v>
      </c>
      <c r="AN14" s="411">
        <f>IFERROR(IF(AN$4&gt;=Inputs!$E$29,'(Z+) Rent Roll'!$L$20*'(Z+) Monthly CF'!AN$9*AN$12,0),0)</f>
        <v>549892.87974902941</v>
      </c>
      <c r="AO14" s="411">
        <f>IFERROR(IF(AO$4&gt;=Inputs!$E$29,'(Z+) Rent Roll'!$L$20*'(Z+) Monthly CF'!AO$9*AO$12,0),0)</f>
        <v>551025.56904726464</v>
      </c>
      <c r="AP14" s="411">
        <f>IFERROR(IF(AP$4&gt;=Inputs!$E$29,'(Z+) Rent Roll'!$L$20*'(Z+) Monthly CF'!AP$9*AP$12,0),0)</f>
        <v>552160.59149999905</v>
      </c>
      <c r="AQ14" s="411">
        <f>IFERROR(IF(AQ$4&gt;=Inputs!$E$29,'(Z+) Rent Roll'!$L$20*'(Z+) Monthly CF'!AQ$9*AQ$12,0),0)</f>
        <v>553297.95191314851</v>
      </c>
      <c r="AR14" s="411">
        <f>IFERROR(IF(AR$4&gt;=Inputs!$E$29,'(Z+) Rent Roll'!$L$20*'(Z+) Monthly CF'!AR$9*AR$12,0),0)</f>
        <v>554437.65510252886</v>
      </c>
      <c r="AS14" s="411">
        <f>IFERROR(IF(AS$4&gt;=Inputs!$E$29,'(Z+) Rent Roll'!$L$20*'(Z+) Monthly CF'!AS$9*AS$12,0),0)</f>
        <v>555579.70589387568</v>
      </c>
      <c r="AT14" s="411">
        <f>IFERROR(IF(AT$4&gt;=Inputs!$E$29,'(Z+) Rent Roll'!$L$20*'(Z+) Monthly CF'!AT$9*AT$12,0),0)</f>
        <v>556724.10912286444</v>
      </c>
      <c r="AU14" s="411">
        <f>IFERROR(IF(AU$4&gt;=Inputs!$E$29,'(Z+) Rent Roll'!$L$20*'(Z+) Monthly CF'!AU$9*AU$12,0),0)</f>
        <v>557870.86963513156</v>
      </c>
      <c r="AV14" s="411">
        <f>IFERROR(IF(AV$4&gt;=Inputs!$E$29,'(Z+) Rent Roll'!$L$20*'(Z+) Monthly CF'!AV$9*AV$12,0),0)</f>
        <v>559019.9922862947</v>
      </c>
      <c r="AW14" s="411">
        <f>IFERROR(IF(AW$4&gt;=Inputs!$E$29,'(Z+) Rent Roll'!$L$20*'(Z+) Monthly CF'!AW$9*AW$12,0),0)</f>
        <v>560171.48194197332</v>
      </c>
      <c r="AX14" s="411">
        <f>IFERROR(IF(AX$4&gt;=Inputs!$E$29,'(Z+) Rent Roll'!$L$20*'(Z+) Monthly CF'!AX$9*AX$12,0),0)</f>
        <v>561325.34347780899</v>
      </c>
      <c r="AY14" s="411">
        <f>IFERROR(IF(AY$4&gt;=Inputs!$E$29,'(Z+) Rent Roll'!$L$20*'(Z+) Monthly CF'!AY$9*AY$12,0),0)</f>
        <v>562481.5817794865</v>
      </c>
      <c r="AZ14" s="411">
        <f>IFERROR(IF(AZ$4&gt;=Inputs!$E$29,'(Z+) Rent Roll'!$L$20*'(Z+) Monthly CF'!AZ$9*AZ$12,0),0)</f>
        <v>563640.20174275443</v>
      </c>
      <c r="BA14" s="411">
        <f>IFERROR(IF(BA$4&gt;=Inputs!$E$29,'(Z+) Rent Roll'!$L$20*'(Z+) Monthly CF'!BA$9*BA$12,0),0)</f>
        <v>564801.20827344561</v>
      </c>
      <c r="BB14" s="411">
        <f>IFERROR(IF(BB$4&gt;=Inputs!$E$29,'(Z+) Rent Roll'!$L$20*'(Z+) Monthly CF'!BB$9*BB$12,0),0)</f>
        <v>565964.60628749826</v>
      </c>
      <c r="BC14" s="411">
        <f>IFERROR(IF(BC$4&gt;=Inputs!$E$29,'(Z+) Rent Roll'!$L$20*'(Z+) Monthly CF'!BC$9*BC$12,0),0)</f>
        <v>567130.40071097657</v>
      </c>
      <c r="BD14" s="411">
        <f>IFERROR(IF(BD$4&gt;=Inputs!$E$29,'(Z+) Rent Roll'!$L$20*'(Z+) Monthly CF'!BD$9*BD$12,0),0)</f>
        <v>568298.59648009145</v>
      </c>
      <c r="BE14" s="411">
        <f>IFERROR(IF(BE$4&gt;=Inputs!$E$29,'(Z+) Rent Roll'!$L$20*'(Z+) Monthly CF'!BE$9*BE$12,0),0)</f>
        <v>569469.19854122191</v>
      </c>
      <c r="BF14" s="411">
        <f>IFERROR(IF(BF$4&gt;=Inputs!$E$29,'(Z+) Rent Roll'!$L$20*'(Z+) Monthly CF'!BF$9*BF$12,0),0)</f>
        <v>570642.21185093548</v>
      </c>
      <c r="BG14" s="411">
        <f>IFERROR(IF(BG$4&gt;=Inputs!$E$29,'(Z+) Rent Roll'!$L$20*'(Z+) Monthly CF'!BG$9*BG$12,0),0)</f>
        <v>571817.64137600933</v>
      </c>
      <c r="BH14" s="411">
        <f>IFERROR(IF(BH$4&gt;=Inputs!$E$29,'(Z+) Rent Roll'!$L$20*'(Z+) Monthly CF'!BH$9*BH$12,0),0)</f>
        <v>572995.49209345155</v>
      </c>
      <c r="BI14" s="411">
        <f>IFERROR(IF(BI$4&gt;=Inputs!$E$29,'(Z+) Rent Roll'!$L$20*'(Z+) Monthly CF'!BI$9*BI$12,0),0)</f>
        <v>574175.76899052202</v>
      </c>
      <c r="BJ14" s="411">
        <f>IFERROR(IF(BJ$4&gt;=Inputs!$E$29,'(Z+) Rent Roll'!$L$20*'(Z+) Monthly CF'!BJ$9*BJ$12,0),0)</f>
        <v>575358.47706475353</v>
      </c>
      <c r="BK14" s="411">
        <f>IFERROR(IF(BK$4&gt;=Inputs!$E$29,'(Z+) Rent Roll'!$L$20*'(Z+) Monthly CF'!BK$9*BK$12,0),0)</f>
        <v>576543.62132397306</v>
      </c>
      <c r="BL14" s="411">
        <f>IFERROR(IF(BL$4&gt;=Inputs!$E$29,'(Z+) Rent Roll'!$L$20*'(Z+) Monthly CF'!BL$9*BL$12,0),0)</f>
        <v>577731.20678632264</v>
      </c>
      <c r="BM14" s="411">
        <f>IFERROR(IF(BM$4&gt;=Inputs!$E$29,'(Z+) Rent Roll'!$L$20*'(Z+) Monthly CF'!BM$9*BM$12,0),0)</f>
        <v>578921.2384802812</v>
      </c>
      <c r="BN14" s="411">
        <f>IFERROR(IF(BN$4&gt;=Inputs!$E$29,'(Z+) Rent Roll'!$L$20*'(Z+) Monthly CF'!BN$9*BN$12,0),0)</f>
        <v>580113.72144468513</v>
      </c>
      <c r="BO14" s="411">
        <f>IFERROR(IF(BO$4&gt;=Inputs!$E$29,'(Z+) Rent Roll'!$L$20*'(Z+) Monthly CF'!BO$9*BO$12,0),0)</f>
        <v>581308.6607287504</v>
      </c>
      <c r="BP14" s="411">
        <f>IFERROR(IF(BP$4&gt;=Inputs!$E$29,'(Z+) Rent Roll'!$L$20*'(Z+) Monthly CF'!BP$9*BP$12,0),0)</f>
        <v>582506.06139209319</v>
      </c>
      <c r="BQ14" s="411">
        <f>IFERROR(IF(BQ$4&gt;=Inputs!$E$29,'(Z+) Rent Roll'!$L$20*'(Z+) Monthly CF'!BQ$9*BQ$12,0),0)</f>
        <v>583705.92850475188</v>
      </c>
      <c r="BR14" s="411">
        <f>IFERROR(IF(BR$4&gt;=Inputs!$E$29,'(Z+) Rent Roll'!$L$20*'(Z+) Monthly CF'!BR$9*BR$12,0),0)</f>
        <v>584908.26714720821</v>
      </c>
      <c r="BS14" s="411">
        <f>IFERROR(IF(BS$4&gt;=Inputs!$E$29,'(Z+) Rent Roll'!$L$20*'(Z+) Monthly CF'!BS$9*BS$12,0),0)</f>
        <v>586113.08241040888</v>
      </c>
      <c r="BT14" s="411">
        <f>IFERROR(IF(BT$4&gt;=Inputs!$E$29,'(Z+) Rent Roll'!$L$20*'(Z+) Monthly CF'!BT$9*BT$12,0),0)</f>
        <v>587320.37939578714</v>
      </c>
      <c r="BU14" s="411">
        <f>IFERROR(IF(BU$4&gt;=Inputs!$E$29,'(Z+) Rent Roll'!$L$20*'(Z+) Monthly CF'!BU$9*BU$12,0),0)</f>
        <v>588530.16321528447</v>
      </c>
      <c r="BV14" s="411">
        <f>IFERROR(IF(BV$4&gt;=Inputs!$E$29,'(Z+) Rent Roll'!$L$20*'(Z+) Monthly CF'!BV$9*BV$12,0),0)</f>
        <v>589742.43899137166</v>
      </c>
      <c r="BW14" s="411">
        <f>IFERROR(IF(BW$4&gt;=Inputs!$E$29,'(Z+) Rent Roll'!$L$20*'(Z+) Monthly CF'!BW$9*BW$12,0),0)</f>
        <v>590957.21185707161</v>
      </c>
      <c r="BX14" s="411">
        <f>IFERROR(IF(BX$4&gt;=Inputs!$E$29,'(Z+) Rent Roll'!$L$20*'(Z+) Monthly CF'!BX$9*BX$12,0),0)</f>
        <v>592174.48695597996</v>
      </c>
      <c r="BY14" s="411">
        <f>IFERROR(IF(BY$4&gt;=Inputs!$E$29,'(Z+) Rent Roll'!$L$20*'(Z+) Monthly CF'!BY$9*BY$12,0),0)</f>
        <v>593394.26944228739</v>
      </c>
      <c r="BZ14" s="411">
        <f>IFERROR(IF(BZ$4&gt;=Inputs!$E$29,'(Z+) Rent Roll'!$L$20*'(Z+) Monthly CF'!BZ$9*BZ$12,0),0)</f>
        <v>594616.56448080135</v>
      </c>
      <c r="CA14" s="411">
        <f>IFERROR(IF(CA$4&gt;=Inputs!$E$29,'(Z+) Rent Roll'!$L$20*'(Z+) Monthly CF'!CA$9*CA$12,0),0)</f>
        <v>595841.37724696822</v>
      </c>
      <c r="CB14" s="411">
        <f>IFERROR(IF(CB$4&gt;=Inputs!$E$29,'(Z+) Rent Roll'!$L$20*'(Z+) Monthly CF'!CB$9*CB$12,0),0)</f>
        <v>597068.71292689454</v>
      </c>
      <c r="CC14" s="411">
        <f>IFERROR(IF(CC$4&gt;=Inputs!$E$29,'(Z+) Rent Roll'!$L$20*'(Z+) Monthly CF'!CC$9*CC$12,0),0)</f>
        <v>598298.57671736972</v>
      </c>
      <c r="CD14" s="411">
        <f>IFERROR(IF(CD$4&gt;=Inputs!$E$29,'(Z+) Rent Roll'!$L$20*'(Z+) Monthly CF'!CD$9*CD$12,0),0)</f>
        <v>599530.97382588743</v>
      </c>
      <c r="CE14" s="411">
        <f>IFERROR(IF(CE$4&gt;=Inputs!$E$29,'(Z+) Rent Roll'!$L$20*'(Z+) Monthly CF'!CE$9*CE$12,0),0)</f>
        <v>600765.90947066806</v>
      </c>
      <c r="CF14" s="411">
        <f>IFERROR(IF(CF$4&gt;=Inputs!$E$29,'(Z+) Rent Roll'!$L$20*'(Z+) Monthly CF'!CF$9*CF$12,0),0)</f>
        <v>602003.38888068078</v>
      </c>
      <c r="CG14" s="411">
        <f>IFERROR(IF(CG$4&gt;=Inputs!$E$29,'(Z+) Rent Roll'!$L$20*'(Z+) Monthly CF'!CG$9*CG$12,0),0)</f>
        <v>603243.41729566548</v>
      </c>
      <c r="CH14" s="411">
        <f>IFERROR(IF(CH$4&gt;=Inputs!$E$29,'(Z+) Rent Roll'!$L$20*'(Z+) Monthly CF'!CH$9*CH$12,0),0)</f>
        <v>604485.99996615492</v>
      </c>
      <c r="CI14" s="411">
        <f>IFERROR(IF(CI$4&gt;=Inputs!$E$29,'(Z+) Rent Roll'!$L$20*'(Z+) Monthly CF'!CI$9*CI$12,0),0)</f>
        <v>605731.14215349744</v>
      </c>
      <c r="CJ14" s="411">
        <f>IFERROR(IF(CJ$4&gt;=Inputs!$E$29,'(Z+) Rent Roll'!$L$20*'(Z+) Monthly CF'!CJ$9*CJ$12,0),0)</f>
        <v>606978.84912987845</v>
      </c>
      <c r="CK14" s="411">
        <f>IFERROR(IF(CK$4&gt;=Inputs!$E$29,'(Z+) Rent Roll'!$L$20*'(Z+) Monthly CF'!CK$9*CK$12,0),0)</f>
        <v>608229.12617834355</v>
      </c>
      <c r="CL14" s="411">
        <f>IFERROR(IF(CL$4&gt;=Inputs!$E$29,'(Z+) Rent Roll'!$L$20*'(Z+) Monthly CF'!CL$9*CL$12,0),0)</f>
        <v>609481.97859282047</v>
      </c>
      <c r="CM14" s="411">
        <f>IFERROR(IF(CM$4&gt;=Inputs!$E$29,'(Z+) Rent Roll'!$L$20*'(Z+) Monthly CF'!CM$9*CM$12,0),0)</f>
        <v>610737.41167814145</v>
      </c>
      <c r="CN14" s="411">
        <f>IFERROR(IF(CN$4&gt;=Inputs!$E$29,'(Z+) Rent Roll'!$L$20*'(Z+) Monthly CF'!CN$9*CN$12,0),0)</f>
        <v>611995.43075006595</v>
      </c>
      <c r="CO14" s="411">
        <f>IFERROR(IF(CO$4&gt;=Inputs!$E$29,'(Z+) Rent Roll'!$L$20*'(Z+) Monthly CF'!CO$9*CO$12,0),0)</f>
        <v>613256.04113530298</v>
      </c>
      <c r="CP14" s="411">
        <f>IFERROR(IF(CP$4&gt;=Inputs!$E$29,'(Z+) Rent Roll'!$L$20*'(Z+) Monthly CF'!CP$9*CP$12,0),0)</f>
        <v>614519.24817153369</v>
      </c>
      <c r="CQ14" s="411">
        <f>IFERROR(IF(CQ$4&gt;=Inputs!$E$29,'(Z+) Rent Roll'!$L$20*'(Z+) Monthly CF'!CQ$9*CQ$12,0),0)</f>
        <v>615785.05720743386</v>
      </c>
      <c r="CR14" s="411">
        <f>IFERROR(IF(CR$4&gt;=Inputs!$E$29,'(Z+) Rent Roll'!$L$20*'(Z+) Monthly CF'!CR$9*CR$12,0),0)</f>
        <v>617053.47360269702</v>
      </c>
      <c r="CS14" s="411">
        <f>IFERROR(IF(CS$4&gt;=Inputs!$E$29,'(Z+) Rent Roll'!$L$20*'(Z+) Monthly CF'!CS$9*CS$12,0),0)</f>
        <v>618324.50272805628</v>
      </c>
      <c r="CT14" s="411">
        <f>IFERROR(IF(CT$4&gt;=Inputs!$E$29,'(Z+) Rent Roll'!$L$20*'(Z+) Monthly CF'!CT$9*CT$12,0),0)</f>
        <v>619598.14996530802</v>
      </c>
      <c r="CU14" s="411">
        <f>IFERROR(IF(CU$4&gt;=Inputs!$E$29,'(Z+) Rent Roll'!$L$20*'(Z+) Monthly CF'!CU$9*CU$12,0),0)</f>
        <v>620874.42070733407</v>
      </c>
      <c r="CV14" s="411">
        <f>IFERROR(IF(CV$4&gt;=Inputs!$E$29,'(Z+) Rent Roll'!$L$20*'(Z+) Monthly CF'!CV$9*CV$12,0),0)</f>
        <v>622153.32035812456</v>
      </c>
      <c r="CW14" s="411">
        <f>IFERROR(IF(CW$4&gt;=Inputs!$E$29,'(Z+) Rent Roll'!$L$20*'(Z+) Monthly CF'!CW$9*CW$12,0),0)</f>
        <v>623434.8543328013</v>
      </c>
      <c r="CX14" s="411">
        <f>IFERROR(IF(CX$4&gt;=Inputs!$E$29,'(Z+) Rent Roll'!$L$20*'(Z+) Monthly CF'!CX$9*CX$12,0),0)</f>
        <v>624719.02805764019</v>
      </c>
      <c r="CY14" s="411">
        <f>IFERROR(IF(CY$4&gt;=Inputs!$E$29,'(Z+) Rent Roll'!$L$20*'(Z+) Monthly CF'!CY$9*CY$12,0),0)</f>
        <v>626005.84697009414</v>
      </c>
      <c r="CZ14" s="411">
        <f>IFERROR(IF(CZ$4&gt;=Inputs!$E$29,'(Z+) Rent Roll'!$L$20*'(Z+) Monthly CF'!CZ$9*CZ$12,0),0)</f>
        <v>627295.31651881675</v>
      </c>
      <c r="DA14" s="411">
        <f>IFERROR(IF(DA$4&gt;=Inputs!$E$29,'(Z+) Rent Roll'!$L$20*'(Z+) Monthly CF'!DA$9*DA$12,0),0)</f>
        <v>628587.44216368475</v>
      </c>
      <c r="DB14" s="411">
        <f>IFERROR(IF(DB$4&gt;=Inputs!$E$29,'(Z+) Rent Roll'!$L$20*'(Z+) Monthly CF'!DB$9*DB$12,0),0)</f>
        <v>629882.22937582119</v>
      </c>
      <c r="DC14" s="411">
        <f>IFERROR(IF(DC$4&gt;=Inputs!$E$29,'(Z+) Rent Roll'!$L$20*'(Z+) Monthly CF'!DC$9*DC$12,0),0)</f>
        <v>631179.6836376189</v>
      </c>
      <c r="DD14" s="411">
        <f>IFERROR(IF(DD$4&gt;=Inputs!$E$29,'(Z+) Rent Roll'!$L$20*'(Z+) Monthly CF'!DD$9*DD$12,0),0)</f>
        <v>632479.81044276361</v>
      </c>
      <c r="DE14" s="411">
        <f>IFERROR(IF(DE$4&gt;=Inputs!$E$29,'(Z+) Rent Roll'!$L$20*'(Z+) Monthly CF'!DE$9*DE$12,0),0)</f>
        <v>633782.61529625684</v>
      </c>
      <c r="DF14" s="411">
        <f>IFERROR(IF(DF$4&gt;=Inputs!$E$29,'(Z+) Rent Roll'!$L$20*'(Z+) Monthly CF'!DF$9*DF$12,0),0)</f>
        <v>635088.1037144399</v>
      </c>
      <c r="DG14" s="411">
        <f>IFERROR(IF(DG$4&gt;=Inputs!$E$29,'(Z+) Rent Roll'!$L$20*'(Z+) Monthly CF'!DG$9*DG$12,0),0)</f>
        <v>636396.28122501646</v>
      </c>
      <c r="DH14" s="411">
        <f>IFERROR(IF(DH$4&gt;=Inputs!$E$29,'(Z+) Rent Roll'!$L$20*'(Z+) Monthly CF'!DH$9*DH$12,0),0)</f>
        <v>637707.15336707677</v>
      </c>
      <c r="DI14" s="411">
        <f>IFERROR(IF(DI$4&gt;=Inputs!$E$29,'(Z+) Rent Roll'!$L$20*'(Z+) Monthly CF'!DI$9*DI$12,0),0)</f>
        <v>639020.72569112049</v>
      </c>
      <c r="DJ14" s="411">
        <f>IFERROR(IF(DJ$4&gt;=Inputs!$E$29,'(Z+) Rent Roll'!$L$20*'(Z+) Monthly CF'!DJ$9*DJ$12,0),0)</f>
        <v>640337.00375908031</v>
      </c>
      <c r="DK14" s="411">
        <f>IFERROR(IF(DK$4&gt;=Inputs!$E$29,'(Z+) Rent Roll'!$L$20*'(Z+) Monthly CF'!DK$9*DK$12,0),0)</f>
        <v>641655.99314434559</v>
      </c>
      <c r="DL14" s="411">
        <f>IFERROR(IF(DL$4&gt;=Inputs!$E$29,'(Z+) Rent Roll'!$L$20*'(Z+) Monthly CF'!DL$9*DL$12,0),0)</f>
        <v>642977.69943178631</v>
      </c>
      <c r="DM14" s="411">
        <f>IFERROR(IF(DM$4&gt;=Inputs!$E$29,'(Z+) Rent Roll'!$L$20*'(Z+) Monthly CF'!DM$9*DM$12,0),0)</f>
        <v>644302.12821777584</v>
      </c>
      <c r="DN14" s="411">
        <f>IFERROR(IF(DN$4&gt;=Inputs!$E$29,'(Z+) Rent Roll'!$L$20*'(Z+) Monthly CF'!DN$9*DN$12,0),0)</f>
        <v>645629.28511021577</v>
      </c>
      <c r="DO14" s="411">
        <f>IFERROR(IF(DO$4&gt;=Inputs!$E$29,'(Z+) Rent Roll'!$L$20*'(Z+) Monthly CF'!DO$9*DO$12,0),0)</f>
        <v>646959.17572855833</v>
      </c>
      <c r="DP14" s="411">
        <f>IFERROR(IF(DP$4&gt;=Inputs!$E$29,'(Z+) Rent Roll'!$L$20*'(Z+) Monthly CF'!DP$9*DP$12,0),0)</f>
        <v>648291.8057038316</v>
      </c>
      <c r="DQ14" s="411">
        <f>IFERROR(IF(DQ$4&gt;=Inputs!$E$29,'(Z+) Rent Roll'!$L$20*'(Z+) Monthly CF'!DQ$9*DQ$12,0),0)</f>
        <v>649627.18067866226</v>
      </c>
      <c r="DR14" s="411">
        <f>IFERROR(IF(DR$4&gt;=Inputs!$E$29,'(Z+) Rent Roll'!$L$20*'(Z+) Monthly CF'!DR$9*DR$12,0),0)</f>
        <v>650965.30630729988</v>
      </c>
      <c r="DS14" s="411">
        <f>IFERROR(IF(DS$4&gt;=Inputs!$E$29,'(Z+) Rent Roll'!$L$20*'(Z+) Monthly CF'!DS$9*DS$12,0),0)</f>
        <v>652306.18825564103</v>
      </c>
      <c r="DT14" s="411">
        <f>IFERROR(IF(DT$4&gt;=Inputs!$E$29,'(Z+) Rent Roll'!$L$20*'(Z+) Monthly CF'!DT$9*DT$12,0),0)</f>
        <v>653649.83220125281</v>
      </c>
      <c r="DU14" s="411">
        <f>IFERROR(IF(DU$4&gt;=Inputs!$E$29,'(Z+) Rent Roll'!$L$20*'(Z+) Monthly CF'!DU$9*DU$12,0),0)</f>
        <v>654996.24383339752</v>
      </c>
    </row>
    <row r="15" spans="1:125" x14ac:dyDescent="0.25">
      <c r="A15" s="393" t="s">
        <v>168</v>
      </c>
      <c r="B15" s="394"/>
      <c r="C15" s="394"/>
      <c r="D15" s="395"/>
      <c r="E15" s="394"/>
      <c r="F15" s="415">
        <f>IFERROR(IF(F4&gt;=Inputs!$E$29,'(Z+) Rent Roll'!$H$36*F9*F12,0),0)</f>
        <v>0</v>
      </c>
      <c r="G15" s="415">
        <f>IFERROR(IF(G4&gt;=Inputs!$E$29,'(Z+) Rent Roll'!$H$36*G9*G12,0),0)</f>
        <v>0</v>
      </c>
      <c r="H15" s="415">
        <f>IFERROR(IF(H4&gt;=Inputs!$E$29,'(Z+) Rent Roll'!$H$36*H9*H12,0),0)</f>
        <v>0</v>
      </c>
      <c r="I15" s="415">
        <f>IFERROR(IF(I4&gt;=Inputs!$E$29,'(Z+) Rent Roll'!$H$36*I9*I12,0),0)</f>
        <v>0</v>
      </c>
      <c r="J15" s="416">
        <f>IFERROR(IF(J4&gt;=Inputs!$E$29,'(Z+) Rent Roll'!$H$36*J9*J12,0),0)</f>
        <v>0</v>
      </c>
      <c r="K15" s="416">
        <f>IFERROR(IF(K4&gt;=Inputs!$E$29,'(Z+) Rent Roll'!$H$36*K9*K12,0),0)</f>
        <v>0</v>
      </c>
      <c r="L15" s="416">
        <f>IFERROR(IF(L4&gt;=Inputs!$E$29,'(Z+) Rent Roll'!$H$36*L9*L12,0),0)</f>
        <v>0</v>
      </c>
      <c r="M15" s="416">
        <f>IFERROR(IF(M4&gt;=Inputs!$E$29,'(Z+) Rent Roll'!$H$36*M9*M12,0),0)</f>
        <v>0</v>
      </c>
      <c r="N15" s="416">
        <f>IFERROR(IF(N4&gt;=Inputs!$E$29,'(Z+) Rent Roll'!$H$36*N9*N12,0),0)</f>
        <v>0</v>
      </c>
      <c r="O15" s="416">
        <f>IFERROR(IF(O4&gt;=Inputs!$E$29,'(Z+) Rent Roll'!$H$36*O9*O12,0),0)</f>
        <v>0</v>
      </c>
      <c r="P15" s="416">
        <f>IFERROR(IF(P4&gt;=Inputs!$E$29,'(Z+) Rent Roll'!$H$36*P9*P12,0),0)</f>
        <v>0</v>
      </c>
      <c r="Q15" s="416">
        <f>IFERROR(IF(Q4&gt;=Inputs!$E$29,'(Z+) Rent Roll'!$H$36*Q9*Q12,0),0)</f>
        <v>0</v>
      </c>
      <c r="R15" s="416">
        <f>IFERROR(IF(R4&gt;=Inputs!$E$29,'(Z+) Rent Roll'!$H$36*R9*R12,0),0)</f>
        <v>0</v>
      </c>
      <c r="S15" s="416">
        <f>IFERROR(IF(S4&gt;=Inputs!$E$29,'(Z+) Rent Roll'!$H$36*S9*S12,0),0)</f>
        <v>0</v>
      </c>
      <c r="T15" s="416">
        <f>IFERROR(IF(T4&gt;=Inputs!$E$29,'(Z+) Rent Roll'!$H$36*T9*T12,0),0)</f>
        <v>0</v>
      </c>
      <c r="U15" s="417">
        <f>IFERROR(IF(U4&gt;=Inputs!$E$29,'(Z+) Rent Roll'!$H$36*U9*U12,0),0)</f>
        <v>0</v>
      </c>
      <c r="V15" s="417">
        <f>IFERROR(IF(V4&gt;=Inputs!$E$29,'(Z+) Rent Roll'!$H$36*V9*V12,0),0)</f>
        <v>0</v>
      </c>
      <c r="W15" s="417">
        <f>IFERROR(IF(W4&gt;=Inputs!$E$29,'(Z+) Rent Roll'!$H$36*W9*W12,0),0)</f>
        <v>0</v>
      </c>
      <c r="X15" s="417">
        <f>IFERROR(IF(X4&gt;=Inputs!$E$29,'(Z+) Rent Roll'!$H$36*X9*X12,0),0)</f>
        <v>0</v>
      </c>
      <c r="Y15" s="417">
        <f>IFERROR(IF(Y4&gt;=Inputs!$E$29,'(Z+) Rent Roll'!$H$36*Y9*Y12,0),0)</f>
        <v>0</v>
      </c>
      <c r="Z15" s="417">
        <f>IFERROR(IF(Z4&gt;=Inputs!$E$29,'(Z+) Rent Roll'!$H$36*Z9*Z12,0),0)</f>
        <v>0</v>
      </c>
      <c r="AA15" s="417">
        <f>IFERROR(IF(AA4&gt;=Inputs!$E$29,'(Z+) Rent Roll'!$H$36*AA9*AA12,0),0)</f>
        <v>1625.9240367465809</v>
      </c>
      <c r="AB15" s="417">
        <f>IFERROR(IF(AB4&gt;=Inputs!$E$29,'(Z+) Rent Roll'!$H$36*AB9*AB12,0),0)</f>
        <v>3258.5463480989615</v>
      </c>
      <c r="AC15" s="417">
        <f>IFERROR(IF(AC4&gt;=Inputs!$E$29,'(Z+) Rent Roll'!$H$36*AC9*AC12,0),0)</f>
        <v>4897.8876300806096</v>
      </c>
      <c r="AD15" s="417">
        <f>IFERROR(IF(AD4&gt;=Inputs!$E$29,'(Z+) Rent Roll'!$H$36*AD9*AD12,0),0)</f>
        <v>6543.9686355555514</v>
      </c>
      <c r="AE15" s="417">
        <f>IFERROR(IF(AE4&gt;=Inputs!$E$29,'(Z+) Rent Roll'!$H$36*AE9*AE12,0),0)</f>
        <v>8196.8101743747266</v>
      </c>
      <c r="AF15" s="417">
        <f>IFERROR(IF(AF4&gt;=Inputs!$E$29,'(Z+) Rent Roll'!$H$36*AF9*AF12,0),0)</f>
        <v>9746.9171900391175</v>
      </c>
      <c r="AG15" s="417">
        <f>IFERROR(IF(AG4&gt;=Inputs!$E$29,'(Z+) Rent Roll'!$H$36*AG9*AG12,0),0)</f>
        <v>11522.858377264751</v>
      </c>
      <c r="AH15" s="417">
        <f>IFERROR(IF(AH4&gt;=Inputs!$E$29,'(Z+) Rent Roll'!$H$36*AH9*AH12,0),0)</f>
        <v>13196.106947294291</v>
      </c>
      <c r="AI15" s="417">
        <f>IFERROR(IF(AI4&gt;=Inputs!$E$29,'(Z+) Rent Roll'!$H$36*AI9*AI12,0),0)</f>
        <v>14876.199862880683</v>
      </c>
      <c r="AJ15" s="417">
        <f>IFERROR(IF(AJ4&gt;=Inputs!$E$29,'(Z+) Rent Roll'!$H$36*AJ9*AJ12,0),0)</f>
        <v>14906.842398915674</v>
      </c>
      <c r="AK15" s="417">
        <f>IFERROR(IF(AK4&gt;=Inputs!$E$29,'(Z+) Rent Roll'!$H$36*AK9*AK12,0),0)</f>
        <v>14937.54805355779</v>
      </c>
      <c r="AL15" s="417">
        <f>IFERROR(IF(AL4&gt;=Inputs!$E$29,'(Z+) Rent Roll'!$H$36*AL9*AL12,0),0)</f>
        <v>14968.316956821027</v>
      </c>
      <c r="AM15" s="417">
        <f>IFERROR(IF(AM4&gt;=Inputs!$E$29,'(Z+) Rent Roll'!$H$36*AM9*AM12,0),0)</f>
        <v>14999.149238987191</v>
      </c>
      <c r="AN15" s="417">
        <f>IFERROR(IF(AN4&gt;=Inputs!$E$29,'(Z+) Rent Roll'!$H$36*AN9*AN12,0),0)</f>
        <v>15030.045030606441</v>
      </c>
      <c r="AO15" s="417">
        <f>IFERROR(IF(AO4&gt;=Inputs!$E$29,'(Z+) Rent Roll'!$H$36*AO9*AO12,0),0)</f>
        <v>15061.004462497855</v>
      </c>
      <c r="AP15" s="417">
        <f>IFERROR(IF(AP4&gt;=Inputs!$E$29,'(Z+) Rent Roll'!$H$36*AP9*AP12,0),0)</f>
        <v>15092.027665749973</v>
      </c>
      <c r="AQ15" s="417">
        <f>IFERROR(IF(AQ4&gt;=Inputs!$E$29,'(Z+) Rent Roll'!$H$36*AQ9*AQ12,0),0)</f>
        <v>15123.114771721353</v>
      </c>
      <c r="AR15" s="417">
        <f>IFERROR(IF(AR4&gt;=Inputs!$E$29,'(Z+) Rent Roll'!$H$36*AR9*AR12,0),0)</f>
        <v>15154.265912041139</v>
      </c>
      <c r="AS15" s="417">
        <f>IFERROR(IF(AS4&gt;=Inputs!$E$29,'(Z+) Rent Roll'!$H$36*AS9*AS12,0),0)</f>
        <v>15185.481218609602</v>
      </c>
      <c r="AT15" s="417">
        <f>IFERROR(IF(AT4&gt;=Inputs!$E$29,'(Z+) Rent Roll'!$H$36*AT9*AT12,0),0)</f>
        <v>15216.76082359871</v>
      </c>
      <c r="AU15" s="417">
        <f>IFERROR(IF(AU4&gt;=Inputs!$E$29,'(Z+) Rent Roll'!$H$36*AU9*AU12,0),0)</f>
        <v>15248.10485945268</v>
      </c>
      <c r="AV15" s="417">
        <f>IFERROR(IF(AV4&gt;=Inputs!$E$29,'(Z+) Rent Roll'!$H$36*AV9*AV12,0),0)</f>
        <v>15279.513458888547</v>
      </c>
      <c r="AW15" s="417">
        <f>IFERROR(IF(AW4&gt;=Inputs!$E$29,'(Z+) Rent Roll'!$H$36*AW9*AW12,0),0)</f>
        <v>15310.986754896716</v>
      </c>
      <c r="AX15" s="417">
        <f>IFERROR(IF(AX4&gt;=Inputs!$E$29,'(Z+) Rent Roll'!$H$36*AX9*AX12,0),0)</f>
        <v>15342.524880741536</v>
      </c>
      <c r="AY15" s="417">
        <f>IFERROR(IF(AY4&gt;=Inputs!$E$29,'(Z+) Rent Roll'!$H$36*AY9*AY12,0),0)</f>
        <v>15374.127969961852</v>
      </c>
      <c r="AZ15" s="417">
        <f>IFERROR(IF(AZ4&gt;=Inputs!$E$29,'(Z+) Rent Roll'!$H$36*AZ9*AZ12,0),0)</f>
        <v>15405.796156371585</v>
      </c>
      <c r="BA15" s="417">
        <f>IFERROR(IF(BA4&gt;=Inputs!$E$29,'(Z+) Rent Roll'!$H$36*BA9*BA12,0),0)</f>
        <v>15437.529574060283</v>
      </c>
      <c r="BB15" s="417">
        <f>IFERROR(IF(BB4&gt;=Inputs!$E$29,'(Z+) Rent Roll'!$H$36*BB9*BB12,0),0)</f>
        <v>15469.328357393702</v>
      </c>
      <c r="BC15" s="417">
        <f>IFERROR(IF(BC4&gt;=Inputs!$E$29,'(Z+) Rent Roll'!$H$36*BC9*BC12,0),0)</f>
        <v>15501.192641014368</v>
      </c>
      <c r="BD15" s="417">
        <f>IFERROR(IF(BD4&gt;=Inputs!$E$29,'(Z+) Rent Roll'!$H$36*BD9*BD12,0),0)</f>
        <v>15533.12255984215</v>
      </c>
      <c r="BE15" s="417">
        <f>IFERROR(IF(BE4&gt;=Inputs!$E$29,'(Z+) Rent Roll'!$H$36*BE9*BE12,0),0)</f>
        <v>15565.118249074825</v>
      </c>
      <c r="BF15" s="417">
        <f>IFERROR(IF(BF4&gt;=Inputs!$E$29,'(Z+) Rent Roll'!$H$36*BF9*BF12,0),0)</f>
        <v>15597.179844188662</v>
      </c>
      <c r="BG15" s="417">
        <f>IFERROR(IF(BG4&gt;=Inputs!$E$29,'(Z+) Rent Roll'!$H$36*BG9*BG12,0),0)</f>
        <v>15629.307480938982</v>
      </c>
      <c r="BH15" s="417">
        <f>IFERROR(IF(BH4&gt;=Inputs!$E$29,'(Z+) Rent Roll'!$H$36*BH9*BH12,0),0)</f>
        <v>15661.501295360744</v>
      </c>
      <c r="BI15" s="417">
        <f>IFERROR(IF(BI4&gt;=Inputs!$E$29,'(Z+) Rent Roll'!$H$36*BI9*BI12,0),0)</f>
        <v>15693.761423769118</v>
      </c>
      <c r="BJ15" s="417">
        <f>IFERROR(IF(BJ4&gt;=Inputs!$E$29,'(Z+) Rent Roll'!$H$36*BJ9*BJ12,0),0)</f>
        <v>15726.088002760056</v>
      </c>
      <c r="BK15" s="417">
        <f>IFERROR(IF(BK4&gt;=Inputs!$E$29,'(Z+) Rent Roll'!$H$36*BK9*BK12,0),0)</f>
        <v>15758.481169210881</v>
      </c>
      <c r="BL15" s="417">
        <f>IFERROR(IF(BL4&gt;=Inputs!$E$29,'(Z+) Rent Roll'!$H$36*BL9*BL12,0),0)</f>
        <v>15790.941060280857</v>
      </c>
      <c r="BM15" s="417">
        <f>IFERROR(IF(BM4&gt;=Inputs!$E$29,'(Z+) Rent Roll'!$H$36*BM9*BM12,0),0)</f>
        <v>15823.467813411773</v>
      </c>
      <c r="BN15" s="417">
        <f>IFERROR(IF(BN4&gt;=Inputs!$E$29,'(Z+) Rent Roll'!$H$36*BN9*BN12,0),0)</f>
        <v>15856.061566328528</v>
      </c>
      <c r="BO15" s="417">
        <f>IFERROR(IF(BO4&gt;=Inputs!$E$29,'(Z+) Rent Roll'!$H$36*BO9*BO12,0),0)</f>
        <v>15888.722457039712</v>
      </c>
      <c r="BP15" s="417">
        <f>IFERROR(IF(BP4&gt;=Inputs!$E$29,'(Z+) Rent Roll'!$H$36*BP9*BP12,0),0)</f>
        <v>15921.450623838187</v>
      </c>
      <c r="BQ15" s="417">
        <f>IFERROR(IF(BQ4&gt;=Inputs!$E$29,'(Z+) Rent Roll'!$H$36*BQ9*BQ12,0),0)</f>
        <v>15954.246205301681</v>
      </c>
      <c r="BR15" s="417">
        <f>IFERROR(IF(BR4&gt;=Inputs!$E$29,'(Z+) Rent Roll'!$H$36*BR9*BR12,0),0)</f>
        <v>15987.109340293362</v>
      </c>
      <c r="BS15" s="417">
        <f>IFERROR(IF(BS4&gt;=Inputs!$E$29,'(Z+) Rent Roll'!$H$36*BS9*BS12,0),0)</f>
        <v>16020.040167962439</v>
      </c>
      <c r="BT15" s="417">
        <f>IFERROR(IF(BT4&gt;=Inputs!$E$29,'(Z+) Rent Roll'!$H$36*BT9*BT12,0),0)</f>
        <v>16053.038827744746</v>
      </c>
      <c r="BU15" s="417">
        <f>IFERROR(IF(BU4&gt;=Inputs!$E$29,'(Z+) Rent Roll'!$H$36*BU9*BU12,0),0)</f>
        <v>16086.105459363329</v>
      </c>
      <c r="BV15" s="417">
        <f>IFERROR(IF(BV4&gt;=Inputs!$E$29,'(Z+) Rent Roll'!$H$36*BV9*BV12,0),0)</f>
        <v>16119.24020282904</v>
      </c>
      <c r="BW15" s="417">
        <f>IFERROR(IF(BW4&gt;=Inputs!$E$29,'(Z+) Rent Roll'!$H$36*BW9*BW12,0),0)</f>
        <v>16152.443198441133</v>
      </c>
      <c r="BX15" s="417">
        <f>IFERROR(IF(BX4&gt;=Inputs!$E$29,'(Z+) Rent Roll'!$H$36*BX9*BX12,0),0)</f>
        <v>16185.714586787857</v>
      </c>
      <c r="BY15" s="417">
        <f>IFERROR(IF(BY4&gt;=Inputs!$E$29,'(Z+) Rent Roll'!$H$36*BY9*BY12,0),0)</f>
        <v>16219.054508747044</v>
      </c>
      <c r="BZ15" s="417">
        <f>IFERROR(IF(BZ4&gt;=Inputs!$E$29,'(Z+) Rent Roll'!$H$36*BZ9*BZ12,0),0)</f>
        <v>16252.463105486717</v>
      </c>
      <c r="CA15" s="417">
        <f>IFERROR(IF(CA4&gt;=Inputs!$E$29,'(Z+) Rent Roll'!$H$36*CA9*CA12,0),0)</f>
        <v>16285.940518465679</v>
      </c>
      <c r="CB15" s="417">
        <f>IFERROR(IF(CB4&gt;=Inputs!$E$29,'(Z+) Rent Roll'!$H$36*CB9*CB12,0),0)</f>
        <v>16319.486889434116</v>
      </c>
      <c r="CC15" s="417">
        <f>IFERROR(IF(CC4&gt;=Inputs!$E$29,'(Z+) Rent Roll'!$H$36*CC9*CC12,0),0)</f>
        <v>16353.102360434195</v>
      </c>
      <c r="CD15" s="417">
        <f>IFERROR(IF(CD4&gt;=Inputs!$E$29,'(Z+) Rent Roll'!$H$36*CD9*CD12,0),0)</f>
        <v>16386.787073800668</v>
      </c>
      <c r="CE15" s="417">
        <f>IFERROR(IF(CE4&gt;=Inputs!$E$29,'(Z+) Rent Roll'!$H$36*CE9*CE12,0),0)</f>
        <v>16420.541172161473</v>
      </c>
      <c r="CF15" s="417">
        <f>IFERROR(IF(CF4&gt;=Inputs!$E$29,'(Z+) Rent Roll'!$H$36*CF9*CF12,0),0)</f>
        <v>16454.364798438335</v>
      </c>
      <c r="CG15" s="417">
        <f>IFERROR(IF(CG4&gt;=Inputs!$E$29,'(Z+) Rent Roll'!$H$36*CG9*CG12,0),0)</f>
        <v>16488.258095847381</v>
      </c>
      <c r="CH15" s="417">
        <f>IFERROR(IF(CH4&gt;=Inputs!$E$29,'(Z+) Rent Roll'!$H$36*CH9*CH12,0),0)</f>
        <v>16522.221207899736</v>
      </c>
      <c r="CI15" s="417">
        <f>IFERROR(IF(CI4&gt;=Inputs!$E$29,'(Z+) Rent Roll'!$H$36*CI9*CI12,0),0)</f>
        <v>16556.254278402135</v>
      </c>
      <c r="CJ15" s="417">
        <f>IFERROR(IF(CJ4&gt;=Inputs!$E$29,'(Z+) Rent Roll'!$H$36*CJ9*CJ12,0),0)</f>
        <v>16590.357451457527</v>
      </c>
      <c r="CK15" s="417">
        <f>IFERROR(IF(CK4&gt;=Inputs!$E$29,'(Z+) Rent Roll'!$H$36*CK9*CK12,0),0)</f>
        <v>16624.530871465693</v>
      </c>
      <c r="CL15" s="417">
        <f>IFERROR(IF(CL4&gt;=Inputs!$E$29,'(Z+) Rent Roll'!$H$36*CL9*CL12,0),0)</f>
        <v>16658.774683123858</v>
      </c>
      <c r="CM15" s="417">
        <f>IFERROR(IF(CM4&gt;=Inputs!$E$29,'(Z+) Rent Roll'!$H$36*CM9*CM12,0),0)</f>
        <v>16693.089031427295</v>
      </c>
      <c r="CN15" s="417">
        <f>IFERROR(IF(CN4&gt;=Inputs!$E$29,'(Z+) Rent Roll'!$H$36*CN9*CN12,0),0)</f>
        <v>16727.474061669942</v>
      </c>
      <c r="CO15" s="417">
        <f>IFERROR(IF(CO4&gt;=Inputs!$E$29,'(Z+) Rent Roll'!$H$36*CO9*CO12,0),0)</f>
        <v>16761.929919445025</v>
      </c>
      <c r="CP15" s="417">
        <f>IFERROR(IF(CP4&gt;=Inputs!$E$29,'(Z+) Rent Roll'!$H$36*CP9*CP12,0),0)</f>
        <v>16796.456750645659</v>
      </c>
      <c r="CQ15" s="417">
        <f>IFERROR(IF(CQ4&gt;=Inputs!$E$29,'(Z+) Rent Roll'!$H$36*CQ9*CQ12,0),0)</f>
        <v>16831.054701465484</v>
      </c>
      <c r="CR15" s="417">
        <f>IFERROR(IF(CR4&gt;=Inputs!$E$29,'(Z+) Rent Roll'!$H$36*CR9*CR12,0),0)</f>
        <v>16865.723918399271</v>
      </c>
      <c r="CS15" s="417">
        <f>IFERROR(IF(CS4&gt;=Inputs!$E$29,'(Z+) Rent Roll'!$H$36*CS9*CS12,0),0)</f>
        <v>16900.464548243544</v>
      </c>
      <c r="CT15" s="417">
        <f>IFERROR(IF(CT4&gt;=Inputs!$E$29,'(Z+) Rent Roll'!$H$36*CT9*CT12,0),0)</f>
        <v>16935.276738097207</v>
      </c>
      <c r="CU15" s="417">
        <f>IFERROR(IF(CU4&gt;=Inputs!$E$29,'(Z+) Rent Roll'!$H$36*CU9*CU12,0),0)</f>
        <v>16970.160635362165</v>
      </c>
      <c r="CV15" s="417">
        <f>IFERROR(IF(CV4&gt;=Inputs!$E$29,'(Z+) Rent Roll'!$H$36*CV9*CV12,0),0)</f>
        <v>17005.116387743939</v>
      </c>
      <c r="CW15" s="417">
        <f>IFERROR(IF(CW4&gt;=Inputs!$E$29,'(Z+) Rent Roll'!$H$36*CW9*CW12,0),0)</f>
        <v>17040.144143252313</v>
      </c>
      <c r="CX15" s="417">
        <f>IFERROR(IF(CX4&gt;=Inputs!$E$29,'(Z+) Rent Roll'!$H$36*CX9*CX12,0),0)</f>
        <v>17075.244050201931</v>
      </c>
      <c r="CY15" s="417">
        <f>IFERROR(IF(CY4&gt;=Inputs!$E$29,'(Z+) Rent Roll'!$H$36*CY9*CY12,0),0)</f>
        <v>17110.416257212953</v>
      </c>
      <c r="CZ15" s="417">
        <f>IFERROR(IF(CZ4&gt;=Inputs!$E$29,'(Z+) Rent Roll'!$H$36*CZ9*CZ12,0),0)</f>
        <v>17145.660913211668</v>
      </c>
      <c r="DA15" s="417">
        <f>IFERROR(IF(DA4&gt;=Inputs!$E$29,'(Z+) Rent Roll'!$H$36*DA9*DA12,0),0)</f>
        <v>17180.978167431127</v>
      </c>
      <c r="DB15" s="417">
        <f>IFERROR(IF(DB4&gt;=Inputs!$E$29,'(Z+) Rent Roll'!$H$36*DB9*DB12,0),0)</f>
        <v>17216.368169411777</v>
      </c>
      <c r="DC15" s="417">
        <f>IFERROR(IF(DC4&gt;=Inputs!$E$29,'(Z+) Rent Roll'!$H$36*DC9*DC12,0),0)</f>
        <v>17251.831069002099</v>
      </c>
      <c r="DD15" s="417">
        <f>IFERROR(IF(DD4&gt;=Inputs!$E$29,'(Z+) Rent Roll'!$H$36*DD9*DD12,0),0)</f>
        <v>17287.367016359232</v>
      </c>
      <c r="DE15" s="417">
        <f>IFERROR(IF(DE4&gt;=Inputs!$E$29,'(Z+) Rent Roll'!$H$36*DE9*DE12,0),0)</f>
        <v>17322.976161949609</v>
      </c>
      <c r="DF15" s="417">
        <f>IFERROR(IF(DF4&gt;=Inputs!$E$29,'(Z+) Rent Roll'!$H$36*DF9*DF12,0),0)</f>
        <v>17358.658656549615</v>
      </c>
      <c r="DG15" s="417">
        <f>IFERROR(IF(DG4&gt;=Inputs!$E$29,'(Z+) Rent Roll'!$H$36*DG9*DG12,0),0)</f>
        <v>17394.414651246196</v>
      </c>
      <c r="DH15" s="417">
        <f>IFERROR(IF(DH4&gt;=Inputs!$E$29,'(Z+) Rent Roll'!$H$36*DH9*DH12,0),0)</f>
        <v>17430.244297437515</v>
      </c>
      <c r="DI15" s="417">
        <f>IFERROR(IF(DI4&gt;=Inputs!$E$29,'(Z+) Rent Roll'!$H$36*DI9*DI12,0),0)</f>
        <v>17466.147746833598</v>
      </c>
      <c r="DJ15" s="417">
        <f>IFERROR(IF(DJ4&gt;=Inputs!$E$29,'(Z+) Rent Roll'!$H$36*DJ9*DJ12,0),0)</f>
        <v>17502.125151456956</v>
      </c>
      <c r="DK15" s="417">
        <f>IFERROR(IF(DK4&gt;=Inputs!$E$29,'(Z+) Rent Roll'!$H$36*DK9*DK12,0),0)</f>
        <v>17538.176663643255</v>
      </c>
      <c r="DL15" s="417">
        <f>IFERROR(IF(DL4&gt;=Inputs!$E$29,'(Z+) Rent Roll'!$H$36*DL9*DL12,0),0)</f>
        <v>17574.302436041933</v>
      </c>
      <c r="DM15" s="417">
        <f>IFERROR(IF(DM4&gt;=Inputs!$E$29,'(Z+) Rent Roll'!$H$36*DM9*DM12,0),0)</f>
        <v>17610.502621616877</v>
      </c>
      <c r="DN15" s="417">
        <f>IFERROR(IF(DN4&gt;=Inputs!$E$29,'(Z+) Rent Roll'!$H$36*DN9*DN12,0),0)</f>
        <v>17646.777373647048</v>
      </c>
      <c r="DO15" s="417">
        <f>IFERROR(IF(DO4&gt;=Inputs!$E$29,'(Z+) Rent Roll'!$H$36*DO9*DO12,0),0)</f>
        <v>17683.126845727125</v>
      </c>
      <c r="DP15" s="417">
        <f>IFERROR(IF(DP4&gt;=Inputs!$E$29,'(Z+) Rent Roll'!$H$36*DP9*DP12,0),0)</f>
        <v>17719.551191768183</v>
      </c>
      <c r="DQ15" s="417">
        <f>IFERROR(IF(DQ4&gt;=Inputs!$E$29,'(Z+) Rent Roll'!$H$36*DQ9*DQ12,0),0)</f>
        <v>17756.050565998325</v>
      </c>
      <c r="DR15" s="417">
        <f>IFERROR(IF(DR4&gt;=Inputs!$E$29,'(Z+) Rent Roll'!$H$36*DR9*DR12,0),0)</f>
        <v>17792.625122963331</v>
      </c>
      <c r="DS15" s="417">
        <f>IFERROR(IF(DS4&gt;=Inputs!$E$29,'(Z+) Rent Roll'!$H$36*DS9*DS12,0),0)</f>
        <v>17829.275017527325</v>
      </c>
      <c r="DT15" s="417">
        <f>IFERROR(IF(DT4&gt;=Inputs!$E$29,'(Z+) Rent Roll'!$H$36*DT9*DT12,0),0)</f>
        <v>17866.000404873426</v>
      </c>
      <c r="DU15" s="417">
        <f>IFERROR(IF(DU4&gt;=Inputs!$E$29,'(Z+) Rent Roll'!$H$36*DU9*DU12,0),0)</f>
        <v>17902.801440504412</v>
      </c>
    </row>
    <row r="16" spans="1:125" x14ac:dyDescent="0.25">
      <c r="A16" s="393" t="s">
        <v>170</v>
      </c>
      <c r="B16" s="394"/>
      <c r="C16" s="394"/>
      <c r="D16" s="395"/>
      <c r="E16" s="394"/>
      <c r="F16" s="415">
        <f t="shared" ref="F16:AK16" si="13">IFERROR(SUM(F13:F15),0)</f>
        <v>0</v>
      </c>
      <c r="G16" s="415">
        <f t="shared" si="13"/>
        <v>0</v>
      </c>
      <c r="H16" s="415">
        <f t="shared" si="13"/>
        <v>0</v>
      </c>
      <c r="I16" s="415">
        <f t="shared" si="13"/>
        <v>0</v>
      </c>
      <c r="J16" s="416">
        <f t="shared" si="13"/>
        <v>0</v>
      </c>
      <c r="K16" s="416">
        <f t="shared" si="13"/>
        <v>0</v>
      </c>
      <c r="L16" s="416">
        <f t="shared" si="13"/>
        <v>0</v>
      </c>
      <c r="M16" s="416">
        <f t="shared" si="13"/>
        <v>0</v>
      </c>
      <c r="N16" s="416">
        <f t="shared" si="13"/>
        <v>0</v>
      </c>
      <c r="O16" s="416">
        <f t="shared" si="13"/>
        <v>0</v>
      </c>
      <c r="P16" s="416">
        <f t="shared" si="13"/>
        <v>0</v>
      </c>
      <c r="Q16" s="416">
        <f t="shared" si="13"/>
        <v>0</v>
      </c>
      <c r="R16" s="416">
        <f t="shared" si="13"/>
        <v>0</v>
      </c>
      <c r="S16" s="416">
        <f t="shared" si="13"/>
        <v>0</v>
      </c>
      <c r="T16" s="416">
        <f t="shared" si="13"/>
        <v>0</v>
      </c>
      <c r="U16" s="417">
        <f t="shared" si="13"/>
        <v>0</v>
      </c>
      <c r="V16" s="417">
        <f t="shared" si="13"/>
        <v>0</v>
      </c>
      <c r="W16" s="417">
        <f t="shared" si="13"/>
        <v>0</v>
      </c>
      <c r="X16" s="417">
        <f t="shared" si="13"/>
        <v>0</v>
      </c>
      <c r="Y16" s="417">
        <f t="shared" si="13"/>
        <v>0</v>
      </c>
      <c r="Z16" s="417">
        <f t="shared" si="13"/>
        <v>0</v>
      </c>
      <c r="AA16" s="417">
        <f t="shared" si="13"/>
        <v>61112.37594018902</v>
      </c>
      <c r="AB16" s="417">
        <f t="shared" si="13"/>
        <v>122476.51485737377</v>
      </c>
      <c r="AC16" s="417">
        <f t="shared" si="13"/>
        <v>184093.19463732137</v>
      </c>
      <c r="AD16" s="417">
        <f t="shared" si="13"/>
        <v>245963.19530222213</v>
      </c>
      <c r="AE16" s="417">
        <f t="shared" si="13"/>
        <v>308087.29901619005</v>
      </c>
      <c r="AF16" s="417">
        <f t="shared" si="13"/>
        <v>366349.99797865795</v>
      </c>
      <c r="AG16" s="417">
        <f t="shared" si="13"/>
        <v>433100.95499050419</v>
      </c>
      <c r="AH16" s="417">
        <f t="shared" si="13"/>
        <v>495992.08233839681</v>
      </c>
      <c r="AI16" s="417">
        <f t="shared" si="13"/>
        <v>559140.46292154631</v>
      </c>
      <c r="AJ16" s="417">
        <f t="shared" si="13"/>
        <v>560292.20072700875</v>
      </c>
      <c r="AK16" s="417">
        <f t="shared" si="13"/>
        <v>561446.31092377624</v>
      </c>
      <c r="AL16" s="417">
        <f t="shared" ref="AL16:BQ16" si="14">IFERROR(SUM(AL13:AL15),0)</f>
        <v>562602.79839858646</v>
      </c>
      <c r="AM16" s="417">
        <f t="shared" si="14"/>
        <v>563761.66804824304</v>
      </c>
      <c r="AN16" s="417">
        <f t="shared" si="14"/>
        <v>564922.92477963585</v>
      </c>
      <c r="AO16" s="417">
        <f t="shared" si="14"/>
        <v>566086.57350976253</v>
      </c>
      <c r="AP16" s="417">
        <f t="shared" si="14"/>
        <v>567252.61916574906</v>
      </c>
      <c r="AQ16" s="417">
        <f t="shared" si="14"/>
        <v>568421.06668486982</v>
      </c>
      <c r="AR16" s="417">
        <f t="shared" si="14"/>
        <v>569591.92101457005</v>
      </c>
      <c r="AS16" s="417">
        <f t="shared" si="14"/>
        <v>570765.18711248529</v>
      </c>
      <c r="AT16" s="417">
        <f t="shared" si="14"/>
        <v>571940.86994646315</v>
      </c>
      <c r="AU16" s="417">
        <f t="shared" si="14"/>
        <v>573118.97449458425</v>
      </c>
      <c r="AV16" s="417">
        <f t="shared" si="14"/>
        <v>574299.50574518321</v>
      </c>
      <c r="AW16" s="417">
        <f t="shared" si="14"/>
        <v>575482.46869687003</v>
      </c>
      <c r="AX16" s="417">
        <f t="shared" si="14"/>
        <v>576667.86835855048</v>
      </c>
      <c r="AY16" s="417">
        <f t="shared" si="14"/>
        <v>577855.70974944835</v>
      </c>
      <c r="AZ16" s="417">
        <f t="shared" si="14"/>
        <v>579045.99789912603</v>
      </c>
      <c r="BA16" s="417">
        <f t="shared" si="14"/>
        <v>580238.73784750584</v>
      </c>
      <c r="BB16" s="417">
        <f t="shared" si="14"/>
        <v>581433.934644892</v>
      </c>
      <c r="BC16" s="417">
        <f t="shared" si="14"/>
        <v>582631.59335199092</v>
      </c>
      <c r="BD16" s="417">
        <f t="shared" si="14"/>
        <v>583831.71903993364</v>
      </c>
      <c r="BE16" s="417">
        <f t="shared" si="14"/>
        <v>585034.3167902967</v>
      </c>
      <c r="BF16" s="417">
        <f t="shared" si="14"/>
        <v>586239.3916951241</v>
      </c>
      <c r="BG16" s="417">
        <f t="shared" si="14"/>
        <v>587446.94885694829</v>
      </c>
      <c r="BH16" s="417">
        <f t="shared" si="14"/>
        <v>588656.99338881229</v>
      </c>
      <c r="BI16" s="417">
        <f t="shared" si="14"/>
        <v>589869.53041429119</v>
      </c>
      <c r="BJ16" s="417">
        <f t="shared" si="14"/>
        <v>591084.56506751361</v>
      </c>
      <c r="BK16" s="417">
        <f t="shared" si="14"/>
        <v>592302.10249318392</v>
      </c>
      <c r="BL16" s="417">
        <f t="shared" si="14"/>
        <v>593522.14784660353</v>
      </c>
      <c r="BM16" s="417">
        <f t="shared" si="14"/>
        <v>594744.70629369293</v>
      </c>
      <c r="BN16" s="417">
        <f t="shared" si="14"/>
        <v>595969.78301101364</v>
      </c>
      <c r="BO16" s="417">
        <f t="shared" si="14"/>
        <v>597197.38318579015</v>
      </c>
      <c r="BP16" s="417">
        <f t="shared" si="14"/>
        <v>598427.51201593142</v>
      </c>
      <c r="BQ16" s="417">
        <f t="shared" si="14"/>
        <v>599660.1747100536</v>
      </c>
      <c r="BR16" s="417">
        <f t="shared" ref="BR16:CW16" si="15">IFERROR(SUM(BR13:BR15),0)</f>
        <v>600895.37648750155</v>
      </c>
      <c r="BS16" s="417">
        <f t="shared" si="15"/>
        <v>602133.12257837132</v>
      </c>
      <c r="BT16" s="417">
        <f t="shared" si="15"/>
        <v>603373.41822353192</v>
      </c>
      <c r="BU16" s="417">
        <f t="shared" si="15"/>
        <v>604616.26867464778</v>
      </c>
      <c r="BV16" s="417">
        <f t="shared" si="15"/>
        <v>605861.67919420067</v>
      </c>
      <c r="BW16" s="417">
        <f t="shared" si="15"/>
        <v>607109.65505551279</v>
      </c>
      <c r="BX16" s="417">
        <f t="shared" si="15"/>
        <v>608360.20154276781</v>
      </c>
      <c r="BY16" s="417">
        <f t="shared" si="15"/>
        <v>609613.32395103446</v>
      </c>
      <c r="BZ16" s="417">
        <f t="shared" si="15"/>
        <v>610869.02758628805</v>
      </c>
      <c r="CA16" s="417">
        <f t="shared" si="15"/>
        <v>612127.31776543392</v>
      </c>
      <c r="CB16" s="417">
        <f t="shared" si="15"/>
        <v>613388.19981632871</v>
      </c>
      <c r="CC16" s="417">
        <f t="shared" si="15"/>
        <v>614651.67907780397</v>
      </c>
      <c r="CD16" s="417">
        <f t="shared" si="15"/>
        <v>615917.76089968812</v>
      </c>
      <c r="CE16" s="417">
        <f t="shared" si="15"/>
        <v>617186.45064282953</v>
      </c>
      <c r="CF16" s="417">
        <f t="shared" si="15"/>
        <v>618457.75367911917</v>
      </c>
      <c r="CG16" s="417">
        <f t="shared" si="15"/>
        <v>619731.67539151281</v>
      </c>
      <c r="CH16" s="417">
        <f t="shared" si="15"/>
        <v>621008.22117405466</v>
      </c>
      <c r="CI16" s="417">
        <f t="shared" si="15"/>
        <v>622287.39643189963</v>
      </c>
      <c r="CJ16" s="417">
        <f t="shared" si="15"/>
        <v>623569.20658133598</v>
      </c>
      <c r="CK16" s="417">
        <f t="shared" si="15"/>
        <v>624853.65704980923</v>
      </c>
      <c r="CL16" s="417">
        <f t="shared" si="15"/>
        <v>626140.75327594427</v>
      </c>
      <c r="CM16" s="417">
        <f t="shared" si="15"/>
        <v>627430.50070956873</v>
      </c>
      <c r="CN16" s="417">
        <f t="shared" si="15"/>
        <v>628722.90481173585</v>
      </c>
      <c r="CO16" s="417">
        <f t="shared" si="15"/>
        <v>630017.97105474805</v>
      </c>
      <c r="CP16" s="417">
        <f t="shared" si="15"/>
        <v>631315.70492217934</v>
      </c>
      <c r="CQ16" s="417">
        <f t="shared" si="15"/>
        <v>632616.11190889939</v>
      </c>
      <c r="CR16" s="417">
        <f t="shared" si="15"/>
        <v>633919.19752109633</v>
      </c>
      <c r="CS16" s="417">
        <f t="shared" si="15"/>
        <v>635224.96727629984</v>
      </c>
      <c r="CT16" s="417">
        <f t="shared" si="15"/>
        <v>636533.42670340522</v>
      </c>
      <c r="CU16" s="417">
        <f t="shared" si="15"/>
        <v>637844.58134269621</v>
      </c>
      <c r="CV16" s="417">
        <f t="shared" si="15"/>
        <v>639158.43674586853</v>
      </c>
      <c r="CW16" s="417">
        <f t="shared" si="15"/>
        <v>640474.99847605359</v>
      </c>
      <c r="CX16" s="417">
        <f t="shared" ref="CX16:EC16" si="16">IFERROR(SUM(CX13:CX15),0)</f>
        <v>641794.27210784215</v>
      </c>
      <c r="CY16" s="417">
        <f t="shared" si="16"/>
        <v>643116.26322730712</v>
      </c>
      <c r="CZ16" s="417">
        <f t="shared" si="16"/>
        <v>644440.97743202839</v>
      </c>
      <c r="DA16" s="417">
        <f t="shared" si="16"/>
        <v>645768.42033111583</v>
      </c>
      <c r="DB16" s="417">
        <f t="shared" si="16"/>
        <v>647098.59754523297</v>
      </c>
      <c r="DC16" s="417">
        <f t="shared" si="16"/>
        <v>648431.51470662095</v>
      </c>
      <c r="DD16" s="417">
        <f t="shared" si="16"/>
        <v>649767.17745912285</v>
      </c>
      <c r="DE16" s="417">
        <f t="shared" si="16"/>
        <v>651105.59145820641</v>
      </c>
      <c r="DF16" s="417">
        <f t="shared" si="16"/>
        <v>652446.76237098954</v>
      </c>
      <c r="DG16" s="417">
        <f t="shared" si="16"/>
        <v>653790.69587626262</v>
      </c>
      <c r="DH16" s="417">
        <f t="shared" si="16"/>
        <v>655137.39766451425</v>
      </c>
      <c r="DI16" s="417">
        <f t="shared" si="16"/>
        <v>656486.87343795411</v>
      </c>
      <c r="DJ16" s="417">
        <f t="shared" si="16"/>
        <v>657839.12891053723</v>
      </c>
      <c r="DK16" s="417">
        <f t="shared" si="16"/>
        <v>659194.1698079888</v>
      </c>
      <c r="DL16" s="417">
        <f t="shared" si="16"/>
        <v>660552.00186782819</v>
      </c>
      <c r="DM16" s="417">
        <f t="shared" si="16"/>
        <v>661912.63083939278</v>
      </c>
      <c r="DN16" s="417">
        <f t="shared" si="16"/>
        <v>663276.06248386286</v>
      </c>
      <c r="DO16" s="417">
        <f t="shared" si="16"/>
        <v>664642.30257428542</v>
      </c>
      <c r="DP16" s="417">
        <f t="shared" si="16"/>
        <v>666011.35689559975</v>
      </c>
      <c r="DQ16" s="417">
        <f t="shared" si="16"/>
        <v>667383.23124466056</v>
      </c>
      <c r="DR16" s="417">
        <f t="shared" si="16"/>
        <v>668757.93143026321</v>
      </c>
      <c r="DS16" s="417">
        <f t="shared" si="16"/>
        <v>670135.46327316831</v>
      </c>
      <c r="DT16" s="417">
        <f t="shared" si="16"/>
        <v>671515.83260612621</v>
      </c>
      <c r="DU16" s="417">
        <f t="shared" si="16"/>
        <v>672899.04527390189</v>
      </c>
    </row>
    <row r="17" spans="1:125" x14ac:dyDescent="0.25">
      <c r="A17" s="399" t="s">
        <v>493</v>
      </c>
      <c r="D17" s="387"/>
      <c r="F17" s="409">
        <f>-IFERROR(F14*Inputs!$L$6,0)</f>
        <v>0</v>
      </c>
      <c r="G17" s="409">
        <f>-IFERROR(G14*Inputs!$L$6,0)</f>
        <v>0</v>
      </c>
      <c r="H17" s="409">
        <f>-IFERROR(H14*Inputs!$L$6,0)</f>
        <v>0</v>
      </c>
      <c r="I17" s="409">
        <f>-IFERROR(I14*Inputs!$L$6,0)</f>
        <v>0</v>
      </c>
      <c r="J17" s="410">
        <f>-IFERROR(J14*Inputs!$L$6,0)</f>
        <v>0</v>
      </c>
      <c r="K17" s="410">
        <f>-IFERROR(K14*Inputs!$L$6,0)</f>
        <v>0</v>
      </c>
      <c r="L17" s="410">
        <f>-IFERROR(L14*Inputs!$L$6,0)</f>
        <v>0</v>
      </c>
      <c r="M17" s="410">
        <f>-IFERROR(M14*Inputs!$L$6,0)</f>
        <v>0</v>
      </c>
      <c r="N17" s="410">
        <f>-IFERROR(N14*Inputs!$L$6,0)</f>
        <v>0</v>
      </c>
      <c r="O17" s="410">
        <f>-IFERROR(O14*Inputs!$L$6,0)</f>
        <v>0</v>
      </c>
      <c r="P17" s="410">
        <f>-IFERROR(P14*Inputs!$L$6,0)</f>
        <v>0</v>
      </c>
      <c r="Q17" s="410">
        <f>-IFERROR(Q14*Inputs!$L$6,0)</f>
        <v>0</v>
      </c>
      <c r="R17" s="410">
        <f>-IFERROR(R14*Inputs!$L$6,0)</f>
        <v>0</v>
      </c>
      <c r="S17" s="410">
        <f>-IFERROR(S14*Inputs!$L$6,0)</f>
        <v>0</v>
      </c>
      <c r="T17" s="410">
        <f>-IFERROR(T14*Inputs!$L$6,0)</f>
        <v>0</v>
      </c>
      <c r="U17" s="411">
        <f>-IFERROR(U14*Inputs!$L$6,0)</f>
        <v>0</v>
      </c>
      <c r="V17" s="411">
        <f>-IFERROR(V14*Inputs!$L$6,0)</f>
        <v>0</v>
      </c>
      <c r="W17" s="411">
        <f>-IFERROR(W14*Inputs!$L$6,0)</f>
        <v>0</v>
      </c>
      <c r="X17" s="411">
        <f>-IFERROR(X14*Inputs!$L$6,0)</f>
        <v>0</v>
      </c>
      <c r="Y17" s="411">
        <f>-IFERROR(Y14*Inputs!$L$6,0)</f>
        <v>0</v>
      </c>
      <c r="Z17" s="411">
        <f>-IFERROR(Z14*Inputs!$L$6,0)</f>
        <v>0</v>
      </c>
      <c r="AA17" s="411">
        <f>-IFERROR(AA14*Inputs!$L$6,0)</f>
        <v>-1784.593557103273</v>
      </c>
      <c r="AB17" s="411">
        <f>-IFERROR(AB14*Inputs!$L$6,0)</f>
        <v>-3576.5390552782442</v>
      </c>
      <c r="AC17" s="411">
        <f>-IFERROR(AC14*Inputs!$L$6,0)</f>
        <v>-5375.8592102172233</v>
      </c>
      <c r="AD17" s="411">
        <f>-IFERROR(AD14*Inputs!$L$6,0)</f>
        <v>-7182.5767999999971</v>
      </c>
      <c r="AE17" s="411">
        <f>-IFERROR(AE14*Inputs!$L$6,0)</f>
        <v>-8996.7146652544598</v>
      </c>
      <c r="AF17" s="411">
        <f>-IFERROR(AF14*Inputs!$L$6,0)</f>
        <v>-10698.092423658565</v>
      </c>
      <c r="AG17" s="411">
        <f>-IFERROR(AG14*Inputs!$L$6,0)</f>
        <v>-12647.342898397183</v>
      </c>
      <c r="AH17" s="411">
        <f>-IFERROR(AH14*Inputs!$L$6,0)</f>
        <v>-14483.879261733075</v>
      </c>
      <c r="AI17" s="411">
        <f>-IFERROR(AI14*Inputs!$L$6,0)</f>
        <v>-16327.927891759969</v>
      </c>
      <c r="AJ17" s="411">
        <f>-IFERROR(AJ14*Inputs!$L$6,0)</f>
        <v>-16361.560749842793</v>
      </c>
      <c r="AK17" s="411">
        <f>-IFERROR(AK14*Inputs!$L$6,0)</f>
        <v>-16395.262886106553</v>
      </c>
      <c r="AL17" s="411">
        <f>-IFERROR(AL14*Inputs!$L$6,0)</f>
        <v>-16429.034443252964</v>
      </c>
      <c r="AM17" s="411">
        <f>-IFERROR(AM14*Inputs!$L$6,0)</f>
        <v>-16462.875564277674</v>
      </c>
      <c r="AN17" s="411">
        <f>-IFERROR(AN14*Inputs!$L$6,0)</f>
        <v>-16496.78639247088</v>
      </c>
      <c r="AO17" s="411">
        <f>-IFERROR(AO14*Inputs!$L$6,0)</f>
        <v>-16530.76707141794</v>
      </c>
      <c r="AP17" s="411">
        <f>-IFERROR(AP14*Inputs!$L$6,0)</f>
        <v>-16564.817744999971</v>
      </c>
      <c r="AQ17" s="411">
        <f>-IFERROR(AQ14*Inputs!$L$6,0)</f>
        <v>-16598.938557394456</v>
      </c>
      <c r="AR17" s="411">
        <f>-IFERROR(AR14*Inputs!$L$6,0)</f>
        <v>-16633.129653075866</v>
      </c>
      <c r="AS17" s="411">
        <f>-IFERROR(AS14*Inputs!$L$6,0)</f>
        <v>-16667.391176816269</v>
      </c>
      <c r="AT17" s="411">
        <f>-IFERROR(AT14*Inputs!$L$6,0)</f>
        <v>-16701.723273685933</v>
      </c>
      <c r="AU17" s="411">
        <f>-IFERROR(AU14*Inputs!$L$6,0)</f>
        <v>-16736.126089053945</v>
      </c>
      <c r="AV17" s="411">
        <f>-IFERROR(AV14*Inputs!$L$6,0)</f>
        <v>-16770.59976858884</v>
      </c>
      <c r="AW17" s="411">
        <f>-IFERROR(AW14*Inputs!$L$6,0)</f>
        <v>-16805.144458259198</v>
      </c>
      <c r="AX17" s="411">
        <f>-IFERROR(AX14*Inputs!$L$6,0)</f>
        <v>-16839.760304334268</v>
      </c>
      <c r="AY17" s="411">
        <f>-IFERROR(AY14*Inputs!$L$6,0)</f>
        <v>-16874.447453384593</v>
      </c>
      <c r="AZ17" s="411">
        <f>-IFERROR(AZ14*Inputs!$L$6,0)</f>
        <v>-16909.206052282632</v>
      </c>
      <c r="BA17" s="411">
        <f>-IFERROR(BA14*Inputs!$L$6,0)</f>
        <v>-16944.036248203367</v>
      </c>
      <c r="BB17" s="411">
        <f>-IFERROR(BB14*Inputs!$L$6,0)</f>
        <v>-16978.938188624947</v>
      </c>
      <c r="BC17" s="411">
        <f>-IFERROR(BC14*Inputs!$L$6,0)</f>
        <v>-17013.912021329295</v>
      </c>
      <c r="BD17" s="411">
        <f>-IFERROR(BD14*Inputs!$L$6,0)</f>
        <v>-17048.957894402742</v>
      </c>
      <c r="BE17" s="411">
        <f>-IFERROR(BE14*Inputs!$L$6,0)</f>
        <v>-17084.075956236658</v>
      </c>
      <c r="BF17" s="411">
        <f>-IFERROR(BF14*Inputs!$L$6,0)</f>
        <v>-17119.266355528063</v>
      </c>
      <c r="BG17" s="411">
        <f>-IFERROR(BG14*Inputs!$L$6,0)</f>
        <v>-17154.529241280281</v>
      </c>
      <c r="BH17" s="411">
        <f>-IFERROR(BH14*Inputs!$L$6,0)</f>
        <v>-17189.864762803547</v>
      </c>
      <c r="BI17" s="411">
        <f>-IFERROR(BI14*Inputs!$L$6,0)</f>
        <v>-17225.273069715658</v>
      </c>
      <c r="BJ17" s="411">
        <f>-IFERROR(BJ14*Inputs!$L$6,0)</f>
        <v>-17260.754311942605</v>
      </c>
      <c r="BK17" s="411">
        <f>-IFERROR(BK14*Inputs!$L$6,0)</f>
        <v>-17296.308639719191</v>
      </c>
      <c r="BL17" s="411">
        <f>-IFERROR(BL14*Inputs!$L$6,0)</f>
        <v>-17331.936203589677</v>
      </c>
      <c r="BM17" s="411">
        <f>-IFERROR(BM14*Inputs!$L$6,0)</f>
        <v>-17367.637154408436</v>
      </c>
      <c r="BN17" s="411">
        <f>-IFERROR(BN14*Inputs!$L$6,0)</f>
        <v>-17403.411643340554</v>
      </c>
      <c r="BO17" s="411">
        <f>-IFERROR(BO14*Inputs!$L$6,0)</f>
        <v>-17439.25982186251</v>
      </c>
      <c r="BP17" s="411">
        <f>-IFERROR(BP14*Inputs!$L$6,0)</f>
        <v>-17475.181841762795</v>
      </c>
      <c r="BQ17" s="411">
        <f>-IFERROR(BQ14*Inputs!$L$6,0)</f>
        <v>-17511.177855142556</v>
      </c>
      <c r="BR17" s="411">
        <f>-IFERROR(BR14*Inputs!$L$6,0)</f>
        <v>-17547.248014416247</v>
      </c>
      <c r="BS17" s="411">
        <f>-IFERROR(BS14*Inputs!$L$6,0)</f>
        <v>-17583.392472312265</v>
      </c>
      <c r="BT17" s="411">
        <f>-IFERROR(BT14*Inputs!$L$6,0)</f>
        <v>-17619.611381873612</v>
      </c>
      <c r="BU17" s="411">
        <f>-IFERROR(BU14*Inputs!$L$6,0)</f>
        <v>-17655.904896458534</v>
      </c>
      <c r="BV17" s="411">
        <f>-IFERROR(BV14*Inputs!$L$6,0)</f>
        <v>-17692.273169741151</v>
      </c>
      <c r="BW17" s="411">
        <f>-IFERROR(BW14*Inputs!$L$6,0)</f>
        <v>-17728.716355712149</v>
      </c>
      <c r="BX17" s="411">
        <f>-IFERROR(BX14*Inputs!$L$6,0)</f>
        <v>-17765.234608679399</v>
      </c>
      <c r="BY17" s="411">
        <f>-IFERROR(BY14*Inputs!$L$6,0)</f>
        <v>-17801.828083268621</v>
      </c>
      <c r="BZ17" s="411">
        <f>-IFERROR(BZ14*Inputs!$L$6,0)</f>
        <v>-17838.496934424038</v>
      </c>
      <c r="CA17" s="411">
        <f>-IFERROR(CA14*Inputs!$L$6,0)</f>
        <v>-17875.241317409047</v>
      </c>
      <c r="CB17" s="411">
        <f>-IFERROR(CB14*Inputs!$L$6,0)</f>
        <v>-17912.061387806836</v>
      </c>
      <c r="CC17" s="411">
        <f>-IFERROR(CC14*Inputs!$L$6,0)</f>
        <v>-17948.957301521092</v>
      </c>
      <c r="CD17" s="411">
        <f>-IFERROR(CD14*Inputs!$L$6,0)</f>
        <v>-17985.929214776621</v>
      </c>
      <c r="CE17" s="411">
        <f>-IFERROR(CE14*Inputs!$L$6,0)</f>
        <v>-18022.977284120043</v>
      </c>
      <c r="CF17" s="411">
        <f>-IFERROR(CF14*Inputs!$L$6,0)</f>
        <v>-18060.101666420422</v>
      </c>
      <c r="CG17" s="411">
        <f>-IFERROR(CG14*Inputs!$L$6,0)</f>
        <v>-18097.302518869965</v>
      </c>
      <c r="CH17" s="411">
        <f>-IFERROR(CH14*Inputs!$L$6,0)</f>
        <v>-18134.579998984645</v>
      </c>
      <c r="CI17" s="411">
        <f>-IFERROR(CI14*Inputs!$L$6,0)</f>
        <v>-18171.934264604923</v>
      </c>
      <c r="CJ17" s="411">
        <f>-IFERROR(CJ14*Inputs!$L$6,0)</f>
        <v>-18209.365473896352</v>
      </c>
      <c r="CK17" s="411">
        <f>-IFERROR(CK14*Inputs!$L$6,0)</f>
        <v>-18246.873785350304</v>
      </c>
      <c r="CL17" s="411">
        <f>-IFERROR(CL14*Inputs!$L$6,0)</f>
        <v>-18284.459357784614</v>
      </c>
      <c r="CM17" s="411">
        <f>-IFERROR(CM14*Inputs!$L$6,0)</f>
        <v>-18322.122350344242</v>
      </c>
      <c r="CN17" s="411">
        <f>-IFERROR(CN14*Inputs!$L$6,0)</f>
        <v>-18359.862922501979</v>
      </c>
      <c r="CO17" s="411">
        <f>-IFERROR(CO14*Inputs!$L$6,0)</f>
        <v>-18397.681234059088</v>
      </c>
      <c r="CP17" s="411">
        <f>-IFERROR(CP14*Inputs!$L$6,0)</f>
        <v>-18435.577445146009</v>
      </c>
      <c r="CQ17" s="411">
        <f>-IFERROR(CQ14*Inputs!$L$6,0)</f>
        <v>-18473.551716223013</v>
      </c>
      <c r="CR17" s="411">
        <f>-IFERROR(CR14*Inputs!$L$6,0)</f>
        <v>-18511.604208080909</v>
      </c>
      <c r="CS17" s="411">
        <f>-IFERROR(CS14*Inputs!$L$6,0)</f>
        <v>-18549.735081841689</v>
      </c>
      <c r="CT17" s="411">
        <f>-IFERROR(CT14*Inputs!$L$6,0)</f>
        <v>-18587.944498959241</v>
      </c>
      <c r="CU17" s="411">
        <f>-IFERROR(CU14*Inputs!$L$6,0)</f>
        <v>-18626.232621220021</v>
      </c>
      <c r="CV17" s="411">
        <f>-IFERROR(CV14*Inputs!$L$6,0)</f>
        <v>-18664.599610743735</v>
      </c>
      <c r="CW17" s="411">
        <f>-IFERROR(CW14*Inputs!$L$6,0)</f>
        <v>-18703.045629984037</v>
      </c>
      <c r="CX17" s="411">
        <f>-IFERROR(CX14*Inputs!$L$6,0)</f>
        <v>-18741.570841729204</v>
      </c>
      <c r="CY17" s="411">
        <f>-IFERROR(CY14*Inputs!$L$6,0)</f>
        <v>-18780.175409102823</v>
      </c>
      <c r="CZ17" s="411">
        <f>-IFERROR(CZ14*Inputs!$L$6,0)</f>
        <v>-18818.859495564502</v>
      </c>
      <c r="DA17" s="411">
        <f>-IFERROR(DA14*Inputs!$L$6,0)</f>
        <v>-18857.62326491054</v>
      </c>
      <c r="DB17" s="411">
        <f>-IFERROR(DB14*Inputs!$L$6,0)</f>
        <v>-18896.466881274635</v>
      </c>
      <c r="DC17" s="411">
        <f>-IFERROR(DC14*Inputs!$L$6,0)</f>
        <v>-18935.390509128567</v>
      </c>
      <c r="DD17" s="411">
        <f>-IFERROR(DD14*Inputs!$L$6,0)</f>
        <v>-18974.394313282908</v>
      </c>
      <c r="DE17" s="411">
        <f>-IFERROR(DE14*Inputs!$L$6,0)</f>
        <v>-19013.478458887705</v>
      </c>
      <c r="DF17" s="411">
        <f>-IFERROR(DF14*Inputs!$L$6,0)</f>
        <v>-19052.643111433197</v>
      </c>
      <c r="DG17" s="411">
        <f>-IFERROR(DG14*Inputs!$L$6,0)</f>
        <v>-19091.888436750494</v>
      </c>
      <c r="DH17" s="411">
        <f>-IFERROR(DH14*Inputs!$L$6,0)</f>
        <v>-19131.214601012303</v>
      </c>
      <c r="DI17" s="411">
        <f>-IFERROR(DI14*Inputs!$L$6,0)</f>
        <v>-19170.621770733615</v>
      </c>
      <c r="DJ17" s="411">
        <f>-IFERROR(DJ14*Inputs!$L$6,0)</f>
        <v>-19210.110112772407</v>
      </c>
      <c r="DK17" s="411">
        <f>-IFERROR(DK14*Inputs!$L$6,0)</f>
        <v>-19249.679794330368</v>
      </c>
      <c r="DL17" s="411">
        <f>-IFERROR(DL14*Inputs!$L$6,0)</f>
        <v>-19289.33098295359</v>
      </c>
      <c r="DM17" s="411">
        <f>-IFERROR(DM14*Inputs!$L$6,0)</f>
        <v>-19329.063846533274</v>
      </c>
      <c r="DN17" s="411">
        <f>-IFERROR(DN14*Inputs!$L$6,0)</f>
        <v>-19368.878553306473</v>
      </c>
      <c r="DO17" s="411">
        <f>-IFERROR(DO14*Inputs!$L$6,0)</f>
        <v>-19408.77527185675</v>
      </c>
      <c r="DP17" s="411">
        <f>-IFERROR(DP14*Inputs!$L$6,0)</f>
        <v>-19448.754171114946</v>
      </c>
      <c r="DQ17" s="411">
        <f>-IFERROR(DQ14*Inputs!$L$6,0)</f>
        <v>-19488.815420359868</v>
      </c>
      <c r="DR17" s="411">
        <f>-IFERROR(DR14*Inputs!$L$6,0)</f>
        <v>-19528.959189218996</v>
      </c>
      <c r="DS17" s="411">
        <f>-IFERROR(DS14*Inputs!$L$6,0)</f>
        <v>-19569.18564766923</v>
      </c>
      <c r="DT17" s="411">
        <f>-IFERROR(DT14*Inputs!$L$6,0)</f>
        <v>-19609.494966037582</v>
      </c>
      <c r="DU17" s="411">
        <f>-IFERROR(DU14*Inputs!$L$6,0)</f>
        <v>-19649.887315001924</v>
      </c>
    </row>
    <row r="18" spans="1:125" x14ac:dyDescent="0.25">
      <c r="A18" s="393" t="s">
        <v>494</v>
      </c>
      <c r="B18" s="394"/>
      <c r="C18" s="394"/>
      <c r="D18" s="395"/>
      <c r="E18" s="394"/>
      <c r="F18" s="415">
        <f t="shared" ref="F18:AK18" si="17">IFERROR(SUM(F17:F17),0)</f>
        <v>0</v>
      </c>
      <c r="G18" s="415">
        <f t="shared" si="17"/>
        <v>0</v>
      </c>
      <c r="H18" s="415">
        <f t="shared" si="17"/>
        <v>0</v>
      </c>
      <c r="I18" s="415">
        <f t="shared" si="17"/>
        <v>0</v>
      </c>
      <c r="J18" s="416">
        <f t="shared" si="17"/>
        <v>0</v>
      </c>
      <c r="K18" s="416">
        <f t="shared" si="17"/>
        <v>0</v>
      </c>
      <c r="L18" s="416">
        <f t="shared" si="17"/>
        <v>0</v>
      </c>
      <c r="M18" s="416">
        <f t="shared" si="17"/>
        <v>0</v>
      </c>
      <c r="N18" s="416">
        <f t="shared" si="17"/>
        <v>0</v>
      </c>
      <c r="O18" s="416">
        <f t="shared" si="17"/>
        <v>0</v>
      </c>
      <c r="P18" s="416">
        <f t="shared" si="17"/>
        <v>0</v>
      </c>
      <c r="Q18" s="416">
        <f t="shared" si="17"/>
        <v>0</v>
      </c>
      <c r="R18" s="416">
        <f t="shared" si="17"/>
        <v>0</v>
      </c>
      <c r="S18" s="416">
        <f t="shared" si="17"/>
        <v>0</v>
      </c>
      <c r="T18" s="416">
        <f t="shared" si="17"/>
        <v>0</v>
      </c>
      <c r="U18" s="417">
        <f t="shared" si="17"/>
        <v>0</v>
      </c>
      <c r="V18" s="417">
        <f t="shared" si="17"/>
        <v>0</v>
      </c>
      <c r="W18" s="417">
        <f t="shared" si="17"/>
        <v>0</v>
      </c>
      <c r="X18" s="417">
        <f t="shared" si="17"/>
        <v>0</v>
      </c>
      <c r="Y18" s="417">
        <f t="shared" si="17"/>
        <v>0</v>
      </c>
      <c r="Z18" s="417">
        <f t="shared" si="17"/>
        <v>0</v>
      </c>
      <c r="AA18" s="417">
        <f t="shared" si="17"/>
        <v>-1784.593557103273</v>
      </c>
      <c r="AB18" s="417">
        <f t="shared" si="17"/>
        <v>-3576.5390552782442</v>
      </c>
      <c r="AC18" s="417">
        <f t="shared" si="17"/>
        <v>-5375.8592102172233</v>
      </c>
      <c r="AD18" s="417">
        <f t="shared" si="17"/>
        <v>-7182.5767999999971</v>
      </c>
      <c r="AE18" s="417">
        <f t="shared" si="17"/>
        <v>-8996.7146652544598</v>
      </c>
      <c r="AF18" s="417">
        <f t="shared" si="17"/>
        <v>-10698.092423658565</v>
      </c>
      <c r="AG18" s="417">
        <f t="shared" si="17"/>
        <v>-12647.342898397183</v>
      </c>
      <c r="AH18" s="417">
        <f t="shared" si="17"/>
        <v>-14483.879261733075</v>
      </c>
      <c r="AI18" s="417">
        <f t="shared" si="17"/>
        <v>-16327.927891759969</v>
      </c>
      <c r="AJ18" s="417">
        <f t="shared" si="17"/>
        <v>-16361.560749842793</v>
      </c>
      <c r="AK18" s="417">
        <f t="shared" si="17"/>
        <v>-16395.262886106553</v>
      </c>
      <c r="AL18" s="417">
        <f t="shared" ref="AL18:BQ18" si="18">IFERROR(SUM(AL17:AL17),0)</f>
        <v>-16429.034443252964</v>
      </c>
      <c r="AM18" s="417">
        <f t="shared" si="18"/>
        <v>-16462.875564277674</v>
      </c>
      <c r="AN18" s="417">
        <f t="shared" si="18"/>
        <v>-16496.78639247088</v>
      </c>
      <c r="AO18" s="417">
        <f t="shared" si="18"/>
        <v>-16530.76707141794</v>
      </c>
      <c r="AP18" s="417">
        <f t="shared" si="18"/>
        <v>-16564.817744999971</v>
      </c>
      <c r="AQ18" s="417">
        <f t="shared" si="18"/>
        <v>-16598.938557394456</v>
      </c>
      <c r="AR18" s="417">
        <f t="shared" si="18"/>
        <v>-16633.129653075866</v>
      </c>
      <c r="AS18" s="417">
        <f t="shared" si="18"/>
        <v>-16667.391176816269</v>
      </c>
      <c r="AT18" s="417">
        <f t="shared" si="18"/>
        <v>-16701.723273685933</v>
      </c>
      <c r="AU18" s="417">
        <f t="shared" si="18"/>
        <v>-16736.126089053945</v>
      </c>
      <c r="AV18" s="417">
        <f t="shared" si="18"/>
        <v>-16770.59976858884</v>
      </c>
      <c r="AW18" s="417">
        <f t="shared" si="18"/>
        <v>-16805.144458259198</v>
      </c>
      <c r="AX18" s="417">
        <f t="shared" si="18"/>
        <v>-16839.760304334268</v>
      </c>
      <c r="AY18" s="417">
        <f t="shared" si="18"/>
        <v>-16874.447453384593</v>
      </c>
      <c r="AZ18" s="417">
        <f t="shared" si="18"/>
        <v>-16909.206052282632</v>
      </c>
      <c r="BA18" s="417">
        <f t="shared" si="18"/>
        <v>-16944.036248203367</v>
      </c>
      <c r="BB18" s="417">
        <f t="shared" si="18"/>
        <v>-16978.938188624947</v>
      </c>
      <c r="BC18" s="417">
        <f t="shared" si="18"/>
        <v>-17013.912021329295</v>
      </c>
      <c r="BD18" s="417">
        <f t="shared" si="18"/>
        <v>-17048.957894402742</v>
      </c>
      <c r="BE18" s="417">
        <f t="shared" si="18"/>
        <v>-17084.075956236658</v>
      </c>
      <c r="BF18" s="417">
        <f t="shared" si="18"/>
        <v>-17119.266355528063</v>
      </c>
      <c r="BG18" s="417">
        <f t="shared" si="18"/>
        <v>-17154.529241280281</v>
      </c>
      <c r="BH18" s="417">
        <f t="shared" si="18"/>
        <v>-17189.864762803547</v>
      </c>
      <c r="BI18" s="417">
        <f t="shared" si="18"/>
        <v>-17225.273069715658</v>
      </c>
      <c r="BJ18" s="417">
        <f t="shared" si="18"/>
        <v>-17260.754311942605</v>
      </c>
      <c r="BK18" s="417">
        <f t="shared" si="18"/>
        <v>-17296.308639719191</v>
      </c>
      <c r="BL18" s="417">
        <f t="shared" si="18"/>
        <v>-17331.936203589677</v>
      </c>
      <c r="BM18" s="417">
        <f t="shared" si="18"/>
        <v>-17367.637154408436</v>
      </c>
      <c r="BN18" s="417">
        <f t="shared" si="18"/>
        <v>-17403.411643340554</v>
      </c>
      <c r="BO18" s="417">
        <f t="shared" si="18"/>
        <v>-17439.25982186251</v>
      </c>
      <c r="BP18" s="417">
        <f t="shared" si="18"/>
        <v>-17475.181841762795</v>
      </c>
      <c r="BQ18" s="417">
        <f t="shared" si="18"/>
        <v>-17511.177855142556</v>
      </c>
      <c r="BR18" s="417">
        <f t="shared" ref="BR18:CW18" si="19">IFERROR(SUM(BR17:BR17),0)</f>
        <v>-17547.248014416247</v>
      </c>
      <c r="BS18" s="417">
        <f t="shared" si="19"/>
        <v>-17583.392472312265</v>
      </c>
      <c r="BT18" s="417">
        <f t="shared" si="19"/>
        <v>-17619.611381873612</v>
      </c>
      <c r="BU18" s="417">
        <f t="shared" si="19"/>
        <v>-17655.904896458534</v>
      </c>
      <c r="BV18" s="417">
        <f t="shared" si="19"/>
        <v>-17692.273169741151</v>
      </c>
      <c r="BW18" s="417">
        <f t="shared" si="19"/>
        <v>-17728.716355712149</v>
      </c>
      <c r="BX18" s="417">
        <f t="shared" si="19"/>
        <v>-17765.234608679399</v>
      </c>
      <c r="BY18" s="417">
        <f t="shared" si="19"/>
        <v>-17801.828083268621</v>
      </c>
      <c r="BZ18" s="417">
        <f t="shared" si="19"/>
        <v>-17838.496934424038</v>
      </c>
      <c r="CA18" s="417">
        <f t="shared" si="19"/>
        <v>-17875.241317409047</v>
      </c>
      <c r="CB18" s="417">
        <f t="shared" si="19"/>
        <v>-17912.061387806836</v>
      </c>
      <c r="CC18" s="417">
        <f t="shared" si="19"/>
        <v>-17948.957301521092</v>
      </c>
      <c r="CD18" s="417">
        <f t="shared" si="19"/>
        <v>-17985.929214776621</v>
      </c>
      <c r="CE18" s="417">
        <f t="shared" si="19"/>
        <v>-18022.977284120043</v>
      </c>
      <c r="CF18" s="417">
        <f t="shared" si="19"/>
        <v>-18060.101666420422</v>
      </c>
      <c r="CG18" s="417">
        <f t="shared" si="19"/>
        <v>-18097.302518869965</v>
      </c>
      <c r="CH18" s="417">
        <f t="shared" si="19"/>
        <v>-18134.579998984645</v>
      </c>
      <c r="CI18" s="417">
        <f t="shared" si="19"/>
        <v>-18171.934264604923</v>
      </c>
      <c r="CJ18" s="417">
        <f t="shared" si="19"/>
        <v>-18209.365473896352</v>
      </c>
      <c r="CK18" s="417">
        <f t="shared" si="19"/>
        <v>-18246.873785350304</v>
      </c>
      <c r="CL18" s="417">
        <f t="shared" si="19"/>
        <v>-18284.459357784614</v>
      </c>
      <c r="CM18" s="417">
        <f t="shared" si="19"/>
        <v>-18322.122350344242</v>
      </c>
      <c r="CN18" s="417">
        <f t="shared" si="19"/>
        <v>-18359.862922501979</v>
      </c>
      <c r="CO18" s="417">
        <f t="shared" si="19"/>
        <v>-18397.681234059088</v>
      </c>
      <c r="CP18" s="417">
        <f t="shared" si="19"/>
        <v>-18435.577445146009</v>
      </c>
      <c r="CQ18" s="417">
        <f t="shared" si="19"/>
        <v>-18473.551716223013</v>
      </c>
      <c r="CR18" s="417">
        <f t="shared" si="19"/>
        <v>-18511.604208080909</v>
      </c>
      <c r="CS18" s="417">
        <f t="shared" si="19"/>
        <v>-18549.735081841689</v>
      </c>
      <c r="CT18" s="417">
        <f t="shared" si="19"/>
        <v>-18587.944498959241</v>
      </c>
      <c r="CU18" s="417">
        <f t="shared" si="19"/>
        <v>-18626.232621220021</v>
      </c>
      <c r="CV18" s="417">
        <f t="shared" si="19"/>
        <v>-18664.599610743735</v>
      </c>
      <c r="CW18" s="417">
        <f t="shared" si="19"/>
        <v>-18703.045629984037</v>
      </c>
      <c r="CX18" s="417">
        <f t="shared" ref="CX18:EC18" si="20">IFERROR(SUM(CX17:CX17),0)</f>
        <v>-18741.570841729204</v>
      </c>
      <c r="CY18" s="417">
        <f t="shared" si="20"/>
        <v>-18780.175409102823</v>
      </c>
      <c r="CZ18" s="417">
        <f t="shared" si="20"/>
        <v>-18818.859495564502</v>
      </c>
      <c r="DA18" s="417">
        <f t="shared" si="20"/>
        <v>-18857.62326491054</v>
      </c>
      <c r="DB18" s="417">
        <f t="shared" si="20"/>
        <v>-18896.466881274635</v>
      </c>
      <c r="DC18" s="417">
        <f t="shared" si="20"/>
        <v>-18935.390509128567</v>
      </c>
      <c r="DD18" s="417">
        <f t="shared" si="20"/>
        <v>-18974.394313282908</v>
      </c>
      <c r="DE18" s="417">
        <f t="shared" si="20"/>
        <v>-19013.478458887705</v>
      </c>
      <c r="DF18" s="417">
        <f t="shared" si="20"/>
        <v>-19052.643111433197</v>
      </c>
      <c r="DG18" s="417">
        <f t="shared" si="20"/>
        <v>-19091.888436750494</v>
      </c>
      <c r="DH18" s="417">
        <f t="shared" si="20"/>
        <v>-19131.214601012303</v>
      </c>
      <c r="DI18" s="417">
        <f t="shared" si="20"/>
        <v>-19170.621770733615</v>
      </c>
      <c r="DJ18" s="417">
        <f t="shared" si="20"/>
        <v>-19210.110112772407</v>
      </c>
      <c r="DK18" s="417">
        <f t="shared" si="20"/>
        <v>-19249.679794330368</v>
      </c>
      <c r="DL18" s="417">
        <f t="shared" si="20"/>
        <v>-19289.33098295359</v>
      </c>
      <c r="DM18" s="417">
        <f t="shared" si="20"/>
        <v>-19329.063846533274</v>
      </c>
      <c r="DN18" s="417">
        <f t="shared" si="20"/>
        <v>-19368.878553306473</v>
      </c>
      <c r="DO18" s="417">
        <f t="shared" si="20"/>
        <v>-19408.77527185675</v>
      </c>
      <c r="DP18" s="417">
        <f t="shared" si="20"/>
        <v>-19448.754171114946</v>
      </c>
      <c r="DQ18" s="417">
        <f t="shared" si="20"/>
        <v>-19488.815420359868</v>
      </c>
      <c r="DR18" s="417">
        <f t="shared" si="20"/>
        <v>-19528.959189218996</v>
      </c>
      <c r="DS18" s="417">
        <f t="shared" si="20"/>
        <v>-19569.18564766923</v>
      </c>
      <c r="DT18" s="417">
        <f t="shared" si="20"/>
        <v>-19609.494966037582</v>
      </c>
      <c r="DU18" s="417">
        <f t="shared" si="20"/>
        <v>-19649.887315001924</v>
      </c>
    </row>
    <row r="19" spans="1:125" x14ac:dyDescent="0.25">
      <c r="A19" s="393" t="s">
        <v>173</v>
      </c>
      <c r="B19" s="394"/>
      <c r="C19" s="394"/>
      <c r="D19" s="395"/>
      <c r="E19" s="394"/>
      <c r="F19" s="415">
        <f t="shared" ref="F19:AK19" si="21">IFERROR(SUM(F16,F18),0)</f>
        <v>0</v>
      </c>
      <c r="G19" s="415">
        <f t="shared" si="21"/>
        <v>0</v>
      </c>
      <c r="H19" s="415">
        <f t="shared" si="21"/>
        <v>0</v>
      </c>
      <c r="I19" s="415">
        <f t="shared" si="21"/>
        <v>0</v>
      </c>
      <c r="J19" s="416">
        <f t="shared" si="21"/>
        <v>0</v>
      </c>
      <c r="K19" s="416">
        <f t="shared" si="21"/>
        <v>0</v>
      </c>
      <c r="L19" s="416">
        <f t="shared" si="21"/>
        <v>0</v>
      </c>
      <c r="M19" s="416">
        <f t="shared" si="21"/>
        <v>0</v>
      </c>
      <c r="N19" s="416">
        <f t="shared" si="21"/>
        <v>0</v>
      </c>
      <c r="O19" s="416">
        <f t="shared" si="21"/>
        <v>0</v>
      </c>
      <c r="P19" s="416">
        <f t="shared" si="21"/>
        <v>0</v>
      </c>
      <c r="Q19" s="416">
        <f t="shared" si="21"/>
        <v>0</v>
      </c>
      <c r="R19" s="416">
        <f t="shared" si="21"/>
        <v>0</v>
      </c>
      <c r="S19" s="416">
        <f t="shared" si="21"/>
        <v>0</v>
      </c>
      <c r="T19" s="416">
        <f t="shared" si="21"/>
        <v>0</v>
      </c>
      <c r="U19" s="417">
        <f t="shared" si="21"/>
        <v>0</v>
      </c>
      <c r="V19" s="417">
        <f t="shared" si="21"/>
        <v>0</v>
      </c>
      <c r="W19" s="417">
        <f t="shared" si="21"/>
        <v>0</v>
      </c>
      <c r="X19" s="417">
        <f t="shared" si="21"/>
        <v>0</v>
      </c>
      <c r="Y19" s="417">
        <f t="shared" si="21"/>
        <v>0</v>
      </c>
      <c r="Z19" s="417">
        <f t="shared" si="21"/>
        <v>0</v>
      </c>
      <c r="AA19" s="417">
        <f t="shared" si="21"/>
        <v>59327.782383085745</v>
      </c>
      <c r="AB19" s="417">
        <f t="shared" si="21"/>
        <v>118899.97580209552</v>
      </c>
      <c r="AC19" s="417">
        <f t="shared" si="21"/>
        <v>178717.33542710415</v>
      </c>
      <c r="AD19" s="417">
        <f t="shared" si="21"/>
        <v>238780.61850222212</v>
      </c>
      <c r="AE19" s="417">
        <f t="shared" si="21"/>
        <v>299090.58435093559</v>
      </c>
      <c r="AF19" s="417">
        <f t="shared" si="21"/>
        <v>355651.90555499936</v>
      </c>
      <c r="AG19" s="417">
        <f t="shared" si="21"/>
        <v>420453.61209210701</v>
      </c>
      <c r="AH19" s="417">
        <f t="shared" si="21"/>
        <v>481508.20307666372</v>
      </c>
      <c r="AI19" s="417">
        <f t="shared" si="21"/>
        <v>542812.53502978629</v>
      </c>
      <c r="AJ19" s="417">
        <f t="shared" si="21"/>
        <v>543930.63997716596</v>
      </c>
      <c r="AK19" s="417">
        <f t="shared" si="21"/>
        <v>545051.04803766974</v>
      </c>
      <c r="AL19" s="417">
        <f t="shared" ref="AL19:BQ19" si="22">IFERROR(SUM(AL16,AL18),0)</f>
        <v>546173.7639553335</v>
      </c>
      <c r="AM19" s="417">
        <f t="shared" si="22"/>
        <v>547298.7924839654</v>
      </c>
      <c r="AN19" s="417">
        <f t="shared" si="22"/>
        <v>548426.13838716503</v>
      </c>
      <c r="AO19" s="417">
        <f t="shared" si="22"/>
        <v>549555.80643834453</v>
      </c>
      <c r="AP19" s="417">
        <f t="shared" si="22"/>
        <v>550687.80142074905</v>
      </c>
      <c r="AQ19" s="417">
        <f t="shared" si="22"/>
        <v>551822.12812747539</v>
      </c>
      <c r="AR19" s="417">
        <f t="shared" si="22"/>
        <v>552958.79136149422</v>
      </c>
      <c r="AS19" s="417">
        <f t="shared" si="22"/>
        <v>554097.79593566898</v>
      </c>
      <c r="AT19" s="417">
        <f t="shared" si="22"/>
        <v>555239.14667277725</v>
      </c>
      <c r="AU19" s="417">
        <f t="shared" si="22"/>
        <v>556382.84840553033</v>
      </c>
      <c r="AV19" s="417">
        <f t="shared" si="22"/>
        <v>557528.90597659443</v>
      </c>
      <c r="AW19" s="417">
        <f t="shared" si="22"/>
        <v>558677.3242386108</v>
      </c>
      <c r="AX19" s="417">
        <f t="shared" si="22"/>
        <v>559828.10805421625</v>
      </c>
      <c r="AY19" s="417">
        <f t="shared" si="22"/>
        <v>560981.26229606371</v>
      </c>
      <c r="AZ19" s="417">
        <f t="shared" si="22"/>
        <v>562136.79184684344</v>
      </c>
      <c r="BA19" s="417">
        <f t="shared" si="22"/>
        <v>563294.70159930247</v>
      </c>
      <c r="BB19" s="417">
        <f t="shared" si="22"/>
        <v>564454.99645626708</v>
      </c>
      <c r="BC19" s="417">
        <f t="shared" si="22"/>
        <v>565617.68133066164</v>
      </c>
      <c r="BD19" s="417">
        <f t="shared" si="22"/>
        <v>566782.76114553085</v>
      </c>
      <c r="BE19" s="417">
        <f t="shared" si="22"/>
        <v>567950.24083406001</v>
      </c>
      <c r="BF19" s="417">
        <f t="shared" si="22"/>
        <v>569120.12533959607</v>
      </c>
      <c r="BG19" s="417">
        <f t="shared" si="22"/>
        <v>570292.41961566801</v>
      </c>
      <c r="BH19" s="417">
        <f t="shared" si="22"/>
        <v>571467.12862600875</v>
      </c>
      <c r="BI19" s="417">
        <f t="shared" si="22"/>
        <v>572644.25734457548</v>
      </c>
      <c r="BJ19" s="417">
        <f t="shared" si="22"/>
        <v>573823.810755571</v>
      </c>
      <c r="BK19" s="417">
        <f t="shared" si="22"/>
        <v>575005.79385346477</v>
      </c>
      <c r="BL19" s="417">
        <f t="shared" si="22"/>
        <v>576190.21164301387</v>
      </c>
      <c r="BM19" s="417">
        <f t="shared" si="22"/>
        <v>577377.06913928455</v>
      </c>
      <c r="BN19" s="417">
        <f t="shared" si="22"/>
        <v>578566.37136767304</v>
      </c>
      <c r="BO19" s="417">
        <f t="shared" si="22"/>
        <v>579758.12336392759</v>
      </c>
      <c r="BP19" s="417">
        <f t="shared" si="22"/>
        <v>580952.33017416857</v>
      </c>
      <c r="BQ19" s="417">
        <f t="shared" si="22"/>
        <v>582148.99685491109</v>
      </c>
      <c r="BR19" s="417">
        <f t="shared" ref="BR19:CW19" si="23">IFERROR(SUM(BR16,BR18),0)</f>
        <v>583348.12847308535</v>
      </c>
      <c r="BS19" s="417">
        <f t="shared" si="23"/>
        <v>584549.730106059</v>
      </c>
      <c r="BT19" s="417">
        <f t="shared" si="23"/>
        <v>585753.80684165831</v>
      </c>
      <c r="BU19" s="417">
        <f t="shared" si="23"/>
        <v>586960.36377818929</v>
      </c>
      <c r="BV19" s="417">
        <f t="shared" si="23"/>
        <v>588169.40602445952</v>
      </c>
      <c r="BW19" s="417">
        <f t="shared" si="23"/>
        <v>589380.93869980064</v>
      </c>
      <c r="BX19" s="417">
        <f t="shared" si="23"/>
        <v>590594.96693408838</v>
      </c>
      <c r="BY19" s="417">
        <f t="shared" si="23"/>
        <v>591811.49586776586</v>
      </c>
      <c r="BZ19" s="417">
        <f t="shared" si="23"/>
        <v>593030.53065186401</v>
      </c>
      <c r="CA19" s="417">
        <f t="shared" si="23"/>
        <v>594252.07644802483</v>
      </c>
      <c r="CB19" s="417">
        <f t="shared" si="23"/>
        <v>595476.13842852192</v>
      </c>
      <c r="CC19" s="417">
        <f t="shared" si="23"/>
        <v>596702.72177628288</v>
      </c>
      <c r="CD19" s="417">
        <f t="shared" si="23"/>
        <v>597931.83168491151</v>
      </c>
      <c r="CE19" s="417">
        <f t="shared" si="23"/>
        <v>599163.47335870948</v>
      </c>
      <c r="CF19" s="417">
        <f t="shared" si="23"/>
        <v>600397.6520126987</v>
      </c>
      <c r="CG19" s="417">
        <f t="shared" si="23"/>
        <v>601634.37287264282</v>
      </c>
      <c r="CH19" s="417">
        <f t="shared" si="23"/>
        <v>602873.64117506996</v>
      </c>
      <c r="CI19" s="417">
        <f t="shared" si="23"/>
        <v>604115.4621672947</v>
      </c>
      <c r="CJ19" s="417">
        <f t="shared" si="23"/>
        <v>605359.8411074396</v>
      </c>
      <c r="CK19" s="417">
        <f t="shared" si="23"/>
        <v>606606.78326445888</v>
      </c>
      <c r="CL19" s="417">
        <f t="shared" si="23"/>
        <v>607856.29391815967</v>
      </c>
      <c r="CM19" s="417">
        <f t="shared" si="23"/>
        <v>609108.37835922453</v>
      </c>
      <c r="CN19" s="417">
        <f t="shared" si="23"/>
        <v>610363.04188923386</v>
      </c>
      <c r="CO19" s="417">
        <f t="shared" si="23"/>
        <v>611620.28982068901</v>
      </c>
      <c r="CP19" s="417">
        <f t="shared" si="23"/>
        <v>612880.1274770333</v>
      </c>
      <c r="CQ19" s="417">
        <f t="shared" si="23"/>
        <v>614142.56019267638</v>
      </c>
      <c r="CR19" s="417">
        <f t="shared" si="23"/>
        <v>615407.59331301542</v>
      </c>
      <c r="CS19" s="417">
        <f t="shared" si="23"/>
        <v>616675.23219445813</v>
      </c>
      <c r="CT19" s="417">
        <f t="shared" si="23"/>
        <v>617945.48220444599</v>
      </c>
      <c r="CU19" s="417">
        <f t="shared" si="23"/>
        <v>619218.34872147616</v>
      </c>
      <c r="CV19" s="417">
        <f t="shared" si="23"/>
        <v>620493.83713512484</v>
      </c>
      <c r="CW19" s="417">
        <f t="shared" si="23"/>
        <v>621771.95284606959</v>
      </c>
      <c r="CX19" s="417">
        <f t="shared" ref="CX19:EC19" si="24">IFERROR(SUM(CX16,CX18),0)</f>
        <v>623052.70126611297</v>
      </c>
      <c r="CY19" s="417">
        <f t="shared" si="24"/>
        <v>624336.08781820431</v>
      </c>
      <c r="CZ19" s="417">
        <f t="shared" si="24"/>
        <v>625622.11793646391</v>
      </c>
      <c r="DA19" s="417">
        <f t="shared" si="24"/>
        <v>626910.7970662053</v>
      </c>
      <c r="DB19" s="417">
        <f t="shared" si="24"/>
        <v>628202.13066395838</v>
      </c>
      <c r="DC19" s="417">
        <f t="shared" si="24"/>
        <v>629496.12419749238</v>
      </c>
      <c r="DD19" s="417">
        <f t="shared" si="24"/>
        <v>630792.78314583993</v>
      </c>
      <c r="DE19" s="417">
        <f t="shared" si="24"/>
        <v>632092.11299931875</v>
      </c>
      <c r="DF19" s="417">
        <f t="shared" si="24"/>
        <v>633394.11925955629</v>
      </c>
      <c r="DG19" s="417">
        <f t="shared" si="24"/>
        <v>634698.80743951211</v>
      </c>
      <c r="DH19" s="417">
        <f t="shared" si="24"/>
        <v>636006.18306350196</v>
      </c>
      <c r="DI19" s="417">
        <f t="shared" si="24"/>
        <v>637316.25166722049</v>
      </c>
      <c r="DJ19" s="417">
        <f t="shared" si="24"/>
        <v>638629.01879776479</v>
      </c>
      <c r="DK19" s="417">
        <f t="shared" si="24"/>
        <v>639944.49001365842</v>
      </c>
      <c r="DL19" s="417">
        <f t="shared" si="24"/>
        <v>641262.67088487465</v>
      </c>
      <c r="DM19" s="417">
        <f t="shared" si="24"/>
        <v>642583.56699285947</v>
      </c>
      <c r="DN19" s="417">
        <f t="shared" si="24"/>
        <v>643907.18393055641</v>
      </c>
      <c r="DO19" s="417">
        <f t="shared" si="24"/>
        <v>645233.52730242861</v>
      </c>
      <c r="DP19" s="417">
        <f t="shared" si="24"/>
        <v>646562.60272448475</v>
      </c>
      <c r="DQ19" s="417">
        <f t="shared" si="24"/>
        <v>647894.41582430073</v>
      </c>
      <c r="DR19" s="417">
        <f t="shared" si="24"/>
        <v>649228.97224104416</v>
      </c>
      <c r="DS19" s="417">
        <f t="shared" si="24"/>
        <v>650566.27762549906</v>
      </c>
      <c r="DT19" s="417">
        <f t="shared" si="24"/>
        <v>651906.33764008863</v>
      </c>
      <c r="DU19" s="417">
        <f t="shared" si="24"/>
        <v>653249.15795889997</v>
      </c>
    </row>
    <row r="20" spans="1:125" ht="15.75" customHeight="1" x14ac:dyDescent="0.25">
      <c r="A20" s="418"/>
      <c r="B20" s="112"/>
      <c r="C20" s="112"/>
      <c r="D20" s="419"/>
      <c r="E20" s="112"/>
      <c r="F20" s="420"/>
      <c r="G20" s="420"/>
      <c r="H20" s="420"/>
      <c r="I20" s="420"/>
      <c r="J20" s="421"/>
      <c r="K20" s="421"/>
      <c r="L20" s="421"/>
      <c r="M20" s="421"/>
      <c r="N20" s="421"/>
      <c r="O20" s="421"/>
      <c r="P20" s="421"/>
      <c r="Q20" s="421"/>
      <c r="R20" s="421"/>
      <c r="S20" s="421"/>
      <c r="T20" s="421"/>
      <c r="U20" s="422"/>
      <c r="V20" s="422"/>
      <c r="W20" s="422"/>
      <c r="X20" s="422"/>
      <c r="Y20" s="422"/>
      <c r="Z20" s="422"/>
      <c r="AA20" s="422"/>
      <c r="AB20" s="422"/>
      <c r="AC20" s="422"/>
      <c r="AD20" s="422"/>
      <c r="AE20" s="422"/>
      <c r="AF20" s="422"/>
      <c r="AG20" s="422"/>
      <c r="AH20" s="422"/>
      <c r="AI20" s="422"/>
      <c r="AJ20" s="422"/>
      <c r="AK20" s="422"/>
      <c r="AL20" s="422"/>
      <c r="AM20" s="422"/>
      <c r="AN20" s="422"/>
      <c r="AO20" s="422"/>
      <c r="AP20" s="422"/>
      <c r="AQ20" s="422"/>
      <c r="AR20" s="422"/>
      <c r="AS20" s="422"/>
      <c r="AT20" s="422"/>
      <c r="AU20" s="422"/>
      <c r="AV20" s="422"/>
      <c r="AW20" s="422"/>
      <c r="AX20" s="422"/>
      <c r="AY20" s="422"/>
      <c r="AZ20" s="422"/>
      <c r="BA20" s="422"/>
      <c r="BB20" s="422"/>
      <c r="BC20" s="422"/>
      <c r="BD20" s="422"/>
      <c r="BE20" s="422"/>
      <c r="BF20" s="422"/>
      <c r="BG20" s="422"/>
      <c r="BH20" s="422"/>
      <c r="BI20" s="422"/>
      <c r="BJ20" s="422"/>
      <c r="BK20" s="422"/>
      <c r="BL20" s="422"/>
      <c r="BM20" s="422"/>
      <c r="BN20" s="422"/>
      <c r="BO20" s="422"/>
      <c r="BP20" s="422"/>
      <c r="BQ20" s="422"/>
      <c r="BR20" s="422"/>
      <c r="BS20" s="422"/>
      <c r="BT20" s="422"/>
      <c r="BU20" s="422"/>
      <c r="BV20" s="422"/>
      <c r="BW20" s="422"/>
      <c r="BX20" s="422"/>
      <c r="BY20" s="422"/>
      <c r="BZ20" s="422"/>
      <c r="CA20" s="422"/>
      <c r="CB20" s="422"/>
      <c r="CC20" s="422"/>
      <c r="CD20" s="422"/>
      <c r="CE20" s="422"/>
      <c r="CF20" s="422"/>
      <c r="CG20" s="422"/>
      <c r="CH20" s="422"/>
      <c r="CI20" s="422"/>
      <c r="CJ20" s="422"/>
      <c r="CK20" s="422"/>
      <c r="CL20" s="422"/>
      <c r="CM20" s="422"/>
      <c r="CN20" s="422"/>
      <c r="CO20" s="422"/>
      <c r="CP20" s="422"/>
      <c r="CQ20" s="422"/>
      <c r="CR20" s="422"/>
      <c r="CS20" s="422"/>
      <c r="CT20" s="422"/>
      <c r="CU20" s="422"/>
      <c r="CV20" s="422"/>
      <c r="CW20" s="422"/>
      <c r="CX20" s="422"/>
      <c r="CY20" s="422"/>
      <c r="CZ20" s="422"/>
      <c r="DA20" s="422"/>
      <c r="DB20" s="422"/>
      <c r="DC20" s="422"/>
      <c r="DD20" s="422"/>
      <c r="DE20" s="422"/>
      <c r="DF20" s="422"/>
      <c r="DG20" s="422"/>
      <c r="DH20" s="422"/>
      <c r="DI20" s="422"/>
      <c r="DJ20" s="422"/>
      <c r="DK20" s="422"/>
      <c r="DL20" s="422"/>
      <c r="DM20" s="422"/>
      <c r="DN20" s="422"/>
      <c r="DO20" s="422"/>
      <c r="DP20" s="422"/>
      <c r="DQ20" s="422"/>
      <c r="DR20" s="422"/>
      <c r="DS20" s="422"/>
      <c r="DT20" s="422"/>
      <c r="DU20" s="422"/>
    </row>
    <row r="21" spans="1:125" ht="15.75" hidden="1" customHeight="1" x14ac:dyDescent="0.25">
      <c r="A21" s="423" t="s">
        <v>495</v>
      </c>
      <c r="B21" s="394"/>
      <c r="C21" s="394"/>
      <c r="D21" s="395"/>
      <c r="E21" s="394"/>
      <c r="F21" s="415"/>
      <c r="G21" s="415"/>
      <c r="H21" s="415"/>
      <c r="I21" s="415"/>
      <c r="J21" s="416"/>
      <c r="K21" s="416"/>
      <c r="L21" s="416"/>
      <c r="M21" s="416"/>
      <c r="N21" s="416"/>
      <c r="O21" s="416"/>
      <c r="P21" s="416"/>
      <c r="Q21" s="416"/>
      <c r="R21" s="416"/>
      <c r="S21" s="416"/>
      <c r="T21" s="416"/>
      <c r="U21" s="417"/>
      <c r="V21" s="417"/>
      <c r="W21" s="417"/>
      <c r="X21" s="417"/>
      <c r="Y21" s="417"/>
      <c r="Z21" s="417"/>
      <c r="AA21" s="417"/>
      <c r="AB21" s="417"/>
      <c r="AC21" s="417"/>
      <c r="AD21" s="417"/>
      <c r="AE21" s="417"/>
      <c r="AF21" s="417"/>
      <c r="AG21" s="417"/>
      <c r="AH21" s="417"/>
      <c r="AI21" s="417"/>
      <c r="AJ21" s="417"/>
      <c r="AK21" s="417"/>
      <c r="AL21" s="417"/>
      <c r="AM21" s="417"/>
      <c r="AN21" s="417"/>
      <c r="AO21" s="417"/>
      <c r="AP21" s="417"/>
      <c r="AQ21" s="417"/>
      <c r="AR21" s="417"/>
      <c r="AS21" s="417"/>
      <c r="AT21" s="417"/>
      <c r="AU21" s="417"/>
      <c r="AV21" s="417"/>
      <c r="AW21" s="417"/>
      <c r="AX21" s="417"/>
      <c r="AY21" s="417"/>
      <c r="AZ21" s="417"/>
      <c r="BA21" s="417"/>
      <c r="BB21" s="417"/>
      <c r="BC21" s="417"/>
      <c r="BD21" s="417"/>
      <c r="BE21" s="417"/>
      <c r="BF21" s="417"/>
      <c r="BG21" s="417"/>
      <c r="BH21" s="417"/>
      <c r="BI21" s="417"/>
      <c r="BJ21" s="417"/>
      <c r="BK21" s="417"/>
      <c r="BL21" s="417"/>
      <c r="BM21" s="417"/>
      <c r="BN21" s="417"/>
      <c r="BO21" s="417"/>
      <c r="BP21" s="417"/>
      <c r="BQ21" s="417"/>
      <c r="BR21" s="417"/>
      <c r="BS21" s="417"/>
      <c r="BT21" s="417"/>
      <c r="BU21" s="417"/>
      <c r="BV21" s="417"/>
      <c r="BW21" s="417"/>
      <c r="BX21" s="417"/>
      <c r="BY21" s="417"/>
      <c r="BZ21" s="417"/>
      <c r="CA21" s="417"/>
      <c r="CB21" s="417"/>
      <c r="CC21" s="417"/>
      <c r="CD21" s="417"/>
      <c r="CE21" s="417"/>
      <c r="CF21" s="417"/>
      <c r="CG21" s="417"/>
      <c r="CH21" s="417"/>
      <c r="CI21" s="417"/>
      <c r="CJ21" s="417"/>
      <c r="CK21" s="417"/>
      <c r="CL21" s="417"/>
      <c r="CM21" s="417"/>
      <c r="CN21" s="417"/>
      <c r="CO21" s="417"/>
      <c r="CP21" s="417"/>
      <c r="CQ21" s="417"/>
      <c r="CR21" s="417"/>
      <c r="CS21" s="417"/>
      <c r="CT21" s="417"/>
      <c r="CU21" s="417"/>
      <c r="CV21" s="417"/>
      <c r="CW21" s="417"/>
      <c r="CX21" s="417"/>
      <c r="CY21" s="417"/>
      <c r="CZ21" s="417"/>
      <c r="DA21" s="417"/>
      <c r="DB21" s="417"/>
      <c r="DC21" s="417"/>
      <c r="DD21" s="417"/>
      <c r="DE21" s="417"/>
      <c r="DF21" s="417"/>
      <c r="DG21" s="417"/>
      <c r="DH21" s="417"/>
      <c r="DI21" s="417"/>
      <c r="DJ21" s="417"/>
      <c r="DK21" s="417"/>
      <c r="DL21" s="417"/>
      <c r="DM21" s="417"/>
      <c r="DN21" s="417"/>
      <c r="DO21" s="417"/>
      <c r="DP21" s="417"/>
      <c r="DQ21" s="417"/>
      <c r="DR21" s="417"/>
      <c r="DS21" s="417"/>
      <c r="DT21" s="417"/>
      <c r="DU21" s="417"/>
    </row>
    <row r="22" spans="1:125" ht="15.75" hidden="1" customHeight="1" x14ac:dyDescent="0.25">
      <c r="A22" s="423" t="s">
        <v>491</v>
      </c>
      <c r="B22" s="394"/>
      <c r="C22" s="394"/>
      <c r="D22" s="395"/>
      <c r="E22" s="394"/>
      <c r="F22" s="415">
        <f>0</f>
        <v>0</v>
      </c>
      <c r="G22" s="415">
        <f>0</f>
        <v>0</v>
      </c>
      <c r="H22" s="415">
        <f>0</f>
        <v>0</v>
      </c>
      <c r="I22" s="415">
        <f>0</f>
        <v>0</v>
      </c>
      <c r="J22" s="416">
        <f>0</f>
        <v>0</v>
      </c>
      <c r="K22" s="416">
        <f>0</f>
        <v>0</v>
      </c>
      <c r="L22" s="416">
        <f>0</f>
        <v>0</v>
      </c>
      <c r="M22" s="416">
        <f>0</f>
        <v>0</v>
      </c>
      <c r="N22" s="416">
        <f>0</f>
        <v>0</v>
      </c>
      <c r="O22" s="416">
        <f>0</f>
        <v>0</v>
      </c>
      <c r="P22" s="416">
        <f>0</f>
        <v>0</v>
      </c>
      <c r="Q22" s="416">
        <f>0</f>
        <v>0</v>
      </c>
      <c r="R22" s="416">
        <f>0</f>
        <v>0</v>
      </c>
      <c r="S22" s="416">
        <f>0</f>
        <v>0</v>
      </c>
      <c r="T22" s="416">
        <f>0</f>
        <v>0</v>
      </c>
      <c r="U22" s="417">
        <f>0</f>
        <v>0</v>
      </c>
      <c r="V22" s="417">
        <f>0</f>
        <v>0</v>
      </c>
      <c r="W22" s="417">
        <f>0</f>
        <v>0</v>
      </c>
      <c r="X22" s="417">
        <f>0</f>
        <v>0</v>
      </c>
      <c r="Y22" s="417">
        <f>0</f>
        <v>0</v>
      </c>
      <c r="Z22" s="417">
        <f>0</f>
        <v>0</v>
      </c>
      <c r="AA22" s="417">
        <f>0</f>
        <v>0</v>
      </c>
      <c r="AB22" s="417">
        <f>0</f>
        <v>0</v>
      </c>
      <c r="AC22" s="417">
        <f>0</f>
        <v>0</v>
      </c>
      <c r="AD22" s="417">
        <f>0</f>
        <v>0</v>
      </c>
      <c r="AE22" s="417">
        <f>0</f>
        <v>0</v>
      </c>
      <c r="AF22" s="417">
        <f>0</f>
        <v>0</v>
      </c>
      <c r="AG22" s="417">
        <f>0</f>
        <v>0</v>
      </c>
      <c r="AH22" s="417">
        <f>0</f>
        <v>0</v>
      </c>
      <c r="AI22" s="417">
        <f>0</f>
        <v>0</v>
      </c>
      <c r="AJ22" s="417">
        <f>0</f>
        <v>0</v>
      </c>
      <c r="AK22" s="417">
        <f>0</f>
        <v>0</v>
      </c>
      <c r="AL22" s="417">
        <f>0</f>
        <v>0</v>
      </c>
      <c r="AM22" s="417">
        <f>0</f>
        <v>0</v>
      </c>
      <c r="AN22" s="417">
        <f>0</f>
        <v>0</v>
      </c>
      <c r="AO22" s="417">
        <f>0</f>
        <v>0</v>
      </c>
      <c r="AP22" s="417">
        <f>0</f>
        <v>0</v>
      </c>
      <c r="AQ22" s="417">
        <f>0</f>
        <v>0</v>
      </c>
      <c r="AR22" s="417">
        <f>0</f>
        <v>0</v>
      </c>
      <c r="AS22" s="417">
        <f>0</f>
        <v>0</v>
      </c>
      <c r="AT22" s="417">
        <f>0</f>
        <v>0</v>
      </c>
      <c r="AU22" s="417">
        <f>0</f>
        <v>0</v>
      </c>
      <c r="AV22" s="417">
        <f>0</f>
        <v>0</v>
      </c>
      <c r="AW22" s="417">
        <f>0</f>
        <v>0</v>
      </c>
      <c r="AX22" s="417">
        <f>0</f>
        <v>0</v>
      </c>
      <c r="AY22" s="417">
        <f>0</f>
        <v>0</v>
      </c>
      <c r="AZ22" s="417">
        <f>0</f>
        <v>0</v>
      </c>
      <c r="BA22" s="417">
        <f>0</f>
        <v>0</v>
      </c>
      <c r="BB22" s="417">
        <f>0</f>
        <v>0</v>
      </c>
      <c r="BC22" s="417">
        <f>0</f>
        <v>0</v>
      </c>
      <c r="BD22" s="417">
        <f>0</f>
        <v>0</v>
      </c>
      <c r="BE22" s="417">
        <f>0</f>
        <v>0</v>
      </c>
      <c r="BF22" s="417">
        <f>0</f>
        <v>0</v>
      </c>
      <c r="BG22" s="417">
        <f>0</f>
        <v>0</v>
      </c>
      <c r="BH22" s="417">
        <f>0</f>
        <v>0</v>
      </c>
      <c r="BI22" s="417">
        <f>0</f>
        <v>0</v>
      </c>
      <c r="BJ22" s="417">
        <f>0</f>
        <v>0</v>
      </c>
      <c r="BK22" s="417">
        <f>0</f>
        <v>0</v>
      </c>
      <c r="BL22" s="417">
        <f>0</f>
        <v>0</v>
      </c>
      <c r="BM22" s="417">
        <f>0</f>
        <v>0</v>
      </c>
      <c r="BN22" s="417">
        <f>0</f>
        <v>0</v>
      </c>
      <c r="BO22" s="417">
        <f>0</f>
        <v>0</v>
      </c>
      <c r="BP22" s="417">
        <f>0</f>
        <v>0</v>
      </c>
      <c r="BQ22" s="417">
        <f>0</f>
        <v>0</v>
      </c>
      <c r="BR22" s="417">
        <f>0</f>
        <v>0</v>
      </c>
      <c r="BS22" s="417">
        <f>0</f>
        <v>0</v>
      </c>
      <c r="BT22" s="417">
        <f>0</f>
        <v>0</v>
      </c>
      <c r="BU22" s="417">
        <f>0</f>
        <v>0</v>
      </c>
      <c r="BV22" s="417">
        <f>0</f>
        <v>0</v>
      </c>
      <c r="BW22" s="417">
        <f>0</f>
        <v>0</v>
      </c>
      <c r="BX22" s="417">
        <f>0</f>
        <v>0</v>
      </c>
      <c r="BY22" s="417">
        <f>0</f>
        <v>0</v>
      </c>
      <c r="BZ22" s="417">
        <f>0</f>
        <v>0</v>
      </c>
      <c r="CA22" s="417">
        <f>0</f>
        <v>0</v>
      </c>
      <c r="CB22" s="417">
        <f>0</f>
        <v>0</v>
      </c>
      <c r="CC22" s="417">
        <f>0</f>
        <v>0</v>
      </c>
      <c r="CD22" s="417">
        <f>0</f>
        <v>0</v>
      </c>
      <c r="CE22" s="417">
        <f>0</f>
        <v>0</v>
      </c>
      <c r="CF22" s="417">
        <f>0</f>
        <v>0</v>
      </c>
      <c r="CG22" s="417">
        <f>0</f>
        <v>0</v>
      </c>
      <c r="CH22" s="417">
        <f>0</f>
        <v>0</v>
      </c>
      <c r="CI22" s="417">
        <f>0</f>
        <v>0</v>
      </c>
      <c r="CJ22" s="417">
        <f>0</f>
        <v>0</v>
      </c>
      <c r="CK22" s="417">
        <f>0</f>
        <v>0</v>
      </c>
      <c r="CL22" s="417">
        <f>0</f>
        <v>0</v>
      </c>
      <c r="CM22" s="417">
        <f>0</f>
        <v>0</v>
      </c>
      <c r="CN22" s="417">
        <f>0</f>
        <v>0</v>
      </c>
      <c r="CO22" s="417">
        <f>0</f>
        <v>0</v>
      </c>
      <c r="CP22" s="417">
        <f>0</f>
        <v>0</v>
      </c>
      <c r="CQ22" s="417">
        <f>0</f>
        <v>0</v>
      </c>
      <c r="CR22" s="417">
        <f>0</f>
        <v>0</v>
      </c>
      <c r="CS22" s="417">
        <f>0</f>
        <v>0</v>
      </c>
      <c r="CT22" s="417">
        <f>0</f>
        <v>0</v>
      </c>
      <c r="CU22" s="417">
        <f>0</f>
        <v>0</v>
      </c>
      <c r="CV22" s="417">
        <f>0</f>
        <v>0</v>
      </c>
      <c r="CW22" s="417">
        <f>0</f>
        <v>0</v>
      </c>
      <c r="CX22" s="417">
        <f>0</f>
        <v>0</v>
      </c>
      <c r="CY22" s="417">
        <f>0</f>
        <v>0</v>
      </c>
      <c r="CZ22" s="417">
        <f>0</f>
        <v>0</v>
      </c>
      <c r="DA22" s="417">
        <f>0</f>
        <v>0</v>
      </c>
      <c r="DB22" s="417">
        <f>0</f>
        <v>0</v>
      </c>
      <c r="DC22" s="417">
        <f>0</f>
        <v>0</v>
      </c>
      <c r="DD22" s="417">
        <f>0</f>
        <v>0</v>
      </c>
      <c r="DE22" s="417">
        <f>0</f>
        <v>0</v>
      </c>
      <c r="DF22" s="417">
        <f>0</f>
        <v>0</v>
      </c>
      <c r="DG22" s="417">
        <f>0</f>
        <v>0</v>
      </c>
      <c r="DH22" s="417">
        <f>0</f>
        <v>0</v>
      </c>
      <c r="DI22" s="417">
        <f>0</f>
        <v>0</v>
      </c>
      <c r="DJ22" s="417">
        <f>0</f>
        <v>0</v>
      </c>
      <c r="DK22" s="417">
        <f>0</f>
        <v>0</v>
      </c>
      <c r="DL22" s="417">
        <f>0</f>
        <v>0</v>
      </c>
      <c r="DM22" s="417">
        <f>0</f>
        <v>0</v>
      </c>
      <c r="DN22" s="417">
        <f>0</f>
        <v>0</v>
      </c>
      <c r="DO22" s="417">
        <f>0</f>
        <v>0</v>
      </c>
      <c r="DP22" s="417">
        <f>0</f>
        <v>0</v>
      </c>
      <c r="DQ22" s="417">
        <f>0</f>
        <v>0</v>
      </c>
      <c r="DR22" s="417">
        <f>0</f>
        <v>0</v>
      </c>
      <c r="DS22" s="417">
        <f>0</f>
        <v>0</v>
      </c>
      <c r="DT22" s="417">
        <f>0</f>
        <v>0</v>
      </c>
      <c r="DU22" s="417">
        <f>0</f>
        <v>0</v>
      </c>
    </row>
    <row r="23" spans="1:125" ht="15.75" hidden="1" customHeight="1" x14ac:dyDescent="0.25">
      <c r="A23" s="423" t="s">
        <v>492</v>
      </c>
      <c r="B23" s="394"/>
      <c r="C23" s="394"/>
      <c r="D23" s="395"/>
      <c r="E23" s="394"/>
      <c r="F23" s="415">
        <f>IF(F4&gt;=Inputs!$E$29,'(Z+) Rent Roll'!$H$20*F9*F12,0)</f>
        <v>0</v>
      </c>
      <c r="G23" s="415">
        <f>IF(G4&gt;=Inputs!$E$29,'(Z+) Rent Roll'!$H$20*G9*G12,0)</f>
        <v>0</v>
      </c>
      <c r="H23" s="415">
        <f>IF(H4&gt;=Inputs!$E$29,'(Z+) Rent Roll'!$H$20*H9*H12,0)</f>
        <v>0</v>
      </c>
      <c r="I23" s="415">
        <f>IF(I4&gt;=Inputs!$E$29,'(Z+) Rent Roll'!$H$20*I9*I12,0)</f>
        <v>0</v>
      </c>
      <c r="J23" s="416">
        <f>IF(J4&gt;=Inputs!$E$29,'(Z+) Rent Roll'!$H$20*J9*J12,0)</f>
        <v>0</v>
      </c>
      <c r="K23" s="416">
        <f>IF(K4&gt;=Inputs!$E$29,'(Z+) Rent Roll'!$H$20*K9*K12,0)</f>
        <v>0</v>
      </c>
      <c r="L23" s="416">
        <f>IF(L4&gt;=Inputs!$E$29,'(Z+) Rent Roll'!$H$20*L9*L12,0)</f>
        <v>0</v>
      </c>
      <c r="M23" s="416">
        <f>IF(M4&gt;=Inputs!$E$29,'(Z+) Rent Roll'!$H$20*M9*M12,0)</f>
        <v>0</v>
      </c>
      <c r="N23" s="416">
        <f>IF(N4&gt;=Inputs!$E$29,'(Z+) Rent Roll'!$H$20*N9*N12,0)</f>
        <v>0</v>
      </c>
      <c r="O23" s="416">
        <f>IF(O4&gt;=Inputs!$E$29,'(Z+) Rent Roll'!$H$20*O9*O12,0)</f>
        <v>0</v>
      </c>
      <c r="P23" s="416">
        <f>IF(P4&gt;=Inputs!$E$29,'(Z+) Rent Roll'!$H$20*P9*P12,0)</f>
        <v>0</v>
      </c>
      <c r="Q23" s="416">
        <f>IF(Q4&gt;=Inputs!$E$29,'(Z+) Rent Roll'!$H$20*Q9*Q12,0)</f>
        <v>0</v>
      </c>
      <c r="R23" s="416">
        <f>IF(R4&gt;=Inputs!$E$29,'(Z+) Rent Roll'!$H$20*R9*R12,0)</f>
        <v>0</v>
      </c>
      <c r="S23" s="416">
        <f>IF(S4&gt;=Inputs!$E$29,'(Z+) Rent Roll'!$H$20*S9*S12,0)</f>
        <v>0</v>
      </c>
      <c r="T23" s="416">
        <f>IF(T4&gt;=Inputs!$E$29,'(Z+) Rent Roll'!$H$20*T9*T12,0)</f>
        <v>0</v>
      </c>
      <c r="U23" s="417">
        <f>IF(U4&gt;=Inputs!$E$29,'(Z+) Rent Roll'!$H$20*U9*U12,0)</f>
        <v>0</v>
      </c>
      <c r="V23" s="417">
        <f>IF(V4&gt;=Inputs!$E$29,'(Z+) Rent Roll'!$H$20*V9*V12,0)</f>
        <v>0</v>
      </c>
      <c r="W23" s="417">
        <f>IF(W4&gt;=Inputs!$E$29,'(Z+) Rent Roll'!$H$20*W9*W12,0)</f>
        <v>0</v>
      </c>
      <c r="X23" s="417">
        <f>IF(X4&gt;=Inputs!$E$29,'(Z+) Rent Roll'!$H$20*X9*X12,0)</f>
        <v>0</v>
      </c>
      <c r="Y23" s="417">
        <f>IF(Y4&gt;=Inputs!$E$29,'(Z+) Rent Roll'!$H$20*Y9*Y12,0)</f>
        <v>0</v>
      </c>
      <c r="Z23" s="417">
        <f>IF(Z4&gt;=Inputs!$E$29,'(Z+) Rent Roll'!$H$20*Z9*Z12,0)</f>
        <v>0</v>
      </c>
      <c r="AA23" s="417">
        <f>IF(AA4&gt;=Inputs!$E$29,'(Z+) Rent Roll'!$H$20*AA9*AA12,0)</f>
        <v>265.56451742608232</v>
      </c>
      <c r="AB23" s="417">
        <f>IF(AB4&gt;=Inputs!$E$29,'(Z+) Rent Roll'!$H$20*AB9*AB12,0)</f>
        <v>532.22307370211968</v>
      </c>
      <c r="AC23" s="417">
        <f>IF(AC4&gt;=Inputs!$E$29,'(Z+) Rent Roll'!$H$20*AC9*AC12,0)</f>
        <v>799.97904913946786</v>
      </c>
      <c r="AD23" s="417">
        <f>IF(AD4&gt;=Inputs!$E$29,'(Z+) Rent Roll'!$H$20*AD9*AD12,0)</f>
        <v>1068.8358333333329</v>
      </c>
      <c r="AE23" s="417">
        <f>IF(AE4&gt;=Inputs!$E$29,'(Z+) Rent Roll'!$H$20*AE9*AE12,0)</f>
        <v>1338.7968251866755</v>
      </c>
      <c r="AF23" s="417">
        <f>IF(AF4&gt;=Inputs!$E$29,'(Z+) Rent Roll'!$H$20*AF9*AF12,0)</f>
        <v>1591.9780392349053</v>
      </c>
      <c r="AG23" s="417">
        <f>IF(AG4&gt;=Inputs!$E$29,'(Z+) Rent Roll'!$H$20*AG9*AG12,0)</f>
        <v>1882.0450741662473</v>
      </c>
      <c r="AH23" s="417">
        <f>IF(AH4&gt;=Inputs!$E$29,'(Z+) Rent Roll'!$H$20*AH9*AH12,0)</f>
        <v>2155.3391758531366</v>
      </c>
      <c r="AI23" s="417">
        <f>IF(AI4&gt;=Inputs!$E$29,'(Z+) Rent Roll'!$H$20*AI9*AI12,0)</f>
        <v>2429.7511743690429</v>
      </c>
      <c r="AJ23" s="417">
        <f>IF(AJ4&gt;=Inputs!$E$29,'(Z+) Rent Roll'!$H$20*AJ9*AJ12,0)</f>
        <v>2434.7560639647013</v>
      </c>
      <c r="AK23" s="417">
        <f>IF(AK4&gt;=Inputs!$E$29,'(Z+) Rent Roll'!$H$20*AK9*AK12,0)</f>
        <v>2439.7712628134755</v>
      </c>
      <c r="AL23" s="417">
        <f>IF(AL4&gt;=Inputs!$E$29,'(Z+) Rent Roll'!$H$20*AL9*AL12,0)</f>
        <v>2444.7967921507388</v>
      </c>
      <c r="AM23" s="417">
        <f>IF(AM4&gt;=Inputs!$E$29,'(Z+) Rent Roll'!$H$20*AM9*AM12,0)</f>
        <v>2449.8326732556061</v>
      </c>
      <c r="AN23" s="417">
        <f>IF(AN4&gt;=Inputs!$E$29,'(Z+) Rent Roll'!$H$20*AN9*AN12,0)</f>
        <v>2454.8789274510241</v>
      </c>
      <c r="AO23" s="417">
        <f>IF(AO4&gt;=Inputs!$E$29,'(Z+) Rent Roll'!$H$20*AO9*AO12,0)</f>
        <v>2459.9355761038601</v>
      </c>
      <c r="AP23" s="417">
        <f>IF(AP4&gt;=Inputs!$E$29,'(Z+) Rent Roll'!$H$20*AP9*AP12,0)</f>
        <v>2465.0026406249958</v>
      </c>
      <c r="AQ23" s="417">
        <f>IF(AQ4&gt;=Inputs!$E$29,'(Z+) Rent Roll'!$H$20*AQ9*AQ12,0)</f>
        <v>2470.0801424694132</v>
      </c>
      <c r="AR23" s="417">
        <f>IF(AR4&gt;=Inputs!$E$29,'(Z+) Rent Roll'!$H$20*AR9*AR12,0)</f>
        <v>2475.1681031362896</v>
      </c>
      <c r="AS23" s="417">
        <f>IF(AS4&gt;=Inputs!$E$29,'(Z+) Rent Roll'!$H$20*AS9*AS12,0)</f>
        <v>2480.2665441690879</v>
      </c>
      <c r="AT23" s="417">
        <f>IF(AT4&gt;=Inputs!$E$29,'(Z+) Rent Roll'!$H$20*AT9*AT12,0)</f>
        <v>2485.3754871556448</v>
      </c>
      <c r="AU23" s="417">
        <f>IF(AU4&gt;=Inputs!$E$29,'(Z+) Rent Roll'!$H$20*AU9*AU12,0)</f>
        <v>2490.494953728266</v>
      </c>
      <c r="AV23" s="417">
        <f>IF(AV4&gt;=Inputs!$E$29,'(Z+) Rent Roll'!$H$20*AV9*AV12,0)</f>
        <v>2495.6249655638157</v>
      </c>
      <c r="AW23" s="417">
        <f>IF(AW4&gt;=Inputs!$E$29,'(Z+) Rent Roll'!$H$20*AW9*AW12,0)</f>
        <v>2500.7655443838094</v>
      </c>
      <c r="AX23" s="417">
        <f>IF(AX4&gt;=Inputs!$E$29,'(Z+) Rent Roll'!$H$20*AX9*AX12,0)</f>
        <v>2505.9167119545041</v>
      </c>
      <c r="AY23" s="417">
        <f>IF(AY4&gt;=Inputs!$E$29,'(Z+) Rent Roll'!$H$20*AY9*AY12,0)</f>
        <v>2511.0784900869935</v>
      </c>
      <c r="AZ23" s="417">
        <f>IF(AZ4&gt;=Inputs!$E$29,'(Z+) Rent Roll'!$H$20*AZ9*AZ12,0)</f>
        <v>2516.2509006372966</v>
      </c>
      <c r="BA23" s="417">
        <f>IF(BA4&gt;=Inputs!$E$29,'(Z+) Rent Roll'!$H$20*BA9*BA12,0)</f>
        <v>2521.4339655064537</v>
      </c>
      <c r="BB23" s="417">
        <f>IF(BB4&gt;=Inputs!$E$29,'(Z+) Rent Roll'!$H$20*BB9*BB12,0)</f>
        <v>2526.6277066406174</v>
      </c>
      <c r="BC23" s="417">
        <f>IF(BC4&gt;=Inputs!$E$29,'(Z+) Rent Roll'!$H$20*BC9*BC12,0)</f>
        <v>2531.8321460311454</v>
      </c>
      <c r="BD23" s="417">
        <f>IF(BD4&gt;=Inputs!$E$29,'(Z+) Rent Roll'!$H$20*BD9*BD12,0)</f>
        <v>2537.0473057146942</v>
      </c>
      <c r="BE23" s="417">
        <f>IF(BE4&gt;=Inputs!$E$29,'(Z+) Rent Roll'!$H$20*BE9*BE12,0)</f>
        <v>2542.2732077733122</v>
      </c>
      <c r="BF23" s="417">
        <f>IF(BF4&gt;=Inputs!$E$29,'(Z+) Rent Roll'!$H$20*BF9*BF12,0)</f>
        <v>2547.5098743345334</v>
      </c>
      <c r="BG23" s="417">
        <f>IF(BG4&gt;=Inputs!$E$29,'(Z+) Rent Roll'!$H$20*BG9*BG12,0)</f>
        <v>2552.7573275714703</v>
      </c>
      <c r="BH23" s="417">
        <f>IF(BH4&gt;=Inputs!$E$29,'(Z+) Rent Roll'!$H$20*BH9*BH12,0)</f>
        <v>2558.0155897029085</v>
      </c>
      <c r="BI23" s="417">
        <f>IF(BI4&gt;=Inputs!$E$29,'(Z+) Rent Roll'!$H$20*BI9*BI12,0)</f>
        <v>2563.2846829934019</v>
      </c>
      <c r="BJ23" s="417">
        <f>IF(BJ4&gt;=Inputs!$E$29,'(Z+) Rent Roll'!$H$20*BJ9*BJ12,0)</f>
        <v>2568.564629753364</v>
      </c>
      <c r="BK23" s="417">
        <f>IF(BK4&gt;=Inputs!$E$29,'(Z+) Rent Roll'!$H$20*BK9*BK12,0)</f>
        <v>2573.8554523391654</v>
      </c>
      <c r="BL23" s="417">
        <f>IF(BL4&gt;=Inputs!$E$29,'(Z+) Rent Roll'!$H$20*BL9*BL12,0)</f>
        <v>2579.1571731532263</v>
      </c>
      <c r="BM23" s="417">
        <f>IF(BM4&gt;=Inputs!$E$29,'(Z+) Rent Roll'!$H$20*BM9*BM12,0)</f>
        <v>2584.4698146441124</v>
      </c>
      <c r="BN23" s="417">
        <f>IF(BN4&gt;=Inputs!$E$29,'(Z+) Rent Roll'!$H$20*BN9*BN12,0)</f>
        <v>2589.7933993066304</v>
      </c>
      <c r="BO23" s="417">
        <f>IF(BO4&gt;=Inputs!$E$29,'(Z+) Rent Roll'!$H$20*BO9*BO12,0)</f>
        <v>2595.1279496819216</v>
      </c>
      <c r="BP23" s="417">
        <f>IF(BP4&gt;=Inputs!$E$29,'(Z+) Rent Roll'!$H$20*BP9*BP12,0)</f>
        <v>2600.4734883575588</v>
      </c>
      <c r="BQ23" s="417">
        <f>IF(BQ4&gt;=Inputs!$E$29,'(Z+) Rent Roll'!$H$20*BQ9*BQ12,0)</f>
        <v>2605.8300379676425</v>
      </c>
      <c r="BR23" s="417">
        <f>IF(BR4&gt;=Inputs!$E$29,'(Z+) Rent Roll'!$H$20*BR9*BR12,0)</f>
        <v>2611.1976211928936</v>
      </c>
      <c r="BS23" s="417">
        <f>IF(BS4&gt;=Inputs!$E$29,'(Z+) Rent Roll'!$H$20*BS9*BS12,0)</f>
        <v>2616.5762607607539</v>
      </c>
      <c r="BT23" s="417">
        <f>IF(BT4&gt;=Inputs!$E$29,'(Z+) Rent Roll'!$H$20*BT9*BT12,0)</f>
        <v>2621.9659794454783</v>
      </c>
      <c r="BU23" s="417">
        <f>IF(BU4&gt;=Inputs!$E$29,'(Z+) Rent Roll'!$H$20*BU9*BU12,0)</f>
        <v>2627.3668000682342</v>
      </c>
      <c r="BV23" s="417">
        <f>IF(BV4&gt;=Inputs!$E$29,'(Z+) Rent Roll'!$H$20*BV9*BV12,0)</f>
        <v>2632.7787454971954</v>
      </c>
      <c r="BW23" s="417">
        <f>IF(BW4&gt;=Inputs!$E$29,'(Z+) Rent Roll'!$H$20*BW9*BW12,0)</f>
        <v>2638.2018386476411</v>
      </c>
      <c r="BX23" s="417">
        <f>IF(BX4&gt;=Inputs!$E$29,'(Z+) Rent Roll'!$H$20*BX9*BX12,0)</f>
        <v>2643.6361024820535</v>
      </c>
      <c r="BY23" s="417">
        <f>IF(BY4&gt;=Inputs!$E$29,'(Z+) Rent Roll'!$H$20*BY9*BY12,0)</f>
        <v>2649.0815600102114</v>
      </c>
      <c r="BZ23" s="417">
        <f>IF(BZ4&gt;=Inputs!$E$29,'(Z+) Rent Roll'!$H$20*BZ9*BZ12,0)</f>
        <v>2654.5382342892917</v>
      </c>
      <c r="CA23" s="417">
        <f>IF(CA4&gt;=Inputs!$E$29,'(Z+) Rent Roll'!$H$20*CA9*CA12,0)</f>
        <v>2660.006148423965</v>
      </c>
      <c r="CB23" s="417">
        <f>IF(CB4&gt;=Inputs!$E$29,'(Z+) Rent Roll'!$H$20*CB9*CB12,0)</f>
        <v>2665.4853255664934</v>
      </c>
      <c r="CC23" s="417">
        <f>IF(CC4&gt;=Inputs!$E$29,'(Z+) Rent Roll'!$H$20*CC9*CC12,0)</f>
        <v>2670.9757889168291</v>
      </c>
      <c r="CD23" s="417">
        <f>IF(CD4&gt;=Inputs!$E$29,'(Z+) Rent Roll'!$H$20*CD9*CD12,0)</f>
        <v>2676.4775617227115</v>
      </c>
      <c r="CE23" s="417">
        <f>IF(CE4&gt;=Inputs!$E$29,'(Z+) Rent Roll'!$H$20*CE9*CE12,0)</f>
        <v>2681.9906672797683</v>
      </c>
      <c r="CF23" s="417">
        <f>IF(CF4&gt;=Inputs!$E$29,'(Z+) Rent Roll'!$H$20*CF9*CF12,0)</f>
        <v>2687.5151289316109</v>
      </c>
      <c r="CG23" s="417">
        <f>IF(CG4&gt;=Inputs!$E$29,'(Z+) Rent Roll'!$H$20*CG9*CG12,0)</f>
        <v>2693.0509700699349</v>
      </c>
      <c r="CH23" s="417">
        <f>IF(CH4&gt;=Inputs!$E$29,'(Z+) Rent Roll'!$H$20*CH9*CH12,0)</f>
        <v>2698.5982141346203</v>
      </c>
      <c r="CI23" s="417">
        <f>IF(CI4&gt;=Inputs!$E$29,'(Z+) Rent Roll'!$H$20*CI9*CI12,0)</f>
        <v>2704.156884613828</v>
      </c>
      <c r="CJ23" s="417">
        <f>IF(CJ4&gt;=Inputs!$E$29,'(Z+) Rent Roll'!$H$20*CJ9*CJ12,0)</f>
        <v>2709.7270050441002</v>
      </c>
      <c r="CK23" s="417">
        <f>IF(CK4&gt;=Inputs!$E$29,'(Z+) Rent Roll'!$H$20*CK9*CK12,0)</f>
        <v>2715.3085990104623</v>
      </c>
      <c r="CL23" s="417">
        <f>IF(CL4&gt;=Inputs!$E$29,'(Z+) Rent Roll'!$H$20*CL9*CL12,0)</f>
        <v>2720.9016901465202</v>
      </c>
      <c r="CM23" s="417">
        <f>IF(CM4&gt;=Inputs!$E$29,'(Z+) Rent Roll'!$H$20*CM9*CM12,0)</f>
        <v>2726.50630213456</v>
      </c>
      <c r="CN23" s="417">
        <f>IF(CN4&gt;=Inputs!$E$29,'(Z+) Rent Roll'!$H$20*CN9*CN12,0)</f>
        <v>2732.1224587056518</v>
      </c>
      <c r="CO23" s="417">
        <f>IF(CO4&gt;=Inputs!$E$29,'(Z+) Rent Roll'!$H$20*CO9*CO12,0)</f>
        <v>2737.7501836397455</v>
      </c>
      <c r="CP23" s="417">
        <f>IF(CP4&gt;=Inputs!$E$29,'(Z+) Rent Roll'!$H$20*CP9*CP12,0)</f>
        <v>2743.3895007657752</v>
      </c>
      <c r="CQ23" s="417">
        <f>IF(CQ4&gt;=Inputs!$E$29,'(Z+) Rent Roll'!$H$20*CQ9*CQ12,0)</f>
        <v>2749.0404339617585</v>
      </c>
      <c r="CR23" s="417">
        <f>IF(CR4&gt;=Inputs!$E$29,'(Z+) Rent Roll'!$H$20*CR9*CR12,0)</f>
        <v>2754.703007154897</v>
      </c>
      <c r="CS23" s="417">
        <f>IF(CS4&gt;=Inputs!$E$29,'(Z+) Rent Roll'!$H$20*CS9*CS12,0)</f>
        <v>2760.3772443216799</v>
      </c>
      <c r="CT23" s="417">
        <f>IF(CT4&gt;=Inputs!$E$29,'(Z+) Rent Roll'!$H$20*CT9*CT12,0)</f>
        <v>2766.0631694879821</v>
      </c>
      <c r="CU23" s="417">
        <f>IF(CU4&gt;=Inputs!$E$29,'(Z+) Rent Roll'!$H$20*CU9*CU12,0)</f>
        <v>2771.7608067291699</v>
      </c>
      <c r="CV23" s="417">
        <f>IF(CV4&gt;=Inputs!$E$29,'(Z+) Rent Roll'!$H$20*CV9*CV12,0)</f>
        <v>2777.470180170199</v>
      </c>
      <c r="CW23" s="417">
        <f>IF(CW4&gt;=Inputs!$E$29,'(Z+) Rent Roll'!$H$20*CW9*CW12,0)</f>
        <v>2783.1913139857202</v>
      </c>
      <c r="CX23" s="417">
        <f>IF(CX4&gt;=Inputs!$E$29,'(Z+) Rent Roll'!$H$20*CX9*CX12,0)</f>
        <v>2788.9242324001793</v>
      </c>
      <c r="CY23" s="417">
        <f>IF(CY4&gt;=Inputs!$E$29,'(Z+) Rent Roll'!$H$20*CY9*CY12,0)</f>
        <v>2794.6689596879205</v>
      </c>
      <c r="CZ23" s="417">
        <f>IF(CZ4&gt;=Inputs!$E$29,'(Z+) Rent Roll'!$H$20*CZ9*CZ12,0)</f>
        <v>2800.425520173289</v>
      </c>
      <c r="DA23" s="417">
        <f>IF(DA4&gt;=Inputs!$E$29,'(Z+) Rent Roll'!$H$20*DA9*DA12,0)</f>
        <v>2806.1939382307355</v>
      </c>
      <c r="DB23" s="417">
        <f>IF(DB4&gt;=Inputs!$E$29,'(Z+) Rent Roll'!$H$20*DB9*DB12,0)</f>
        <v>2811.9742382849158</v>
      </c>
      <c r="DC23" s="417">
        <f>IF(DC4&gt;=Inputs!$E$29,'(Z+) Rent Roll'!$H$20*DC9*DC12,0)</f>
        <v>2817.7664448107989</v>
      </c>
      <c r="DD23" s="417">
        <f>IF(DD4&gt;=Inputs!$E$29,'(Z+) Rent Roll'!$H$20*DD9*DD12,0)</f>
        <v>2823.5705823337662</v>
      </c>
      <c r="DE23" s="417">
        <f>IF(DE4&gt;=Inputs!$E$29,'(Z+) Rent Roll'!$H$20*DE9*DE12,0)</f>
        <v>2829.3866754297183</v>
      </c>
      <c r="DF23" s="417">
        <f>IF(DF4&gt;=Inputs!$E$29,'(Z+) Rent Roll'!$H$20*DF9*DF12,0)</f>
        <v>2835.2147487251777</v>
      </c>
      <c r="DG23" s="417">
        <f>IF(DG4&gt;=Inputs!$E$29,'(Z+) Rent Roll'!$H$20*DG9*DG12,0)</f>
        <v>2841.0548268973948</v>
      </c>
      <c r="DH23" s="417">
        <f>IF(DH4&gt;=Inputs!$E$29,'(Z+) Rent Roll'!$H$20*DH9*DH12,0)</f>
        <v>2846.90693467445</v>
      </c>
      <c r="DI23" s="417">
        <f>IF(DI4&gt;=Inputs!$E$29,'(Z+) Rent Roll'!$H$20*DI9*DI12,0)</f>
        <v>2852.7710968353595</v>
      </c>
      <c r="DJ23" s="417">
        <f>IF(DJ4&gt;=Inputs!$E$29,'(Z+) Rent Roll'!$H$20*DJ9*DJ12,0)</f>
        <v>2858.6473382101799</v>
      </c>
      <c r="DK23" s="417">
        <f>IF(DK4&gt;=Inputs!$E$29,'(Z+) Rent Roll'!$H$20*DK9*DK12,0)</f>
        <v>2864.5356836801143</v>
      </c>
      <c r="DL23" s="417">
        <f>IF(DL4&gt;=Inputs!$E$29,'(Z+) Rent Roll'!$H$20*DL9*DL12,0)</f>
        <v>2870.4361581776175</v>
      </c>
      <c r="DM23" s="417">
        <f>IF(DM4&gt;=Inputs!$E$29,'(Z+) Rent Roll'!$H$20*DM9*DM12,0)</f>
        <v>2876.3487866864994</v>
      </c>
      <c r="DN23" s="417">
        <f>IF(DN4&gt;=Inputs!$E$29,'(Z+) Rent Roll'!$H$20*DN9*DN12,0)</f>
        <v>2882.2735942420345</v>
      </c>
      <c r="DO23" s="417">
        <f>IF(DO4&gt;=Inputs!$E$29,'(Z+) Rent Roll'!$H$20*DO9*DO12,0)</f>
        <v>2888.210605931064</v>
      </c>
      <c r="DP23" s="417">
        <f>IF(DP4&gt;=Inputs!$E$29,'(Z+) Rent Roll'!$H$20*DP9*DP12,0)</f>
        <v>2894.1598468921056</v>
      </c>
      <c r="DQ23" s="417">
        <f>IF(DQ4&gt;=Inputs!$E$29,'(Z+) Rent Roll'!$H$20*DQ9*DQ12,0)</f>
        <v>2900.1213423154568</v>
      </c>
      <c r="DR23" s="417">
        <f>IF(DR4&gt;=Inputs!$E$29,'(Z+) Rent Roll'!$H$20*DR9*DR12,0)</f>
        <v>2906.0951174433035</v>
      </c>
      <c r="DS23" s="417">
        <f>IF(DS4&gt;=Inputs!$E$29,'(Z+) Rent Roll'!$H$20*DS9*DS12,0)</f>
        <v>2912.0811975698257</v>
      </c>
      <c r="DT23" s="417">
        <f>IF(DT4&gt;=Inputs!$E$29,'(Z+) Rent Roll'!$H$20*DT9*DT12,0)</f>
        <v>2918.079608041307</v>
      </c>
      <c r="DU23" s="417">
        <f>IF(DU4&gt;=Inputs!$E$29,'(Z+) Rent Roll'!$H$20*DU9*DU12,0)</f>
        <v>2924.0903742562391</v>
      </c>
    </row>
    <row r="24" spans="1:125" ht="15.75" hidden="1" customHeight="1" x14ac:dyDescent="0.25">
      <c r="A24" s="423" t="s">
        <v>168</v>
      </c>
      <c r="B24" s="394"/>
      <c r="C24" s="394"/>
      <c r="D24" s="395"/>
      <c r="E24" s="394"/>
      <c r="F24" s="415">
        <f>IF(F4&gt;=Inputs!$E$29,'(Z+) Rent Roll'!$H$36*F9*F12,0)</f>
        <v>0</v>
      </c>
      <c r="G24" s="415">
        <f>IF(G4&gt;=Inputs!$E$29,'(Z+) Rent Roll'!$H$36*G9*G12,0)</f>
        <v>0</v>
      </c>
      <c r="H24" s="415">
        <f>IF(H4&gt;=Inputs!$E$29,'(Z+) Rent Roll'!$H$36*H9*H12,0)</f>
        <v>0</v>
      </c>
      <c r="I24" s="415">
        <f>IF(I4&gt;=Inputs!$E$29,'(Z+) Rent Roll'!$H$36*I9*I12,0)</f>
        <v>0</v>
      </c>
      <c r="J24" s="416">
        <f>IF(J4&gt;=Inputs!$E$29,'(Z+) Rent Roll'!$H$36*J9*J12,0)</f>
        <v>0</v>
      </c>
      <c r="K24" s="416">
        <f>IF(K4&gt;=Inputs!$E$29,'(Z+) Rent Roll'!$H$36*K9*K12,0)</f>
        <v>0</v>
      </c>
      <c r="L24" s="416">
        <f>IF(L4&gt;=Inputs!$E$29,'(Z+) Rent Roll'!$H$36*L9*L12,0)</f>
        <v>0</v>
      </c>
      <c r="M24" s="416">
        <f>IF(M4&gt;=Inputs!$E$29,'(Z+) Rent Roll'!$H$36*M9*M12,0)</f>
        <v>0</v>
      </c>
      <c r="N24" s="416">
        <f>IF(N4&gt;=Inputs!$E$29,'(Z+) Rent Roll'!$H$36*N9*N12,0)</f>
        <v>0</v>
      </c>
      <c r="O24" s="416">
        <f>IF(O4&gt;=Inputs!$E$29,'(Z+) Rent Roll'!$H$36*O9*O12,0)</f>
        <v>0</v>
      </c>
      <c r="P24" s="416">
        <f>IF(P4&gt;=Inputs!$E$29,'(Z+) Rent Roll'!$H$36*P9*P12,0)</f>
        <v>0</v>
      </c>
      <c r="Q24" s="416">
        <f>IF(Q4&gt;=Inputs!$E$29,'(Z+) Rent Roll'!$H$36*Q9*Q12,0)</f>
        <v>0</v>
      </c>
      <c r="R24" s="416">
        <f>IF(R4&gt;=Inputs!$E$29,'(Z+) Rent Roll'!$H$36*R9*R12,0)</f>
        <v>0</v>
      </c>
      <c r="S24" s="416">
        <f>IF(S4&gt;=Inputs!$E$29,'(Z+) Rent Roll'!$H$36*S9*S12,0)</f>
        <v>0</v>
      </c>
      <c r="T24" s="416">
        <f>IF(T4&gt;=Inputs!$E$29,'(Z+) Rent Roll'!$H$36*T9*T12,0)</f>
        <v>0</v>
      </c>
      <c r="U24" s="417">
        <f>IF(U4&gt;=Inputs!$E$29,'(Z+) Rent Roll'!$H$36*U9*U12,0)</f>
        <v>0</v>
      </c>
      <c r="V24" s="417">
        <f>IF(V4&gt;=Inputs!$E$29,'(Z+) Rent Roll'!$H$36*V9*V12,0)</f>
        <v>0</v>
      </c>
      <c r="W24" s="417">
        <f>IF(W4&gt;=Inputs!$E$29,'(Z+) Rent Roll'!$H$36*W9*W12,0)</f>
        <v>0</v>
      </c>
      <c r="X24" s="417">
        <f>IF(X4&gt;=Inputs!$E$29,'(Z+) Rent Roll'!$H$36*X9*X12,0)</f>
        <v>0</v>
      </c>
      <c r="Y24" s="417">
        <f>IF(Y4&gt;=Inputs!$E$29,'(Z+) Rent Roll'!$H$36*Y9*Y12,0)</f>
        <v>0</v>
      </c>
      <c r="Z24" s="417">
        <f>IF(Z4&gt;=Inputs!$E$29,'(Z+) Rent Roll'!$H$36*Z9*Z12,0)</f>
        <v>0</v>
      </c>
      <c r="AA24" s="417">
        <f>IF(AA4&gt;=Inputs!$E$29,'(Z+) Rent Roll'!$H$36*AA9*AA12,0)</f>
        <v>1625.9240367465809</v>
      </c>
      <c r="AB24" s="417">
        <f>IF(AB4&gt;=Inputs!$E$29,'(Z+) Rent Roll'!$H$36*AB9*AB12,0)</f>
        <v>3258.5463480989615</v>
      </c>
      <c r="AC24" s="417">
        <f>IF(AC4&gt;=Inputs!$E$29,'(Z+) Rent Roll'!$H$36*AC9*AC12,0)</f>
        <v>4897.8876300806096</v>
      </c>
      <c r="AD24" s="417">
        <f>IF(AD4&gt;=Inputs!$E$29,'(Z+) Rent Roll'!$H$36*AD9*AD12,0)</f>
        <v>6543.9686355555514</v>
      </c>
      <c r="AE24" s="417">
        <f>IF(AE4&gt;=Inputs!$E$29,'(Z+) Rent Roll'!$H$36*AE9*AE12,0)</f>
        <v>8196.8101743747266</v>
      </c>
      <c r="AF24" s="417">
        <f>IF(AF4&gt;=Inputs!$E$29,'(Z+) Rent Roll'!$H$36*AF9*AF12,0)</f>
        <v>9746.9171900391175</v>
      </c>
      <c r="AG24" s="417">
        <f>IF(AG4&gt;=Inputs!$E$29,'(Z+) Rent Roll'!$H$36*AG9*AG12,0)</f>
        <v>11522.858377264751</v>
      </c>
      <c r="AH24" s="417">
        <f>IF(AH4&gt;=Inputs!$E$29,'(Z+) Rent Roll'!$H$36*AH9*AH12,0)</f>
        <v>13196.106947294291</v>
      </c>
      <c r="AI24" s="417">
        <f>IF(AI4&gt;=Inputs!$E$29,'(Z+) Rent Roll'!$H$36*AI9*AI12,0)</f>
        <v>14876.199862880683</v>
      </c>
      <c r="AJ24" s="417">
        <f>IF(AJ4&gt;=Inputs!$E$29,'(Z+) Rent Roll'!$H$36*AJ9*AJ12,0)</f>
        <v>14906.842398915674</v>
      </c>
      <c r="AK24" s="417">
        <f>IF(AK4&gt;=Inputs!$E$29,'(Z+) Rent Roll'!$H$36*AK9*AK12,0)</f>
        <v>14937.54805355779</v>
      </c>
      <c r="AL24" s="417">
        <f>IF(AL4&gt;=Inputs!$E$29,'(Z+) Rent Roll'!$H$36*AL9*AL12,0)</f>
        <v>14968.316956821027</v>
      </c>
      <c r="AM24" s="417">
        <f>IF(AM4&gt;=Inputs!$E$29,'(Z+) Rent Roll'!$H$36*AM9*AM12,0)</f>
        <v>14999.149238987191</v>
      </c>
      <c r="AN24" s="417">
        <f>IF(AN4&gt;=Inputs!$E$29,'(Z+) Rent Roll'!$H$36*AN9*AN12,0)</f>
        <v>15030.045030606441</v>
      </c>
      <c r="AO24" s="417">
        <f>IF(AO4&gt;=Inputs!$E$29,'(Z+) Rent Roll'!$H$36*AO9*AO12,0)</f>
        <v>15061.004462497855</v>
      </c>
      <c r="AP24" s="417">
        <f>IF(AP4&gt;=Inputs!$E$29,'(Z+) Rent Roll'!$H$36*AP9*AP12,0)</f>
        <v>15092.027665749973</v>
      </c>
      <c r="AQ24" s="417">
        <f>IF(AQ4&gt;=Inputs!$E$29,'(Z+) Rent Roll'!$H$36*AQ9*AQ12,0)</f>
        <v>15123.114771721353</v>
      </c>
      <c r="AR24" s="417">
        <f>IF(AR4&gt;=Inputs!$E$29,'(Z+) Rent Roll'!$H$36*AR9*AR12,0)</f>
        <v>15154.265912041139</v>
      </c>
      <c r="AS24" s="417">
        <f>IF(AS4&gt;=Inputs!$E$29,'(Z+) Rent Roll'!$H$36*AS9*AS12,0)</f>
        <v>15185.481218609602</v>
      </c>
      <c r="AT24" s="417">
        <f>IF(AT4&gt;=Inputs!$E$29,'(Z+) Rent Roll'!$H$36*AT9*AT12,0)</f>
        <v>15216.76082359871</v>
      </c>
      <c r="AU24" s="417">
        <f>IF(AU4&gt;=Inputs!$E$29,'(Z+) Rent Roll'!$H$36*AU9*AU12,0)</f>
        <v>15248.10485945268</v>
      </c>
      <c r="AV24" s="417">
        <f>IF(AV4&gt;=Inputs!$E$29,'(Z+) Rent Roll'!$H$36*AV9*AV12,0)</f>
        <v>15279.513458888547</v>
      </c>
      <c r="AW24" s="417">
        <f>IF(AW4&gt;=Inputs!$E$29,'(Z+) Rent Roll'!$H$36*AW9*AW12,0)</f>
        <v>15310.986754896716</v>
      </c>
      <c r="AX24" s="417">
        <f>IF(AX4&gt;=Inputs!$E$29,'(Z+) Rent Roll'!$H$36*AX9*AX12,0)</f>
        <v>15342.524880741536</v>
      </c>
      <c r="AY24" s="417">
        <f>IF(AY4&gt;=Inputs!$E$29,'(Z+) Rent Roll'!$H$36*AY9*AY12,0)</f>
        <v>15374.127969961852</v>
      </c>
      <c r="AZ24" s="417">
        <f>IF(AZ4&gt;=Inputs!$E$29,'(Z+) Rent Roll'!$H$36*AZ9*AZ12,0)</f>
        <v>15405.796156371585</v>
      </c>
      <c r="BA24" s="417">
        <f>IF(BA4&gt;=Inputs!$E$29,'(Z+) Rent Roll'!$H$36*BA9*BA12,0)</f>
        <v>15437.529574060283</v>
      </c>
      <c r="BB24" s="417">
        <f>IF(BB4&gt;=Inputs!$E$29,'(Z+) Rent Roll'!$H$36*BB9*BB12,0)</f>
        <v>15469.328357393702</v>
      </c>
      <c r="BC24" s="417">
        <f>IF(BC4&gt;=Inputs!$E$29,'(Z+) Rent Roll'!$H$36*BC9*BC12,0)</f>
        <v>15501.192641014368</v>
      </c>
      <c r="BD24" s="417">
        <f>IF(BD4&gt;=Inputs!$E$29,'(Z+) Rent Roll'!$H$36*BD9*BD12,0)</f>
        <v>15533.12255984215</v>
      </c>
      <c r="BE24" s="417">
        <f>IF(BE4&gt;=Inputs!$E$29,'(Z+) Rent Roll'!$H$36*BE9*BE12,0)</f>
        <v>15565.118249074825</v>
      </c>
      <c r="BF24" s="417">
        <f>IF(BF4&gt;=Inputs!$E$29,'(Z+) Rent Roll'!$H$36*BF9*BF12,0)</f>
        <v>15597.179844188662</v>
      </c>
      <c r="BG24" s="417">
        <f>IF(BG4&gt;=Inputs!$E$29,'(Z+) Rent Roll'!$H$36*BG9*BG12,0)</f>
        <v>15629.307480938982</v>
      </c>
      <c r="BH24" s="417">
        <f>IF(BH4&gt;=Inputs!$E$29,'(Z+) Rent Roll'!$H$36*BH9*BH12,0)</f>
        <v>15661.501295360744</v>
      </c>
      <c r="BI24" s="417">
        <f>IF(BI4&gt;=Inputs!$E$29,'(Z+) Rent Roll'!$H$36*BI9*BI12,0)</f>
        <v>15693.761423769118</v>
      </c>
      <c r="BJ24" s="417">
        <f>IF(BJ4&gt;=Inputs!$E$29,'(Z+) Rent Roll'!$H$36*BJ9*BJ12,0)</f>
        <v>15726.088002760056</v>
      </c>
      <c r="BK24" s="417">
        <f>IF(BK4&gt;=Inputs!$E$29,'(Z+) Rent Roll'!$H$36*BK9*BK12,0)</f>
        <v>15758.481169210881</v>
      </c>
      <c r="BL24" s="417">
        <f>IF(BL4&gt;=Inputs!$E$29,'(Z+) Rent Roll'!$H$36*BL9*BL12,0)</f>
        <v>15790.941060280857</v>
      </c>
      <c r="BM24" s="417">
        <f>IF(BM4&gt;=Inputs!$E$29,'(Z+) Rent Roll'!$H$36*BM9*BM12,0)</f>
        <v>15823.467813411773</v>
      </c>
      <c r="BN24" s="417">
        <f>IF(BN4&gt;=Inputs!$E$29,'(Z+) Rent Roll'!$H$36*BN9*BN12,0)</f>
        <v>15856.061566328528</v>
      </c>
      <c r="BO24" s="417">
        <f>IF(BO4&gt;=Inputs!$E$29,'(Z+) Rent Roll'!$H$36*BO9*BO12,0)</f>
        <v>15888.722457039712</v>
      </c>
      <c r="BP24" s="417">
        <f>IF(BP4&gt;=Inputs!$E$29,'(Z+) Rent Roll'!$H$36*BP9*BP12,0)</f>
        <v>15921.450623838187</v>
      </c>
      <c r="BQ24" s="417">
        <f>IF(BQ4&gt;=Inputs!$E$29,'(Z+) Rent Roll'!$H$36*BQ9*BQ12,0)</f>
        <v>15954.246205301681</v>
      </c>
      <c r="BR24" s="417">
        <f>IF(BR4&gt;=Inputs!$E$29,'(Z+) Rent Roll'!$H$36*BR9*BR12,0)</f>
        <v>15987.109340293362</v>
      </c>
      <c r="BS24" s="417">
        <f>IF(BS4&gt;=Inputs!$E$29,'(Z+) Rent Roll'!$H$36*BS9*BS12,0)</f>
        <v>16020.040167962439</v>
      </c>
      <c r="BT24" s="417">
        <f>IF(BT4&gt;=Inputs!$E$29,'(Z+) Rent Roll'!$H$36*BT9*BT12,0)</f>
        <v>16053.038827744746</v>
      </c>
      <c r="BU24" s="417">
        <f>IF(BU4&gt;=Inputs!$E$29,'(Z+) Rent Roll'!$H$36*BU9*BU12,0)</f>
        <v>16086.105459363329</v>
      </c>
      <c r="BV24" s="417">
        <f>IF(BV4&gt;=Inputs!$E$29,'(Z+) Rent Roll'!$H$36*BV9*BV12,0)</f>
        <v>16119.24020282904</v>
      </c>
      <c r="BW24" s="417">
        <f>IF(BW4&gt;=Inputs!$E$29,'(Z+) Rent Roll'!$H$36*BW9*BW12,0)</f>
        <v>16152.443198441133</v>
      </c>
      <c r="BX24" s="417">
        <f>IF(BX4&gt;=Inputs!$E$29,'(Z+) Rent Roll'!$H$36*BX9*BX12,0)</f>
        <v>16185.714586787857</v>
      </c>
      <c r="BY24" s="417">
        <f>IF(BY4&gt;=Inputs!$E$29,'(Z+) Rent Roll'!$H$36*BY9*BY12,0)</f>
        <v>16219.054508747044</v>
      </c>
      <c r="BZ24" s="417">
        <f>IF(BZ4&gt;=Inputs!$E$29,'(Z+) Rent Roll'!$H$36*BZ9*BZ12,0)</f>
        <v>16252.463105486717</v>
      </c>
      <c r="CA24" s="417">
        <f>IF(CA4&gt;=Inputs!$E$29,'(Z+) Rent Roll'!$H$36*CA9*CA12,0)</f>
        <v>16285.940518465679</v>
      </c>
      <c r="CB24" s="417">
        <f>IF(CB4&gt;=Inputs!$E$29,'(Z+) Rent Roll'!$H$36*CB9*CB12,0)</f>
        <v>16319.486889434116</v>
      </c>
      <c r="CC24" s="417">
        <f>IF(CC4&gt;=Inputs!$E$29,'(Z+) Rent Roll'!$H$36*CC9*CC12,0)</f>
        <v>16353.102360434195</v>
      </c>
      <c r="CD24" s="417">
        <f>IF(CD4&gt;=Inputs!$E$29,'(Z+) Rent Roll'!$H$36*CD9*CD12,0)</f>
        <v>16386.787073800668</v>
      </c>
      <c r="CE24" s="417">
        <f>IF(CE4&gt;=Inputs!$E$29,'(Z+) Rent Roll'!$H$36*CE9*CE12,0)</f>
        <v>16420.541172161473</v>
      </c>
      <c r="CF24" s="417">
        <f>IF(CF4&gt;=Inputs!$E$29,'(Z+) Rent Roll'!$H$36*CF9*CF12,0)</f>
        <v>16454.364798438335</v>
      </c>
      <c r="CG24" s="417">
        <f>IF(CG4&gt;=Inputs!$E$29,'(Z+) Rent Roll'!$H$36*CG9*CG12,0)</f>
        <v>16488.258095847381</v>
      </c>
      <c r="CH24" s="417">
        <f>IF(CH4&gt;=Inputs!$E$29,'(Z+) Rent Roll'!$H$36*CH9*CH12,0)</f>
        <v>16522.221207899736</v>
      </c>
      <c r="CI24" s="417">
        <f>IF(CI4&gt;=Inputs!$E$29,'(Z+) Rent Roll'!$H$36*CI9*CI12,0)</f>
        <v>16556.254278402135</v>
      </c>
      <c r="CJ24" s="417">
        <f>IF(CJ4&gt;=Inputs!$E$29,'(Z+) Rent Roll'!$H$36*CJ9*CJ12,0)</f>
        <v>16590.357451457527</v>
      </c>
      <c r="CK24" s="417">
        <f>IF(CK4&gt;=Inputs!$E$29,'(Z+) Rent Roll'!$H$36*CK9*CK12,0)</f>
        <v>16624.530871465693</v>
      </c>
      <c r="CL24" s="417">
        <f>IF(CL4&gt;=Inputs!$E$29,'(Z+) Rent Roll'!$H$36*CL9*CL12,0)</f>
        <v>16658.774683123858</v>
      </c>
      <c r="CM24" s="417">
        <f>IF(CM4&gt;=Inputs!$E$29,'(Z+) Rent Roll'!$H$36*CM9*CM12,0)</f>
        <v>16693.089031427295</v>
      </c>
      <c r="CN24" s="417">
        <f>IF(CN4&gt;=Inputs!$E$29,'(Z+) Rent Roll'!$H$36*CN9*CN12,0)</f>
        <v>16727.474061669942</v>
      </c>
      <c r="CO24" s="417">
        <f>IF(CO4&gt;=Inputs!$E$29,'(Z+) Rent Roll'!$H$36*CO9*CO12,0)</f>
        <v>16761.929919445025</v>
      </c>
      <c r="CP24" s="417">
        <f>IF(CP4&gt;=Inputs!$E$29,'(Z+) Rent Roll'!$H$36*CP9*CP12,0)</f>
        <v>16796.456750645659</v>
      </c>
      <c r="CQ24" s="417">
        <f>IF(CQ4&gt;=Inputs!$E$29,'(Z+) Rent Roll'!$H$36*CQ9*CQ12,0)</f>
        <v>16831.054701465484</v>
      </c>
      <c r="CR24" s="417">
        <f>IF(CR4&gt;=Inputs!$E$29,'(Z+) Rent Roll'!$H$36*CR9*CR12,0)</f>
        <v>16865.723918399271</v>
      </c>
      <c r="CS24" s="417">
        <f>IF(CS4&gt;=Inputs!$E$29,'(Z+) Rent Roll'!$H$36*CS9*CS12,0)</f>
        <v>16900.464548243544</v>
      </c>
      <c r="CT24" s="417">
        <f>IF(CT4&gt;=Inputs!$E$29,'(Z+) Rent Roll'!$H$36*CT9*CT12,0)</f>
        <v>16935.276738097207</v>
      </c>
      <c r="CU24" s="417">
        <f>IF(CU4&gt;=Inputs!$E$29,'(Z+) Rent Roll'!$H$36*CU9*CU12,0)</f>
        <v>16970.160635362165</v>
      </c>
      <c r="CV24" s="417">
        <f>IF(CV4&gt;=Inputs!$E$29,'(Z+) Rent Roll'!$H$36*CV9*CV12,0)</f>
        <v>17005.116387743939</v>
      </c>
      <c r="CW24" s="417">
        <f>IF(CW4&gt;=Inputs!$E$29,'(Z+) Rent Roll'!$H$36*CW9*CW12,0)</f>
        <v>17040.144143252313</v>
      </c>
      <c r="CX24" s="417">
        <f>IF(CX4&gt;=Inputs!$E$29,'(Z+) Rent Roll'!$H$36*CX9*CX12,0)</f>
        <v>17075.244050201931</v>
      </c>
      <c r="CY24" s="417">
        <f>IF(CY4&gt;=Inputs!$E$29,'(Z+) Rent Roll'!$H$36*CY9*CY12,0)</f>
        <v>17110.416257212953</v>
      </c>
      <c r="CZ24" s="417">
        <f>IF(CZ4&gt;=Inputs!$E$29,'(Z+) Rent Roll'!$H$36*CZ9*CZ12,0)</f>
        <v>17145.660913211668</v>
      </c>
      <c r="DA24" s="417">
        <f>IF(DA4&gt;=Inputs!$E$29,'(Z+) Rent Roll'!$H$36*DA9*DA12,0)</f>
        <v>17180.978167431127</v>
      </c>
      <c r="DB24" s="417">
        <f>IF(DB4&gt;=Inputs!$E$29,'(Z+) Rent Roll'!$H$36*DB9*DB12,0)</f>
        <v>17216.368169411777</v>
      </c>
      <c r="DC24" s="417">
        <f>IF(DC4&gt;=Inputs!$E$29,'(Z+) Rent Roll'!$H$36*DC9*DC12,0)</f>
        <v>17251.831069002099</v>
      </c>
      <c r="DD24" s="417">
        <f>IF(DD4&gt;=Inputs!$E$29,'(Z+) Rent Roll'!$H$36*DD9*DD12,0)</f>
        <v>17287.367016359232</v>
      </c>
      <c r="DE24" s="417">
        <f>IF(DE4&gt;=Inputs!$E$29,'(Z+) Rent Roll'!$H$36*DE9*DE12,0)</f>
        <v>17322.976161949609</v>
      </c>
      <c r="DF24" s="417">
        <f>IF(DF4&gt;=Inputs!$E$29,'(Z+) Rent Roll'!$H$36*DF9*DF12,0)</f>
        <v>17358.658656549615</v>
      </c>
      <c r="DG24" s="417">
        <f>IF(DG4&gt;=Inputs!$E$29,'(Z+) Rent Roll'!$H$36*DG9*DG12,0)</f>
        <v>17394.414651246196</v>
      </c>
      <c r="DH24" s="417">
        <f>IF(DH4&gt;=Inputs!$E$29,'(Z+) Rent Roll'!$H$36*DH9*DH12,0)</f>
        <v>17430.244297437515</v>
      </c>
      <c r="DI24" s="417">
        <f>IF(DI4&gt;=Inputs!$E$29,'(Z+) Rent Roll'!$H$36*DI9*DI12,0)</f>
        <v>17466.147746833598</v>
      </c>
      <c r="DJ24" s="417">
        <f>IF(DJ4&gt;=Inputs!$E$29,'(Z+) Rent Roll'!$H$36*DJ9*DJ12,0)</f>
        <v>17502.125151456956</v>
      </c>
      <c r="DK24" s="417">
        <f>IF(DK4&gt;=Inputs!$E$29,'(Z+) Rent Roll'!$H$36*DK9*DK12,0)</f>
        <v>17538.176663643255</v>
      </c>
      <c r="DL24" s="417">
        <f>IF(DL4&gt;=Inputs!$E$29,'(Z+) Rent Roll'!$H$36*DL9*DL12,0)</f>
        <v>17574.302436041933</v>
      </c>
      <c r="DM24" s="417">
        <f>IF(DM4&gt;=Inputs!$E$29,'(Z+) Rent Roll'!$H$36*DM9*DM12,0)</f>
        <v>17610.502621616877</v>
      </c>
      <c r="DN24" s="417">
        <f>IF(DN4&gt;=Inputs!$E$29,'(Z+) Rent Roll'!$H$36*DN9*DN12,0)</f>
        <v>17646.777373647048</v>
      </c>
      <c r="DO24" s="417">
        <f>IF(DO4&gt;=Inputs!$E$29,'(Z+) Rent Roll'!$H$36*DO9*DO12,0)</f>
        <v>17683.126845727125</v>
      </c>
      <c r="DP24" s="417">
        <f>IF(DP4&gt;=Inputs!$E$29,'(Z+) Rent Roll'!$H$36*DP9*DP12,0)</f>
        <v>17719.551191768183</v>
      </c>
      <c r="DQ24" s="417">
        <f>IF(DQ4&gt;=Inputs!$E$29,'(Z+) Rent Roll'!$H$36*DQ9*DQ12,0)</f>
        <v>17756.050565998325</v>
      </c>
      <c r="DR24" s="417">
        <f>IF(DR4&gt;=Inputs!$E$29,'(Z+) Rent Roll'!$H$36*DR9*DR12,0)</f>
        <v>17792.625122963331</v>
      </c>
      <c r="DS24" s="417">
        <f>IF(DS4&gt;=Inputs!$E$29,'(Z+) Rent Roll'!$H$36*DS9*DS12,0)</f>
        <v>17829.275017527325</v>
      </c>
      <c r="DT24" s="417">
        <f>IF(DT4&gt;=Inputs!$E$29,'(Z+) Rent Roll'!$H$36*DT9*DT12,0)</f>
        <v>17866.000404873426</v>
      </c>
      <c r="DU24" s="417">
        <f>IF(DU4&gt;=Inputs!$E$29,'(Z+) Rent Roll'!$H$36*DU9*DU12,0)</f>
        <v>17902.801440504412</v>
      </c>
    </row>
    <row r="25" spans="1:125" ht="15.75" hidden="1" customHeight="1" x14ac:dyDescent="0.25">
      <c r="A25" s="423" t="s">
        <v>170</v>
      </c>
      <c r="B25" s="394"/>
      <c r="C25" s="394"/>
      <c r="D25" s="395"/>
      <c r="E25" s="394"/>
      <c r="F25" s="415">
        <f t="shared" ref="F25:AK25" si="25">SUM(F22:F24)</f>
        <v>0</v>
      </c>
      <c r="G25" s="415">
        <f t="shared" si="25"/>
        <v>0</v>
      </c>
      <c r="H25" s="415">
        <f t="shared" si="25"/>
        <v>0</v>
      </c>
      <c r="I25" s="415">
        <f t="shared" si="25"/>
        <v>0</v>
      </c>
      <c r="J25" s="416">
        <f t="shared" si="25"/>
        <v>0</v>
      </c>
      <c r="K25" s="416">
        <f t="shared" si="25"/>
        <v>0</v>
      </c>
      <c r="L25" s="416">
        <f t="shared" si="25"/>
        <v>0</v>
      </c>
      <c r="M25" s="416">
        <f t="shared" si="25"/>
        <v>0</v>
      </c>
      <c r="N25" s="416">
        <f t="shared" si="25"/>
        <v>0</v>
      </c>
      <c r="O25" s="416">
        <f t="shared" si="25"/>
        <v>0</v>
      </c>
      <c r="P25" s="416">
        <f t="shared" si="25"/>
        <v>0</v>
      </c>
      <c r="Q25" s="416">
        <f t="shared" si="25"/>
        <v>0</v>
      </c>
      <c r="R25" s="416">
        <f t="shared" si="25"/>
        <v>0</v>
      </c>
      <c r="S25" s="416">
        <f t="shared" si="25"/>
        <v>0</v>
      </c>
      <c r="T25" s="416">
        <f t="shared" si="25"/>
        <v>0</v>
      </c>
      <c r="U25" s="417">
        <f t="shared" si="25"/>
        <v>0</v>
      </c>
      <c r="V25" s="417">
        <f t="shared" si="25"/>
        <v>0</v>
      </c>
      <c r="W25" s="417">
        <f t="shared" si="25"/>
        <v>0</v>
      </c>
      <c r="X25" s="417">
        <f t="shared" si="25"/>
        <v>0</v>
      </c>
      <c r="Y25" s="417">
        <f t="shared" si="25"/>
        <v>0</v>
      </c>
      <c r="Z25" s="417">
        <f t="shared" si="25"/>
        <v>0</v>
      </c>
      <c r="AA25" s="417">
        <f t="shared" si="25"/>
        <v>1891.4885541726633</v>
      </c>
      <c r="AB25" s="417">
        <f t="shared" si="25"/>
        <v>3790.7694218010811</v>
      </c>
      <c r="AC25" s="417">
        <f t="shared" si="25"/>
        <v>5697.8666792200775</v>
      </c>
      <c r="AD25" s="417">
        <f t="shared" si="25"/>
        <v>7612.804468888884</v>
      </c>
      <c r="AE25" s="417">
        <f t="shared" si="25"/>
        <v>9535.6069995614016</v>
      </c>
      <c r="AF25" s="417">
        <f t="shared" si="25"/>
        <v>11338.895229274023</v>
      </c>
      <c r="AG25" s="417">
        <f t="shared" si="25"/>
        <v>13404.903451430999</v>
      </c>
      <c r="AH25" s="417">
        <f t="shared" si="25"/>
        <v>15351.446123147427</v>
      </c>
      <c r="AI25" s="417">
        <f t="shared" si="25"/>
        <v>17305.951037249724</v>
      </c>
      <c r="AJ25" s="417">
        <f t="shared" si="25"/>
        <v>17341.598462880374</v>
      </c>
      <c r="AK25" s="417">
        <f t="shared" si="25"/>
        <v>17377.319316371264</v>
      </c>
      <c r="AL25" s="417">
        <f t="shared" ref="AL25:BQ25" si="26">SUM(AL22:AL24)</f>
        <v>17413.113748971766</v>
      </c>
      <c r="AM25" s="417">
        <f t="shared" si="26"/>
        <v>17448.981912242798</v>
      </c>
      <c r="AN25" s="417">
        <f t="shared" si="26"/>
        <v>17484.923958057465</v>
      </c>
      <c r="AO25" s="417">
        <f t="shared" si="26"/>
        <v>17520.940038601715</v>
      </c>
      <c r="AP25" s="417">
        <f t="shared" si="26"/>
        <v>17557.030306374967</v>
      </c>
      <c r="AQ25" s="417">
        <f t="shared" si="26"/>
        <v>17593.194914190768</v>
      </c>
      <c r="AR25" s="417">
        <f t="shared" si="26"/>
        <v>17629.43401517743</v>
      </c>
      <c r="AS25" s="417">
        <f t="shared" si="26"/>
        <v>17665.74776277869</v>
      </c>
      <c r="AT25" s="417">
        <f t="shared" si="26"/>
        <v>17702.136310754355</v>
      </c>
      <c r="AU25" s="417">
        <f t="shared" si="26"/>
        <v>17738.599813180947</v>
      </c>
      <c r="AV25" s="417">
        <f t="shared" si="26"/>
        <v>17775.138424452362</v>
      </c>
      <c r="AW25" s="417">
        <f t="shared" si="26"/>
        <v>17811.752299280524</v>
      </c>
      <c r="AX25" s="417">
        <f t="shared" si="26"/>
        <v>17848.441592696039</v>
      </c>
      <c r="AY25" s="417">
        <f t="shared" si="26"/>
        <v>17885.206460048845</v>
      </c>
      <c r="AZ25" s="417">
        <f t="shared" si="26"/>
        <v>17922.04705700888</v>
      </c>
      <c r="BA25" s="417">
        <f t="shared" si="26"/>
        <v>17958.963539566736</v>
      </c>
      <c r="BB25" s="417">
        <f t="shared" si="26"/>
        <v>17995.956064034319</v>
      </c>
      <c r="BC25" s="417">
        <f t="shared" si="26"/>
        <v>18033.024787045513</v>
      </c>
      <c r="BD25" s="417">
        <f t="shared" si="26"/>
        <v>18070.169865556843</v>
      </c>
      <c r="BE25" s="417">
        <f t="shared" si="26"/>
        <v>18107.391456848138</v>
      </c>
      <c r="BF25" s="417">
        <f t="shared" si="26"/>
        <v>18144.689718523194</v>
      </c>
      <c r="BG25" s="417">
        <f t="shared" si="26"/>
        <v>18182.064808510451</v>
      </c>
      <c r="BH25" s="417">
        <f t="shared" si="26"/>
        <v>18219.516885063651</v>
      </c>
      <c r="BI25" s="417">
        <f t="shared" si="26"/>
        <v>18257.046106762518</v>
      </c>
      <c r="BJ25" s="417">
        <f t="shared" si="26"/>
        <v>18294.652632513418</v>
      </c>
      <c r="BK25" s="417">
        <f t="shared" si="26"/>
        <v>18332.336621550046</v>
      </c>
      <c r="BL25" s="417">
        <f t="shared" si="26"/>
        <v>18370.098233434084</v>
      </c>
      <c r="BM25" s="417">
        <f t="shared" si="26"/>
        <v>18407.937628055886</v>
      </c>
      <c r="BN25" s="417">
        <f t="shared" si="26"/>
        <v>18445.854965635157</v>
      </c>
      <c r="BO25" s="417">
        <f t="shared" si="26"/>
        <v>18483.850406721634</v>
      </c>
      <c r="BP25" s="417">
        <f t="shared" si="26"/>
        <v>18521.924112195746</v>
      </c>
      <c r="BQ25" s="417">
        <f t="shared" si="26"/>
        <v>18560.076243269323</v>
      </c>
      <c r="BR25" s="417">
        <f t="shared" ref="BR25:CW25" si="27">SUM(BR22:BR24)</f>
        <v>18598.306961486254</v>
      </c>
      <c r="BS25" s="417">
        <f t="shared" si="27"/>
        <v>18636.616428723195</v>
      </c>
      <c r="BT25" s="417">
        <f t="shared" si="27"/>
        <v>18675.004807190224</v>
      </c>
      <c r="BU25" s="417">
        <f t="shared" si="27"/>
        <v>18713.472259431564</v>
      </c>
      <c r="BV25" s="417">
        <f t="shared" si="27"/>
        <v>18752.018948326237</v>
      </c>
      <c r="BW25" s="417">
        <f t="shared" si="27"/>
        <v>18790.645037088776</v>
      </c>
      <c r="BX25" s="417">
        <f t="shared" si="27"/>
        <v>18829.350689269912</v>
      </c>
      <c r="BY25" s="417">
        <f t="shared" si="27"/>
        <v>18868.136068757256</v>
      </c>
      <c r="BZ25" s="417">
        <f t="shared" si="27"/>
        <v>18907.001339776009</v>
      </c>
      <c r="CA25" s="417">
        <f t="shared" si="27"/>
        <v>18945.946666889642</v>
      </c>
      <c r="CB25" s="417">
        <f t="shared" si="27"/>
        <v>18984.972215000609</v>
      </c>
      <c r="CC25" s="417">
        <f t="shared" si="27"/>
        <v>19024.078149351026</v>
      </c>
      <c r="CD25" s="417">
        <f t="shared" si="27"/>
        <v>19063.264635523381</v>
      </c>
      <c r="CE25" s="417">
        <f t="shared" si="27"/>
        <v>19102.531839441242</v>
      </c>
      <c r="CF25" s="417">
        <f t="shared" si="27"/>
        <v>19141.879927369948</v>
      </c>
      <c r="CG25" s="417">
        <f t="shared" si="27"/>
        <v>19181.309065917318</v>
      </c>
      <c r="CH25" s="417">
        <f t="shared" si="27"/>
        <v>19220.819422034358</v>
      </c>
      <c r="CI25" s="417">
        <f t="shared" si="27"/>
        <v>19260.411163015964</v>
      </c>
      <c r="CJ25" s="417">
        <f t="shared" si="27"/>
        <v>19300.084456501627</v>
      </c>
      <c r="CK25" s="417">
        <f t="shared" si="27"/>
        <v>19339.839470476156</v>
      </c>
      <c r="CL25" s="417">
        <f t="shared" si="27"/>
        <v>19379.676373270377</v>
      </c>
      <c r="CM25" s="417">
        <f t="shared" si="27"/>
        <v>19419.595333561854</v>
      </c>
      <c r="CN25" s="417">
        <f t="shared" si="27"/>
        <v>19459.596520375595</v>
      </c>
      <c r="CO25" s="417">
        <f t="shared" si="27"/>
        <v>19499.680103084771</v>
      </c>
      <c r="CP25" s="417">
        <f t="shared" si="27"/>
        <v>19539.846251411433</v>
      </c>
      <c r="CQ25" s="417">
        <f t="shared" si="27"/>
        <v>19580.095135427244</v>
      </c>
      <c r="CR25" s="417">
        <f t="shared" si="27"/>
        <v>19620.426925554169</v>
      </c>
      <c r="CS25" s="417">
        <f t="shared" si="27"/>
        <v>19660.841792565225</v>
      </c>
      <c r="CT25" s="417">
        <f t="shared" si="27"/>
        <v>19701.339907585188</v>
      </c>
      <c r="CU25" s="417">
        <f t="shared" si="27"/>
        <v>19741.921442091334</v>
      </c>
      <c r="CV25" s="417">
        <f t="shared" si="27"/>
        <v>19782.586567914139</v>
      </c>
      <c r="CW25" s="417">
        <f t="shared" si="27"/>
        <v>19823.335457238034</v>
      </c>
      <c r="CX25" s="417">
        <f t="shared" ref="CX25:EC25" si="28">SUM(CX22:CX24)</f>
        <v>19864.16828260211</v>
      </c>
      <c r="CY25" s="417">
        <f t="shared" si="28"/>
        <v>19905.085216900872</v>
      </c>
      <c r="CZ25" s="417">
        <f t="shared" si="28"/>
        <v>19946.086433384957</v>
      </c>
      <c r="DA25" s="417">
        <f t="shared" si="28"/>
        <v>19987.172105661863</v>
      </c>
      <c r="DB25" s="417">
        <f t="shared" si="28"/>
        <v>20028.342407696691</v>
      </c>
      <c r="DC25" s="417">
        <f t="shared" si="28"/>
        <v>20069.5975138129</v>
      </c>
      <c r="DD25" s="417">
        <f t="shared" si="28"/>
        <v>20110.937598692999</v>
      </c>
      <c r="DE25" s="417">
        <f t="shared" si="28"/>
        <v>20152.362837379329</v>
      </c>
      <c r="DF25" s="417">
        <f t="shared" si="28"/>
        <v>20193.873405274793</v>
      </c>
      <c r="DG25" s="417">
        <f t="shared" si="28"/>
        <v>20235.46947814359</v>
      </c>
      <c r="DH25" s="417">
        <f t="shared" si="28"/>
        <v>20277.151232111966</v>
      </c>
      <c r="DI25" s="417">
        <f t="shared" si="28"/>
        <v>20318.918843668958</v>
      </c>
      <c r="DJ25" s="417">
        <f t="shared" si="28"/>
        <v>20360.772489667135</v>
      </c>
      <c r="DK25" s="417">
        <f t="shared" si="28"/>
        <v>20402.71234732337</v>
      </c>
      <c r="DL25" s="417">
        <f t="shared" si="28"/>
        <v>20444.738594219551</v>
      </c>
      <c r="DM25" s="417">
        <f t="shared" si="28"/>
        <v>20486.851408303377</v>
      </c>
      <c r="DN25" s="417">
        <f t="shared" si="28"/>
        <v>20529.050967889081</v>
      </c>
      <c r="DO25" s="417">
        <f t="shared" si="28"/>
        <v>20571.33745165819</v>
      </c>
      <c r="DP25" s="417">
        <f t="shared" si="28"/>
        <v>20613.711038660287</v>
      </c>
      <c r="DQ25" s="417">
        <f t="shared" si="28"/>
        <v>20656.17190831378</v>
      </c>
      <c r="DR25" s="417">
        <f t="shared" si="28"/>
        <v>20698.720240406634</v>
      </c>
      <c r="DS25" s="417">
        <f t="shared" si="28"/>
        <v>20741.356215097152</v>
      </c>
      <c r="DT25" s="417">
        <f t="shared" si="28"/>
        <v>20784.080012914732</v>
      </c>
      <c r="DU25" s="417">
        <f t="shared" si="28"/>
        <v>20826.891814760653</v>
      </c>
    </row>
    <row r="26" spans="1:125" ht="15.75" hidden="1" customHeight="1" x14ac:dyDescent="0.25">
      <c r="A26" s="423" t="s">
        <v>496</v>
      </c>
      <c r="B26" s="394"/>
      <c r="C26" s="394"/>
      <c r="D26" s="395"/>
      <c r="E26" s="394"/>
      <c r="F26" s="424"/>
      <c r="G26" s="424"/>
      <c r="H26" s="424"/>
      <c r="I26" s="424"/>
      <c r="J26" s="425"/>
      <c r="K26" s="425"/>
      <c r="L26" s="425"/>
      <c r="M26" s="425"/>
      <c r="N26" s="425"/>
      <c r="O26" s="425"/>
      <c r="P26" s="425"/>
      <c r="Q26" s="425"/>
      <c r="R26" s="425"/>
      <c r="S26" s="425"/>
      <c r="T26" s="425"/>
      <c r="U26" s="426"/>
      <c r="V26" s="426"/>
      <c r="W26" s="426"/>
      <c r="X26" s="426"/>
      <c r="Y26" s="426"/>
      <c r="Z26" s="426"/>
      <c r="AA26" s="426"/>
      <c r="AB26" s="426"/>
      <c r="AC26" s="426"/>
      <c r="AD26" s="426"/>
      <c r="AE26" s="426"/>
      <c r="AF26" s="426"/>
      <c r="AG26" s="426"/>
      <c r="AH26" s="426"/>
      <c r="AI26" s="426"/>
      <c r="AJ26" s="426"/>
      <c r="AK26" s="426"/>
      <c r="AL26" s="426"/>
      <c r="AM26" s="426"/>
      <c r="AN26" s="426"/>
      <c r="AO26" s="426"/>
      <c r="AP26" s="426"/>
      <c r="AQ26" s="426"/>
      <c r="AR26" s="426"/>
      <c r="AS26" s="426"/>
      <c r="AT26" s="426"/>
      <c r="AU26" s="426"/>
      <c r="AV26" s="426"/>
      <c r="AW26" s="426"/>
      <c r="AX26" s="426"/>
      <c r="AY26" s="426"/>
      <c r="AZ26" s="426"/>
      <c r="BA26" s="426"/>
      <c r="BB26" s="426"/>
      <c r="BC26" s="426"/>
      <c r="BD26" s="426"/>
      <c r="BE26" s="426"/>
      <c r="BF26" s="426"/>
      <c r="BG26" s="426"/>
      <c r="BH26" s="426"/>
      <c r="BI26" s="426"/>
      <c r="BJ26" s="426"/>
      <c r="BK26" s="426"/>
      <c r="BL26" s="426"/>
      <c r="BM26" s="426"/>
      <c r="BN26" s="426"/>
      <c r="BO26" s="426"/>
      <c r="BP26" s="426"/>
      <c r="BQ26" s="426"/>
      <c r="BR26" s="426"/>
      <c r="BS26" s="426"/>
      <c r="BT26" s="426"/>
      <c r="BU26" s="426"/>
      <c r="BV26" s="426"/>
      <c r="BW26" s="426"/>
      <c r="BX26" s="426"/>
      <c r="BY26" s="426"/>
      <c r="BZ26" s="426"/>
      <c r="CA26" s="426"/>
      <c r="CB26" s="426"/>
      <c r="CC26" s="426"/>
      <c r="CD26" s="426"/>
      <c r="CE26" s="426"/>
      <c r="CF26" s="426"/>
      <c r="CG26" s="426"/>
      <c r="CH26" s="426"/>
      <c r="CI26" s="426"/>
      <c r="CJ26" s="426"/>
      <c r="CK26" s="426"/>
      <c r="CL26" s="426"/>
      <c r="CM26" s="426"/>
      <c r="CN26" s="426"/>
      <c r="CO26" s="426"/>
      <c r="CP26" s="426"/>
      <c r="CQ26" s="426"/>
      <c r="CR26" s="426"/>
      <c r="CS26" s="426"/>
      <c r="CT26" s="426"/>
      <c r="CU26" s="426"/>
      <c r="CV26" s="426"/>
      <c r="CW26" s="426"/>
      <c r="CX26" s="426"/>
      <c r="CY26" s="426"/>
      <c r="CZ26" s="426"/>
      <c r="DA26" s="426"/>
      <c r="DB26" s="426"/>
      <c r="DC26" s="426"/>
      <c r="DD26" s="426"/>
      <c r="DE26" s="426"/>
      <c r="DF26" s="426"/>
      <c r="DG26" s="426"/>
      <c r="DH26" s="426"/>
      <c r="DI26" s="426"/>
      <c r="DJ26" s="426"/>
      <c r="DK26" s="426"/>
      <c r="DL26" s="426"/>
      <c r="DM26" s="426"/>
      <c r="DN26" s="426"/>
      <c r="DO26" s="426"/>
      <c r="DP26" s="426"/>
      <c r="DQ26" s="426"/>
      <c r="DR26" s="426"/>
      <c r="DS26" s="426"/>
      <c r="DT26" s="426"/>
      <c r="DU26" s="426"/>
    </row>
    <row r="27" spans="1:125" ht="15.75" hidden="1" customHeight="1" x14ac:dyDescent="0.25">
      <c r="A27" s="423" t="s">
        <v>493</v>
      </c>
      <c r="B27" s="394"/>
      <c r="C27" s="394"/>
      <c r="D27" s="395"/>
      <c r="E27" s="394"/>
      <c r="F27" s="415">
        <f>-F23*'(Z+) Rent Roll'!$N$20</f>
        <v>0</v>
      </c>
      <c r="G27" s="415">
        <f>-G23*'(Z+) Rent Roll'!$N$20</f>
        <v>0</v>
      </c>
      <c r="H27" s="415">
        <f>-H23*'(Z+) Rent Roll'!$N$20</f>
        <v>0</v>
      </c>
      <c r="I27" s="415">
        <f>-I23*'(Z+) Rent Roll'!$N$20</f>
        <v>0</v>
      </c>
      <c r="J27" s="416">
        <f>-J23*'(Z+) Rent Roll'!$N$20</f>
        <v>0</v>
      </c>
      <c r="K27" s="416">
        <f>-K23*'(Z+) Rent Roll'!$N$20</f>
        <v>0</v>
      </c>
      <c r="L27" s="416">
        <f>-L23*'(Z+) Rent Roll'!$N$20</f>
        <v>0</v>
      </c>
      <c r="M27" s="416">
        <f>-M23*'(Z+) Rent Roll'!$N$20</f>
        <v>0</v>
      </c>
      <c r="N27" s="416">
        <f>-N23*'(Z+) Rent Roll'!$N$20</f>
        <v>0</v>
      </c>
      <c r="O27" s="416">
        <f>-O23*'(Z+) Rent Roll'!$N$20</f>
        <v>0</v>
      </c>
      <c r="P27" s="416">
        <f>-P23*'(Z+) Rent Roll'!$N$20</f>
        <v>0</v>
      </c>
      <c r="Q27" s="416">
        <f>-Q23*'(Z+) Rent Roll'!$N$20</f>
        <v>0</v>
      </c>
      <c r="R27" s="416">
        <f>-R23*'(Z+) Rent Roll'!$N$20</f>
        <v>0</v>
      </c>
      <c r="S27" s="416">
        <f>-S23*'(Z+) Rent Roll'!$N$20</f>
        <v>0</v>
      </c>
      <c r="T27" s="416">
        <f>-T23*'(Z+) Rent Roll'!$N$20</f>
        <v>0</v>
      </c>
      <c r="U27" s="417">
        <f>-U23*'(Z+) Rent Roll'!$N$20</f>
        <v>0</v>
      </c>
      <c r="V27" s="417">
        <f>-V23*'(Z+) Rent Roll'!$N$20</f>
        <v>0</v>
      </c>
      <c r="W27" s="417">
        <f>-W23*'(Z+) Rent Roll'!$N$20</f>
        <v>0</v>
      </c>
      <c r="X27" s="417">
        <f>-X23*'(Z+) Rent Roll'!$N$20</f>
        <v>0</v>
      </c>
      <c r="Y27" s="417">
        <f>-Y23*'(Z+) Rent Roll'!$N$20</f>
        <v>0</v>
      </c>
      <c r="Z27" s="417">
        <f>-Z23*'(Z+) Rent Roll'!$N$20</f>
        <v>0</v>
      </c>
      <c r="AA27" s="417">
        <f>-AA23*'(Z+) Rent Roll'!$N$20</f>
        <v>-7.9669355227824692</v>
      </c>
      <c r="AB27" s="417">
        <f>-AB23*'(Z+) Rent Roll'!$N$20</f>
        <v>-15.96669221106359</v>
      </c>
      <c r="AC27" s="417">
        <f>-AC23*'(Z+) Rent Roll'!$N$20</f>
        <v>-23.999371474184034</v>
      </c>
      <c r="AD27" s="417">
        <f>-AD23*'(Z+) Rent Roll'!$N$20</f>
        <v>-32.065074999999986</v>
      </c>
      <c r="AE27" s="417">
        <f>-AE23*'(Z+) Rent Roll'!$N$20</f>
        <v>-40.163904755600264</v>
      </c>
      <c r="AF27" s="417">
        <f>-AF23*'(Z+) Rent Roll'!$N$20</f>
        <v>-47.759341177047155</v>
      </c>
      <c r="AG27" s="417">
        <f>-AG23*'(Z+) Rent Roll'!$N$20</f>
        <v>-56.461352224987415</v>
      </c>
      <c r="AH27" s="417">
        <f>-AH23*'(Z+) Rent Roll'!$N$20</f>
        <v>-64.660175275594099</v>
      </c>
      <c r="AI27" s="417">
        <f>-AI23*'(Z+) Rent Roll'!$N$20</f>
        <v>-72.892535231071278</v>
      </c>
      <c r="AJ27" s="417">
        <f>-AJ23*'(Z+) Rent Roll'!$N$20</f>
        <v>-73.042681918941042</v>
      </c>
      <c r="AK27" s="417">
        <f>-AK23*'(Z+) Rent Roll'!$N$20</f>
        <v>-73.193137884404265</v>
      </c>
      <c r="AL27" s="417">
        <f>-AL23*'(Z+) Rent Roll'!$N$20</f>
        <v>-73.343903764522167</v>
      </c>
      <c r="AM27" s="417">
        <f>-AM23*'(Z+) Rent Roll'!$N$20</f>
        <v>-73.494980197668184</v>
      </c>
      <c r="AN27" s="417">
        <f>-AN23*'(Z+) Rent Roll'!$N$20</f>
        <v>-73.646367823530724</v>
      </c>
      <c r="AO27" s="417">
        <f>-AO23*'(Z+) Rent Roll'!$N$20</f>
        <v>-73.798067283115799</v>
      </c>
      <c r="AP27" s="417">
        <f>-AP23*'(Z+) Rent Roll'!$N$20</f>
        <v>-73.950079218749877</v>
      </c>
      <c r="AQ27" s="417">
        <f>-AQ23*'(Z+) Rent Roll'!$N$20</f>
        <v>-74.102404274082389</v>
      </c>
      <c r="AR27" s="417">
        <f>-AR23*'(Z+) Rent Roll'!$N$20</f>
        <v>-74.255043094088691</v>
      </c>
      <c r="AS27" s="417">
        <f>-AS23*'(Z+) Rent Roll'!$N$20</f>
        <v>-74.407996325072631</v>
      </c>
      <c r="AT27" s="417">
        <f>-AT23*'(Z+) Rent Roll'!$N$20</f>
        <v>-74.561264614669341</v>
      </c>
      <c r="AU27" s="417">
        <f>-AU23*'(Z+) Rent Roll'!$N$20</f>
        <v>-74.71484861184797</v>
      </c>
      <c r="AV27" s="417">
        <f>-AV23*'(Z+) Rent Roll'!$N$20</f>
        <v>-74.868748966914467</v>
      </c>
      <c r="AW27" s="417">
        <f>-AW23*'(Z+) Rent Roll'!$N$20</f>
        <v>-75.022966331514283</v>
      </c>
      <c r="AX27" s="417">
        <f>-AX23*'(Z+) Rent Roll'!$N$20</f>
        <v>-75.177501358635126</v>
      </c>
      <c r="AY27" s="417">
        <f>-AY23*'(Z+) Rent Roll'!$N$20</f>
        <v>-75.332354702609805</v>
      </c>
      <c r="AZ27" s="417">
        <f>-AZ23*'(Z+) Rent Roll'!$N$20</f>
        <v>-75.4875270191189</v>
      </c>
      <c r="BA27" s="417">
        <f>-BA23*'(Z+) Rent Roll'!$N$20</f>
        <v>-75.643018965193605</v>
      </c>
      <c r="BB27" s="417">
        <f>-BB23*'(Z+) Rent Roll'!$N$20</f>
        <v>-75.798831199218512</v>
      </c>
      <c r="BC27" s="417">
        <f>-BC23*'(Z+) Rent Roll'!$N$20</f>
        <v>-75.954964380934356</v>
      </c>
      <c r="BD27" s="417">
        <f>-BD23*'(Z+) Rent Roll'!$N$20</f>
        <v>-76.111419171440829</v>
      </c>
      <c r="BE27" s="417">
        <f>-BE23*'(Z+) Rent Roll'!$N$20</f>
        <v>-76.268196233199362</v>
      </c>
      <c r="BF27" s="417">
        <f>-BF23*'(Z+) Rent Roll'!$N$20</f>
        <v>-76.425296230035997</v>
      </c>
      <c r="BG27" s="417">
        <f>-BG23*'(Z+) Rent Roll'!$N$20</f>
        <v>-76.582719827144103</v>
      </c>
      <c r="BH27" s="417">
        <f>-BH23*'(Z+) Rent Roll'!$N$20</f>
        <v>-76.740467691087247</v>
      </c>
      <c r="BI27" s="417">
        <f>-BI23*'(Z+) Rent Roll'!$N$20</f>
        <v>-76.898540489802059</v>
      </c>
      <c r="BJ27" s="417">
        <f>-BJ23*'(Z+) Rent Roll'!$N$20</f>
        <v>-77.056938892600911</v>
      </c>
      <c r="BK27" s="417">
        <f>-BK23*'(Z+) Rent Roll'!$N$20</f>
        <v>-77.215663570174954</v>
      </c>
      <c r="BL27" s="417">
        <f>-BL23*'(Z+) Rent Roll'!$N$20</f>
        <v>-77.374715194596789</v>
      </c>
      <c r="BM27" s="417">
        <f>-BM23*'(Z+) Rent Roll'!$N$20</f>
        <v>-77.534094439323368</v>
      </c>
      <c r="BN27" s="417">
        <f>-BN23*'(Z+) Rent Roll'!$N$20</f>
        <v>-77.693801979198909</v>
      </c>
      <c r="BO27" s="417">
        <f>-BO23*'(Z+) Rent Roll'!$N$20</f>
        <v>-77.853838490457647</v>
      </c>
      <c r="BP27" s="417">
        <f>-BP23*'(Z+) Rent Roll'!$N$20</f>
        <v>-78.014204650726768</v>
      </c>
      <c r="BQ27" s="417">
        <f>-BQ23*'(Z+) Rent Roll'!$N$20</f>
        <v>-78.174901139029274</v>
      </c>
      <c r="BR27" s="417">
        <f>-BR23*'(Z+) Rent Roll'!$N$20</f>
        <v>-78.3359286357868</v>
      </c>
      <c r="BS27" s="417">
        <f>-BS23*'(Z+) Rent Roll'!$N$20</f>
        <v>-78.497287822822614</v>
      </c>
      <c r="BT27" s="417">
        <f>-BT23*'(Z+) Rent Roll'!$N$20</f>
        <v>-78.65897938336434</v>
      </c>
      <c r="BU27" s="417">
        <f>-BU23*'(Z+) Rent Roll'!$N$20</f>
        <v>-78.821004002047019</v>
      </c>
      <c r="BV27" s="417">
        <f>-BV23*'(Z+) Rent Roll'!$N$20</f>
        <v>-78.983362364915862</v>
      </c>
      <c r="BW27" s="417">
        <f>-BW23*'(Z+) Rent Roll'!$N$20</f>
        <v>-79.146055159429224</v>
      </c>
      <c r="BX27" s="417">
        <f>-BX23*'(Z+) Rent Roll'!$N$20</f>
        <v>-79.309083074461597</v>
      </c>
      <c r="BY27" s="417">
        <f>-BY23*'(Z+) Rent Roll'!$N$20</f>
        <v>-79.472446800306344</v>
      </c>
      <c r="BZ27" s="417">
        <f>-BZ23*'(Z+) Rent Roll'!$N$20</f>
        <v>-79.636147028678749</v>
      </c>
      <c r="CA27" s="417">
        <f>-CA23*'(Z+) Rent Roll'!$N$20</f>
        <v>-79.800184452718952</v>
      </c>
      <c r="CB27" s="417">
        <f>-CB23*'(Z+) Rent Roll'!$N$20</f>
        <v>-79.964559766994796</v>
      </c>
      <c r="CC27" s="417">
        <f>-CC23*'(Z+) Rent Roll'!$N$20</f>
        <v>-80.129273667504876</v>
      </c>
      <c r="CD27" s="417">
        <f>-CD23*'(Z+) Rent Roll'!$N$20</f>
        <v>-80.294326851681348</v>
      </c>
      <c r="CE27" s="417">
        <f>-CE23*'(Z+) Rent Roll'!$N$20</f>
        <v>-80.459720018393043</v>
      </c>
      <c r="CF27" s="417">
        <f>-CF23*'(Z+) Rent Roll'!$N$20</f>
        <v>-80.625453867948323</v>
      </c>
      <c r="CG27" s="417">
        <f>-CG23*'(Z+) Rent Roll'!$N$20</f>
        <v>-80.791529102098039</v>
      </c>
      <c r="CH27" s="417">
        <f>-CH23*'(Z+) Rent Roll'!$N$20</f>
        <v>-80.95794642403861</v>
      </c>
      <c r="CI27" s="417">
        <f>-CI23*'(Z+) Rent Roll'!$N$20</f>
        <v>-81.124706538414841</v>
      </c>
      <c r="CJ27" s="417">
        <f>-CJ23*'(Z+) Rent Roll'!$N$20</f>
        <v>-81.291810151323006</v>
      </c>
      <c r="CK27" s="417">
        <f>-CK23*'(Z+) Rent Roll'!$N$20</f>
        <v>-81.459257970313871</v>
      </c>
      <c r="CL27" s="417">
        <f>-CL23*'(Z+) Rent Roll'!$N$20</f>
        <v>-81.6270507043956</v>
      </c>
      <c r="CM27" s="417">
        <f>-CM23*'(Z+) Rent Roll'!$N$20</f>
        <v>-81.795189064036791</v>
      </c>
      <c r="CN27" s="417">
        <f>-CN23*'(Z+) Rent Roll'!$N$20</f>
        <v>-81.963673761169545</v>
      </c>
      <c r="CO27" s="417">
        <f>-CO23*'(Z+) Rent Roll'!$N$20</f>
        <v>-82.132505509192356</v>
      </c>
      <c r="CP27" s="417">
        <f>-CP23*'(Z+) Rent Roll'!$N$20</f>
        <v>-82.30168502297326</v>
      </c>
      <c r="CQ27" s="417">
        <f>-CQ23*'(Z+) Rent Roll'!$N$20</f>
        <v>-82.471213018852751</v>
      </c>
      <c r="CR27" s="417">
        <f>-CR23*'(Z+) Rent Roll'!$N$20</f>
        <v>-82.641090214646908</v>
      </c>
      <c r="CS27" s="417">
        <f>-CS23*'(Z+) Rent Roll'!$N$20</f>
        <v>-82.811317329650393</v>
      </c>
      <c r="CT27" s="417">
        <f>-CT23*'(Z+) Rent Roll'!$N$20</f>
        <v>-82.981895084639461</v>
      </c>
      <c r="CU27" s="417">
        <f>-CU23*'(Z+) Rent Roll'!$N$20</f>
        <v>-83.152824201875092</v>
      </c>
      <c r="CV27" s="417">
        <f>-CV23*'(Z+) Rent Roll'!$N$20</f>
        <v>-83.324105405105968</v>
      </c>
      <c r="CW27" s="417">
        <f>-CW23*'(Z+) Rent Roll'!$N$20</f>
        <v>-83.495739419571606</v>
      </c>
      <c r="CX27" s="417">
        <f>-CX23*'(Z+) Rent Roll'!$N$20</f>
        <v>-83.667726972005383</v>
      </c>
      <c r="CY27" s="417">
        <f>-CY23*'(Z+) Rent Roll'!$N$20</f>
        <v>-83.840068790637616</v>
      </c>
      <c r="CZ27" s="417">
        <f>-CZ23*'(Z+) Rent Roll'!$N$20</f>
        <v>-84.012765605198666</v>
      </c>
      <c r="DA27" s="417">
        <f>-DA23*'(Z+) Rent Roll'!$N$20</f>
        <v>-84.18581814692206</v>
      </c>
      <c r="DB27" s="417">
        <f>-DB23*'(Z+) Rent Roll'!$N$20</f>
        <v>-84.359227148547475</v>
      </c>
      <c r="DC27" s="417">
        <f>-DC23*'(Z+) Rent Roll'!$N$20</f>
        <v>-84.53299334432397</v>
      </c>
      <c r="DD27" s="417">
        <f>-DD23*'(Z+) Rent Roll'!$N$20</f>
        <v>-84.707117470012989</v>
      </c>
      <c r="DE27" s="417">
        <f>-DE23*'(Z+) Rent Roll'!$N$20</f>
        <v>-84.881600262891538</v>
      </c>
      <c r="DF27" s="417">
        <f>-DF23*'(Z+) Rent Roll'!$N$20</f>
        <v>-85.056442461755324</v>
      </c>
      <c r="DG27" s="417">
        <f>-DG23*'(Z+) Rent Roll'!$N$20</f>
        <v>-85.231644806921835</v>
      </c>
      <c r="DH27" s="417">
        <f>-DH23*'(Z+) Rent Roll'!$N$20</f>
        <v>-85.407208040233499</v>
      </c>
      <c r="DI27" s="417">
        <f>-DI23*'(Z+) Rent Roll'!$N$20</f>
        <v>-85.583132905060779</v>
      </c>
      <c r="DJ27" s="417">
        <f>-DJ23*'(Z+) Rent Roll'!$N$20</f>
        <v>-85.759420146305388</v>
      </c>
      <c r="DK27" s="417">
        <f>-DK23*'(Z+) Rent Roll'!$N$20</f>
        <v>-85.936070510403425</v>
      </c>
      <c r="DL27" s="417">
        <f>-DL23*'(Z+) Rent Roll'!$N$20</f>
        <v>-86.113084745328521</v>
      </c>
      <c r="DM27" s="417">
        <f>-DM23*'(Z+) Rent Roll'!$N$20</f>
        <v>-86.290463600594975</v>
      </c>
      <c r="DN27" s="417">
        <f>-DN23*'(Z+) Rent Roll'!$N$20</f>
        <v>-86.468207827261025</v>
      </c>
      <c r="DO27" s="417">
        <f>-DO23*'(Z+) Rent Roll'!$N$20</f>
        <v>-86.646318177931917</v>
      </c>
      <c r="DP27" s="417">
        <f>-DP23*'(Z+) Rent Roll'!$N$20</f>
        <v>-86.824795406763172</v>
      </c>
      <c r="DQ27" s="417">
        <f>-DQ23*'(Z+) Rent Roll'!$N$20</f>
        <v>-87.003640269463702</v>
      </c>
      <c r="DR27" s="417">
        <f>-DR23*'(Z+) Rent Roll'!$N$20</f>
        <v>-87.182853523299102</v>
      </c>
      <c r="DS27" s="417">
        <f>-DS23*'(Z+) Rent Roll'!$N$20</f>
        <v>-87.362435927094765</v>
      </c>
      <c r="DT27" s="417">
        <f>-DT23*'(Z+) Rent Roll'!$N$20</f>
        <v>-87.542388241239209</v>
      </c>
      <c r="DU27" s="417">
        <f>-DU23*'(Z+) Rent Roll'!$N$20</f>
        <v>-87.722711227687171</v>
      </c>
    </row>
    <row r="28" spans="1:125" ht="15.75" hidden="1" customHeight="1" x14ac:dyDescent="0.25">
      <c r="A28" s="423" t="s">
        <v>494</v>
      </c>
      <c r="B28" s="394"/>
      <c r="C28" s="394"/>
      <c r="D28" s="395"/>
      <c r="E28" s="394"/>
      <c r="F28" s="415">
        <f t="shared" ref="F28:AK28" si="29">SUM(F26:F27)</f>
        <v>0</v>
      </c>
      <c r="G28" s="415">
        <f t="shared" si="29"/>
        <v>0</v>
      </c>
      <c r="H28" s="415">
        <f t="shared" si="29"/>
        <v>0</v>
      </c>
      <c r="I28" s="415">
        <f t="shared" si="29"/>
        <v>0</v>
      </c>
      <c r="J28" s="416">
        <f t="shared" si="29"/>
        <v>0</v>
      </c>
      <c r="K28" s="416">
        <f t="shared" si="29"/>
        <v>0</v>
      </c>
      <c r="L28" s="416">
        <f t="shared" si="29"/>
        <v>0</v>
      </c>
      <c r="M28" s="416">
        <f t="shared" si="29"/>
        <v>0</v>
      </c>
      <c r="N28" s="416">
        <f t="shared" si="29"/>
        <v>0</v>
      </c>
      <c r="O28" s="416">
        <f t="shared" si="29"/>
        <v>0</v>
      </c>
      <c r="P28" s="416">
        <f t="shared" si="29"/>
        <v>0</v>
      </c>
      <c r="Q28" s="416">
        <f t="shared" si="29"/>
        <v>0</v>
      </c>
      <c r="R28" s="416">
        <f t="shared" si="29"/>
        <v>0</v>
      </c>
      <c r="S28" s="416">
        <f t="shared" si="29"/>
        <v>0</v>
      </c>
      <c r="T28" s="416">
        <f t="shared" si="29"/>
        <v>0</v>
      </c>
      <c r="U28" s="417">
        <f t="shared" si="29"/>
        <v>0</v>
      </c>
      <c r="V28" s="417">
        <f t="shared" si="29"/>
        <v>0</v>
      </c>
      <c r="W28" s="417">
        <f t="shared" si="29"/>
        <v>0</v>
      </c>
      <c r="X28" s="417">
        <f t="shared" si="29"/>
        <v>0</v>
      </c>
      <c r="Y28" s="417">
        <f t="shared" si="29"/>
        <v>0</v>
      </c>
      <c r="Z28" s="417">
        <f t="shared" si="29"/>
        <v>0</v>
      </c>
      <c r="AA28" s="417">
        <f t="shared" si="29"/>
        <v>-7.9669355227824692</v>
      </c>
      <c r="AB28" s="417">
        <f t="shared" si="29"/>
        <v>-15.96669221106359</v>
      </c>
      <c r="AC28" s="417">
        <f t="shared" si="29"/>
        <v>-23.999371474184034</v>
      </c>
      <c r="AD28" s="417">
        <f t="shared" si="29"/>
        <v>-32.065074999999986</v>
      </c>
      <c r="AE28" s="417">
        <f t="shared" si="29"/>
        <v>-40.163904755600264</v>
      </c>
      <c r="AF28" s="417">
        <f t="shared" si="29"/>
        <v>-47.759341177047155</v>
      </c>
      <c r="AG28" s="417">
        <f t="shared" si="29"/>
        <v>-56.461352224987415</v>
      </c>
      <c r="AH28" s="417">
        <f t="shared" si="29"/>
        <v>-64.660175275594099</v>
      </c>
      <c r="AI28" s="417">
        <f t="shared" si="29"/>
        <v>-72.892535231071278</v>
      </c>
      <c r="AJ28" s="417">
        <f t="shared" si="29"/>
        <v>-73.042681918941042</v>
      </c>
      <c r="AK28" s="417">
        <f t="shared" si="29"/>
        <v>-73.193137884404265</v>
      </c>
      <c r="AL28" s="417">
        <f t="shared" ref="AL28:BQ28" si="30">SUM(AL26:AL27)</f>
        <v>-73.343903764522167</v>
      </c>
      <c r="AM28" s="417">
        <f t="shared" si="30"/>
        <v>-73.494980197668184</v>
      </c>
      <c r="AN28" s="417">
        <f t="shared" si="30"/>
        <v>-73.646367823530724</v>
      </c>
      <c r="AO28" s="417">
        <f t="shared" si="30"/>
        <v>-73.798067283115799</v>
      </c>
      <c r="AP28" s="417">
        <f t="shared" si="30"/>
        <v>-73.950079218749877</v>
      </c>
      <c r="AQ28" s="417">
        <f t="shared" si="30"/>
        <v>-74.102404274082389</v>
      </c>
      <c r="AR28" s="417">
        <f t="shared" si="30"/>
        <v>-74.255043094088691</v>
      </c>
      <c r="AS28" s="417">
        <f t="shared" si="30"/>
        <v>-74.407996325072631</v>
      </c>
      <c r="AT28" s="417">
        <f t="shared" si="30"/>
        <v>-74.561264614669341</v>
      </c>
      <c r="AU28" s="417">
        <f t="shared" si="30"/>
        <v>-74.71484861184797</v>
      </c>
      <c r="AV28" s="417">
        <f t="shared" si="30"/>
        <v>-74.868748966914467</v>
      </c>
      <c r="AW28" s="417">
        <f t="shared" si="30"/>
        <v>-75.022966331514283</v>
      </c>
      <c r="AX28" s="417">
        <f t="shared" si="30"/>
        <v>-75.177501358635126</v>
      </c>
      <c r="AY28" s="417">
        <f t="shared" si="30"/>
        <v>-75.332354702609805</v>
      </c>
      <c r="AZ28" s="417">
        <f t="shared" si="30"/>
        <v>-75.4875270191189</v>
      </c>
      <c r="BA28" s="417">
        <f t="shared" si="30"/>
        <v>-75.643018965193605</v>
      </c>
      <c r="BB28" s="417">
        <f t="shared" si="30"/>
        <v>-75.798831199218512</v>
      </c>
      <c r="BC28" s="417">
        <f t="shared" si="30"/>
        <v>-75.954964380934356</v>
      </c>
      <c r="BD28" s="417">
        <f t="shared" si="30"/>
        <v>-76.111419171440829</v>
      </c>
      <c r="BE28" s="417">
        <f t="shared" si="30"/>
        <v>-76.268196233199362</v>
      </c>
      <c r="BF28" s="417">
        <f t="shared" si="30"/>
        <v>-76.425296230035997</v>
      </c>
      <c r="BG28" s="417">
        <f t="shared" si="30"/>
        <v>-76.582719827144103</v>
      </c>
      <c r="BH28" s="417">
        <f t="shared" si="30"/>
        <v>-76.740467691087247</v>
      </c>
      <c r="BI28" s="417">
        <f t="shared" si="30"/>
        <v>-76.898540489802059</v>
      </c>
      <c r="BJ28" s="417">
        <f t="shared" si="30"/>
        <v>-77.056938892600911</v>
      </c>
      <c r="BK28" s="417">
        <f t="shared" si="30"/>
        <v>-77.215663570174954</v>
      </c>
      <c r="BL28" s="417">
        <f t="shared" si="30"/>
        <v>-77.374715194596789</v>
      </c>
      <c r="BM28" s="417">
        <f t="shared" si="30"/>
        <v>-77.534094439323368</v>
      </c>
      <c r="BN28" s="417">
        <f t="shared" si="30"/>
        <v>-77.693801979198909</v>
      </c>
      <c r="BO28" s="417">
        <f t="shared" si="30"/>
        <v>-77.853838490457647</v>
      </c>
      <c r="BP28" s="417">
        <f t="shared" si="30"/>
        <v>-78.014204650726768</v>
      </c>
      <c r="BQ28" s="417">
        <f t="shared" si="30"/>
        <v>-78.174901139029274</v>
      </c>
      <c r="BR28" s="417">
        <f t="shared" ref="BR28:CW28" si="31">SUM(BR26:BR27)</f>
        <v>-78.3359286357868</v>
      </c>
      <c r="BS28" s="417">
        <f t="shared" si="31"/>
        <v>-78.497287822822614</v>
      </c>
      <c r="BT28" s="417">
        <f t="shared" si="31"/>
        <v>-78.65897938336434</v>
      </c>
      <c r="BU28" s="417">
        <f t="shared" si="31"/>
        <v>-78.821004002047019</v>
      </c>
      <c r="BV28" s="417">
        <f t="shared" si="31"/>
        <v>-78.983362364915862</v>
      </c>
      <c r="BW28" s="417">
        <f t="shared" si="31"/>
        <v>-79.146055159429224</v>
      </c>
      <c r="BX28" s="417">
        <f t="shared" si="31"/>
        <v>-79.309083074461597</v>
      </c>
      <c r="BY28" s="417">
        <f t="shared" si="31"/>
        <v>-79.472446800306344</v>
      </c>
      <c r="BZ28" s="417">
        <f t="shared" si="31"/>
        <v>-79.636147028678749</v>
      </c>
      <c r="CA28" s="417">
        <f t="shared" si="31"/>
        <v>-79.800184452718952</v>
      </c>
      <c r="CB28" s="417">
        <f t="shared" si="31"/>
        <v>-79.964559766994796</v>
      </c>
      <c r="CC28" s="417">
        <f t="shared" si="31"/>
        <v>-80.129273667504876</v>
      </c>
      <c r="CD28" s="417">
        <f t="shared" si="31"/>
        <v>-80.294326851681348</v>
      </c>
      <c r="CE28" s="417">
        <f t="shared" si="31"/>
        <v>-80.459720018393043</v>
      </c>
      <c r="CF28" s="417">
        <f t="shared" si="31"/>
        <v>-80.625453867948323</v>
      </c>
      <c r="CG28" s="417">
        <f t="shared" si="31"/>
        <v>-80.791529102098039</v>
      </c>
      <c r="CH28" s="417">
        <f t="shared" si="31"/>
        <v>-80.95794642403861</v>
      </c>
      <c r="CI28" s="417">
        <f t="shared" si="31"/>
        <v>-81.124706538414841</v>
      </c>
      <c r="CJ28" s="417">
        <f t="shared" si="31"/>
        <v>-81.291810151323006</v>
      </c>
      <c r="CK28" s="417">
        <f t="shared" si="31"/>
        <v>-81.459257970313871</v>
      </c>
      <c r="CL28" s="417">
        <f t="shared" si="31"/>
        <v>-81.6270507043956</v>
      </c>
      <c r="CM28" s="417">
        <f t="shared" si="31"/>
        <v>-81.795189064036791</v>
      </c>
      <c r="CN28" s="417">
        <f t="shared" si="31"/>
        <v>-81.963673761169545</v>
      </c>
      <c r="CO28" s="417">
        <f t="shared" si="31"/>
        <v>-82.132505509192356</v>
      </c>
      <c r="CP28" s="417">
        <f t="shared" si="31"/>
        <v>-82.30168502297326</v>
      </c>
      <c r="CQ28" s="417">
        <f t="shared" si="31"/>
        <v>-82.471213018852751</v>
      </c>
      <c r="CR28" s="417">
        <f t="shared" si="31"/>
        <v>-82.641090214646908</v>
      </c>
      <c r="CS28" s="417">
        <f t="shared" si="31"/>
        <v>-82.811317329650393</v>
      </c>
      <c r="CT28" s="417">
        <f t="shared" si="31"/>
        <v>-82.981895084639461</v>
      </c>
      <c r="CU28" s="417">
        <f t="shared" si="31"/>
        <v>-83.152824201875092</v>
      </c>
      <c r="CV28" s="417">
        <f t="shared" si="31"/>
        <v>-83.324105405105968</v>
      </c>
      <c r="CW28" s="417">
        <f t="shared" si="31"/>
        <v>-83.495739419571606</v>
      </c>
      <c r="CX28" s="417">
        <f t="shared" ref="CX28:EC28" si="32">SUM(CX26:CX27)</f>
        <v>-83.667726972005383</v>
      </c>
      <c r="CY28" s="417">
        <f t="shared" si="32"/>
        <v>-83.840068790637616</v>
      </c>
      <c r="CZ28" s="417">
        <f t="shared" si="32"/>
        <v>-84.012765605198666</v>
      </c>
      <c r="DA28" s="417">
        <f t="shared" si="32"/>
        <v>-84.18581814692206</v>
      </c>
      <c r="DB28" s="417">
        <f t="shared" si="32"/>
        <v>-84.359227148547475</v>
      </c>
      <c r="DC28" s="417">
        <f t="shared" si="32"/>
        <v>-84.53299334432397</v>
      </c>
      <c r="DD28" s="417">
        <f t="shared" si="32"/>
        <v>-84.707117470012989</v>
      </c>
      <c r="DE28" s="417">
        <f t="shared" si="32"/>
        <v>-84.881600262891538</v>
      </c>
      <c r="DF28" s="417">
        <f t="shared" si="32"/>
        <v>-85.056442461755324</v>
      </c>
      <c r="DG28" s="417">
        <f t="shared" si="32"/>
        <v>-85.231644806921835</v>
      </c>
      <c r="DH28" s="417">
        <f t="shared" si="32"/>
        <v>-85.407208040233499</v>
      </c>
      <c r="DI28" s="417">
        <f t="shared" si="32"/>
        <v>-85.583132905060779</v>
      </c>
      <c r="DJ28" s="417">
        <f t="shared" si="32"/>
        <v>-85.759420146305388</v>
      </c>
      <c r="DK28" s="417">
        <f t="shared" si="32"/>
        <v>-85.936070510403425</v>
      </c>
      <c r="DL28" s="417">
        <f t="shared" si="32"/>
        <v>-86.113084745328521</v>
      </c>
      <c r="DM28" s="417">
        <f t="shared" si="32"/>
        <v>-86.290463600594975</v>
      </c>
      <c r="DN28" s="417">
        <f t="shared" si="32"/>
        <v>-86.468207827261025</v>
      </c>
      <c r="DO28" s="417">
        <f t="shared" si="32"/>
        <v>-86.646318177931917</v>
      </c>
      <c r="DP28" s="417">
        <f t="shared" si="32"/>
        <v>-86.824795406763172</v>
      </c>
      <c r="DQ28" s="417">
        <f t="shared" si="32"/>
        <v>-87.003640269463702</v>
      </c>
      <c r="DR28" s="417">
        <f t="shared" si="32"/>
        <v>-87.182853523299102</v>
      </c>
      <c r="DS28" s="417">
        <f t="shared" si="32"/>
        <v>-87.362435927094765</v>
      </c>
      <c r="DT28" s="417">
        <f t="shared" si="32"/>
        <v>-87.542388241239209</v>
      </c>
      <c r="DU28" s="417">
        <f t="shared" si="32"/>
        <v>-87.722711227687171</v>
      </c>
    </row>
    <row r="29" spans="1:125" ht="15.75" hidden="1" customHeight="1" x14ac:dyDescent="0.25">
      <c r="A29" s="423" t="s">
        <v>173</v>
      </c>
      <c r="B29" s="394"/>
      <c r="C29" s="394"/>
      <c r="D29" s="395"/>
      <c r="E29" s="394"/>
      <c r="F29" s="415">
        <f t="shared" ref="F29:AK29" si="33">SUM(F25,F28)</f>
        <v>0</v>
      </c>
      <c r="G29" s="415">
        <f t="shared" si="33"/>
        <v>0</v>
      </c>
      <c r="H29" s="415">
        <f t="shared" si="33"/>
        <v>0</v>
      </c>
      <c r="I29" s="415">
        <f t="shared" si="33"/>
        <v>0</v>
      </c>
      <c r="J29" s="416">
        <f t="shared" si="33"/>
        <v>0</v>
      </c>
      <c r="K29" s="416">
        <f t="shared" si="33"/>
        <v>0</v>
      </c>
      <c r="L29" s="416">
        <f t="shared" si="33"/>
        <v>0</v>
      </c>
      <c r="M29" s="416">
        <f t="shared" si="33"/>
        <v>0</v>
      </c>
      <c r="N29" s="416">
        <f t="shared" si="33"/>
        <v>0</v>
      </c>
      <c r="O29" s="416">
        <f t="shared" si="33"/>
        <v>0</v>
      </c>
      <c r="P29" s="416">
        <f t="shared" si="33"/>
        <v>0</v>
      </c>
      <c r="Q29" s="416">
        <f t="shared" si="33"/>
        <v>0</v>
      </c>
      <c r="R29" s="416">
        <f t="shared" si="33"/>
        <v>0</v>
      </c>
      <c r="S29" s="416">
        <f t="shared" si="33"/>
        <v>0</v>
      </c>
      <c r="T29" s="416">
        <f t="shared" si="33"/>
        <v>0</v>
      </c>
      <c r="U29" s="417">
        <f t="shared" si="33"/>
        <v>0</v>
      </c>
      <c r="V29" s="417">
        <f t="shared" si="33"/>
        <v>0</v>
      </c>
      <c r="W29" s="417">
        <f t="shared" si="33"/>
        <v>0</v>
      </c>
      <c r="X29" s="417">
        <f t="shared" si="33"/>
        <v>0</v>
      </c>
      <c r="Y29" s="417">
        <f t="shared" si="33"/>
        <v>0</v>
      </c>
      <c r="Z29" s="417">
        <f t="shared" si="33"/>
        <v>0</v>
      </c>
      <c r="AA29" s="417">
        <f t="shared" si="33"/>
        <v>1883.5216186498808</v>
      </c>
      <c r="AB29" s="417">
        <f t="shared" si="33"/>
        <v>3774.8027295900174</v>
      </c>
      <c r="AC29" s="417">
        <f t="shared" si="33"/>
        <v>5673.8673077458934</v>
      </c>
      <c r="AD29" s="417">
        <f t="shared" si="33"/>
        <v>7580.7393938888836</v>
      </c>
      <c r="AE29" s="417">
        <f t="shared" si="33"/>
        <v>9495.4430948058016</v>
      </c>
      <c r="AF29" s="417">
        <f t="shared" si="33"/>
        <v>11291.135888096976</v>
      </c>
      <c r="AG29" s="417">
        <f t="shared" si="33"/>
        <v>13348.442099206011</v>
      </c>
      <c r="AH29" s="417">
        <f t="shared" si="33"/>
        <v>15286.785947871833</v>
      </c>
      <c r="AI29" s="417">
        <f t="shared" si="33"/>
        <v>17233.058502018652</v>
      </c>
      <c r="AJ29" s="417">
        <f t="shared" si="33"/>
        <v>17268.555780961433</v>
      </c>
      <c r="AK29" s="417">
        <f t="shared" si="33"/>
        <v>17304.126178486858</v>
      </c>
      <c r="AL29" s="417">
        <f t="shared" ref="AL29:BQ29" si="34">SUM(AL25,AL28)</f>
        <v>17339.769845207244</v>
      </c>
      <c r="AM29" s="417">
        <f t="shared" si="34"/>
        <v>17375.486932045129</v>
      </c>
      <c r="AN29" s="417">
        <f t="shared" si="34"/>
        <v>17411.277590233934</v>
      </c>
      <c r="AO29" s="417">
        <f t="shared" si="34"/>
        <v>17447.141971318601</v>
      </c>
      <c r="AP29" s="417">
        <f t="shared" si="34"/>
        <v>17483.080227156217</v>
      </c>
      <c r="AQ29" s="417">
        <f t="shared" si="34"/>
        <v>17519.092509916685</v>
      </c>
      <c r="AR29" s="417">
        <f t="shared" si="34"/>
        <v>17555.17897208334</v>
      </c>
      <c r="AS29" s="417">
        <f t="shared" si="34"/>
        <v>17591.339766453617</v>
      </c>
      <c r="AT29" s="417">
        <f t="shared" si="34"/>
        <v>17627.575046139686</v>
      </c>
      <c r="AU29" s="417">
        <f t="shared" si="34"/>
        <v>17663.884964569097</v>
      </c>
      <c r="AV29" s="417">
        <f t="shared" si="34"/>
        <v>17700.269675485448</v>
      </c>
      <c r="AW29" s="417">
        <f t="shared" si="34"/>
        <v>17736.729332949009</v>
      </c>
      <c r="AX29" s="417">
        <f t="shared" si="34"/>
        <v>17773.264091337405</v>
      </c>
      <c r="AY29" s="417">
        <f t="shared" si="34"/>
        <v>17809.874105346236</v>
      </c>
      <c r="AZ29" s="417">
        <f t="shared" si="34"/>
        <v>17846.559529989761</v>
      </c>
      <c r="BA29" s="417">
        <f t="shared" si="34"/>
        <v>17883.320520601541</v>
      </c>
      <c r="BB29" s="417">
        <f t="shared" si="34"/>
        <v>17920.157232835099</v>
      </c>
      <c r="BC29" s="417">
        <f t="shared" si="34"/>
        <v>17957.06982266458</v>
      </c>
      <c r="BD29" s="417">
        <f t="shared" si="34"/>
        <v>17994.058446385403</v>
      </c>
      <c r="BE29" s="417">
        <f t="shared" si="34"/>
        <v>18031.123260614939</v>
      </c>
      <c r="BF29" s="417">
        <f t="shared" si="34"/>
        <v>18068.264422293159</v>
      </c>
      <c r="BG29" s="417">
        <f t="shared" si="34"/>
        <v>18105.482088683308</v>
      </c>
      <c r="BH29" s="417">
        <f t="shared" si="34"/>
        <v>18142.776417372563</v>
      </c>
      <c r="BI29" s="417">
        <f t="shared" si="34"/>
        <v>18180.147566272717</v>
      </c>
      <c r="BJ29" s="417">
        <f t="shared" si="34"/>
        <v>18217.595693620817</v>
      </c>
      <c r="BK29" s="417">
        <f t="shared" si="34"/>
        <v>18255.120957979871</v>
      </c>
      <c r="BL29" s="417">
        <f t="shared" si="34"/>
        <v>18292.723518239487</v>
      </c>
      <c r="BM29" s="417">
        <f t="shared" si="34"/>
        <v>18330.403533616562</v>
      </c>
      <c r="BN29" s="417">
        <f t="shared" si="34"/>
        <v>18368.161163655957</v>
      </c>
      <c r="BO29" s="417">
        <f t="shared" si="34"/>
        <v>18405.996568231178</v>
      </c>
      <c r="BP29" s="417">
        <f t="shared" si="34"/>
        <v>18443.909907545018</v>
      </c>
      <c r="BQ29" s="417">
        <f t="shared" si="34"/>
        <v>18481.901342130295</v>
      </c>
      <c r="BR29" s="417">
        <f t="shared" ref="BR29:CW29" si="35">SUM(BR25,BR28)</f>
        <v>18519.971032850466</v>
      </c>
      <c r="BS29" s="417">
        <f t="shared" si="35"/>
        <v>18558.119140900373</v>
      </c>
      <c r="BT29" s="417">
        <f t="shared" si="35"/>
        <v>18596.345827806861</v>
      </c>
      <c r="BU29" s="417">
        <f t="shared" si="35"/>
        <v>18634.651255429519</v>
      </c>
      <c r="BV29" s="417">
        <f t="shared" si="35"/>
        <v>18673.035585961319</v>
      </c>
      <c r="BW29" s="417">
        <f t="shared" si="35"/>
        <v>18711.498981929348</v>
      </c>
      <c r="BX29" s="417">
        <f t="shared" si="35"/>
        <v>18750.041606195449</v>
      </c>
      <c r="BY29" s="417">
        <f t="shared" si="35"/>
        <v>18788.663621956948</v>
      </c>
      <c r="BZ29" s="417">
        <f t="shared" si="35"/>
        <v>18827.365192747329</v>
      </c>
      <c r="CA29" s="417">
        <f t="shared" si="35"/>
        <v>18866.146482436921</v>
      </c>
      <c r="CB29" s="417">
        <f t="shared" si="35"/>
        <v>18905.007655233614</v>
      </c>
      <c r="CC29" s="417">
        <f t="shared" si="35"/>
        <v>18943.94887568352</v>
      </c>
      <c r="CD29" s="417">
        <f t="shared" si="35"/>
        <v>18982.970308671698</v>
      </c>
      <c r="CE29" s="417">
        <f t="shared" si="35"/>
        <v>19022.07211942285</v>
      </c>
      <c r="CF29" s="417">
        <f t="shared" si="35"/>
        <v>19061.254473501998</v>
      </c>
      <c r="CG29" s="417">
        <f t="shared" si="35"/>
        <v>19100.51753681522</v>
      </c>
      <c r="CH29" s="417">
        <f t="shared" si="35"/>
        <v>19139.86147561032</v>
      </c>
      <c r="CI29" s="417">
        <f t="shared" si="35"/>
        <v>19179.286456477548</v>
      </c>
      <c r="CJ29" s="417">
        <f t="shared" si="35"/>
        <v>19218.792646350303</v>
      </c>
      <c r="CK29" s="417">
        <f t="shared" si="35"/>
        <v>19258.380212505843</v>
      </c>
      <c r="CL29" s="417">
        <f t="shared" si="35"/>
        <v>19298.049322565981</v>
      </c>
      <c r="CM29" s="417">
        <f t="shared" si="35"/>
        <v>19337.800144497818</v>
      </c>
      <c r="CN29" s="417">
        <f t="shared" si="35"/>
        <v>19377.632846614426</v>
      </c>
      <c r="CO29" s="417">
        <f t="shared" si="35"/>
        <v>19417.54759757558</v>
      </c>
      <c r="CP29" s="417">
        <f t="shared" si="35"/>
        <v>19457.54456638846</v>
      </c>
      <c r="CQ29" s="417">
        <f t="shared" si="35"/>
        <v>19497.623922408391</v>
      </c>
      <c r="CR29" s="417">
        <f t="shared" si="35"/>
        <v>19537.785835339524</v>
      </c>
      <c r="CS29" s="417">
        <f t="shared" si="35"/>
        <v>19578.030475235573</v>
      </c>
      <c r="CT29" s="417">
        <f t="shared" si="35"/>
        <v>19618.35801250055</v>
      </c>
      <c r="CU29" s="417">
        <f t="shared" si="35"/>
        <v>19658.768617889458</v>
      </c>
      <c r="CV29" s="417">
        <f t="shared" si="35"/>
        <v>19699.262462509032</v>
      </c>
      <c r="CW29" s="417">
        <f t="shared" si="35"/>
        <v>19739.839717818464</v>
      </c>
      <c r="CX29" s="417">
        <f t="shared" ref="CX29:EC29" si="36">SUM(CX25,CX28)</f>
        <v>19780.500555630104</v>
      </c>
      <c r="CY29" s="417">
        <f t="shared" si="36"/>
        <v>19821.245148110236</v>
      </c>
      <c r="CZ29" s="417">
        <f t="shared" si="36"/>
        <v>19862.073667779758</v>
      </c>
      <c r="DA29" s="417">
        <f t="shared" si="36"/>
        <v>19902.986287514941</v>
      </c>
      <c r="DB29" s="417">
        <f t="shared" si="36"/>
        <v>19943.983180548144</v>
      </c>
      <c r="DC29" s="417">
        <f t="shared" si="36"/>
        <v>19985.064520468575</v>
      </c>
      <c r="DD29" s="417">
        <f t="shared" si="36"/>
        <v>20026.230481222985</v>
      </c>
      <c r="DE29" s="417">
        <f t="shared" si="36"/>
        <v>20067.481237116437</v>
      </c>
      <c r="DF29" s="417">
        <f t="shared" si="36"/>
        <v>20108.816962813038</v>
      </c>
      <c r="DG29" s="417">
        <f t="shared" si="36"/>
        <v>20150.237833336669</v>
      </c>
      <c r="DH29" s="417">
        <f t="shared" si="36"/>
        <v>20191.744024071733</v>
      </c>
      <c r="DI29" s="417">
        <f t="shared" si="36"/>
        <v>20233.335710763899</v>
      </c>
      <c r="DJ29" s="417">
        <f t="shared" si="36"/>
        <v>20275.013069520828</v>
      </c>
      <c r="DK29" s="417">
        <f t="shared" si="36"/>
        <v>20316.776276812965</v>
      </c>
      <c r="DL29" s="417">
        <f t="shared" si="36"/>
        <v>20358.625509474223</v>
      </c>
      <c r="DM29" s="417">
        <f t="shared" si="36"/>
        <v>20400.560944702782</v>
      </c>
      <c r="DN29" s="417">
        <f t="shared" si="36"/>
        <v>20442.582760061821</v>
      </c>
      <c r="DO29" s="417">
        <f t="shared" si="36"/>
        <v>20484.691133480257</v>
      </c>
      <c r="DP29" s="417">
        <f t="shared" si="36"/>
        <v>20526.886243253524</v>
      </c>
      <c r="DQ29" s="417">
        <f t="shared" si="36"/>
        <v>20569.168268044315</v>
      </c>
      <c r="DR29" s="417">
        <f t="shared" si="36"/>
        <v>20611.537386883334</v>
      </c>
      <c r="DS29" s="417">
        <f t="shared" si="36"/>
        <v>20653.993779170058</v>
      </c>
      <c r="DT29" s="417">
        <f t="shared" si="36"/>
        <v>20696.537624673492</v>
      </c>
      <c r="DU29" s="417">
        <f t="shared" si="36"/>
        <v>20739.169103532964</v>
      </c>
    </row>
    <row r="30" spans="1:125" ht="15.75" customHeight="1" x14ac:dyDescent="0.25">
      <c r="A30" s="427"/>
      <c r="B30" s="394"/>
      <c r="C30" s="394"/>
      <c r="D30" s="395"/>
      <c r="E30" s="394"/>
      <c r="F30" s="428"/>
      <c r="G30" s="428"/>
      <c r="H30" s="428"/>
      <c r="I30" s="428"/>
      <c r="J30" s="429"/>
      <c r="K30" s="429"/>
      <c r="L30" s="429"/>
      <c r="M30" s="429"/>
      <c r="N30" s="429"/>
      <c r="O30" s="429"/>
      <c r="P30" s="429"/>
      <c r="Q30" s="429"/>
      <c r="R30" s="429"/>
      <c r="S30" s="429"/>
      <c r="T30" s="429"/>
      <c r="U30" s="430"/>
      <c r="V30" s="430"/>
      <c r="W30" s="430"/>
      <c r="X30" s="430"/>
      <c r="Y30" s="430"/>
      <c r="Z30" s="430"/>
      <c r="AA30" s="430"/>
      <c r="AB30" s="430"/>
      <c r="AC30" s="430"/>
      <c r="AD30" s="430"/>
      <c r="AE30" s="430"/>
      <c r="AF30" s="430"/>
      <c r="AG30" s="430"/>
      <c r="AH30" s="430"/>
      <c r="AI30" s="430"/>
      <c r="AJ30" s="430"/>
      <c r="AK30" s="430"/>
      <c r="AL30" s="430"/>
      <c r="AM30" s="430"/>
      <c r="AN30" s="430"/>
      <c r="AO30" s="430"/>
      <c r="AP30" s="430"/>
      <c r="AQ30" s="430"/>
      <c r="AR30" s="430"/>
      <c r="AS30" s="430"/>
      <c r="AT30" s="430"/>
      <c r="AU30" s="430"/>
      <c r="AV30" s="430"/>
      <c r="AW30" s="430"/>
      <c r="AX30" s="430"/>
      <c r="AY30" s="430"/>
      <c r="AZ30" s="430"/>
      <c r="BA30" s="430"/>
      <c r="BB30" s="430"/>
      <c r="BC30" s="430"/>
      <c r="BD30" s="430"/>
      <c r="BE30" s="430"/>
      <c r="BF30" s="430"/>
      <c r="BG30" s="430"/>
      <c r="BH30" s="430"/>
      <c r="BI30" s="430"/>
      <c r="BJ30" s="430"/>
      <c r="BK30" s="430"/>
      <c r="BL30" s="430"/>
      <c r="BM30" s="430"/>
      <c r="BN30" s="430"/>
      <c r="BO30" s="430"/>
      <c r="BP30" s="430"/>
      <c r="BQ30" s="430"/>
      <c r="BR30" s="430"/>
      <c r="BS30" s="430"/>
      <c r="BT30" s="430"/>
      <c r="BU30" s="430"/>
      <c r="BV30" s="430"/>
      <c r="BW30" s="430"/>
      <c r="BX30" s="430"/>
      <c r="BY30" s="430"/>
      <c r="BZ30" s="430"/>
      <c r="CA30" s="430"/>
      <c r="CB30" s="430"/>
      <c r="CC30" s="430"/>
      <c r="CD30" s="430"/>
      <c r="CE30" s="430"/>
      <c r="CF30" s="430"/>
      <c r="CG30" s="430"/>
      <c r="CH30" s="430"/>
      <c r="CI30" s="430"/>
      <c r="CJ30" s="430"/>
      <c r="CK30" s="430"/>
      <c r="CL30" s="430"/>
      <c r="CM30" s="430"/>
      <c r="CN30" s="430"/>
      <c r="CO30" s="430"/>
      <c r="CP30" s="430"/>
      <c r="CQ30" s="430"/>
      <c r="CR30" s="430"/>
      <c r="CS30" s="430"/>
      <c r="CT30" s="430"/>
      <c r="CU30" s="430"/>
      <c r="CV30" s="430"/>
      <c r="CW30" s="430"/>
      <c r="CX30" s="430"/>
      <c r="CY30" s="430"/>
      <c r="CZ30" s="430"/>
      <c r="DA30" s="430"/>
      <c r="DB30" s="430"/>
      <c r="DC30" s="430"/>
      <c r="DD30" s="430"/>
      <c r="DE30" s="430"/>
      <c r="DF30" s="430"/>
      <c r="DG30" s="430"/>
      <c r="DH30" s="430"/>
      <c r="DI30" s="430"/>
      <c r="DJ30" s="430"/>
      <c r="DK30" s="430"/>
      <c r="DL30" s="430"/>
      <c r="DM30" s="430"/>
      <c r="DN30" s="430"/>
      <c r="DO30" s="430"/>
      <c r="DP30" s="430"/>
      <c r="DQ30" s="430"/>
      <c r="DR30" s="430"/>
      <c r="DS30" s="430"/>
      <c r="DT30" s="430"/>
      <c r="DU30" s="430"/>
    </row>
    <row r="31" spans="1:125" x14ac:dyDescent="0.25">
      <c r="A31" s="393" t="str">
        <f>+'(Z+) OpEx'!C8</f>
        <v xml:space="preserve">   Prop. Taxes</v>
      </c>
      <c r="B31" s="394"/>
      <c r="C31" s="431">
        <f>+'(Z+) OpEx'!D8</f>
        <v>0</v>
      </c>
      <c r="D31" s="395"/>
      <c r="E31" s="394"/>
      <c r="F31" s="432">
        <f>IF(F$4&gt;=Inputs!$E$29,-F$10*'(Z+) OpEx'!$E$8,0)</f>
        <v>0</v>
      </c>
      <c r="G31" s="432">
        <f>IF(G$4&gt;=Inputs!$E$29,-G$10*'(Z+) OpEx'!$E$8,0)</f>
        <v>0</v>
      </c>
      <c r="H31" s="432">
        <f>IF(H$4&gt;=Inputs!$E$29,-H$10*'(Z+) OpEx'!$E$8,0)</f>
        <v>0</v>
      </c>
      <c r="I31" s="432">
        <f>IF(I$4&gt;=Inputs!$E$29,-I$10*'(Z+) OpEx'!$E$8,0)</f>
        <v>0</v>
      </c>
      <c r="J31" s="433">
        <f>IF(J$4&gt;=Inputs!$E$29,-J$10*'(Z+) OpEx'!$E$8,0)</f>
        <v>0</v>
      </c>
      <c r="K31" s="433">
        <f>IF(K$4&gt;=Inputs!$E$29,-K$10*'(Z+) OpEx'!$E$8,0)</f>
        <v>0</v>
      </c>
      <c r="L31" s="433">
        <f>IF(L$4&gt;=Inputs!$E$29,-L$10*'(Z+) OpEx'!$E$8,0)</f>
        <v>0</v>
      </c>
      <c r="M31" s="433">
        <f>IF(M$4&gt;=Inputs!$E$29,-M$10*'(Z+) OpEx'!$E$8,0)</f>
        <v>0</v>
      </c>
      <c r="N31" s="433">
        <f>IF(N$4&gt;=Inputs!$E$29,-N$10*'(Z+) OpEx'!$E$8,0)</f>
        <v>0</v>
      </c>
      <c r="O31" s="433">
        <f>IF(O$4&gt;=Inputs!$E$29,-O$10*'(Z+) OpEx'!$E$8,0)</f>
        <v>0</v>
      </c>
      <c r="P31" s="433">
        <f>IF(P$4&gt;=Inputs!$E$29,-P$10*'(Z+) OpEx'!$E$8,0)</f>
        <v>0</v>
      </c>
      <c r="Q31" s="433">
        <f>IF(Q$4&gt;=Inputs!$E$29,-Q$10*'(Z+) OpEx'!$E$8,0)</f>
        <v>0</v>
      </c>
      <c r="R31" s="433">
        <f>IF(R$4&gt;=Inputs!$E$29,-R$10*'(Z+) OpEx'!$E$8,0)</f>
        <v>0</v>
      </c>
      <c r="S31" s="433">
        <f>IF(S$4&gt;=Inputs!$E$29,-S$10*'(Z+) OpEx'!$E$8,0)</f>
        <v>0</v>
      </c>
      <c r="T31" s="433">
        <f>IF(T$4&gt;=Inputs!$E$29,-T$10*'(Z+) OpEx'!$E$8,0)</f>
        <v>0</v>
      </c>
      <c r="U31" s="434">
        <f>IF(U$4&gt;=Inputs!$E$29,-U$10*'(Z+) OpEx'!$E$8,0)</f>
        <v>0</v>
      </c>
      <c r="V31" s="434">
        <f>IF(V$4&gt;=Inputs!$E$29,-V$10*'(Z+) OpEx'!$E$8,0)</f>
        <v>0</v>
      </c>
      <c r="W31" s="434">
        <f>IF(W$4&gt;=Inputs!$E$29,-W$10*'(Z+) OpEx'!$E$8,0)</f>
        <v>0</v>
      </c>
      <c r="X31" s="434">
        <f>IF(X$4&gt;=Inputs!$E$29,-X$10*'(Z+) OpEx'!$E$8,0)</f>
        <v>0</v>
      </c>
      <c r="Y31" s="434">
        <f>IF(Y$4&gt;=Inputs!$E$29,-Y$10*'(Z+) OpEx'!$E$8,0)</f>
        <v>0</v>
      </c>
      <c r="Z31" s="434">
        <f>IF(Z$4&gt;=Inputs!$E$29,-Z$10*'(Z+) OpEx'!$E$8,0)</f>
        <v>0</v>
      </c>
      <c r="AA31" s="434">
        <f>IF(AA$4&gt;=Inputs!$E$29,-AA$10*'(Z+) OpEx'!$E$8,0)</f>
        <v>0</v>
      </c>
      <c r="AB31" s="434">
        <f>IF(AB$4&gt;=Inputs!$E$29,-AB$10*'(Z+) OpEx'!$E$8,0)</f>
        <v>0</v>
      </c>
      <c r="AC31" s="434">
        <f>IF(AC$4&gt;=Inputs!$E$29,-AC$10*'(Z+) OpEx'!$E$8,0)</f>
        <v>0</v>
      </c>
      <c r="AD31" s="434">
        <f>IF(AD$4&gt;=Inputs!$E$29,-AD$10*'(Z+) OpEx'!$E$8,0)</f>
        <v>0</v>
      </c>
      <c r="AE31" s="434">
        <f>IF(AE$4&gt;=Inputs!$E$29,-AE$10*'(Z+) OpEx'!$E$8,0)</f>
        <v>0</v>
      </c>
      <c r="AF31" s="434">
        <f>IF(AF$4&gt;=Inputs!$E$29,-AF$10*'(Z+) OpEx'!$E$8,0)</f>
        <v>0</v>
      </c>
      <c r="AG31" s="434">
        <f>IF(AG$4&gt;=Inputs!$E$29,-AG$10*'(Z+) OpEx'!$E$8,0)</f>
        <v>0</v>
      </c>
      <c r="AH31" s="434">
        <f>IF(AH$4&gt;=Inputs!$E$29,-AH$10*'(Z+) OpEx'!$E$8,0)</f>
        <v>0</v>
      </c>
      <c r="AI31" s="434">
        <f>IF(AI$4&gt;=Inputs!$E$29,-AI$10*'(Z+) OpEx'!$E$8,0)</f>
        <v>0</v>
      </c>
      <c r="AJ31" s="434">
        <f>IF(AJ$4&gt;=Inputs!$E$29,-AJ$10*'(Z+) OpEx'!$E$8,0)</f>
        <v>0</v>
      </c>
      <c r="AK31" s="434">
        <f>IF(AK$4&gt;=Inputs!$E$29,-AK$10*'(Z+) OpEx'!$E$8,0)</f>
        <v>0</v>
      </c>
      <c r="AL31" s="434">
        <f>IF(AL$4&gt;=Inputs!$E$29,-AL$10*'(Z+) OpEx'!$E$8,0)</f>
        <v>0</v>
      </c>
      <c r="AM31" s="434">
        <f>IF(AM$4&gt;=Inputs!$E$29,-AM$10*'(Z+) OpEx'!$E$8,0)</f>
        <v>0</v>
      </c>
      <c r="AN31" s="434">
        <f>IF(AN$4&gt;=Inputs!$E$29,-AN$10*'(Z+) OpEx'!$E$8,0)</f>
        <v>0</v>
      </c>
      <c r="AO31" s="434">
        <f>IF(AO$4&gt;=Inputs!$E$29,-AO$10*'(Z+) OpEx'!$E$8,0)</f>
        <v>0</v>
      </c>
      <c r="AP31" s="434">
        <f>IF(AP$4&gt;=Inputs!$E$29,-AP$10*'(Z+) OpEx'!$E$8,0)</f>
        <v>0</v>
      </c>
      <c r="AQ31" s="434">
        <f>IF(AQ$4&gt;=Inputs!$E$29,-AQ$10*'(Z+) OpEx'!$E$8,0)</f>
        <v>0</v>
      </c>
      <c r="AR31" s="434">
        <f>IF(AR$4&gt;=Inputs!$E$29,-AR$10*'(Z+) OpEx'!$E$8,0)</f>
        <v>0</v>
      </c>
      <c r="AS31" s="434">
        <f>IF(AS$4&gt;=Inputs!$E$29,-AS$10*'(Z+) OpEx'!$E$8,0)</f>
        <v>0</v>
      </c>
      <c r="AT31" s="434">
        <f>IF(AT$4&gt;=Inputs!$E$29,-AT$10*'(Z+) OpEx'!$E$8,0)</f>
        <v>0</v>
      </c>
      <c r="AU31" s="434">
        <f>IF(AU$4&gt;=Inputs!$E$29,-AU$10*'(Z+) OpEx'!$E$8,0)</f>
        <v>0</v>
      </c>
      <c r="AV31" s="434">
        <f>IF(AV$4&gt;=Inputs!$E$29,-AV$10*'(Z+) OpEx'!$E$8,0)</f>
        <v>0</v>
      </c>
      <c r="AW31" s="434">
        <f>IF(AW$4&gt;=Inputs!$E$29,-AW$10*'(Z+) OpEx'!$E$8,0)</f>
        <v>0</v>
      </c>
      <c r="AX31" s="434">
        <f>IF(AX$4&gt;=Inputs!$E$29,-AX$10*'(Z+) OpEx'!$E$8,0)</f>
        <v>0</v>
      </c>
      <c r="AY31" s="434">
        <f>IF(AY$4&gt;=Inputs!$E$29,-AY$10*'(Z+) OpEx'!$E$8,0)</f>
        <v>0</v>
      </c>
      <c r="AZ31" s="434">
        <f>IF(AZ$4&gt;=Inputs!$E$29,-AZ$10*'(Z+) OpEx'!$E$8,0)</f>
        <v>0</v>
      </c>
      <c r="BA31" s="434">
        <f>IF(BA$4&gt;=Inputs!$E$29,-BA$10*'(Z+) OpEx'!$E$8,0)</f>
        <v>0</v>
      </c>
      <c r="BB31" s="434">
        <f>IF(BB$4&gt;=Inputs!$E$29,-BB$10*'(Z+) OpEx'!$E$8,0)</f>
        <v>0</v>
      </c>
      <c r="BC31" s="434">
        <f>IF(BC$4&gt;=Inputs!$E$29,-BC$10*'(Z+) OpEx'!$E$8,0)</f>
        <v>0</v>
      </c>
      <c r="BD31" s="434">
        <f>IF(BD$4&gt;=Inputs!$E$29,-BD$10*'(Z+) OpEx'!$E$8,0)</f>
        <v>0</v>
      </c>
      <c r="BE31" s="434">
        <f>IF(BE$4&gt;=Inputs!$E$29,-BE$10*'(Z+) OpEx'!$E$8,0)</f>
        <v>0</v>
      </c>
      <c r="BF31" s="434">
        <f>IF(BF$4&gt;=Inputs!$E$29,-BF$10*'(Z+) OpEx'!$E$8,0)</f>
        <v>0</v>
      </c>
      <c r="BG31" s="434">
        <f>IF(BG$4&gt;=Inputs!$E$29,-BG$10*'(Z+) OpEx'!$E$8,0)</f>
        <v>0</v>
      </c>
      <c r="BH31" s="434">
        <f>IF(BH$4&gt;=Inputs!$E$29,-BH$10*'(Z+) OpEx'!$E$8,0)</f>
        <v>0</v>
      </c>
      <c r="BI31" s="434">
        <f>IF(BI$4&gt;=Inputs!$E$29,-BI$10*'(Z+) OpEx'!$E$8,0)</f>
        <v>0</v>
      </c>
      <c r="BJ31" s="434">
        <f>IF(BJ$4&gt;=Inputs!$E$29,-BJ$10*'(Z+) OpEx'!$E$8,0)</f>
        <v>0</v>
      </c>
      <c r="BK31" s="434">
        <f>IF(BK$4&gt;=Inputs!$E$29,-BK$10*'(Z+) OpEx'!$E$8,0)</f>
        <v>0</v>
      </c>
      <c r="BL31" s="434">
        <f>IF(BL$4&gt;=Inputs!$E$29,-BL$10*'(Z+) OpEx'!$E$8,0)</f>
        <v>0</v>
      </c>
      <c r="BM31" s="434">
        <f>IF(BM$4&gt;=Inputs!$E$29,-BM$10*'(Z+) OpEx'!$E$8,0)</f>
        <v>0</v>
      </c>
      <c r="BN31" s="434">
        <f>IF(BN$4&gt;=Inputs!$E$29,-BN$10*'(Z+) OpEx'!$E$8,0)</f>
        <v>0</v>
      </c>
      <c r="BO31" s="434">
        <f>IF(BO$4&gt;=Inputs!$E$29,-BO$10*'(Z+) OpEx'!$E$8,0)</f>
        <v>0</v>
      </c>
      <c r="BP31" s="434">
        <f>IF(BP$4&gt;=Inputs!$E$29,-BP$10*'(Z+) OpEx'!$E$8,0)</f>
        <v>0</v>
      </c>
      <c r="BQ31" s="434">
        <f>IF(BQ$4&gt;=Inputs!$E$29,-BQ$10*'(Z+) OpEx'!$E$8,0)</f>
        <v>0</v>
      </c>
      <c r="BR31" s="434">
        <f>IF(BR$4&gt;=Inputs!$E$29,-BR$10*'(Z+) OpEx'!$E$8,0)</f>
        <v>0</v>
      </c>
      <c r="BS31" s="434">
        <f>IF(BS$4&gt;=Inputs!$E$29,-BS$10*'(Z+) OpEx'!$E$8,0)</f>
        <v>0</v>
      </c>
      <c r="BT31" s="434">
        <f>IF(BT$4&gt;=Inputs!$E$29,-BT$10*'(Z+) OpEx'!$E$8,0)</f>
        <v>0</v>
      </c>
      <c r="BU31" s="434">
        <f>IF(BU$4&gt;=Inputs!$E$29,-BU$10*'(Z+) OpEx'!$E$8,0)</f>
        <v>0</v>
      </c>
      <c r="BV31" s="434">
        <f>IF(BV$4&gt;=Inputs!$E$29,-BV$10*'(Z+) OpEx'!$E$8,0)</f>
        <v>0</v>
      </c>
      <c r="BW31" s="434">
        <f>IF(BW$4&gt;=Inputs!$E$29,-BW$10*'(Z+) OpEx'!$E$8,0)</f>
        <v>0</v>
      </c>
      <c r="BX31" s="434">
        <f>IF(BX$4&gt;=Inputs!$E$29,-BX$10*'(Z+) OpEx'!$E$8,0)</f>
        <v>0</v>
      </c>
      <c r="BY31" s="434">
        <f>IF(BY$4&gt;=Inputs!$E$29,-BY$10*'(Z+) OpEx'!$E$8,0)</f>
        <v>0</v>
      </c>
      <c r="BZ31" s="434">
        <f>IF(BZ$4&gt;=Inputs!$E$29,-BZ$10*'(Z+) OpEx'!$E$8,0)</f>
        <v>0</v>
      </c>
      <c r="CA31" s="434">
        <f>IF(CA$4&gt;=Inputs!$E$29,-CA$10*'(Z+) OpEx'!$E$8,0)</f>
        <v>0</v>
      </c>
      <c r="CB31" s="434">
        <f>IF(CB$4&gt;=Inputs!$E$29,-CB$10*'(Z+) OpEx'!$E$8,0)</f>
        <v>0</v>
      </c>
      <c r="CC31" s="434">
        <f>IF(CC$4&gt;=Inputs!$E$29,-CC$10*'(Z+) OpEx'!$E$8,0)</f>
        <v>0</v>
      </c>
      <c r="CD31" s="434">
        <f>IF(CD$4&gt;=Inputs!$E$29,-CD$10*'(Z+) OpEx'!$E$8,0)</f>
        <v>0</v>
      </c>
      <c r="CE31" s="434">
        <f>IF(CE$4&gt;=Inputs!$E$29,-CE$10*'(Z+) OpEx'!$E$8,0)</f>
        <v>0</v>
      </c>
      <c r="CF31" s="434">
        <f>IF(CF$4&gt;=Inputs!$E$29,-CF$10*'(Z+) OpEx'!$E$8,0)</f>
        <v>0</v>
      </c>
      <c r="CG31" s="434">
        <f>IF(CG$4&gt;=Inputs!$E$29,-CG$10*'(Z+) OpEx'!$E$8,0)</f>
        <v>0</v>
      </c>
      <c r="CH31" s="434">
        <f>IF(CH$4&gt;=Inputs!$E$29,-CH$10*'(Z+) OpEx'!$E$8,0)</f>
        <v>0</v>
      </c>
      <c r="CI31" s="434">
        <f>IF(CI$4&gt;=Inputs!$E$29,-CI$10*'(Z+) OpEx'!$E$8,0)</f>
        <v>0</v>
      </c>
      <c r="CJ31" s="434">
        <f>IF(CJ$4&gt;=Inputs!$E$29,-CJ$10*'(Z+) OpEx'!$E$8,0)</f>
        <v>0</v>
      </c>
      <c r="CK31" s="434">
        <f>IF(CK$4&gt;=Inputs!$E$29,-CK$10*'(Z+) OpEx'!$E$8,0)</f>
        <v>0</v>
      </c>
      <c r="CL31" s="434">
        <f>IF(CL$4&gt;=Inputs!$E$29,-CL$10*'(Z+) OpEx'!$E$8,0)</f>
        <v>0</v>
      </c>
      <c r="CM31" s="434">
        <f>IF(CM$4&gt;=Inputs!$E$29,-CM$10*'(Z+) OpEx'!$E$8,0)</f>
        <v>0</v>
      </c>
      <c r="CN31" s="434">
        <f>IF(CN$4&gt;=Inputs!$E$29,-CN$10*'(Z+) OpEx'!$E$8,0)</f>
        <v>0</v>
      </c>
      <c r="CO31" s="434">
        <f>IF(CO$4&gt;=Inputs!$E$29,-CO$10*'(Z+) OpEx'!$E$8,0)</f>
        <v>0</v>
      </c>
      <c r="CP31" s="434">
        <f>IF(CP$4&gt;=Inputs!$E$29,-CP$10*'(Z+) OpEx'!$E$8,0)</f>
        <v>0</v>
      </c>
      <c r="CQ31" s="434">
        <f>IF(CQ$4&gt;=Inputs!$E$29,-CQ$10*'(Z+) OpEx'!$E$8,0)</f>
        <v>0</v>
      </c>
      <c r="CR31" s="434">
        <f>IF(CR$4&gt;=Inputs!$E$29,-CR$10*'(Z+) OpEx'!$E$8,0)</f>
        <v>0</v>
      </c>
      <c r="CS31" s="434">
        <f>IF(CS$4&gt;=Inputs!$E$29,-CS$10*'(Z+) OpEx'!$E$8,0)</f>
        <v>0</v>
      </c>
      <c r="CT31" s="434">
        <f>IF(CT$4&gt;=Inputs!$E$29,-CT$10*'(Z+) OpEx'!$E$8,0)</f>
        <v>0</v>
      </c>
      <c r="CU31" s="434">
        <f>IF(CU$4&gt;=Inputs!$E$29,-CU$10*'(Z+) OpEx'!$E$8,0)</f>
        <v>0</v>
      </c>
      <c r="CV31" s="434">
        <f>IF(CV$4&gt;=Inputs!$E$29,-CV$10*'(Z+) OpEx'!$E$8,0)</f>
        <v>0</v>
      </c>
      <c r="CW31" s="434">
        <f>IF(CW$4&gt;=Inputs!$E$29,-CW$10*'(Z+) OpEx'!$E$8,0)</f>
        <v>0</v>
      </c>
      <c r="CX31" s="434">
        <f>IF(CX$4&gt;=Inputs!$E$29,-CX$10*'(Z+) OpEx'!$E$8,0)</f>
        <v>0</v>
      </c>
      <c r="CY31" s="434">
        <f>IF(CY$4&gt;=Inputs!$E$29,-CY$10*'(Z+) OpEx'!$E$8,0)</f>
        <v>0</v>
      </c>
      <c r="CZ31" s="434">
        <f>IF(CZ$4&gt;=Inputs!$E$29,-CZ$10*'(Z+) OpEx'!$E$8,0)</f>
        <v>0</v>
      </c>
      <c r="DA31" s="434">
        <f>IF(DA$4&gt;=Inputs!$E$29,-DA$10*'(Z+) OpEx'!$E$8,0)</f>
        <v>0</v>
      </c>
      <c r="DB31" s="434">
        <f>IF(DB$4&gt;=Inputs!$E$29,-DB$10*'(Z+) OpEx'!$E$8,0)</f>
        <v>0</v>
      </c>
      <c r="DC31" s="434">
        <f>IF(DC$4&gt;=Inputs!$E$29,-DC$10*'(Z+) OpEx'!$E$8,0)</f>
        <v>0</v>
      </c>
      <c r="DD31" s="434">
        <f>IF(DD$4&gt;=Inputs!$E$29,-DD$10*'(Z+) OpEx'!$E$8,0)</f>
        <v>0</v>
      </c>
      <c r="DE31" s="434">
        <f>IF(DE$4&gt;=Inputs!$E$29,-DE$10*'(Z+) OpEx'!$E$8,0)</f>
        <v>0</v>
      </c>
      <c r="DF31" s="434">
        <f>IF(DF$4&gt;=Inputs!$E$29,-DF$10*'(Z+) OpEx'!$E$8,0)</f>
        <v>0</v>
      </c>
      <c r="DG31" s="434">
        <f>IF(DG$4&gt;=Inputs!$E$29,-DG$10*'(Z+) OpEx'!$E$8,0)</f>
        <v>0</v>
      </c>
      <c r="DH31" s="434">
        <f>IF(DH$4&gt;=Inputs!$E$29,-DH$10*'(Z+) OpEx'!$E$8,0)</f>
        <v>0</v>
      </c>
      <c r="DI31" s="434">
        <f>IF(DI$4&gt;=Inputs!$E$29,-DI$10*'(Z+) OpEx'!$E$8,0)</f>
        <v>0</v>
      </c>
      <c r="DJ31" s="434">
        <f>IF(DJ$4&gt;=Inputs!$E$29,-DJ$10*'(Z+) OpEx'!$E$8,0)</f>
        <v>0</v>
      </c>
      <c r="DK31" s="434">
        <f>IF(DK$4&gt;=Inputs!$E$29,-DK$10*'(Z+) OpEx'!$E$8,0)</f>
        <v>0</v>
      </c>
      <c r="DL31" s="434">
        <f>IF(DL$4&gt;=Inputs!$E$29,-DL$10*'(Z+) OpEx'!$E$8,0)</f>
        <v>0</v>
      </c>
      <c r="DM31" s="434">
        <f>IF(DM$4&gt;=Inputs!$E$29,-DM$10*'(Z+) OpEx'!$E$8,0)</f>
        <v>0</v>
      </c>
      <c r="DN31" s="434">
        <f>IF(DN$4&gt;=Inputs!$E$29,-DN$10*'(Z+) OpEx'!$E$8,0)</f>
        <v>0</v>
      </c>
      <c r="DO31" s="434">
        <f>IF(DO$4&gt;=Inputs!$E$29,-DO$10*'(Z+) OpEx'!$E$8,0)</f>
        <v>0</v>
      </c>
      <c r="DP31" s="434">
        <f>IF(DP$4&gt;=Inputs!$E$29,-DP$10*'(Z+) OpEx'!$E$8,0)</f>
        <v>0</v>
      </c>
      <c r="DQ31" s="434">
        <f>IF(DQ$4&gt;=Inputs!$E$29,-DQ$10*'(Z+) OpEx'!$E$8,0)</f>
        <v>0</v>
      </c>
      <c r="DR31" s="434">
        <f>IF(DR$4&gt;=Inputs!$E$29,-DR$10*'(Z+) OpEx'!$E$8,0)</f>
        <v>0</v>
      </c>
      <c r="DS31" s="434">
        <f>IF(DS$4&gt;=Inputs!$E$29,-DS$10*'(Z+) OpEx'!$E$8,0)</f>
        <v>0</v>
      </c>
      <c r="DT31" s="434">
        <f>IF(DT$4&gt;=Inputs!$E$29,-DT$10*'(Z+) OpEx'!$E$8,0)</f>
        <v>0</v>
      </c>
      <c r="DU31" s="434">
        <f>IF(DU$4&gt;=Inputs!$E$29,-DU$10*'(Z+) OpEx'!$E$8,0)</f>
        <v>0</v>
      </c>
    </row>
    <row r="32" spans="1:125" x14ac:dyDescent="0.25">
      <c r="A32" s="393" t="str">
        <f>+'(Z+) OpEx'!C9</f>
        <v xml:space="preserve">   Insurance</v>
      </c>
      <c r="B32" s="394"/>
      <c r="C32" s="435">
        <f>+'(Z+) OpEx'!D9</f>
        <v>69</v>
      </c>
      <c r="D32" s="395"/>
      <c r="E32" s="394"/>
      <c r="F32" s="432">
        <f>IF(F$4&gt;=Inputs!$E$29,-F$10*'(Z+) OpEx'!$E$9,0)</f>
        <v>0</v>
      </c>
      <c r="G32" s="432">
        <f>IF(G$4&gt;=Inputs!$E$29,-G$10*'(Z+) OpEx'!$E$9,0)</f>
        <v>0</v>
      </c>
      <c r="H32" s="432">
        <f>IF(H$4&gt;=Inputs!$E$29,-H$10*'(Z+) OpEx'!$E$9,0)</f>
        <v>0</v>
      </c>
      <c r="I32" s="432">
        <f>IF(I$4&gt;=Inputs!$E$29,-I$10*'(Z+) OpEx'!$E$9,0)</f>
        <v>0</v>
      </c>
      <c r="J32" s="433">
        <f>IF(J$4&gt;=Inputs!$E$29,-J$10*'(Z+) OpEx'!$E$9,0)</f>
        <v>0</v>
      </c>
      <c r="K32" s="433">
        <f>IF(K$4&gt;=Inputs!$E$29,-K$10*'(Z+) OpEx'!$E$9,0)</f>
        <v>0</v>
      </c>
      <c r="L32" s="433">
        <f>IF(L$4&gt;=Inputs!$E$29,-L$10*'(Z+) OpEx'!$E$9,0)</f>
        <v>0</v>
      </c>
      <c r="M32" s="433">
        <f>IF(M$4&gt;=Inputs!$E$29,-M$10*'(Z+) OpEx'!$E$9,0)</f>
        <v>0</v>
      </c>
      <c r="N32" s="433">
        <f>IF(N$4&gt;=Inputs!$E$29,-N$10*'(Z+) OpEx'!$E$9,0)</f>
        <v>0</v>
      </c>
      <c r="O32" s="433">
        <f>IF(O$4&gt;=Inputs!$E$29,-O$10*'(Z+) OpEx'!$E$9,0)</f>
        <v>0</v>
      </c>
      <c r="P32" s="433">
        <f>IF(P$4&gt;=Inputs!$E$29,-P$10*'(Z+) OpEx'!$E$9,0)</f>
        <v>0</v>
      </c>
      <c r="Q32" s="433">
        <f>IF(Q$4&gt;=Inputs!$E$29,-Q$10*'(Z+) OpEx'!$E$9,0)</f>
        <v>0</v>
      </c>
      <c r="R32" s="433">
        <f>IF(R$4&gt;=Inputs!$E$29,-R$10*'(Z+) OpEx'!$E$9,0)</f>
        <v>0</v>
      </c>
      <c r="S32" s="433">
        <f>IF(S$4&gt;=Inputs!$E$29,-S$10*'(Z+) OpEx'!$E$9,0)</f>
        <v>0</v>
      </c>
      <c r="T32" s="433">
        <f>IF(T$4&gt;=Inputs!$E$29,-T$10*'(Z+) OpEx'!$E$9,0)</f>
        <v>0</v>
      </c>
      <c r="U32" s="434">
        <f>IF(U$4&gt;=Inputs!$E$29,-U$10*'(Z+) OpEx'!$E$9,0)</f>
        <v>0</v>
      </c>
      <c r="V32" s="434">
        <f>IF(V$4&gt;=Inputs!$E$29,-V$10*'(Z+) OpEx'!$E$9,0)</f>
        <v>0</v>
      </c>
      <c r="W32" s="434">
        <f>IF(W$4&gt;=Inputs!$E$29,-W$10*'(Z+) OpEx'!$E$9,0)</f>
        <v>0</v>
      </c>
      <c r="X32" s="434">
        <f>IF(X$4&gt;=Inputs!$E$29,-X$10*'(Z+) OpEx'!$E$9,0)</f>
        <v>0</v>
      </c>
      <c r="Y32" s="434">
        <f>IF(Y$4&gt;=Inputs!$E$29,-Y$10*'(Z+) OpEx'!$E$9,0)</f>
        <v>0</v>
      </c>
      <c r="Z32" s="434">
        <f>IF(Z$4&gt;=Inputs!$E$29,-Z$10*'(Z+) OpEx'!$E$9,0)</f>
        <v>0</v>
      </c>
      <c r="AA32" s="434">
        <f>IF(AA$4&gt;=Inputs!$E$29,-AA$10*'(Z+) OpEx'!$E$9,0)</f>
        <v>-16601.213226267435</v>
      </c>
      <c r="AB32" s="434">
        <f>IF(AB$4&gt;=Inputs!$E$29,-AB$10*'(Z+) OpEx'!$E$9,0)</f>
        <v>-16641.290426475436</v>
      </c>
      <c r="AC32" s="434">
        <f>IF(AC$4&gt;=Inputs!$E$29,-AC$10*'(Z+) OpEx'!$E$9,0)</f>
        <v>-16681.464377562708</v>
      </c>
      <c r="AD32" s="434">
        <f>IF(AD$4&gt;=Inputs!$E$29,-AD$10*'(Z+) OpEx'!$E$9,0)</f>
        <v>-16721.735313096771</v>
      </c>
      <c r="AE32" s="434">
        <f>IF(AE$4&gt;=Inputs!$E$29,-AE$10*'(Z+) OpEx'!$E$9,0)</f>
        <v>-16762.103467209017</v>
      </c>
      <c r="AF32" s="434">
        <f>IF(AF$4&gt;=Inputs!$E$29,-AF$10*'(Z+) OpEx'!$E$9,0)</f>
        <v>-16802.569074596056</v>
      </c>
      <c r="AG32" s="434">
        <f>IF(AG$4&gt;=Inputs!$E$29,-AG$10*'(Z+) OpEx'!$E$9,0)</f>
        <v>-16843.132370521074</v>
      </c>
      <c r="AH32" s="434">
        <f>IF(AH$4&gt;=Inputs!$E$29,-AH$10*'(Z+) OpEx'!$E$9,0)</f>
        <v>-16883.793590815218</v>
      </c>
      <c r="AI32" s="434">
        <f>IF(AI$4&gt;=Inputs!$E$29,-AI$10*'(Z+) OpEx'!$E$9,0)</f>
        <v>-16924.552971878951</v>
      </c>
      <c r="AJ32" s="434">
        <f>IF(AJ$4&gt;=Inputs!$E$29,-AJ$10*'(Z+) OpEx'!$E$9,0)</f>
        <v>-16965.410750683441</v>
      </c>
      <c r="AK32" s="434">
        <f>IF(AK$4&gt;=Inputs!$E$29,-AK$10*'(Z+) OpEx'!$E$9,0)</f>
        <v>-17006.36716477192</v>
      </c>
      <c r="AL32" s="434">
        <f>IF(AL$4&gt;=Inputs!$E$29,-AL$10*'(Z+) OpEx'!$E$9,0)</f>
        <v>-17047.422452261093</v>
      </c>
      <c r="AM32" s="434">
        <f>IF(AM$4&gt;=Inputs!$E$29,-AM$10*'(Z+) OpEx'!$E$9,0)</f>
        <v>-17088.576851842485</v>
      </c>
      <c r="AN32" s="434">
        <f>IF(AN$4&gt;=Inputs!$E$29,-AN$10*'(Z+) OpEx'!$E$9,0)</f>
        <v>-17129.830602783863</v>
      </c>
      <c r="AO32" s="434">
        <f>IF(AO$4&gt;=Inputs!$E$29,-AO$10*'(Z+) OpEx'!$E$9,0)</f>
        <v>-17171.183944930614</v>
      </c>
      <c r="AP32" s="434">
        <f>IF(AP$4&gt;=Inputs!$E$29,-AP$10*'(Z+) OpEx'!$E$9,0)</f>
        <v>-17212.637118707127</v>
      </c>
      <c r="AQ32" s="434">
        <f>IF(AQ$4&gt;=Inputs!$E$29,-AQ$10*'(Z+) OpEx'!$E$9,0)</f>
        <v>-17254.190365118218</v>
      </c>
      <c r="AR32" s="434">
        <f>IF(AR$4&gt;=Inputs!$E$29,-AR$10*'(Z+) OpEx'!$E$9,0)</f>
        <v>-17295.843925750505</v>
      </c>
      <c r="AS32" s="434">
        <f>IF(AS$4&gt;=Inputs!$E$29,-AS$10*'(Z+) OpEx'!$E$9,0)</f>
        <v>-17337.598042773829</v>
      </c>
      <c r="AT32" s="434">
        <f>IF(AT$4&gt;=Inputs!$E$29,-AT$10*'(Z+) OpEx'!$E$9,0)</f>
        <v>-17379.452958942653</v>
      </c>
      <c r="AU32" s="434">
        <f>IF(AU$4&gt;=Inputs!$E$29,-AU$10*'(Z+) OpEx'!$E$9,0)</f>
        <v>-17421.408917597477</v>
      </c>
      <c r="AV32" s="434">
        <f>IF(AV$4&gt;=Inputs!$E$29,-AV$10*'(Z+) OpEx'!$E$9,0)</f>
        <v>-17463.466162666249</v>
      </c>
      <c r="AW32" s="434">
        <f>IF(AW$4&gt;=Inputs!$E$29,-AW$10*'(Z+) OpEx'!$E$9,0)</f>
        <v>-17505.624938665791</v>
      </c>
      <c r="AX32" s="434">
        <f>IF(AX$4&gt;=Inputs!$E$29,-AX$10*'(Z+) OpEx'!$E$9,0)</f>
        <v>-17547.885490703222</v>
      </c>
      <c r="AY32" s="434">
        <f>IF(AY$4&gt;=Inputs!$E$29,-AY$10*'(Z+) OpEx'!$E$9,0)</f>
        <v>-17590.248064477364</v>
      </c>
      <c r="AZ32" s="434">
        <f>IF(AZ$4&gt;=Inputs!$E$29,-AZ$10*'(Z+) OpEx'!$E$9,0)</f>
        <v>-17632.712906280198</v>
      </c>
      <c r="BA32" s="434">
        <f>IF(BA$4&gt;=Inputs!$E$29,-BA$10*'(Z+) OpEx'!$E$9,0)</f>
        <v>-17675.280262998269</v>
      </c>
      <c r="BB32" s="434">
        <f>IF(BB$4&gt;=Inputs!$E$29,-BB$10*'(Z+) OpEx'!$E$9,0)</f>
        <v>-17717.950382114137</v>
      </c>
      <c r="BC32" s="434">
        <f>IF(BC$4&gt;=Inputs!$E$29,-BC$10*'(Z+) OpEx'!$E$9,0)</f>
        <v>-17760.72351170782</v>
      </c>
      <c r="BD32" s="434">
        <f>IF(BD$4&gt;=Inputs!$E$29,-BD$10*'(Z+) OpEx'!$E$9,0)</f>
        <v>-17803.599900458219</v>
      </c>
      <c r="BE32" s="434">
        <f>IF(BE$4&gt;=Inputs!$E$29,-BE$10*'(Z+) OpEx'!$E$9,0)</f>
        <v>-17846.579797644583</v>
      </c>
      <c r="BF32" s="434">
        <f>IF(BF$4&gt;=Inputs!$E$29,-BF$10*'(Z+) OpEx'!$E$9,0)</f>
        <v>-17889.663453147943</v>
      </c>
      <c r="BG32" s="434">
        <f>IF(BG$4&gt;=Inputs!$E$29,-BG$10*'(Z+) OpEx'!$E$9,0)</f>
        <v>-17932.851117452577</v>
      </c>
      <c r="BH32" s="434">
        <f>IF(BH$4&gt;=Inputs!$E$29,-BH$10*'(Z+) OpEx'!$E$9,0)</f>
        <v>-17976.143041647447</v>
      </c>
      <c r="BI32" s="434">
        <f>IF(BI$4&gt;=Inputs!$E$29,-BI$10*'(Z+) OpEx'!$E$9,0)</f>
        <v>-18019.53947742769</v>
      </c>
      <c r="BJ32" s="434">
        <f>IF(BJ$4&gt;=Inputs!$E$29,-BJ$10*'(Z+) OpEx'!$E$9,0)</f>
        <v>-18063.040677096051</v>
      </c>
      <c r="BK32" s="434">
        <f>IF(BK$4&gt;=Inputs!$E$29,-BK$10*'(Z+) OpEx'!$E$9,0)</f>
        <v>-18106.646893564368</v>
      </c>
      <c r="BL32" s="434">
        <f>IF(BL$4&gt;=Inputs!$E$29,-BL$10*'(Z+) OpEx'!$E$9,0)</f>
        <v>-18150.358380355035</v>
      </c>
      <c r="BM32" s="434">
        <f>IF(BM$4&gt;=Inputs!$E$29,-BM$10*'(Z+) OpEx'!$E$9,0)</f>
        <v>-18194.175391602479</v>
      </c>
      <c r="BN32" s="434">
        <f>IF(BN$4&gt;=Inputs!$E$29,-BN$10*'(Z+) OpEx'!$E$9,0)</f>
        <v>-18238.098182054629</v>
      </c>
      <c r="BO32" s="434">
        <f>IF(BO$4&gt;=Inputs!$E$29,-BO$10*'(Z+) OpEx'!$E$9,0)</f>
        <v>-18282.127007074414</v>
      </c>
      <c r="BP32" s="434">
        <f>IF(BP$4&gt;=Inputs!$E$29,-BP$10*'(Z+) OpEx'!$E$9,0)</f>
        <v>-18326.26212264123</v>
      </c>
      <c r="BQ32" s="434">
        <f>IF(BQ$4&gt;=Inputs!$E$29,-BQ$10*'(Z+) OpEx'!$E$9,0)</f>
        <v>-18370.503785352445</v>
      </c>
      <c r="BR32" s="434">
        <f>IF(BR$4&gt;=Inputs!$E$29,-BR$10*'(Z+) OpEx'!$E$9,0)</f>
        <v>-18414.852252424873</v>
      </c>
      <c r="BS32" s="434">
        <f>IF(BS$4&gt;=Inputs!$E$29,-BS$10*'(Z+) OpEx'!$E$9,0)</f>
        <v>-18459.307781696283</v>
      </c>
      <c r="BT32" s="434">
        <f>IF(BT$4&gt;=Inputs!$E$29,-BT$10*'(Z+) OpEx'!$E$9,0)</f>
        <v>-18503.870631626891</v>
      </c>
      <c r="BU32" s="434">
        <f>IF(BU$4&gt;=Inputs!$E$29,-BU$10*'(Z+) OpEx'!$E$9,0)</f>
        <v>-18548.541061300872</v>
      </c>
      <c r="BV32" s="434">
        <f>IF(BV$4&gt;=Inputs!$E$29,-BV$10*'(Z+) OpEx'!$E$9,0)</f>
        <v>-18593.31933042785</v>
      </c>
      <c r="BW32" s="434">
        <f>IF(BW$4&gt;=Inputs!$E$29,-BW$10*'(Z+) OpEx'!$E$9,0)</f>
        <v>-18638.20569934442</v>
      </c>
      <c r="BX32" s="434">
        <f>IF(BX$4&gt;=Inputs!$E$29,-BX$10*'(Z+) OpEx'!$E$9,0)</f>
        <v>-18683.200429015666</v>
      </c>
      <c r="BY32" s="434">
        <f>IF(BY$4&gt;=Inputs!$E$29,-BY$10*'(Z+) OpEx'!$E$9,0)</f>
        <v>-18728.303781036662</v>
      </c>
      <c r="BZ32" s="434">
        <f>IF(BZ$4&gt;=Inputs!$E$29,-BZ$10*'(Z+) OpEx'!$E$9,0)</f>
        <v>-18773.516017634007</v>
      </c>
      <c r="CA32" s="434">
        <f>IF(CA$4&gt;=Inputs!$E$29,-CA$10*'(Z+) OpEx'!$E$9,0)</f>
        <v>-18818.837401667337</v>
      </c>
      <c r="CB32" s="434">
        <f>IF(CB$4&gt;=Inputs!$E$29,-CB$10*'(Z+) OpEx'!$E$9,0)</f>
        <v>-18864.26819663087</v>
      </c>
      <c r="CC32" s="434">
        <f>IF(CC$4&gt;=Inputs!$E$29,-CC$10*'(Z+) OpEx'!$E$9,0)</f>
        <v>-18909.808666654932</v>
      </c>
      <c r="CD32" s="434">
        <f>IF(CD$4&gt;=Inputs!$E$29,-CD$10*'(Z+) OpEx'!$E$9,0)</f>
        <v>-18955.459076507479</v>
      </c>
      <c r="CE32" s="434">
        <f>IF(CE$4&gt;=Inputs!$E$29,-CE$10*'(Z+) OpEx'!$E$9,0)</f>
        <v>-19001.219691595645</v>
      </c>
      <c r="CF32" s="434">
        <f>IF(CF$4&gt;=Inputs!$E$29,-CF$10*'(Z+) OpEx'!$E$9,0)</f>
        <v>-19047.0907779673</v>
      </c>
      <c r="CG32" s="434">
        <f>IF(CG$4&gt;=Inputs!$E$29,-CG$10*'(Z+) OpEx'!$E$9,0)</f>
        <v>-19093.072602312572</v>
      </c>
      <c r="CH32" s="434">
        <f>IF(CH$4&gt;=Inputs!$E$29,-CH$10*'(Z+) OpEx'!$E$9,0)</f>
        <v>-19139.165431965415</v>
      </c>
      <c r="CI32" s="434">
        <f>IF(CI$4&gt;=Inputs!$E$29,-CI$10*'(Z+) OpEx'!$E$9,0)</f>
        <v>-19185.369534905152</v>
      </c>
      <c r="CJ32" s="434">
        <f>IF(CJ$4&gt;=Inputs!$E$29,-CJ$10*'(Z+) OpEx'!$E$9,0)</f>
        <v>-19231.685179758046</v>
      </c>
      <c r="CK32" s="434">
        <f>IF(CK$4&gt;=Inputs!$E$29,-CK$10*'(Z+) OpEx'!$E$9,0)</f>
        <v>-19278.112635798847</v>
      </c>
      <c r="CL32" s="434">
        <f>IF(CL$4&gt;=Inputs!$E$29,-CL$10*'(Z+) OpEx'!$E$9,0)</f>
        <v>-19324.652172952367</v>
      </c>
      <c r="CM32" s="434">
        <f>IF(CM$4&gt;=Inputs!$E$29,-CM$10*'(Z+) OpEx'!$E$9,0)</f>
        <v>-19371.304061795046</v>
      </c>
      <c r="CN32" s="434">
        <f>IF(CN$4&gt;=Inputs!$E$29,-CN$10*'(Z+) OpEx'!$E$9,0)</f>
        <v>-19418.068573556531</v>
      </c>
      <c r="CO32" s="434">
        <f>IF(CO$4&gt;=Inputs!$E$29,-CO$10*'(Z+) OpEx'!$E$9,0)</f>
        <v>-19464.94598012124</v>
      </c>
      <c r="CP32" s="434">
        <f>IF(CP$4&gt;=Inputs!$E$29,-CP$10*'(Z+) OpEx'!$E$9,0)</f>
        <v>-19511.936554029959</v>
      </c>
      <c r="CQ32" s="434">
        <f>IF(CQ$4&gt;=Inputs!$E$29,-CQ$10*'(Z+) OpEx'!$E$9,0)</f>
        <v>-19559.04056848141</v>
      </c>
      <c r="CR32" s="434">
        <f>IF(CR$4&gt;=Inputs!$E$29,-CR$10*'(Z+) OpEx'!$E$9,0)</f>
        <v>-19606.258297333854</v>
      </c>
      <c r="CS32" s="434">
        <f>IF(CS$4&gt;=Inputs!$E$29,-CS$10*'(Z+) OpEx'!$E$9,0)</f>
        <v>-19653.590015106674</v>
      </c>
      <c r="CT32" s="434">
        <f>IF(CT$4&gt;=Inputs!$E$29,-CT$10*'(Z+) OpEx'!$E$9,0)</f>
        <v>-19701.035996981976</v>
      </c>
      <c r="CU32" s="434">
        <f>IF(CU$4&gt;=Inputs!$E$29,-CU$10*'(Z+) OpEx'!$E$9,0)</f>
        <v>-19748.596518806178</v>
      </c>
      <c r="CV32" s="434">
        <f>IF(CV$4&gt;=Inputs!$E$29,-CV$10*'(Z+) OpEx'!$E$9,0)</f>
        <v>-19796.271857091633</v>
      </c>
      <c r="CW32" s="434">
        <f>IF(CW$4&gt;=Inputs!$E$29,-CW$10*'(Z+) OpEx'!$E$9,0)</f>
        <v>-19844.062289018224</v>
      </c>
      <c r="CX32" s="434">
        <f>IF(CX$4&gt;=Inputs!$E$29,-CX$10*'(Z+) OpEx'!$E$9,0)</f>
        <v>-19891.96809243497</v>
      </c>
      <c r="CY32" s="434">
        <f>IF(CY$4&gt;=Inputs!$E$29,-CY$10*'(Z+) OpEx'!$E$9,0)</f>
        <v>-19939.989545861659</v>
      </c>
      <c r="CZ32" s="434">
        <f>IF(CZ$4&gt;=Inputs!$E$29,-CZ$10*'(Z+) OpEx'!$E$9,0)</f>
        <v>-19988.126928490452</v>
      </c>
      <c r="DA32" s="434">
        <f>IF(DA$4&gt;=Inputs!$E$29,-DA$10*'(Z+) OpEx'!$E$9,0)</f>
        <v>-20036.380520187511</v>
      </c>
      <c r="DB32" s="434">
        <f>IF(DB$4&gt;=Inputs!$E$29,-DB$10*'(Z+) OpEx'!$E$9,0)</f>
        <v>-20084.750601494627</v>
      </c>
      <c r="DC32" s="434">
        <f>IF(DC$4&gt;=Inputs!$E$29,-DC$10*'(Z+) OpEx'!$E$9,0)</f>
        <v>-20133.237453630849</v>
      </c>
      <c r="DD32" s="434">
        <f>IF(DD$4&gt;=Inputs!$E$29,-DD$10*'(Z+) OpEx'!$E$9,0)</f>
        <v>-20181.841358494126</v>
      </c>
      <c r="DE32" s="434">
        <f>IF(DE$4&gt;=Inputs!$E$29,-DE$10*'(Z+) OpEx'!$E$9,0)</f>
        <v>-20230.562598662935</v>
      </c>
      <c r="DF32" s="434">
        <f>IF(DF$4&gt;=Inputs!$E$29,-DF$10*'(Z+) OpEx'!$E$9,0)</f>
        <v>-20279.401457397929</v>
      </c>
      <c r="DG32" s="434">
        <f>IF(DG$4&gt;=Inputs!$E$29,-DG$10*'(Z+) OpEx'!$E$9,0)</f>
        <v>-20328.358218643585</v>
      </c>
      <c r="DH32" s="434">
        <f>IF(DH$4&gt;=Inputs!$E$29,-DH$10*'(Z+) OpEx'!$E$9,0)</f>
        <v>-20377.43316702986</v>
      </c>
      <c r="DI32" s="434">
        <f>IF(DI$4&gt;=Inputs!$E$29,-DI$10*'(Z+) OpEx'!$E$9,0)</f>
        <v>-20426.626587873834</v>
      </c>
      <c r="DJ32" s="434">
        <f>IF(DJ$4&gt;=Inputs!$E$29,-DJ$10*'(Z+) OpEx'!$E$9,0)</f>
        <v>-20475.938767181371</v>
      </c>
      <c r="DK32" s="434">
        <f>IF(DK$4&gt;=Inputs!$E$29,-DK$10*'(Z+) OpEx'!$E$9,0)</f>
        <v>-20525.369991648793</v>
      </c>
      <c r="DL32" s="434">
        <f>IF(DL$4&gt;=Inputs!$E$29,-DL$10*'(Z+) OpEx'!$E$9,0)</f>
        <v>-20574.920548664533</v>
      </c>
      <c r="DM32" s="434">
        <f>IF(DM$4&gt;=Inputs!$E$29,-DM$10*'(Z+) OpEx'!$E$9,0)</f>
        <v>-20624.590726310824</v>
      </c>
      <c r="DN32" s="434">
        <f>IF(DN$4&gt;=Inputs!$E$29,-DN$10*'(Z+) OpEx'!$E$9,0)</f>
        <v>-20674.380813365344</v>
      </c>
      <c r="DO32" s="434">
        <f>IF(DO$4&gt;=Inputs!$E$29,-DO$10*'(Z+) OpEx'!$E$9,0)</f>
        <v>-20724.291099302925</v>
      </c>
      <c r="DP32" s="434">
        <f>IF(DP$4&gt;=Inputs!$E$29,-DP$10*'(Z+) OpEx'!$E$9,0)</f>
        <v>-20774.321874297224</v>
      </c>
      <c r="DQ32" s="434">
        <f>IF(DQ$4&gt;=Inputs!$E$29,-DQ$10*'(Z+) OpEx'!$E$9,0)</f>
        <v>-20824.473429222402</v>
      </c>
      <c r="DR32" s="434">
        <f>IF(DR$4&gt;=Inputs!$E$29,-DR$10*'(Z+) OpEx'!$E$9,0)</f>
        <v>-20874.746055654832</v>
      </c>
      <c r="DS32" s="434">
        <f>IF(DS$4&gt;=Inputs!$E$29,-DS$10*'(Z+) OpEx'!$E$9,0)</f>
        <v>-20925.140045874774</v>
      </c>
      <c r="DT32" s="434">
        <f>IF(DT$4&gt;=Inputs!$E$29,-DT$10*'(Z+) OpEx'!$E$9,0)</f>
        <v>-20975.655692868102</v>
      </c>
      <c r="DU32" s="434">
        <f>IF(DU$4&gt;=Inputs!$E$29,-DU$10*'(Z+) OpEx'!$E$9,0)</f>
        <v>-21026.293290327972</v>
      </c>
    </row>
    <row r="33" spans="1:125" x14ac:dyDescent="0.25">
      <c r="A33" s="393" t="str">
        <f>+'(Z+) OpEx'!C10</f>
        <v xml:space="preserve">   Management</v>
      </c>
      <c r="B33" s="394"/>
      <c r="C33" s="431">
        <f>+'(Z+) OpEx'!D10</f>
        <v>0.05</v>
      </c>
      <c r="D33" s="395"/>
      <c r="E33" s="394"/>
      <c r="F33" s="432">
        <f t="shared" ref="F33:AK33" si="37">-$C$33*F$19</f>
        <v>0</v>
      </c>
      <c r="G33" s="432">
        <f t="shared" si="37"/>
        <v>0</v>
      </c>
      <c r="H33" s="432">
        <f t="shared" si="37"/>
        <v>0</v>
      </c>
      <c r="I33" s="432">
        <f t="shared" si="37"/>
        <v>0</v>
      </c>
      <c r="J33" s="433">
        <f t="shared" si="37"/>
        <v>0</v>
      </c>
      <c r="K33" s="433">
        <f t="shared" si="37"/>
        <v>0</v>
      </c>
      <c r="L33" s="433">
        <f t="shared" si="37"/>
        <v>0</v>
      </c>
      <c r="M33" s="433">
        <f t="shared" si="37"/>
        <v>0</v>
      </c>
      <c r="N33" s="433">
        <f t="shared" si="37"/>
        <v>0</v>
      </c>
      <c r="O33" s="433">
        <f t="shared" si="37"/>
        <v>0</v>
      </c>
      <c r="P33" s="433">
        <f t="shared" si="37"/>
        <v>0</v>
      </c>
      <c r="Q33" s="433">
        <f t="shared" si="37"/>
        <v>0</v>
      </c>
      <c r="R33" s="433">
        <f t="shared" si="37"/>
        <v>0</v>
      </c>
      <c r="S33" s="433">
        <f t="shared" si="37"/>
        <v>0</v>
      </c>
      <c r="T33" s="433">
        <f t="shared" si="37"/>
        <v>0</v>
      </c>
      <c r="U33" s="434">
        <f t="shared" si="37"/>
        <v>0</v>
      </c>
      <c r="V33" s="434">
        <f t="shared" si="37"/>
        <v>0</v>
      </c>
      <c r="W33" s="434">
        <f t="shared" si="37"/>
        <v>0</v>
      </c>
      <c r="X33" s="434">
        <f t="shared" si="37"/>
        <v>0</v>
      </c>
      <c r="Y33" s="434">
        <f t="shared" si="37"/>
        <v>0</v>
      </c>
      <c r="Z33" s="434">
        <f t="shared" si="37"/>
        <v>0</v>
      </c>
      <c r="AA33" s="434">
        <f t="shared" si="37"/>
        <v>-2966.3891191542875</v>
      </c>
      <c r="AB33" s="434">
        <f t="shared" si="37"/>
        <v>-5944.9987901047762</v>
      </c>
      <c r="AC33" s="434">
        <f t="shared" si="37"/>
        <v>-8935.8667713552077</v>
      </c>
      <c r="AD33" s="434">
        <f t="shared" si="37"/>
        <v>-11939.030925111107</v>
      </c>
      <c r="AE33" s="434">
        <f t="shared" si="37"/>
        <v>-14954.52921754678</v>
      </c>
      <c r="AF33" s="434">
        <f t="shared" si="37"/>
        <v>-17782.59527774997</v>
      </c>
      <c r="AG33" s="434">
        <f t="shared" si="37"/>
        <v>-21022.680604605353</v>
      </c>
      <c r="AH33" s="434">
        <f t="shared" si="37"/>
        <v>-24075.410153833189</v>
      </c>
      <c r="AI33" s="434">
        <f t="shared" si="37"/>
        <v>-27140.626751489315</v>
      </c>
      <c r="AJ33" s="434">
        <f t="shared" si="37"/>
        <v>-27196.5319988583</v>
      </c>
      <c r="AK33" s="434">
        <f t="shared" si="37"/>
        <v>-27252.552401883488</v>
      </c>
      <c r="AL33" s="434">
        <f t="shared" ref="AL33:BQ33" si="38">-$C$33*AL$19</f>
        <v>-27308.688197766678</v>
      </c>
      <c r="AM33" s="434">
        <f t="shared" si="38"/>
        <v>-27364.939624198272</v>
      </c>
      <c r="AN33" s="434">
        <f t="shared" si="38"/>
        <v>-27421.306919358252</v>
      </c>
      <c r="AO33" s="434">
        <f t="shared" si="38"/>
        <v>-27477.790321917229</v>
      </c>
      <c r="AP33" s="434">
        <f t="shared" si="38"/>
        <v>-27534.390071037455</v>
      </c>
      <c r="AQ33" s="434">
        <f t="shared" si="38"/>
        <v>-27591.106406373772</v>
      </c>
      <c r="AR33" s="434">
        <f t="shared" si="38"/>
        <v>-27647.939568074711</v>
      </c>
      <c r="AS33" s="434">
        <f t="shared" si="38"/>
        <v>-27704.889796783449</v>
      </c>
      <c r="AT33" s="434">
        <f t="shared" si="38"/>
        <v>-27761.957333638864</v>
      </c>
      <c r="AU33" s="434">
        <f t="shared" si="38"/>
        <v>-27819.142420276519</v>
      </c>
      <c r="AV33" s="434">
        <f t="shared" si="38"/>
        <v>-27876.445298829723</v>
      </c>
      <c r="AW33" s="434">
        <f t="shared" si="38"/>
        <v>-27933.866211930541</v>
      </c>
      <c r="AX33" s="434">
        <f t="shared" si="38"/>
        <v>-27991.405402710814</v>
      </c>
      <c r="AY33" s="434">
        <f t="shared" si="38"/>
        <v>-28049.063114803186</v>
      </c>
      <c r="AZ33" s="434">
        <f t="shared" si="38"/>
        <v>-28106.839592342174</v>
      </c>
      <c r="BA33" s="434">
        <f t="shared" si="38"/>
        <v>-28164.735079965125</v>
      </c>
      <c r="BB33" s="434">
        <f t="shared" si="38"/>
        <v>-28222.749822813355</v>
      </c>
      <c r="BC33" s="434">
        <f t="shared" si="38"/>
        <v>-28280.884066533083</v>
      </c>
      <c r="BD33" s="434">
        <f t="shared" si="38"/>
        <v>-28339.138057276545</v>
      </c>
      <c r="BE33" s="434">
        <f t="shared" si="38"/>
        <v>-28397.512041703001</v>
      </c>
      <c r="BF33" s="434">
        <f t="shared" si="38"/>
        <v>-28456.006266979806</v>
      </c>
      <c r="BG33" s="434">
        <f t="shared" si="38"/>
        <v>-28514.620980783402</v>
      </c>
      <c r="BH33" s="434">
        <f t="shared" si="38"/>
        <v>-28573.356431300439</v>
      </c>
      <c r="BI33" s="434">
        <f t="shared" si="38"/>
        <v>-28632.212867228776</v>
      </c>
      <c r="BJ33" s="434">
        <f t="shared" si="38"/>
        <v>-28691.190537778552</v>
      </c>
      <c r="BK33" s="434">
        <f t="shared" si="38"/>
        <v>-28750.289692673239</v>
      </c>
      <c r="BL33" s="434">
        <f t="shared" si="38"/>
        <v>-28809.510582150695</v>
      </c>
      <c r="BM33" s="434">
        <f t="shared" si="38"/>
        <v>-28868.853456964229</v>
      </c>
      <c r="BN33" s="434">
        <f t="shared" si="38"/>
        <v>-28928.318568383653</v>
      </c>
      <c r="BO33" s="434">
        <f t="shared" si="38"/>
        <v>-28987.906168196379</v>
      </c>
      <c r="BP33" s="434">
        <f t="shared" si="38"/>
        <v>-29047.61650870843</v>
      </c>
      <c r="BQ33" s="434">
        <f t="shared" si="38"/>
        <v>-29107.449842745555</v>
      </c>
      <c r="BR33" s="434">
        <f t="shared" ref="BR33:CW33" si="39">-$C$33*BR$19</f>
        <v>-29167.406423654269</v>
      </c>
      <c r="BS33" s="434">
        <f t="shared" si="39"/>
        <v>-29227.48650530295</v>
      </c>
      <c r="BT33" s="434">
        <f t="shared" si="39"/>
        <v>-29287.690342082919</v>
      </c>
      <c r="BU33" s="434">
        <f t="shared" si="39"/>
        <v>-29348.018188909467</v>
      </c>
      <c r="BV33" s="434">
        <f t="shared" si="39"/>
        <v>-29408.470301222977</v>
      </c>
      <c r="BW33" s="434">
        <f t="shared" si="39"/>
        <v>-29469.046934990034</v>
      </c>
      <c r="BX33" s="434">
        <f t="shared" si="39"/>
        <v>-29529.748346704422</v>
      </c>
      <c r="BY33" s="434">
        <f t="shared" si="39"/>
        <v>-29590.574793388296</v>
      </c>
      <c r="BZ33" s="434">
        <f t="shared" si="39"/>
        <v>-29651.526532593201</v>
      </c>
      <c r="CA33" s="434">
        <f t="shared" si="39"/>
        <v>-29712.603822401245</v>
      </c>
      <c r="CB33" s="434">
        <f t="shared" si="39"/>
        <v>-29773.806921426098</v>
      </c>
      <c r="CC33" s="434">
        <f t="shared" si="39"/>
        <v>-29835.136088814146</v>
      </c>
      <c r="CD33" s="434">
        <f t="shared" si="39"/>
        <v>-29896.591584245576</v>
      </c>
      <c r="CE33" s="434">
        <f t="shared" si="39"/>
        <v>-29958.173667935476</v>
      </c>
      <c r="CF33" s="434">
        <f t="shared" si="39"/>
        <v>-30019.882600634937</v>
      </c>
      <c r="CG33" s="434">
        <f t="shared" si="39"/>
        <v>-30081.718643632143</v>
      </c>
      <c r="CH33" s="434">
        <f t="shared" si="39"/>
        <v>-30143.6820587535</v>
      </c>
      <c r="CI33" s="434">
        <f t="shared" si="39"/>
        <v>-30205.773108364738</v>
      </c>
      <c r="CJ33" s="434">
        <f t="shared" si="39"/>
        <v>-30267.992055371982</v>
      </c>
      <c r="CK33" s="434">
        <f t="shared" si="39"/>
        <v>-30330.339163222947</v>
      </c>
      <c r="CL33" s="434">
        <f t="shared" si="39"/>
        <v>-30392.814695907986</v>
      </c>
      <c r="CM33" s="434">
        <f t="shared" si="39"/>
        <v>-30455.418917961229</v>
      </c>
      <c r="CN33" s="434">
        <f t="shared" si="39"/>
        <v>-30518.152094461693</v>
      </c>
      <c r="CO33" s="434">
        <f t="shared" si="39"/>
        <v>-30581.014491034453</v>
      </c>
      <c r="CP33" s="434">
        <f t="shared" si="39"/>
        <v>-30644.006373851666</v>
      </c>
      <c r="CQ33" s="434">
        <f t="shared" si="39"/>
        <v>-30707.12800963382</v>
      </c>
      <c r="CR33" s="434">
        <f t="shared" si="39"/>
        <v>-30770.379665650773</v>
      </c>
      <c r="CS33" s="434">
        <f t="shared" si="39"/>
        <v>-30833.761609722907</v>
      </c>
      <c r="CT33" s="434">
        <f t="shared" si="39"/>
        <v>-30897.274110222301</v>
      </c>
      <c r="CU33" s="434">
        <f t="shared" si="39"/>
        <v>-30960.917436073811</v>
      </c>
      <c r="CV33" s="434">
        <f t="shared" si="39"/>
        <v>-31024.691856756242</v>
      </c>
      <c r="CW33" s="434">
        <f t="shared" si="39"/>
        <v>-31088.597642303481</v>
      </c>
      <c r="CX33" s="434">
        <f t="shared" ref="CX33:DU33" si="40">-$C$33*CX$19</f>
        <v>-31152.63506330565</v>
      </c>
      <c r="CY33" s="434">
        <f t="shared" si="40"/>
        <v>-31216.804390910216</v>
      </c>
      <c r="CZ33" s="434">
        <f t="shared" si="40"/>
        <v>-31281.105896823196</v>
      </c>
      <c r="DA33" s="434">
        <f t="shared" si="40"/>
        <v>-31345.539853310267</v>
      </c>
      <c r="DB33" s="434">
        <f t="shared" si="40"/>
        <v>-31410.106533197919</v>
      </c>
      <c r="DC33" s="434">
        <f t="shared" si="40"/>
        <v>-31474.80620987462</v>
      </c>
      <c r="DD33" s="434">
        <f t="shared" si="40"/>
        <v>-31539.639157291997</v>
      </c>
      <c r="DE33" s="434">
        <f t="shared" si="40"/>
        <v>-31604.605649965939</v>
      </c>
      <c r="DF33" s="434">
        <f t="shared" si="40"/>
        <v>-31669.705962977816</v>
      </c>
      <c r="DG33" s="434">
        <f t="shared" si="40"/>
        <v>-31734.940371975608</v>
      </c>
      <c r="DH33" s="434">
        <f t="shared" si="40"/>
        <v>-31800.309153175098</v>
      </c>
      <c r="DI33" s="434">
        <f t="shared" si="40"/>
        <v>-31865.812583361025</v>
      </c>
      <c r="DJ33" s="434">
        <f t="shared" si="40"/>
        <v>-31931.45093988824</v>
      </c>
      <c r="DK33" s="434">
        <f t="shared" si="40"/>
        <v>-31997.224500682922</v>
      </c>
      <c r="DL33" s="434">
        <f t="shared" si="40"/>
        <v>-32063.133544243734</v>
      </c>
      <c r="DM33" s="434">
        <f t="shared" si="40"/>
        <v>-32129.178349642974</v>
      </c>
      <c r="DN33" s="434">
        <f t="shared" si="40"/>
        <v>-32195.359196527821</v>
      </c>
      <c r="DO33" s="434">
        <f t="shared" si="40"/>
        <v>-32261.676365121431</v>
      </c>
      <c r="DP33" s="434">
        <f t="shared" si="40"/>
        <v>-32328.130136224238</v>
      </c>
      <c r="DQ33" s="434">
        <f t="shared" si="40"/>
        <v>-32394.720791215037</v>
      </c>
      <c r="DR33" s="434">
        <f t="shared" si="40"/>
        <v>-32461.448612052209</v>
      </c>
      <c r="DS33" s="434">
        <f t="shared" si="40"/>
        <v>-32528.313881274953</v>
      </c>
      <c r="DT33" s="434">
        <f t="shared" si="40"/>
        <v>-32595.316882004434</v>
      </c>
      <c r="DU33" s="434">
        <f t="shared" si="40"/>
        <v>-32662.457897945002</v>
      </c>
    </row>
    <row r="34" spans="1:125" x14ac:dyDescent="0.25">
      <c r="A34" s="393" t="str">
        <f>+'(Z+) OpEx'!C14</f>
        <v xml:space="preserve">   Electric</v>
      </c>
      <c r="B34" s="394"/>
      <c r="C34" s="435">
        <f>+'(Z+) OpEx'!D14</f>
        <v>30</v>
      </c>
      <c r="D34" s="395"/>
      <c r="E34" s="394"/>
      <c r="F34" s="432">
        <f>IF(F$4&gt;=Inputs!$E$29,-F$10*'(Z+) OpEx'!$E$14*F$12,0)</f>
        <v>0</v>
      </c>
      <c r="G34" s="432">
        <f>IF(G$4&gt;=Inputs!$E$29,-G$10*'(Z+) OpEx'!$E$14*G$12,0)</f>
        <v>0</v>
      </c>
      <c r="H34" s="432">
        <f>IF(H$4&gt;=Inputs!$E$29,-H$10*'(Z+) OpEx'!$E$14*H$12,0)</f>
        <v>0</v>
      </c>
      <c r="I34" s="432">
        <f>IF(I$4&gt;=Inputs!$E$29,-I$10*'(Z+) OpEx'!$E$14*I$12,0)</f>
        <v>0</v>
      </c>
      <c r="J34" s="433">
        <f>IF(J$4&gt;=Inputs!$E$29,-J$10*'(Z+) OpEx'!$E$14*J$12,0)</f>
        <v>0</v>
      </c>
      <c r="K34" s="433">
        <f>IF(K$4&gt;=Inputs!$E$29,-K$10*'(Z+) OpEx'!$E$14*K$12,0)</f>
        <v>0</v>
      </c>
      <c r="L34" s="433">
        <f>IF(L$4&gt;=Inputs!$E$29,-L$10*'(Z+) OpEx'!$E$14*L$12,0)</f>
        <v>0</v>
      </c>
      <c r="M34" s="433">
        <f>IF(M$4&gt;=Inputs!$E$29,-M$10*'(Z+) OpEx'!$E$14*M$12,0)</f>
        <v>0</v>
      </c>
      <c r="N34" s="433">
        <f>IF(N$4&gt;=Inputs!$E$29,-N$10*'(Z+) OpEx'!$E$14*N$12,0)</f>
        <v>0</v>
      </c>
      <c r="O34" s="433">
        <f>IF(O$4&gt;=Inputs!$E$29,-O$10*'(Z+) OpEx'!$E$14*O$12,0)</f>
        <v>0</v>
      </c>
      <c r="P34" s="433">
        <f>IF(P$4&gt;=Inputs!$E$29,-P$10*'(Z+) OpEx'!$E$14*P$12,0)</f>
        <v>0</v>
      </c>
      <c r="Q34" s="433">
        <f>IF(Q$4&gt;=Inputs!$E$29,-Q$10*'(Z+) OpEx'!$E$14*Q$12,0)</f>
        <v>0</v>
      </c>
      <c r="R34" s="433">
        <f>IF(R$4&gt;=Inputs!$E$29,-R$10*'(Z+) OpEx'!$E$14*R$12,0)</f>
        <v>0</v>
      </c>
      <c r="S34" s="433">
        <f>IF(S$4&gt;=Inputs!$E$29,-S$10*'(Z+) OpEx'!$E$14*S$12,0)</f>
        <v>0</v>
      </c>
      <c r="T34" s="433">
        <f>IF(T$4&gt;=Inputs!$E$29,-T$10*'(Z+) OpEx'!$E$14*T$12,0)</f>
        <v>0</v>
      </c>
      <c r="U34" s="434">
        <f>IF(U$4&gt;=Inputs!$E$29,-U$10*'(Z+) OpEx'!$E$14*U$12,0)</f>
        <v>0</v>
      </c>
      <c r="V34" s="434">
        <f>IF(V$4&gt;=Inputs!$E$29,-V$10*'(Z+) OpEx'!$E$14*V$12,0)</f>
        <v>0</v>
      </c>
      <c r="W34" s="434">
        <f>IF(W$4&gt;=Inputs!$E$29,-W$10*'(Z+) OpEx'!$E$14*W$12,0)</f>
        <v>0</v>
      </c>
      <c r="X34" s="434">
        <f>IF(X$4&gt;=Inputs!$E$29,-X$10*'(Z+) OpEx'!$E$14*X$12,0)</f>
        <v>0</v>
      </c>
      <c r="Y34" s="434">
        <f>IF(Y$4&gt;=Inputs!$E$29,-Y$10*'(Z+) OpEx'!$E$14*Y$12,0)</f>
        <v>0</v>
      </c>
      <c r="Z34" s="434">
        <f>IF(Z$4&gt;=Inputs!$E$29,-Z$10*'(Z+) OpEx'!$E$14*Z$12,0)</f>
        <v>0</v>
      </c>
      <c r="AA34" s="434">
        <f>IF(AA$4&gt;=Inputs!$E$29,-AA$10*'(Z+) OpEx'!$E$14*AA$12,0)</f>
        <v>-809.85363375274483</v>
      </c>
      <c r="AB34" s="434">
        <f>IF(AB$4&gt;=Inputs!$E$29,-AB$10*'(Z+) OpEx'!$E$14*AB$12,0)</f>
        <v>-1623.6174234412902</v>
      </c>
      <c r="AC34" s="434">
        <f>IF(AC$4&gt;=Inputs!$E$29,-AC$10*'(Z+) OpEx'!$E$14*AC$12,0)</f>
        <v>-2441.3055284014763</v>
      </c>
      <c r="AD34" s="434">
        <f>IF(AD$4&gt;=Inputs!$E$29,-AD$10*'(Z+) OpEx'!$E$14*AD$12,0)</f>
        <v>-3262.9321535454533</v>
      </c>
      <c r="AE34" s="434">
        <f>IF(AE$4&gt;=Inputs!$E$29,-AE$10*'(Z+) OpEx'!$E$14*AE$12,0)</f>
        <v>-4088.511549499216</v>
      </c>
      <c r="AF34" s="434">
        <f>IF(AF$4&gt;=Inputs!$E$29,-AF$10*'(Z+) OpEx'!$E$14*AF$12,0)</f>
        <v>-4863.4129237100824</v>
      </c>
      <c r="AG34" s="434">
        <f>IF(AG$4&gt;=Inputs!$E$29,-AG$10*'(Z+) OpEx'!$E$14*AG$12,0)</f>
        <v>-5751.5858857372796</v>
      </c>
      <c r="AH34" s="434">
        <f>IF(AH$4&gt;=Inputs!$E$29,-AH$10*'(Z+) OpEx'!$E$14*AH$12,0)</f>
        <v>-6589.1095570861698</v>
      </c>
      <c r="AI34" s="434">
        <f>IF(AI$4&gt;=Inputs!$E$29,-AI$10*'(Z+) OpEx'!$E$14*AI$12,0)</f>
        <v>-7430.6434616518845</v>
      </c>
      <c r="AJ34" s="434">
        <f>IF(AJ$4&gt;=Inputs!$E$29,-AJ$10*'(Z+) OpEx'!$E$14*AJ$12,0)</f>
        <v>-7448.5818726359521</v>
      </c>
      <c r="AK34" s="434">
        <f>IF(AK$4&gt;=Inputs!$E$29,-AK$10*'(Z+) OpEx'!$E$14*AK$12,0)</f>
        <v>-7466.563588966359</v>
      </c>
      <c r="AL34" s="434">
        <f>IF(AL$4&gt;=Inputs!$E$29,-AL$10*'(Z+) OpEx'!$E$14*AL$12,0)</f>
        <v>-7484.5887151870947</v>
      </c>
      <c r="AM34" s="434">
        <f>IF(AM$4&gt;=Inputs!$E$29,-AM$10*'(Z+) OpEx'!$E$14*AM$12,0)</f>
        <v>-7502.6573560945262</v>
      </c>
      <c r="AN34" s="434">
        <f>IF(AN$4&gt;=Inputs!$E$29,-AN$10*'(Z+) OpEx'!$E$14*AN$12,0)</f>
        <v>-7520.7696167380136</v>
      </c>
      <c r="AO34" s="434">
        <f>IF(AO$4&gt;=Inputs!$E$29,-AO$10*'(Z+) OpEx'!$E$14*AO$12,0)</f>
        <v>-7538.925602420516</v>
      </c>
      <c r="AP34" s="434">
        <f>IF(AP$4&gt;=Inputs!$E$29,-AP$10*'(Z+) OpEx'!$E$14*AP$12,0)</f>
        <v>-7557.1254186992073</v>
      </c>
      <c r="AQ34" s="434">
        <f>IF(AQ$4&gt;=Inputs!$E$29,-AQ$10*'(Z+) OpEx'!$E$14*AQ$12,0)</f>
        <v>-7575.369171386089</v>
      </c>
      <c r="AR34" s="434">
        <f>IF(AR$4&gt;=Inputs!$E$29,-AR$10*'(Z+) OpEx'!$E$14*AR$12,0)</f>
        <v>-7593.6569665486031</v>
      </c>
      <c r="AS34" s="434">
        <f>IF(AS$4&gt;=Inputs!$E$29,-AS$10*'(Z+) OpEx'!$E$14*AS$12,0)</f>
        <v>-7611.9889105102493</v>
      </c>
      <c r="AT34" s="434">
        <f>IF(AT$4&gt;=Inputs!$E$29,-AT$10*'(Z+) OpEx'!$E$14*AT$12,0)</f>
        <v>-7630.3651098512073</v>
      </c>
      <c r="AU34" s="434">
        <f>IF(AU$4&gt;=Inputs!$E$29,-AU$10*'(Z+) OpEx'!$E$14*AU$12,0)</f>
        <v>-7648.7856714089512</v>
      </c>
      <c r="AV34" s="434">
        <f>IF(AV$4&gt;=Inputs!$E$29,-AV$10*'(Z+) OpEx'!$E$14*AV$12,0)</f>
        <v>-7667.2507022788732</v>
      </c>
      <c r="AW34" s="434">
        <f>IF(AW$4&gt;=Inputs!$E$29,-AW$10*'(Z+) OpEx'!$E$14*AW$12,0)</f>
        <v>-7685.7603098149048</v>
      </c>
      <c r="AX34" s="434">
        <f>IF(AX$4&gt;=Inputs!$E$29,-AX$10*'(Z+) OpEx'!$E$14*AX$12,0)</f>
        <v>-7704.3146016301444</v>
      </c>
      <c r="AY34" s="434">
        <f>IF(AY$4&gt;=Inputs!$E$29,-AY$10*'(Z+) OpEx'!$E$14*AY$12,0)</f>
        <v>-7722.9136855974793</v>
      </c>
      <c r="AZ34" s="434">
        <f>IF(AZ$4&gt;=Inputs!$E$29,-AZ$10*'(Z+) OpEx'!$E$14*AZ$12,0)</f>
        <v>-7741.5576698502146</v>
      </c>
      <c r="BA34" s="434">
        <f>IF(BA$4&gt;=Inputs!$E$29,-BA$10*'(Z+) OpEx'!$E$14*BA$12,0)</f>
        <v>-7760.2466627827007</v>
      </c>
      <c r="BB34" s="434">
        <f>IF(BB$4&gt;=Inputs!$E$29,-BB$10*'(Z+) OpEx'!$E$14*BB$12,0)</f>
        <v>-7778.9807730509638</v>
      </c>
      <c r="BC34" s="434">
        <f>IF(BC$4&gt;=Inputs!$E$29,-BC$10*'(Z+) OpEx'!$E$14*BC$12,0)</f>
        <v>-7797.7601095733389</v>
      </c>
      <c r="BD34" s="434">
        <f>IF(BD$4&gt;=Inputs!$E$29,-BD$10*'(Z+) OpEx'!$E$14*BD$12,0)</f>
        <v>-7816.5847815311026</v>
      </c>
      <c r="BE34" s="434">
        <f>IF(BE$4&gt;=Inputs!$E$29,-BE$10*'(Z+) OpEx'!$E$14*BE$12,0)</f>
        <v>-7835.4548983691047</v>
      </c>
      <c r="BF34" s="434">
        <f>IF(BF$4&gt;=Inputs!$E$29,-BF$10*'(Z+) OpEx'!$E$14*BF$12,0)</f>
        <v>-7854.3705697964115</v>
      </c>
      <c r="BG34" s="434">
        <f>IF(BG$4&gt;=Inputs!$E$29,-BG$10*'(Z+) OpEx'!$E$14*BG$12,0)</f>
        <v>-7873.3319057869367</v>
      </c>
      <c r="BH34" s="434">
        <f>IF(BH$4&gt;=Inputs!$E$29,-BH$10*'(Z+) OpEx'!$E$14*BH$12,0)</f>
        <v>-7892.339016580082</v>
      </c>
      <c r="BI34" s="434">
        <f>IF(BI$4&gt;=Inputs!$E$29,-BI$10*'(Z+) OpEx'!$E$14*BI$12,0)</f>
        <v>-7911.3920126813809</v>
      </c>
      <c r="BJ34" s="434">
        <f>IF(BJ$4&gt;=Inputs!$E$29,-BJ$10*'(Z+) OpEx'!$E$14*BJ$12,0)</f>
        <v>-7930.4910048631427</v>
      </c>
      <c r="BK34" s="434">
        <f>IF(BK$4&gt;=Inputs!$E$29,-BK$10*'(Z+) OpEx'!$E$14*BK$12,0)</f>
        <v>-7949.6361041650898</v>
      </c>
      <c r="BL34" s="434">
        <f>IF(BL$4&gt;=Inputs!$E$29,-BL$10*'(Z+) OpEx'!$E$14*BL$12,0)</f>
        <v>-7968.8274218950073</v>
      </c>
      <c r="BM34" s="434">
        <f>IF(BM$4&gt;=Inputs!$E$29,-BM$10*'(Z+) OpEx'!$E$14*BM$12,0)</f>
        <v>-7988.0650696293915</v>
      </c>
      <c r="BN34" s="434">
        <f>IF(BN$4&gt;=Inputs!$E$29,-BN$10*'(Z+) OpEx'!$E$14*BN$12,0)</f>
        <v>-8007.3491592140954</v>
      </c>
      <c r="BO34" s="434">
        <f>IF(BO$4&gt;=Inputs!$E$29,-BO$10*'(Z+) OpEx'!$E$14*BO$12,0)</f>
        <v>-8026.6798027649811</v>
      </c>
      <c r="BP34" s="434">
        <f>IF(BP$4&gt;=Inputs!$E$29,-BP$10*'(Z+) OpEx'!$E$14*BP$12,0)</f>
        <v>-8046.0571126685709</v>
      </c>
      <c r="BQ34" s="434">
        <f>IF(BQ$4&gt;=Inputs!$E$29,-BQ$10*'(Z+) OpEx'!$E$14*BQ$12,0)</f>
        <v>-8065.4812015827019</v>
      </c>
      <c r="BR34" s="434">
        <f>IF(BR$4&gt;=Inputs!$E$29,-BR$10*'(Z+) OpEx'!$E$14*BR$12,0)</f>
        <v>-8084.9521824371777</v>
      </c>
      <c r="BS34" s="434">
        <f>IF(BS$4&gt;=Inputs!$E$29,-BS$10*'(Z+) OpEx'!$E$14*BS$12,0)</f>
        <v>-8104.4701684344291</v>
      </c>
      <c r="BT34" s="434">
        <f>IF(BT$4&gt;=Inputs!$E$29,-BT$10*'(Z+) OpEx'!$E$14*BT$12,0)</f>
        <v>-8124.03527305017</v>
      </c>
      <c r="BU34" s="434">
        <f>IF(BU$4&gt;=Inputs!$E$29,-BU$10*'(Z+) OpEx'!$E$14*BU$12,0)</f>
        <v>-8143.6476100340569</v>
      </c>
      <c r="BV34" s="434">
        <f>IF(BV$4&gt;=Inputs!$E$29,-BV$10*'(Z+) OpEx'!$E$14*BV$12,0)</f>
        <v>-8163.307293410352</v>
      </c>
      <c r="BW34" s="434">
        <f>IF(BW$4&gt;=Inputs!$E$29,-BW$10*'(Z+) OpEx'!$E$14*BW$12,0)</f>
        <v>-8183.0144374785823</v>
      </c>
      <c r="BX34" s="434">
        <f>IF(BX$4&gt;=Inputs!$E$29,-BX$10*'(Z+) OpEx'!$E$14*BX$12,0)</f>
        <v>-8202.7691568142091</v>
      </c>
      <c r="BY34" s="434">
        <f>IF(BY$4&gt;=Inputs!$E$29,-BY$10*'(Z+) OpEx'!$E$14*BY$12,0)</f>
        <v>-8222.5715662692928</v>
      </c>
      <c r="BZ34" s="434">
        <f>IF(BZ$4&gt;=Inputs!$E$29,-BZ$10*'(Z+) OpEx'!$E$14*BZ$12,0)</f>
        <v>-8242.4217809731563</v>
      </c>
      <c r="CA34" s="434">
        <f>IF(CA$4&gt;=Inputs!$E$29,-CA$10*'(Z+) OpEx'!$E$14*CA$12,0)</f>
        <v>-8262.3199163330592</v>
      </c>
      <c r="CB34" s="434">
        <f>IF(CB$4&gt;=Inputs!$E$29,-CB$10*'(Z+) OpEx'!$E$14*CB$12,0)</f>
        <v>-8282.2660880348667</v>
      </c>
      <c r="CC34" s="434">
        <f>IF(CC$4&gt;=Inputs!$E$29,-CC$10*'(Z+) OpEx'!$E$14*CC$12,0)</f>
        <v>-8302.2604120437263</v>
      </c>
      <c r="CD34" s="434">
        <f>IF(CD$4&gt;=Inputs!$E$29,-CD$10*'(Z+) OpEx'!$E$14*CD$12,0)</f>
        <v>-8322.3030046047334</v>
      </c>
      <c r="CE34" s="434">
        <f>IF(CE$4&gt;=Inputs!$E$29,-CE$10*'(Z+) OpEx'!$E$14*CE$12,0)</f>
        <v>-8342.3939822436132</v>
      </c>
      <c r="CF34" s="434">
        <f>IF(CF$4&gt;=Inputs!$E$29,-CF$10*'(Z+) OpEx'!$E$14*CF$12,0)</f>
        <v>-8362.5334617673998</v>
      </c>
      <c r="CG34" s="434">
        <f>IF(CG$4&gt;=Inputs!$E$29,-CG$10*'(Z+) OpEx'!$E$14*CG$12,0)</f>
        <v>-8382.7215602651104</v>
      </c>
      <c r="CH34" s="434">
        <f>IF(CH$4&gt;=Inputs!$E$29,-CH$10*'(Z+) OpEx'!$E$14*CH$12,0)</f>
        <v>-8402.9583951084296</v>
      </c>
      <c r="CI34" s="434">
        <f>IF(CI$4&gt;=Inputs!$E$29,-CI$10*'(Z+) OpEx'!$E$14*CI$12,0)</f>
        <v>-8423.2440839523897</v>
      </c>
      <c r="CJ34" s="434">
        <f>IF(CJ$4&gt;=Inputs!$E$29,-CJ$10*'(Z+) OpEx'!$E$14*CJ$12,0)</f>
        <v>-8443.5787447360563</v>
      </c>
      <c r="CK34" s="434">
        <f>IF(CK$4&gt;=Inputs!$E$29,-CK$10*'(Z+) OpEx'!$E$14*CK$12,0)</f>
        <v>-8463.9624956832104</v>
      </c>
      <c r="CL34" s="434">
        <f>IF(CL$4&gt;=Inputs!$E$29,-CL$10*'(Z+) OpEx'!$E$14*CL$12,0)</f>
        <v>-8484.3954553030417</v>
      </c>
      <c r="CM34" s="434">
        <f>IF(CM$4&gt;=Inputs!$E$29,-CM$10*'(Z+) OpEx'!$E$14*CM$12,0)</f>
        <v>-8504.8777423908341</v>
      </c>
      <c r="CN34" s="434">
        <f>IF(CN$4&gt;=Inputs!$E$29,-CN$10*'(Z+) OpEx'!$E$14*CN$12,0)</f>
        <v>-8525.4094760286553</v>
      </c>
      <c r="CO34" s="434">
        <f>IF(CO$4&gt;=Inputs!$E$29,-CO$10*'(Z+) OpEx'!$E$14*CO$12,0)</f>
        <v>-8545.9907755860513</v>
      </c>
      <c r="CP34" s="434">
        <f>IF(CP$4&gt;=Inputs!$E$29,-CP$10*'(Z+) OpEx'!$E$14*CP$12,0)</f>
        <v>-8566.6217607207418</v>
      </c>
      <c r="CQ34" s="434">
        <f>IF(CQ$4&gt;=Inputs!$E$29,-CQ$10*'(Z+) OpEx'!$E$14*CQ$12,0)</f>
        <v>-8587.3025513793073</v>
      </c>
      <c r="CR34" s="434">
        <f>IF(CR$4&gt;=Inputs!$E$29,-CR$10*'(Z+) OpEx'!$E$14*CR$12,0)</f>
        <v>-8608.0332677978986</v>
      </c>
      <c r="CS34" s="434">
        <f>IF(CS$4&gt;=Inputs!$E$29,-CS$10*'(Z+) OpEx'!$E$14*CS$12,0)</f>
        <v>-8628.8140305029301</v>
      </c>
      <c r="CT34" s="434">
        <f>IF(CT$4&gt;=Inputs!$E$29,-CT$10*'(Z+) OpEx'!$E$14*CT$12,0)</f>
        <v>-8649.6449603117799</v>
      </c>
      <c r="CU34" s="434">
        <f>IF(CU$4&gt;=Inputs!$E$29,-CU$10*'(Z+) OpEx'!$E$14*CU$12,0)</f>
        <v>-8670.5261783334881</v>
      </c>
      <c r="CV34" s="434">
        <f>IF(CV$4&gt;=Inputs!$E$29,-CV$10*'(Z+) OpEx'!$E$14*CV$12,0)</f>
        <v>-8691.4578059694722</v>
      </c>
      <c r="CW34" s="434">
        <f>IF(CW$4&gt;=Inputs!$E$29,-CW$10*'(Z+) OpEx'!$E$14*CW$12,0)</f>
        <v>-8712.4399649142251</v>
      </c>
      <c r="CX34" s="434">
        <f>IF(CX$4&gt;=Inputs!$E$29,-CX$10*'(Z+) OpEx'!$E$14*CX$12,0)</f>
        <v>-8733.4727771560192</v>
      </c>
      <c r="CY34" s="434">
        <f>IF(CY$4&gt;=Inputs!$E$29,-CY$10*'(Z+) OpEx'!$E$14*CY$12,0)</f>
        <v>-8754.5563649776268</v>
      </c>
      <c r="CZ34" s="434">
        <f>IF(CZ$4&gt;=Inputs!$E$29,-CZ$10*'(Z+) OpEx'!$E$14*CZ$12,0)</f>
        <v>-8775.6908509570185</v>
      </c>
      <c r="DA34" s="434">
        <f>IF(DA$4&gt;=Inputs!$E$29,-DA$10*'(Z+) OpEx'!$E$14*DA$12,0)</f>
        <v>-8796.876357968089</v>
      </c>
      <c r="DB34" s="434">
        <f>IF(DB$4&gt;=Inputs!$E$29,-DB$10*'(Z+) OpEx'!$E$14*DB$12,0)</f>
        <v>-8818.1130091813575</v>
      </c>
      <c r="DC34" s="434">
        <f>IF(DC$4&gt;=Inputs!$E$29,-DC$10*'(Z+) OpEx'!$E$14*DC$12,0)</f>
        <v>-8839.4009280646951</v>
      </c>
      <c r="DD34" s="434">
        <f>IF(DD$4&gt;=Inputs!$E$29,-DD$10*'(Z+) OpEx'!$E$14*DD$12,0)</f>
        <v>-8860.7402383840363</v>
      </c>
      <c r="DE34" s="434">
        <f>IF(DE$4&gt;=Inputs!$E$29,-DE$10*'(Z+) OpEx'!$E$14*DE$12,0)</f>
        <v>-8882.1310642041008</v>
      </c>
      <c r="DF34" s="434">
        <f>IF(DF$4&gt;=Inputs!$E$29,-DF$10*'(Z+) OpEx'!$E$14*DF$12,0)</f>
        <v>-8903.5735298891159</v>
      </c>
      <c r="DG34" s="434">
        <f>IF(DG$4&gt;=Inputs!$E$29,-DG$10*'(Z+) OpEx'!$E$14*DG$12,0)</f>
        <v>-8925.067760103535</v>
      </c>
      <c r="DH34" s="434">
        <f>IF(DH$4&gt;=Inputs!$E$29,-DH$10*'(Z+) OpEx'!$E$14*DH$12,0)</f>
        <v>-8946.6138798127686</v>
      </c>
      <c r="DI34" s="434">
        <f>IF(DI$4&gt;=Inputs!$E$29,-DI$10*'(Z+) OpEx'!$E$14*DI$12,0)</f>
        <v>-8968.2120142839085</v>
      </c>
      <c r="DJ34" s="434">
        <f>IF(DJ$4&gt;=Inputs!$E$29,-DJ$10*'(Z+) OpEx'!$E$14*DJ$12,0)</f>
        <v>-8989.8622890864499</v>
      </c>
      <c r="DK34" s="434">
        <f>IF(DK$4&gt;=Inputs!$E$29,-DK$10*'(Z+) OpEx'!$E$14*DK$12,0)</f>
        <v>-9011.5648300930334</v>
      </c>
      <c r="DL34" s="434">
        <f>IF(DL$4&gt;=Inputs!$E$29,-DL$10*'(Z+) OpEx'!$E$14*DL$12,0)</f>
        <v>-9033.3197634801672</v>
      </c>
      <c r="DM34" s="434">
        <f>IF(DM$4&gt;=Inputs!$E$29,-DM$10*'(Z+) OpEx'!$E$14*DM$12,0)</f>
        <v>-9055.1272157289641</v>
      </c>
      <c r="DN34" s="434">
        <f>IF(DN$4&gt;=Inputs!$E$29,-DN$10*'(Z+) OpEx'!$E$14*DN$12,0)</f>
        <v>-9076.9873136258757</v>
      </c>
      <c r="DO34" s="434">
        <f>IF(DO$4&gt;=Inputs!$E$29,-DO$10*'(Z+) OpEx'!$E$14*DO$12,0)</f>
        <v>-9098.9001842634334</v>
      </c>
      <c r="DP34" s="434">
        <f>IF(DP$4&gt;=Inputs!$E$29,-DP$10*'(Z+) OpEx'!$E$14*DP$12,0)</f>
        <v>-9120.8659550409811</v>
      </c>
      <c r="DQ34" s="434">
        <f>IF(DQ$4&gt;=Inputs!$E$29,-DQ$10*'(Z+) OpEx'!$E$14*DQ$12,0)</f>
        <v>-9142.8847536654193</v>
      </c>
      <c r="DR34" s="434">
        <f>IF(DR$4&gt;=Inputs!$E$29,-DR$10*'(Z+) OpEx'!$E$14*DR$12,0)</f>
        <v>-9164.9567081519508</v>
      </c>
      <c r="DS34" s="434">
        <f>IF(DS$4&gt;=Inputs!$E$29,-DS$10*'(Z+) OpEx'!$E$14*DS$12,0)</f>
        <v>-9187.0819468248155</v>
      </c>
      <c r="DT34" s="434">
        <f>IF(DT$4&gt;=Inputs!$E$29,-DT$10*'(Z+) OpEx'!$E$14*DT$12,0)</f>
        <v>-9209.2605983180492</v>
      </c>
      <c r="DU34" s="434">
        <f>IF(DU$4&gt;=Inputs!$E$29,-DU$10*'(Z+) OpEx'!$E$14*DU$12,0)</f>
        <v>-9231.49279157622</v>
      </c>
    </row>
    <row r="35" spans="1:125" x14ac:dyDescent="0.25">
      <c r="A35" s="393" t="str">
        <f>+'(Z+) OpEx'!C15</f>
        <v xml:space="preserve">   Water/Sewer</v>
      </c>
      <c r="B35" s="394"/>
      <c r="C35" s="435">
        <f>+'(Z+) OpEx'!D15</f>
        <v>30</v>
      </c>
      <c r="D35" s="395"/>
      <c r="E35" s="394"/>
      <c r="F35" s="432">
        <f>IF(F$4&gt;=Inputs!$E$29,-F$10*'(Z+) OpEx'!$E$15*F$12,0)</f>
        <v>0</v>
      </c>
      <c r="G35" s="432">
        <f>IF(G$4&gt;=Inputs!$E$29,-G$10*'(Z+) OpEx'!$E$15*G$12,0)</f>
        <v>0</v>
      </c>
      <c r="H35" s="432">
        <f>IF(H$4&gt;=Inputs!$E$29,-H$10*'(Z+) OpEx'!$E$15*H$12,0)</f>
        <v>0</v>
      </c>
      <c r="I35" s="432">
        <f>IF(I$4&gt;=Inputs!$E$29,-I$10*'(Z+) OpEx'!$E$15*I$12,0)</f>
        <v>0</v>
      </c>
      <c r="J35" s="433">
        <f>IF(J$4&gt;=Inputs!$E$29,-J$10*'(Z+) OpEx'!$E$15*J$12,0)</f>
        <v>0</v>
      </c>
      <c r="K35" s="433">
        <f>IF(K$4&gt;=Inputs!$E$29,-K$10*'(Z+) OpEx'!$E$15*K$12,0)</f>
        <v>0</v>
      </c>
      <c r="L35" s="433">
        <f>IF(L$4&gt;=Inputs!$E$29,-L$10*'(Z+) OpEx'!$E$15*L$12,0)</f>
        <v>0</v>
      </c>
      <c r="M35" s="433">
        <f>IF(M$4&gt;=Inputs!$E$29,-M$10*'(Z+) OpEx'!$E$15*M$12,0)</f>
        <v>0</v>
      </c>
      <c r="N35" s="433">
        <f>IF(N$4&gt;=Inputs!$E$29,-N$10*'(Z+) OpEx'!$E$15*N$12,0)</f>
        <v>0</v>
      </c>
      <c r="O35" s="433">
        <f>IF(O$4&gt;=Inputs!$E$29,-O$10*'(Z+) OpEx'!$E$15*O$12,0)</f>
        <v>0</v>
      </c>
      <c r="P35" s="433">
        <f>IF(P$4&gt;=Inputs!$E$29,-P$10*'(Z+) OpEx'!$E$15*P$12,0)</f>
        <v>0</v>
      </c>
      <c r="Q35" s="433">
        <f>IF(Q$4&gt;=Inputs!$E$29,-Q$10*'(Z+) OpEx'!$E$15*Q$12,0)</f>
        <v>0</v>
      </c>
      <c r="R35" s="433">
        <f>IF(R$4&gt;=Inputs!$E$29,-R$10*'(Z+) OpEx'!$E$15*R$12,0)</f>
        <v>0</v>
      </c>
      <c r="S35" s="433">
        <f>IF(S$4&gt;=Inputs!$E$29,-S$10*'(Z+) OpEx'!$E$15*S$12,0)</f>
        <v>0</v>
      </c>
      <c r="T35" s="433">
        <f>IF(T$4&gt;=Inputs!$E$29,-T$10*'(Z+) OpEx'!$E$15*T$12,0)</f>
        <v>0</v>
      </c>
      <c r="U35" s="434">
        <f>IF(U$4&gt;=Inputs!$E$29,-U$10*'(Z+) OpEx'!$E$15*U$12,0)</f>
        <v>0</v>
      </c>
      <c r="V35" s="434">
        <f>IF(V$4&gt;=Inputs!$E$29,-V$10*'(Z+) OpEx'!$E$15*V$12,0)</f>
        <v>0</v>
      </c>
      <c r="W35" s="434">
        <f>IF(W$4&gt;=Inputs!$E$29,-W$10*'(Z+) OpEx'!$E$15*W$12,0)</f>
        <v>0</v>
      </c>
      <c r="X35" s="434">
        <f>IF(X$4&gt;=Inputs!$E$29,-X$10*'(Z+) OpEx'!$E$15*X$12,0)</f>
        <v>0</v>
      </c>
      <c r="Y35" s="434">
        <f>IF(Y$4&gt;=Inputs!$E$29,-Y$10*'(Z+) OpEx'!$E$15*Y$12,0)</f>
        <v>0</v>
      </c>
      <c r="Z35" s="434">
        <f>IF(Z$4&gt;=Inputs!$E$29,-Z$10*'(Z+) OpEx'!$E$15*Z$12,0)</f>
        <v>0</v>
      </c>
      <c r="AA35" s="434">
        <f>IF(AA$4&gt;=Inputs!$E$29,-AA$10*'(Z+) OpEx'!$E$15*AA$12,0)</f>
        <v>-809.85363375274483</v>
      </c>
      <c r="AB35" s="434">
        <f>IF(AB$4&gt;=Inputs!$E$29,-AB$10*'(Z+) OpEx'!$E$15*AB$12,0)</f>
        <v>-1623.6174234412902</v>
      </c>
      <c r="AC35" s="434">
        <f>IF(AC$4&gt;=Inputs!$E$29,-AC$10*'(Z+) OpEx'!$E$15*AC$12,0)</f>
        <v>-2441.3055284014763</v>
      </c>
      <c r="AD35" s="434">
        <f>IF(AD$4&gt;=Inputs!$E$29,-AD$10*'(Z+) OpEx'!$E$15*AD$12,0)</f>
        <v>-3262.9321535454533</v>
      </c>
      <c r="AE35" s="434">
        <f>IF(AE$4&gt;=Inputs!$E$29,-AE$10*'(Z+) OpEx'!$E$15*AE$12,0)</f>
        <v>-4088.511549499216</v>
      </c>
      <c r="AF35" s="434">
        <f>IF(AF$4&gt;=Inputs!$E$29,-AF$10*'(Z+) OpEx'!$E$15*AF$12,0)</f>
        <v>-4863.4129237100824</v>
      </c>
      <c r="AG35" s="434">
        <f>IF(AG$4&gt;=Inputs!$E$29,-AG$10*'(Z+) OpEx'!$E$15*AG$12,0)</f>
        <v>-5751.5858857372796</v>
      </c>
      <c r="AH35" s="434">
        <f>IF(AH$4&gt;=Inputs!$E$29,-AH$10*'(Z+) OpEx'!$E$15*AH$12,0)</f>
        <v>-6589.1095570861698</v>
      </c>
      <c r="AI35" s="434">
        <f>IF(AI$4&gt;=Inputs!$E$29,-AI$10*'(Z+) OpEx'!$E$15*AI$12,0)</f>
        <v>-7430.6434616518845</v>
      </c>
      <c r="AJ35" s="434">
        <f>IF(AJ$4&gt;=Inputs!$E$29,-AJ$10*'(Z+) OpEx'!$E$15*AJ$12,0)</f>
        <v>-7448.5818726359521</v>
      </c>
      <c r="AK35" s="434">
        <f>IF(AK$4&gt;=Inputs!$E$29,-AK$10*'(Z+) OpEx'!$E$15*AK$12,0)</f>
        <v>-7466.563588966359</v>
      </c>
      <c r="AL35" s="434">
        <f>IF(AL$4&gt;=Inputs!$E$29,-AL$10*'(Z+) OpEx'!$E$15*AL$12,0)</f>
        <v>-7484.5887151870947</v>
      </c>
      <c r="AM35" s="434">
        <f>IF(AM$4&gt;=Inputs!$E$29,-AM$10*'(Z+) OpEx'!$E$15*AM$12,0)</f>
        <v>-7502.6573560945262</v>
      </c>
      <c r="AN35" s="434">
        <f>IF(AN$4&gt;=Inputs!$E$29,-AN$10*'(Z+) OpEx'!$E$15*AN$12,0)</f>
        <v>-7520.7696167380136</v>
      </c>
      <c r="AO35" s="434">
        <f>IF(AO$4&gt;=Inputs!$E$29,-AO$10*'(Z+) OpEx'!$E$15*AO$12,0)</f>
        <v>-7538.925602420516</v>
      </c>
      <c r="AP35" s="434">
        <f>IF(AP$4&gt;=Inputs!$E$29,-AP$10*'(Z+) OpEx'!$E$15*AP$12,0)</f>
        <v>-7557.1254186992073</v>
      </c>
      <c r="AQ35" s="434">
        <f>IF(AQ$4&gt;=Inputs!$E$29,-AQ$10*'(Z+) OpEx'!$E$15*AQ$12,0)</f>
        <v>-7575.369171386089</v>
      </c>
      <c r="AR35" s="434">
        <f>IF(AR$4&gt;=Inputs!$E$29,-AR$10*'(Z+) OpEx'!$E$15*AR$12,0)</f>
        <v>-7593.6569665486031</v>
      </c>
      <c r="AS35" s="434">
        <f>IF(AS$4&gt;=Inputs!$E$29,-AS$10*'(Z+) OpEx'!$E$15*AS$12,0)</f>
        <v>-7611.9889105102493</v>
      </c>
      <c r="AT35" s="434">
        <f>IF(AT$4&gt;=Inputs!$E$29,-AT$10*'(Z+) OpEx'!$E$15*AT$12,0)</f>
        <v>-7630.3651098512073</v>
      </c>
      <c r="AU35" s="434">
        <f>IF(AU$4&gt;=Inputs!$E$29,-AU$10*'(Z+) OpEx'!$E$15*AU$12,0)</f>
        <v>-7648.7856714089512</v>
      </c>
      <c r="AV35" s="434">
        <f>IF(AV$4&gt;=Inputs!$E$29,-AV$10*'(Z+) OpEx'!$E$15*AV$12,0)</f>
        <v>-7667.2507022788732</v>
      </c>
      <c r="AW35" s="434">
        <f>IF(AW$4&gt;=Inputs!$E$29,-AW$10*'(Z+) OpEx'!$E$15*AW$12,0)</f>
        <v>-7685.7603098149048</v>
      </c>
      <c r="AX35" s="434">
        <f>IF(AX$4&gt;=Inputs!$E$29,-AX$10*'(Z+) OpEx'!$E$15*AX$12,0)</f>
        <v>-7704.3146016301444</v>
      </c>
      <c r="AY35" s="434">
        <f>IF(AY$4&gt;=Inputs!$E$29,-AY$10*'(Z+) OpEx'!$E$15*AY$12,0)</f>
        <v>-7722.9136855974793</v>
      </c>
      <c r="AZ35" s="434">
        <f>IF(AZ$4&gt;=Inputs!$E$29,-AZ$10*'(Z+) OpEx'!$E$15*AZ$12,0)</f>
        <v>-7741.5576698502146</v>
      </c>
      <c r="BA35" s="434">
        <f>IF(BA$4&gt;=Inputs!$E$29,-BA$10*'(Z+) OpEx'!$E$15*BA$12,0)</f>
        <v>-7760.2466627827007</v>
      </c>
      <c r="BB35" s="434">
        <f>IF(BB$4&gt;=Inputs!$E$29,-BB$10*'(Z+) OpEx'!$E$15*BB$12,0)</f>
        <v>-7778.9807730509638</v>
      </c>
      <c r="BC35" s="434">
        <f>IF(BC$4&gt;=Inputs!$E$29,-BC$10*'(Z+) OpEx'!$E$15*BC$12,0)</f>
        <v>-7797.7601095733389</v>
      </c>
      <c r="BD35" s="434">
        <f>IF(BD$4&gt;=Inputs!$E$29,-BD$10*'(Z+) OpEx'!$E$15*BD$12,0)</f>
        <v>-7816.5847815311026</v>
      </c>
      <c r="BE35" s="434">
        <f>IF(BE$4&gt;=Inputs!$E$29,-BE$10*'(Z+) OpEx'!$E$15*BE$12,0)</f>
        <v>-7835.4548983691047</v>
      </c>
      <c r="BF35" s="434">
        <f>IF(BF$4&gt;=Inputs!$E$29,-BF$10*'(Z+) OpEx'!$E$15*BF$12,0)</f>
        <v>-7854.3705697964115</v>
      </c>
      <c r="BG35" s="434">
        <f>IF(BG$4&gt;=Inputs!$E$29,-BG$10*'(Z+) OpEx'!$E$15*BG$12,0)</f>
        <v>-7873.3319057869367</v>
      </c>
      <c r="BH35" s="434">
        <f>IF(BH$4&gt;=Inputs!$E$29,-BH$10*'(Z+) OpEx'!$E$15*BH$12,0)</f>
        <v>-7892.339016580082</v>
      </c>
      <c r="BI35" s="434">
        <f>IF(BI$4&gt;=Inputs!$E$29,-BI$10*'(Z+) OpEx'!$E$15*BI$12,0)</f>
        <v>-7911.3920126813809</v>
      </c>
      <c r="BJ35" s="434">
        <f>IF(BJ$4&gt;=Inputs!$E$29,-BJ$10*'(Z+) OpEx'!$E$15*BJ$12,0)</f>
        <v>-7930.4910048631427</v>
      </c>
      <c r="BK35" s="434">
        <f>IF(BK$4&gt;=Inputs!$E$29,-BK$10*'(Z+) OpEx'!$E$15*BK$12,0)</f>
        <v>-7949.6361041650898</v>
      </c>
      <c r="BL35" s="434">
        <f>IF(BL$4&gt;=Inputs!$E$29,-BL$10*'(Z+) OpEx'!$E$15*BL$12,0)</f>
        <v>-7968.8274218950073</v>
      </c>
      <c r="BM35" s="434">
        <f>IF(BM$4&gt;=Inputs!$E$29,-BM$10*'(Z+) OpEx'!$E$15*BM$12,0)</f>
        <v>-7988.0650696293915</v>
      </c>
      <c r="BN35" s="434">
        <f>IF(BN$4&gt;=Inputs!$E$29,-BN$10*'(Z+) OpEx'!$E$15*BN$12,0)</f>
        <v>-8007.3491592140954</v>
      </c>
      <c r="BO35" s="434">
        <f>IF(BO$4&gt;=Inputs!$E$29,-BO$10*'(Z+) OpEx'!$E$15*BO$12,0)</f>
        <v>-8026.6798027649811</v>
      </c>
      <c r="BP35" s="434">
        <f>IF(BP$4&gt;=Inputs!$E$29,-BP$10*'(Z+) OpEx'!$E$15*BP$12,0)</f>
        <v>-8046.0571126685709</v>
      </c>
      <c r="BQ35" s="434">
        <f>IF(BQ$4&gt;=Inputs!$E$29,-BQ$10*'(Z+) OpEx'!$E$15*BQ$12,0)</f>
        <v>-8065.4812015827019</v>
      </c>
      <c r="BR35" s="434">
        <f>IF(BR$4&gt;=Inputs!$E$29,-BR$10*'(Z+) OpEx'!$E$15*BR$12,0)</f>
        <v>-8084.9521824371777</v>
      </c>
      <c r="BS35" s="434">
        <f>IF(BS$4&gt;=Inputs!$E$29,-BS$10*'(Z+) OpEx'!$E$15*BS$12,0)</f>
        <v>-8104.4701684344291</v>
      </c>
      <c r="BT35" s="434">
        <f>IF(BT$4&gt;=Inputs!$E$29,-BT$10*'(Z+) OpEx'!$E$15*BT$12,0)</f>
        <v>-8124.03527305017</v>
      </c>
      <c r="BU35" s="434">
        <f>IF(BU$4&gt;=Inputs!$E$29,-BU$10*'(Z+) OpEx'!$E$15*BU$12,0)</f>
        <v>-8143.6476100340569</v>
      </c>
      <c r="BV35" s="434">
        <f>IF(BV$4&gt;=Inputs!$E$29,-BV$10*'(Z+) OpEx'!$E$15*BV$12,0)</f>
        <v>-8163.307293410352</v>
      </c>
      <c r="BW35" s="434">
        <f>IF(BW$4&gt;=Inputs!$E$29,-BW$10*'(Z+) OpEx'!$E$15*BW$12,0)</f>
        <v>-8183.0144374785823</v>
      </c>
      <c r="BX35" s="434">
        <f>IF(BX$4&gt;=Inputs!$E$29,-BX$10*'(Z+) OpEx'!$E$15*BX$12,0)</f>
        <v>-8202.7691568142091</v>
      </c>
      <c r="BY35" s="434">
        <f>IF(BY$4&gt;=Inputs!$E$29,-BY$10*'(Z+) OpEx'!$E$15*BY$12,0)</f>
        <v>-8222.5715662692928</v>
      </c>
      <c r="BZ35" s="434">
        <f>IF(BZ$4&gt;=Inputs!$E$29,-BZ$10*'(Z+) OpEx'!$E$15*BZ$12,0)</f>
        <v>-8242.4217809731563</v>
      </c>
      <c r="CA35" s="434">
        <f>IF(CA$4&gt;=Inputs!$E$29,-CA$10*'(Z+) OpEx'!$E$15*CA$12,0)</f>
        <v>-8262.3199163330592</v>
      </c>
      <c r="CB35" s="434">
        <f>IF(CB$4&gt;=Inputs!$E$29,-CB$10*'(Z+) OpEx'!$E$15*CB$12,0)</f>
        <v>-8282.2660880348667</v>
      </c>
      <c r="CC35" s="434">
        <f>IF(CC$4&gt;=Inputs!$E$29,-CC$10*'(Z+) OpEx'!$E$15*CC$12,0)</f>
        <v>-8302.2604120437263</v>
      </c>
      <c r="CD35" s="434">
        <f>IF(CD$4&gt;=Inputs!$E$29,-CD$10*'(Z+) OpEx'!$E$15*CD$12,0)</f>
        <v>-8322.3030046047334</v>
      </c>
      <c r="CE35" s="434">
        <f>IF(CE$4&gt;=Inputs!$E$29,-CE$10*'(Z+) OpEx'!$E$15*CE$12,0)</f>
        <v>-8342.3939822436132</v>
      </c>
      <c r="CF35" s="434">
        <f>IF(CF$4&gt;=Inputs!$E$29,-CF$10*'(Z+) OpEx'!$E$15*CF$12,0)</f>
        <v>-8362.5334617673998</v>
      </c>
      <c r="CG35" s="434">
        <f>IF(CG$4&gt;=Inputs!$E$29,-CG$10*'(Z+) OpEx'!$E$15*CG$12,0)</f>
        <v>-8382.7215602651104</v>
      </c>
      <c r="CH35" s="434">
        <f>IF(CH$4&gt;=Inputs!$E$29,-CH$10*'(Z+) OpEx'!$E$15*CH$12,0)</f>
        <v>-8402.9583951084296</v>
      </c>
      <c r="CI35" s="434">
        <f>IF(CI$4&gt;=Inputs!$E$29,-CI$10*'(Z+) OpEx'!$E$15*CI$12,0)</f>
        <v>-8423.2440839523897</v>
      </c>
      <c r="CJ35" s="434">
        <f>IF(CJ$4&gt;=Inputs!$E$29,-CJ$10*'(Z+) OpEx'!$E$15*CJ$12,0)</f>
        <v>-8443.5787447360563</v>
      </c>
      <c r="CK35" s="434">
        <f>IF(CK$4&gt;=Inputs!$E$29,-CK$10*'(Z+) OpEx'!$E$15*CK$12,0)</f>
        <v>-8463.9624956832104</v>
      </c>
      <c r="CL35" s="434">
        <f>IF(CL$4&gt;=Inputs!$E$29,-CL$10*'(Z+) OpEx'!$E$15*CL$12,0)</f>
        <v>-8484.3954553030417</v>
      </c>
      <c r="CM35" s="434">
        <f>IF(CM$4&gt;=Inputs!$E$29,-CM$10*'(Z+) OpEx'!$E$15*CM$12,0)</f>
        <v>-8504.8777423908341</v>
      </c>
      <c r="CN35" s="434">
        <f>IF(CN$4&gt;=Inputs!$E$29,-CN$10*'(Z+) OpEx'!$E$15*CN$12,0)</f>
        <v>-8525.4094760286553</v>
      </c>
      <c r="CO35" s="434">
        <f>IF(CO$4&gt;=Inputs!$E$29,-CO$10*'(Z+) OpEx'!$E$15*CO$12,0)</f>
        <v>-8545.9907755860513</v>
      </c>
      <c r="CP35" s="434">
        <f>IF(CP$4&gt;=Inputs!$E$29,-CP$10*'(Z+) OpEx'!$E$15*CP$12,0)</f>
        <v>-8566.6217607207418</v>
      </c>
      <c r="CQ35" s="434">
        <f>IF(CQ$4&gt;=Inputs!$E$29,-CQ$10*'(Z+) OpEx'!$E$15*CQ$12,0)</f>
        <v>-8587.3025513793073</v>
      </c>
      <c r="CR35" s="434">
        <f>IF(CR$4&gt;=Inputs!$E$29,-CR$10*'(Z+) OpEx'!$E$15*CR$12,0)</f>
        <v>-8608.0332677978986</v>
      </c>
      <c r="CS35" s="434">
        <f>IF(CS$4&gt;=Inputs!$E$29,-CS$10*'(Z+) OpEx'!$E$15*CS$12,0)</f>
        <v>-8628.8140305029301</v>
      </c>
      <c r="CT35" s="434">
        <f>IF(CT$4&gt;=Inputs!$E$29,-CT$10*'(Z+) OpEx'!$E$15*CT$12,0)</f>
        <v>-8649.6449603117799</v>
      </c>
      <c r="CU35" s="434">
        <f>IF(CU$4&gt;=Inputs!$E$29,-CU$10*'(Z+) OpEx'!$E$15*CU$12,0)</f>
        <v>-8670.5261783334881</v>
      </c>
      <c r="CV35" s="434">
        <f>IF(CV$4&gt;=Inputs!$E$29,-CV$10*'(Z+) OpEx'!$E$15*CV$12,0)</f>
        <v>-8691.4578059694722</v>
      </c>
      <c r="CW35" s="434">
        <f>IF(CW$4&gt;=Inputs!$E$29,-CW$10*'(Z+) OpEx'!$E$15*CW$12,0)</f>
        <v>-8712.4399649142251</v>
      </c>
      <c r="CX35" s="434">
        <f>IF(CX$4&gt;=Inputs!$E$29,-CX$10*'(Z+) OpEx'!$E$15*CX$12,0)</f>
        <v>-8733.4727771560192</v>
      </c>
      <c r="CY35" s="434">
        <f>IF(CY$4&gt;=Inputs!$E$29,-CY$10*'(Z+) OpEx'!$E$15*CY$12,0)</f>
        <v>-8754.5563649776268</v>
      </c>
      <c r="CZ35" s="434">
        <f>IF(CZ$4&gt;=Inputs!$E$29,-CZ$10*'(Z+) OpEx'!$E$15*CZ$12,0)</f>
        <v>-8775.6908509570185</v>
      </c>
      <c r="DA35" s="434">
        <f>IF(DA$4&gt;=Inputs!$E$29,-DA$10*'(Z+) OpEx'!$E$15*DA$12,0)</f>
        <v>-8796.876357968089</v>
      </c>
      <c r="DB35" s="434">
        <f>IF(DB$4&gt;=Inputs!$E$29,-DB$10*'(Z+) OpEx'!$E$15*DB$12,0)</f>
        <v>-8818.1130091813575</v>
      </c>
      <c r="DC35" s="434">
        <f>IF(DC$4&gt;=Inputs!$E$29,-DC$10*'(Z+) OpEx'!$E$15*DC$12,0)</f>
        <v>-8839.4009280646951</v>
      </c>
      <c r="DD35" s="434">
        <f>IF(DD$4&gt;=Inputs!$E$29,-DD$10*'(Z+) OpEx'!$E$15*DD$12,0)</f>
        <v>-8860.7402383840363</v>
      </c>
      <c r="DE35" s="434">
        <f>IF(DE$4&gt;=Inputs!$E$29,-DE$10*'(Z+) OpEx'!$E$15*DE$12,0)</f>
        <v>-8882.1310642041008</v>
      </c>
      <c r="DF35" s="434">
        <f>IF(DF$4&gt;=Inputs!$E$29,-DF$10*'(Z+) OpEx'!$E$15*DF$12,0)</f>
        <v>-8903.5735298891159</v>
      </c>
      <c r="DG35" s="434">
        <f>IF(DG$4&gt;=Inputs!$E$29,-DG$10*'(Z+) OpEx'!$E$15*DG$12,0)</f>
        <v>-8925.067760103535</v>
      </c>
      <c r="DH35" s="434">
        <f>IF(DH$4&gt;=Inputs!$E$29,-DH$10*'(Z+) OpEx'!$E$15*DH$12,0)</f>
        <v>-8946.6138798127686</v>
      </c>
      <c r="DI35" s="434">
        <f>IF(DI$4&gt;=Inputs!$E$29,-DI$10*'(Z+) OpEx'!$E$15*DI$12,0)</f>
        <v>-8968.2120142839085</v>
      </c>
      <c r="DJ35" s="434">
        <f>IF(DJ$4&gt;=Inputs!$E$29,-DJ$10*'(Z+) OpEx'!$E$15*DJ$12,0)</f>
        <v>-8989.8622890864499</v>
      </c>
      <c r="DK35" s="434">
        <f>IF(DK$4&gt;=Inputs!$E$29,-DK$10*'(Z+) OpEx'!$E$15*DK$12,0)</f>
        <v>-9011.5648300930334</v>
      </c>
      <c r="DL35" s="434">
        <f>IF(DL$4&gt;=Inputs!$E$29,-DL$10*'(Z+) OpEx'!$E$15*DL$12,0)</f>
        <v>-9033.3197634801672</v>
      </c>
      <c r="DM35" s="434">
        <f>IF(DM$4&gt;=Inputs!$E$29,-DM$10*'(Z+) OpEx'!$E$15*DM$12,0)</f>
        <v>-9055.1272157289641</v>
      </c>
      <c r="DN35" s="434">
        <f>IF(DN$4&gt;=Inputs!$E$29,-DN$10*'(Z+) OpEx'!$E$15*DN$12,0)</f>
        <v>-9076.9873136258757</v>
      </c>
      <c r="DO35" s="434">
        <f>IF(DO$4&gt;=Inputs!$E$29,-DO$10*'(Z+) OpEx'!$E$15*DO$12,0)</f>
        <v>-9098.9001842634334</v>
      </c>
      <c r="DP35" s="434">
        <f>IF(DP$4&gt;=Inputs!$E$29,-DP$10*'(Z+) OpEx'!$E$15*DP$12,0)</f>
        <v>-9120.8659550409811</v>
      </c>
      <c r="DQ35" s="434">
        <f>IF(DQ$4&gt;=Inputs!$E$29,-DQ$10*'(Z+) OpEx'!$E$15*DQ$12,0)</f>
        <v>-9142.8847536654193</v>
      </c>
      <c r="DR35" s="434">
        <f>IF(DR$4&gt;=Inputs!$E$29,-DR$10*'(Z+) OpEx'!$E$15*DR$12,0)</f>
        <v>-9164.9567081519508</v>
      </c>
      <c r="DS35" s="434">
        <f>IF(DS$4&gt;=Inputs!$E$29,-DS$10*'(Z+) OpEx'!$E$15*DS$12,0)</f>
        <v>-9187.0819468248155</v>
      </c>
      <c r="DT35" s="434">
        <f>IF(DT$4&gt;=Inputs!$E$29,-DT$10*'(Z+) OpEx'!$E$15*DT$12,0)</f>
        <v>-9209.2605983180492</v>
      </c>
      <c r="DU35" s="434">
        <f>IF(DU$4&gt;=Inputs!$E$29,-DU$10*'(Z+) OpEx'!$E$15*DU$12,0)</f>
        <v>-9231.49279157622</v>
      </c>
    </row>
    <row r="36" spans="1:125" x14ac:dyDescent="0.25">
      <c r="A36" s="393" t="str">
        <f>+'(Z+) OpEx'!C16</f>
        <v xml:space="preserve">   Gas</v>
      </c>
      <c r="B36" s="394"/>
      <c r="C36" s="435">
        <f>+'(Z+) OpEx'!D16</f>
        <v>20</v>
      </c>
      <c r="D36" s="395"/>
      <c r="E36" s="394"/>
      <c r="F36" s="432">
        <f>IF(F$4&gt;=Inputs!$E$29,-F$10*'(Z+) OpEx'!$E$16*F$12,0)</f>
        <v>0</v>
      </c>
      <c r="G36" s="432">
        <f>IF(G$4&gt;=Inputs!$E$29,-G$10*'(Z+) OpEx'!$E$16*G$12,0)</f>
        <v>0</v>
      </c>
      <c r="H36" s="432">
        <f>IF(H$4&gt;=Inputs!$E$29,-H$10*'(Z+) OpEx'!$E$16*H$12,0)</f>
        <v>0</v>
      </c>
      <c r="I36" s="432">
        <f>IF(I$4&gt;=Inputs!$E$29,-I$10*'(Z+) OpEx'!$E$16*I$12,0)</f>
        <v>0</v>
      </c>
      <c r="J36" s="433">
        <f>IF(J$4&gt;=Inputs!$E$29,-J$10*'(Z+) OpEx'!$E$16*J$12,0)</f>
        <v>0</v>
      </c>
      <c r="K36" s="433">
        <f>IF(K$4&gt;=Inputs!$E$29,-K$10*'(Z+) OpEx'!$E$16*K$12,0)</f>
        <v>0</v>
      </c>
      <c r="L36" s="433">
        <f>IF(L$4&gt;=Inputs!$E$29,-L$10*'(Z+) OpEx'!$E$16*L$12,0)</f>
        <v>0</v>
      </c>
      <c r="M36" s="433">
        <f>IF(M$4&gt;=Inputs!$E$29,-M$10*'(Z+) OpEx'!$E$16*M$12,0)</f>
        <v>0</v>
      </c>
      <c r="N36" s="433">
        <f>IF(N$4&gt;=Inputs!$E$29,-N$10*'(Z+) OpEx'!$E$16*N$12,0)</f>
        <v>0</v>
      </c>
      <c r="O36" s="433">
        <f>IF(O$4&gt;=Inputs!$E$29,-O$10*'(Z+) OpEx'!$E$16*O$12,0)</f>
        <v>0</v>
      </c>
      <c r="P36" s="433">
        <f>IF(P$4&gt;=Inputs!$E$29,-P$10*'(Z+) OpEx'!$E$16*P$12,0)</f>
        <v>0</v>
      </c>
      <c r="Q36" s="433">
        <f>IF(Q$4&gt;=Inputs!$E$29,-Q$10*'(Z+) OpEx'!$E$16*Q$12,0)</f>
        <v>0</v>
      </c>
      <c r="R36" s="433">
        <f>IF(R$4&gt;=Inputs!$E$29,-R$10*'(Z+) OpEx'!$E$16*R$12,0)</f>
        <v>0</v>
      </c>
      <c r="S36" s="433">
        <f>IF(S$4&gt;=Inputs!$E$29,-S$10*'(Z+) OpEx'!$E$16*S$12,0)</f>
        <v>0</v>
      </c>
      <c r="T36" s="433">
        <f>IF(T$4&gt;=Inputs!$E$29,-T$10*'(Z+) OpEx'!$E$16*T$12,0)</f>
        <v>0</v>
      </c>
      <c r="U36" s="434">
        <f>IF(U$4&gt;=Inputs!$E$29,-U$10*'(Z+) OpEx'!$E$16*U$12,0)</f>
        <v>0</v>
      </c>
      <c r="V36" s="434">
        <f>IF(V$4&gt;=Inputs!$E$29,-V$10*'(Z+) OpEx'!$E$16*V$12,0)</f>
        <v>0</v>
      </c>
      <c r="W36" s="434">
        <f>IF(W$4&gt;=Inputs!$E$29,-W$10*'(Z+) OpEx'!$E$16*W$12,0)</f>
        <v>0</v>
      </c>
      <c r="X36" s="434">
        <f>IF(X$4&gt;=Inputs!$E$29,-X$10*'(Z+) OpEx'!$E$16*X$12,0)</f>
        <v>0</v>
      </c>
      <c r="Y36" s="434">
        <f>IF(Y$4&gt;=Inputs!$E$29,-Y$10*'(Z+) OpEx'!$E$16*Y$12,0)</f>
        <v>0</v>
      </c>
      <c r="Z36" s="434">
        <f>IF(Z$4&gt;=Inputs!$E$29,-Z$10*'(Z+) OpEx'!$E$16*Z$12,0)</f>
        <v>0</v>
      </c>
      <c r="AA36" s="434">
        <f>IF(AA$4&gt;=Inputs!$E$29,-AA$10*'(Z+) OpEx'!$E$16*AA$12,0)</f>
        <v>-539.90242250182996</v>
      </c>
      <c r="AB36" s="434">
        <f>IF(AB$4&gt;=Inputs!$E$29,-AB$10*'(Z+) OpEx'!$E$16*AB$12,0)</f>
        <v>-1082.4116156275268</v>
      </c>
      <c r="AC36" s="434">
        <f>IF(AC$4&gt;=Inputs!$E$29,-AC$10*'(Z+) OpEx'!$E$16*AC$12,0)</f>
        <v>-1627.5370189343175</v>
      </c>
      <c r="AD36" s="434">
        <f>IF(AD$4&gt;=Inputs!$E$29,-AD$10*'(Z+) OpEx'!$E$16*AD$12,0)</f>
        <v>-2175.2881023636355</v>
      </c>
      <c r="AE36" s="434">
        <f>IF(AE$4&gt;=Inputs!$E$29,-AE$10*'(Z+) OpEx'!$E$16*AE$12,0)</f>
        <v>-2725.6743663328107</v>
      </c>
      <c r="AF36" s="434">
        <f>IF(AF$4&gt;=Inputs!$E$29,-AF$10*'(Z+) OpEx'!$E$16*AF$12,0)</f>
        <v>-3242.2752824733889</v>
      </c>
      <c r="AG36" s="434">
        <f>IF(AG$4&gt;=Inputs!$E$29,-AG$10*'(Z+) OpEx'!$E$16*AG$12,0)</f>
        <v>-3834.39059049152</v>
      </c>
      <c r="AH36" s="434">
        <f>IF(AH$4&gt;=Inputs!$E$29,-AH$10*'(Z+) OpEx'!$E$16*AH$12,0)</f>
        <v>-4392.7397047241129</v>
      </c>
      <c r="AI36" s="434">
        <f>IF(AI$4&gt;=Inputs!$E$29,-AI$10*'(Z+) OpEx'!$E$16*AI$12,0)</f>
        <v>-4953.7623077679236</v>
      </c>
      <c r="AJ36" s="434">
        <f>IF(AJ$4&gt;=Inputs!$E$29,-AJ$10*'(Z+) OpEx'!$E$16*AJ$12,0)</f>
        <v>-4965.7212484239681</v>
      </c>
      <c r="AK36" s="434">
        <f>IF(AK$4&gt;=Inputs!$E$29,-AK$10*'(Z+) OpEx'!$E$16*AK$12,0)</f>
        <v>-4977.7090593109069</v>
      </c>
      <c r="AL36" s="434">
        <f>IF(AL$4&gt;=Inputs!$E$29,-AL$10*'(Z+) OpEx'!$E$16*AL$12,0)</f>
        <v>-4989.7258101247298</v>
      </c>
      <c r="AM36" s="434">
        <f>IF(AM$4&gt;=Inputs!$E$29,-AM$10*'(Z+) OpEx'!$E$16*AM$12,0)</f>
        <v>-5001.7715707296838</v>
      </c>
      <c r="AN36" s="434">
        <f>IF(AN$4&gt;=Inputs!$E$29,-AN$10*'(Z+) OpEx'!$E$16*AN$12,0)</f>
        <v>-5013.8464111586754</v>
      </c>
      <c r="AO36" s="434">
        <f>IF(AO$4&gt;=Inputs!$E$29,-AO$10*'(Z+) OpEx'!$E$16*AO$12,0)</f>
        <v>-5025.950401613678</v>
      </c>
      <c r="AP36" s="434">
        <f>IF(AP$4&gt;=Inputs!$E$29,-AP$10*'(Z+) OpEx'!$E$16*AP$12,0)</f>
        <v>-5038.0836124661382</v>
      </c>
      <c r="AQ36" s="434">
        <f>IF(AQ$4&gt;=Inputs!$E$29,-AQ$10*'(Z+) OpEx'!$E$16*AQ$12,0)</f>
        <v>-5050.2461142573929</v>
      </c>
      <c r="AR36" s="434">
        <f>IF(AR$4&gt;=Inputs!$E$29,-AR$10*'(Z+) OpEx'!$E$16*AR$12,0)</f>
        <v>-5062.4379776990691</v>
      </c>
      <c r="AS36" s="434">
        <f>IF(AS$4&gt;=Inputs!$E$29,-AS$10*'(Z+) OpEx'!$E$16*AS$12,0)</f>
        <v>-5074.6592736735001</v>
      </c>
      <c r="AT36" s="434">
        <f>IF(AT$4&gt;=Inputs!$E$29,-AT$10*'(Z+) OpEx'!$E$16*AT$12,0)</f>
        <v>-5086.9100732341385</v>
      </c>
      <c r="AU36" s="434">
        <f>IF(AU$4&gt;=Inputs!$E$29,-AU$10*'(Z+) OpEx'!$E$16*AU$12,0)</f>
        <v>-5099.1904476059681</v>
      </c>
      <c r="AV36" s="434">
        <f>IF(AV$4&gt;=Inputs!$E$29,-AV$10*'(Z+) OpEx'!$E$16*AV$12,0)</f>
        <v>-5111.5004681859155</v>
      </c>
      <c r="AW36" s="434">
        <f>IF(AW$4&gt;=Inputs!$E$29,-AW$10*'(Z+) OpEx'!$E$16*AW$12,0)</f>
        <v>-5123.8402065432701</v>
      </c>
      <c r="AX36" s="434">
        <f>IF(AX$4&gt;=Inputs!$E$29,-AX$10*'(Z+) OpEx'!$E$16*AX$12,0)</f>
        <v>-5136.2097344200965</v>
      </c>
      <c r="AY36" s="434">
        <f>IF(AY$4&gt;=Inputs!$E$29,-AY$10*'(Z+) OpEx'!$E$16*AY$12,0)</f>
        <v>-5148.6091237316532</v>
      </c>
      <c r="AZ36" s="434">
        <f>IF(AZ$4&gt;=Inputs!$E$29,-AZ$10*'(Z+) OpEx'!$E$16*AZ$12,0)</f>
        <v>-5161.0384465668103</v>
      </c>
      <c r="BA36" s="434">
        <f>IF(BA$4&gt;=Inputs!$E$29,-BA$10*'(Z+) OpEx'!$E$16*BA$12,0)</f>
        <v>-5173.4977751884671</v>
      </c>
      <c r="BB36" s="434">
        <f>IF(BB$4&gt;=Inputs!$E$29,-BB$10*'(Z+) OpEx'!$E$16*BB$12,0)</f>
        <v>-5185.9871820339758</v>
      </c>
      <c r="BC36" s="434">
        <f>IF(BC$4&gt;=Inputs!$E$29,-BC$10*'(Z+) OpEx'!$E$16*BC$12,0)</f>
        <v>-5198.5067397155599</v>
      </c>
      <c r="BD36" s="434">
        <f>IF(BD$4&gt;=Inputs!$E$29,-BD$10*'(Z+) OpEx'!$E$16*BD$12,0)</f>
        <v>-5211.0565210207351</v>
      </c>
      <c r="BE36" s="434">
        <f>IF(BE$4&gt;=Inputs!$E$29,-BE$10*'(Z+) OpEx'!$E$16*BE$12,0)</f>
        <v>-5223.6365989127371</v>
      </c>
      <c r="BF36" s="434">
        <f>IF(BF$4&gt;=Inputs!$E$29,-BF$10*'(Z+) OpEx'!$E$16*BF$12,0)</f>
        <v>-5236.2470465309416</v>
      </c>
      <c r="BG36" s="434">
        <f>IF(BG$4&gt;=Inputs!$E$29,-BG$10*'(Z+) OpEx'!$E$16*BG$12,0)</f>
        <v>-5248.8879371912917</v>
      </c>
      <c r="BH36" s="434">
        <f>IF(BH$4&gt;=Inputs!$E$29,-BH$10*'(Z+) OpEx'!$E$16*BH$12,0)</f>
        <v>-5261.559344386721</v>
      </c>
      <c r="BI36" s="434">
        <f>IF(BI$4&gt;=Inputs!$E$29,-BI$10*'(Z+) OpEx'!$E$16*BI$12,0)</f>
        <v>-5274.2613417875873</v>
      </c>
      <c r="BJ36" s="434">
        <f>IF(BJ$4&gt;=Inputs!$E$29,-BJ$10*'(Z+) OpEx'!$E$16*BJ$12,0)</f>
        <v>-5286.9940032420955</v>
      </c>
      <c r="BK36" s="434">
        <f>IF(BK$4&gt;=Inputs!$E$29,-BK$10*'(Z+) OpEx'!$E$16*BK$12,0)</f>
        <v>-5299.7574027767268</v>
      </c>
      <c r="BL36" s="434">
        <f>IF(BL$4&gt;=Inputs!$E$29,-BL$10*'(Z+) OpEx'!$E$16*BL$12,0)</f>
        <v>-5312.5516145966722</v>
      </c>
      <c r="BM36" s="434">
        <f>IF(BM$4&gt;=Inputs!$E$29,-BM$10*'(Z+) OpEx'!$E$16*BM$12,0)</f>
        <v>-5325.3767130862616</v>
      </c>
      <c r="BN36" s="434">
        <f>IF(BN$4&gt;=Inputs!$E$29,-BN$10*'(Z+) OpEx'!$E$16*BN$12,0)</f>
        <v>-5338.2327728093969</v>
      </c>
      <c r="BO36" s="434">
        <f>IF(BO$4&gt;=Inputs!$E$29,-BO$10*'(Z+) OpEx'!$E$16*BO$12,0)</f>
        <v>-5351.119868509988</v>
      </c>
      <c r="BP36" s="434">
        <f>IF(BP$4&gt;=Inputs!$E$29,-BP$10*'(Z+) OpEx'!$E$16*BP$12,0)</f>
        <v>-5364.0380751123812</v>
      </c>
      <c r="BQ36" s="434">
        <f>IF(BQ$4&gt;=Inputs!$E$29,-BQ$10*'(Z+) OpEx'!$E$16*BQ$12,0)</f>
        <v>-5376.9874677218013</v>
      </c>
      <c r="BR36" s="434">
        <f>IF(BR$4&gt;=Inputs!$E$29,-BR$10*'(Z+) OpEx'!$E$16*BR$12,0)</f>
        <v>-5389.9681216247855</v>
      </c>
      <c r="BS36" s="434">
        <f>IF(BS$4&gt;=Inputs!$E$29,-BS$10*'(Z+) OpEx'!$E$16*BS$12,0)</f>
        <v>-5402.9801122896197</v>
      </c>
      <c r="BT36" s="434">
        <f>IF(BT$4&gt;=Inputs!$E$29,-BT$10*'(Z+) OpEx'!$E$16*BT$12,0)</f>
        <v>-5416.02351536678</v>
      </c>
      <c r="BU36" s="434">
        <f>IF(BU$4&gt;=Inputs!$E$29,-BU$10*'(Z+) OpEx'!$E$16*BU$12,0)</f>
        <v>-5429.0984066893716</v>
      </c>
      <c r="BV36" s="434">
        <f>IF(BV$4&gt;=Inputs!$E$29,-BV$10*'(Z+) OpEx'!$E$16*BV$12,0)</f>
        <v>-5442.2048622735683</v>
      </c>
      <c r="BW36" s="434">
        <f>IF(BW$4&gt;=Inputs!$E$29,-BW$10*'(Z+) OpEx'!$E$16*BW$12,0)</f>
        <v>-5455.3429583190555</v>
      </c>
      <c r="BX36" s="434">
        <f>IF(BX$4&gt;=Inputs!$E$29,-BX$10*'(Z+) OpEx'!$E$16*BX$12,0)</f>
        <v>-5468.5127712094736</v>
      </c>
      <c r="BY36" s="434">
        <f>IF(BY$4&gt;=Inputs!$E$29,-BY$10*'(Z+) OpEx'!$E$16*BY$12,0)</f>
        <v>-5481.7143775128625</v>
      </c>
      <c r="BZ36" s="434">
        <f>IF(BZ$4&gt;=Inputs!$E$29,-BZ$10*'(Z+) OpEx'!$E$16*BZ$12,0)</f>
        <v>-5494.9478539821048</v>
      </c>
      <c r="CA36" s="434">
        <f>IF(CA$4&gt;=Inputs!$E$29,-CA$10*'(Z+) OpEx'!$E$16*CA$12,0)</f>
        <v>-5508.2132775553737</v>
      </c>
      <c r="CB36" s="434">
        <f>IF(CB$4&gt;=Inputs!$E$29,-CB$10*'(Z+) OpEx'!$E$16*CB$12,0)</f>
        <v>-5521.5107253565784</v>
      </c>
      <c r="CC36" s="434">
        <f>IF(CC$4&gt;=Inputs!$E$29,-CC$10*'(Z+) OpEx'!$E$16*CC$12,0)</f>
        <v>-5534.8402746958172</v>
      </c>
      <c r="CD36" s="434">
        <f>IF(CD$4&gt;=Inputs!$E$29,-CD$10*'(Z+) OpEx'!$E$16*CD$12,0)</f>
        <v>-5548.2020030698222</v>
      </c>
      <c r="CE36" s="434">
        <f>IF(CE$4&gt;=Inputs!$E$29,-CE$10*'(Z+) OpEx'!$E$16*CE$12,0)</f>
        <v>-5561.5959881624085</v>
      </c>
      <c r="CF36" s="434">
        <f>IF(CF$4&gt;=Inputs!$E$29,-CF$10*'(Z+) OpEx'!$E$16*CF$12,0)</f>
        <v>-5575.0223078449335</v>
      </c>
      <c r="CG36" s="434">
        <f>IF(CG$4&gt;=Inputs!$E$29,-CG$10*'(Z+) OpEx'!$E$16*CG$12,0)</f>
        <v>-5588.4810401767409</v>
      </c>
      <c r="CH36" s="434">
        <f>IF(CH$4&gt;=Inputs!$E$29,-CH$10*'(Z+) OpEx'!$E$16*CH$12,0)</f>
        <v>-5601.9722634056197</v>
      </c>
      <c r="CI36" s="434">
        <f>IF(CI$4&gt;=Inputs!$E$29,-CI$10*'(Z+) OpEx'!$E$16*CI$12,0)</f>
        <v>-5615.4960559682604</v>
      </c>
      <c r="CJ36" s="434">
        <f>IF(CJ$4&gt;=Inputs!$E$29,-CJ$10*'(Z+) OpEx'!$E$16*CJ$12,0)</f>
        <v>-5629.0524964907045</v>
      </c>
      <c r="CK36" s="434">
        <f>IF(CK$4&gt;=Inputs!$E$29,-CK$10*'(Z+) OpEx'!$E$16*CK$12,0)</f>
        <v>-5642.6416637888078</v>
      </c>
      <c r="CL36" s="434">
        <f>IF(CL$4&gt;=Inputs!$E$29,-CL$10*'(Z+) OpEx'!$E$16*CL$12,0)</f>
        <v>-5656.2636368686954</v>
      </c>
      <c r="CM36" s="434">
        <f>IF(CM$4&gt;=Inputs!$E$29,-CM$10*'(Z+) OpEx'!$E$16*CM$12,0)</f>
        <v>-5669.9184949272239</v>
      </c>
      <c r="CN36" s="434">
        <f>IF(CN$4&gt;=Inputs!$E$29,-CN$10*'(Z+) OpEx'!$E$16*CN$12,0)</f>
        <v>-5683.6063173524371</v>
      </c>
      <c r="CO36" s="434">
        <f>IF(CO$4&gt;=Inputs!$E$29,-CO$10*'(Z+) OpEx'!$E$16*CO$12,0)</f>
        <v>-5697.3271837240354</v>
      </c>
      <c r="CP36" s="434">
        <f>IF(CP$4&gt;=Inputs!$E$29,-CP$10*'(Z+) OpEx'!$E$16*CP$12,0)</f>
        <v>-5711.0811738138273</v>
      </c>
      <c r="CQ36" s="434">
        <f>IF(CQ$4&gt;=Inputs!$E$29,-CQ$10*'(Z+) OpEx'!$E$16*CQ$12,0)</f>
        <v>-5724.8683675862048</v>
      </c>
      <c r="CR36" s="434">
        <f>IF(CR$4&gt;=Inputs!$E$29,-CR$10*'(Z+) OpEx'!$E$16*CR$12,0)</f>
        <v>-5738.6888451985997</v>
      </c>
      <c r="CS36" s="434">
        <f>IF(CS$4&gt;=Inputs!$E$29,-CS$10*'(Z+) OpEx'!$E$16*CS$12,0)</f>
        <v>-5752.5426870019546</v>
      </c>
      <c r="CT36" s="434">
        <f>IF(CT$4&gt;=Inputs!$E$29,-CT$10*'(Z+) OpEx'!$E$16*CT$12,0)</f>
        <v>-5766.4299735411869</v>
      </c>
      <c r="CU36" s="434">
        <f>IF(CU$4&gt;=Inputs!$E$29,-CU$10*'(Z+) OpEx'!$E$16*CU$12,0)</f>
        <v>-5780.3507855556591</v>
      </c>
      <c r="CV36" s="434">
        <f>IF(CV$4&gt;=Inputs!$E$29,-CV$10*'(Z+) OpEx'!$E$16*CV$12,0)</f>
        <v>-5794.3052039796485</v>
      </c>
      <c r="CW36" s="434">
        <f>IF(CW$4&gt;=Inputs!$E$29,-CW$10*'(Z+) OpEx'!$E$16*CW$12,0)</f>
        <v>-5808.2933099428164</v>
      </c>
      <c r="CX36" s="434">
        <f>IF(CX$4&gt;=Inputs!$E$29,-CX$10*'(Z+) OpEx'!$E$16*CX$12,0)</f>
        <v>-5822.3151847706795</v>
      </c>
      <c r="CY36" s="434">
        <f>IF(CY$4&gt;=Inputs!$E$29,-CY$10*'(Z+) OpEx'!$E$16*CY$12,0)</f>
        <v>-5836.3709099850848</v>
      </c>
      <c r="CZ36" s="434">
        <f>IF(CZ$4&gt;=Inputs!$E$29,-CZ$10*'(Z+) OpEx'!$E$16*CZ$12,0)</f>
        <v>-5850.4605673046799</v>
      </c>
      <c r="DA36" s="434">
        <f>IF(DA$4&gt;=Inputs!$E$29,-DA$10*'(Z+) OpEx'!$E$16*DA$12,0)</f>
        <v>-5864.5842386453933</v>
      </c>
      <c r="DB36" s="434">
        <f>IF(DB$4&gt;=Inputs!$E$29,-DB$10*'(Z+) OpEx'!$E$16*DB$12,0)</f>
        <v>-5878.742006120905</v>
      </c>
      <c r="DC36" s="434">
        <f>IF(DC$4&gt;=Inputs!$E$29,-DC$10*'(Z+) OpEx'!$E$16*DC$12,0)</f>
        <v>-5892.9339520431313</v>
      </c>
      <c r="DD36" s="434">
        <f>IF(DD$4&gt;=Inputs!$E$29,-DD$10*'(Z+) OpEx'!$E$16*DD$12,0)</f>
        <v>-5907.1601589226921</v>
      </c>
      <c r="DE36" s="434">
        <f>IF(DE$4&gt;=Inputs!$E$29,-DE$10*'(Z+) OpEx'!$E$16*DE$12,0)</f>
        <v>-5921.4207094694011</v>
      </c>
      <c r="DF36" s="434">
        <f>IF(DF$4&gt;=Inputs!$E$29,-DF$10*'(Z+) OpEx'!$E$16*DF$12,0)</f>
        <v>-5935.7156865927445</v>
      </c>
      <c r="DG36" s="434">
        <f>IF(DG$4&gt;=Inputs!$E$29,-DG$10*'(Z+) OpEx'!$E$16*DG$12,0)</f>
        <v>-5950.0451734023572</v>
      </c>
      <c r="DH36" s="434">
        <f>IF(DH$4&gt;=Inputs!$E$29,-DH$10*'(Z+) OpEx'!$E$16*DH$12,0)</f>
        <v>-5964.4092532085133</v>
      </c>
      <c r="DI36" s="434">
        <f>IF(DI$4&gt;=Inputs!$E$29,-DI$10*'(Z+) OpEx'!$E$16*DI$12,0)</f>
        <v>-5978.808009522606</v>
      </c>
      <c r="DJ36" s="434">
        <f>IF(DJ$4&gt;=Inputs!$E$29,-DJ$10*'(Z+) OpEx'!$E$16*DJ$12,0)</f>
        <v>-5993.2415260576336</v>
      </c>
      <c r="DK36" s="434">
        <f>IF(DK$4&gt;=Inputs!$E$29,-DK$10*'(Z+) OpEx'!$E$16*DK$12,0)</f>
        <v>-6007.7098867286895</v>
      </c>
      <c r="DL36" s="434">
        <f>IF(DL$4&gt;=Inputs!$E$29,-DL$10*'(Z+) OpEx'!$E$16*DL$12,0)</f>
        <v>-6022.2131756534445</v>
      </c>
      <c r="DM36" s="434">
        <f>IF(DM$4&gt;=Inputs!$E$29,-DM$10*'(Z+) OpEx'!$E$16*DM$12,0)</f>
        <v>-6036.751477152643</v>
      </c>
      <c r="DN36" s="434">
        <f>IF(DN$4&gt;=Inputs!$E$29,-DN$10*'(Z+) OpEx'!$E$16*DN$12,0)</f>
        <v>-6051.3248757505844</v>
      </c>
      <c r="DO36" s="434">
        <f>IF(DO$4&gt;=Inputs!$E$29,-DO$10*'(Z+) OpEx'!$E$16*DO$12,0)</f>
        <v>-6065.9334561756232</v>
      </c>
      <c r="DP36" s="434">
        <f>IF(DP$4&gt;=Inputs!$E$29,-DP$10*'(Z+) OpEx'!$E$16*DP$12,0)</f>
        <v>-6080.5773033606547</v>
      </c>
      <c r="DQ36" s="434">
        <f>IF(DQ$4&gt;=Inputs!$E$29,-DQ$10*'(Z+) OpEx'!$E$16*DQ$12,0)</f>
        <v>-6095.2565024436135</v>
      </c>
      <c r="DR36" s="434">
        <f>IF(DR$4&gt;=Inputs!$E$29,-DR$10*'(Z+) OpEx'!$E$16*DR$12,0)</f>
        <v>-6109.9711387679681</v>
      </c>
      <c r="DS36" s="434">
        <f>IF(DS$4&gt;=Inputs!$E$29,-DS$10*'(Z+) OpEx'!$E$16*DS$12,0)</f>
        <v>-6124.7212978832113</v>
      </c>
      <c r="DT36" s="434">
        <f>IF(DT$4&gt;=Inputs!$E$29,-DT$10*'(Z+) OpEx'!$E$16*DT$12,0)</f>
        <v>-6139.5070655453665</v>
      </c>
      <c r="DU36" s="434">
        <f>IF(DU$4&gt;=Inputs!$E$29,-DU$10*'(Z+) OpEx'!$E$16*DU$12,0)</f>
        <v>-6154.32852771748</v>
      </c>
    </row>
    <row r="37" spans="1:125" x14ac:dyDescent="0.25">
      <c r="A37" s="393" t="str">
        <f>+'(Z+) OpEx'!C17</f>
        <v xml:space="preserve">   Trash</v>
      </c>
      <c r="B37" s="394"/>
      <c r="C37" s="435">
        <f>+'(Z+) OpEx'!D17</f>
        <v>28</v>
      </c>
      <c r="D37" s="395"/>
      <c r="E37" s="394"/>
      <c r="F37" s="432">
        <f>IF(F$4&gt;=Inputs!$E$29,-F$10*'(Z+) OpEx'!$E$17*F$12,0)</f>
        <v>0</v>
      </c>
      <c r="G37" s="432">
        <f>IF(G$4&gt;=Inputs!$E$29,-G$10*'(Z+) OpEx'!$E$17*G$12,0)</f>
        <v>0</v>
      </c>
      <c r="H37" s="432">
        <f>IF(H$4&gt;=Inputs!$E$29,-H$10*'(Z+) OpEx'!$E$17*H$12,0)</f>
        <v>0</v>
      </c>
      <c r="I37" s="432">
        <f>IF(I$4&gt;=Inputs!$E$29,-I$10*'(Z+) OpEx'!$E$17*I$12,0)</f>
        <v>0</v>
      </c>
      <c r="J37" s="433">
        <f>IF(J$4&gt;=Inputs!$E$29,-J$10*'(Z+) OpEx'!$E$17*J$12,0)</f>
        <v>0</v>
      </c>
      <c r="K37" s="433">
        <f>IF(K$4&gt;=Inputs!$E$29,-K$10*'(Z+) OpEx'!$E$17*K$12,0)</f>
        <v>0</v>
      </c>
      <c r="L37" s="433">
        <f>IF(L$4&gt;=Inputs!$E$29,-L$10*'(Z+) OpEx'!$E$17*L$12,0)</f>
        <v>0</v>
      </c>
      <c r="M37" s="433">
        <f>IF(M$4&gt;=Inputs!$E$29,-M$10*'(Z+) OpEx'!$E$17*M$12,0)</f>
        <v>0</v>
      </c>
      <c r="N37" s="433">
        <f>IF(N$4&gt;=Inputs!$E$29,-N$10*'(Z+) OpEx'!$E$17*N$12,0)</f>
        <v>0</v>
      </c>
      <c r="O37" s="433">
        <f>IF(O$4&gt;=Inputs!$E$29,-O$10*'(Z+) OpEx'!$E$17*O$12,0)</f>
        <v>0</v>
      </c>
      <c r="P37" s="433">
        <f>IF(P$4&gt;=Inputs!$E$29,-P$10*'(Z+) OpEx'!$E$17*P$12,0)</f>
        <v>0</v>
      </c>
      <c r="Q37" s="433">
        <f>IF(Q$4&gt;=Inputs!$E$29,-Q$10*'(Z+) OpEx'!$E$17*Q$12,0)</f>
        <v>0</v>
      </c>
      <c r="R37" s="433">
        <f>IF(R$4&gt;=Inputs!$E$29,-R$10*'(Z+) OpEx'!$E$17*R$12,0)</f>
        <v>0</v>
      </c>
      <c r="S37" s="433">
        <f>IF(S$4&gt;=Inputs!$E$29,-S$10*'(Z+) OpEx'!$E$17*S$12,0)</f>
        <v>0</v>
      </c>
      <c r="T37" s="433">
        <f>IF(T$4&gt;=Inputs!$E$29,-T$10*'(Z+) OpEx'!$E$17*T$12,0)</f>
        <v>0</v>
      </c>
      <c r="U37" s="434">
        <f>IF(U$4&gt;=Inputs!$E$29,-U$10*'(Z+) OpEx'!$E$17*U$12,0)</f>
        <v>0</v>
      </c>
      <c r="V37" s="434">
        <f>IF(V$4&gt;=Inputs!$E$29,-V$10*'(Z+) OpEx'!$E$17*V$12,0)</f>
        <v>0</v>
      </c>
      <c r="W37" s="434">
        <f>IF(W$4&gt;=Inputs!$E$29,-W$10*'(Z+) OpEx'!$E$17*W$12,0)</f>
        <v>0</v>
      </c>
      <c r="X37" s="434">
        <f>IF(X$4&gt;=Inputs!$E$29,-X$10*'(Z+) OpEx'!$E$17*X$12,0)</f>
        <v>0</v>
      </c>
      <c r="Y37" s="434">
        <f>IF(Y$4&gt;=Inputs!$E$29,-Y$10*'(Z+) OpEx'!$E$17*Y$12,0)</f>
        <v>0</v>
      </c>
      <c r="Z37" s="434">
        <f>IF(Z$4&gt;=Inputs!$E$29,-Z$10*'(Z+) OpEx'!$E$17*Z$12,0)</f>
        <v>0</v>
      </c>
      <c r="AA37" s="434">
        <f>IF(AA$4&gt;=Inputs!$E$29,-AA$10*'(Z+) OpEx'!$E$17*AA$12,0)</f>
        <v>-755.86339150256185</v>
      </c>
      <c r="AB37" s="434">
        <f>IF(AB$4&gt;=Inputs!$E$29,-AB$10*'(Z+) OpEx'!$E$17*AB$12,0)</f>
        <v>-1515.3762618785372</v>
      </c>
      <c r="AC37" s="434">
        <f>IF(AC$4&gt;=Inputs!$E$29,-AC$10*'(Z+) OpEx'!$E$17*AC$12,0)</f>
        <v>-2278.5518265080441</v>
      </c>
      <c r="AD37" s="434">
        <f>IF(AD$4&gt;=Inputs!$E$29,-AD$10*'(Z+) OpEx'!$E$17*AD$12,0)</f>
        <v>-3045.4033433090895</v>
      </c>
      <c r="AE37" s="434">
        <f>IF(AE$4&gt;=Inputs!$E$29,-AE$10*'(Z+) OpEx'!$E$17*AE$12,0)</f>
        <v>-3815.9441128659346</v>
      </c>
      <c r="AF37" s="434">
        <f>IF(AF$4&gt;=Inputs!$E$29,-AF$10*'(Z+) OpEx'!$E$17*AF$12,0)</f>
        <v>-4539.1853954627431</v>
      </c>
      <c r="AG37" s="434">
        <f>IF(AG$4&gt;=Inputs!$E$29,-AG$10*'(Z+) OpEx'!$E$17*AG$12,0)</f>
        <v>-5368.1468266881275</v>
      </c>
      <c r="AH37" s="434">
        <f>IF(AH$4&gt;=Inputs!$E$29,-AH$10*'(Z+) OpEx'!$E$17*AH$12,0)</f>
        <v>-6149.8355866137581</v>
      </c>
      <c r="AI37" s="434">
        <f>IF(AI$4&gt;=Inputs!$E$29,-AI$10*'(Z+) OpEx'!$E$17*AI$12,0)</f>
        <v>-6935.2672308750916</v>
      </c>
      <c r="AJ37" s="434">
        <f>IF(AJ$4&gt;=Inputs!$E$29,-AJ$10*'(Z+) OpEx'!$E$17*AJ$12,0)</f>
        <v>-6952.0097477935551</v>
      </c>
      <c r="AK37" s="434">
        <f>IF(AK$4&gt;=Inputs!$E$29,-AK$10*'(Z+) OpEx'!$E$17*AK$12,0)</f>
        <v>-6968.7926830352681</v>
      </c>
      <c r="AL37" s="434">
        <f>IF(AL$4&gt;=Inputs!$E$29,-AL$10*'(Z+) OpEx'!$E$17*AL$12,0)</f>
        <v>-6985.616134174621</v>
      </c>
      <c r="AM37" s="434">
        <f>IF(AM$4&gt;=Inputs!$E$29,-AM$10*'(Z+) OpEx'!$E$17*AM$12,0)</f>
        <v>-7002.4801990215574</v>
      </c>
      <c r="AN37" s="434">
        <f>IF(AN$4&gt;=Inputs!$E$29,-AN$10*'(Z+) OpEx'!$E$17*AN$12,0)</f>
        <v>-7019.3849756221452</v>
      </c>
      <c r="AO37" s="434">
        <f>IF(AO$4&gt;=Inputs!$E$29,-AO$10*'(Z+) OpEx'!$E$17*AO$12,0)</f>
        <v>-7036.3305622591479</v>
      </c>
      <c r="AP37" s="434">
        <f>IF(AP$4&gt;=Inputs!$E$29,-AP$10*'(Z+) OpEx'!$E$17*AP$12,0)</f>
        <v>-7053.317057452593</v>
      </c>
      <c r="AQ37" s="434">
        <f>IF(AQ$4&gt;=Inputs!$E$29,-AQ$10*'(Z+) OpEx'!$E$17*AQ$12,0)</f>
        <v>-7070.3445599603492</v>
      </c>
      <c r="AR37" s="434">
        <f>IF(AR$4&gt;=Inputs!$E$29,-AR$10*'(Z+) OpEx'!$E$17*AR$12,0)</f>
        <v>-7087.4131687786958</v>
      </c>
      <c r="AS37" s="434">
        <f>IF(AS$4&gt;=Inputs!$E$29,-AS$10*'(Z+) OpEx'!$E$17*AS$12,0)</f>
        <v>-7104.5229831428987</v>
      </c>
      <c r="AT37" s="434">
        <f>IF(AT$4&gt;=Inputs!$E$29,-AT$10*'(Z+) OpEx'!$E$17*AT$12,0)</f>
        <v>-7121.6741025277925</v>
      </c>
      <c r="AU37" s="434">
        <f>IF(AU$4&gt;=Inputs!$E$29,-AU$10*'(Z+) OpEx'!$E$17*AU$12,0)</f>
        <v>-7138.8666266483542</v>
      </c>
      <c r="AV37" s="434">
        <f>IF(AV$4&gt;=Inputs!$E$29,-AV$10*'(Z+) OpEx'!$E$17*AV$12,0)</f>
        <v>-7156.1006554602809</v>
      </c>
      <c r="AW37" s="434">
        <f>IF(AW$4&gt;=Inputs!$E$29,-AW$10*'(Z+) OpEx'!$E$17*AW$12,0)</f>
        <v>-7173.3762891605775</v>
      </c>
      <c r="AX37" s="434">
        <f>IF(AX$4&gt;=Inputs!$E$29,-AX$10*'(Z+) OpEx'!$E$17*AX$12,0)</f>
        <v>-7190.6936281881344</v>
      </c>
      <c r="AY37" s="434">
        <f>IF(AY$4&gt;=Inputs!$E$29,-AY$10*'(Z+) OpEx'!$E$17*AY$12,0)</f>
        <v>-7208.0527732243136</v>
      </c>
      <c r="AZ37" s="434">
        <f>IF(AZ$4&gt;=Inputs!$E$29,-AZ$10*'(Z+) OpEx'!$E$17*AZ$12,0)</f>
        <v>-7225.4538251935328</v>
      </c>
      <c r="BA37" s="434">
        <f>IF(BA$4&gt;=Inputs!$E$29,-BA$10*'(Z+) OpEx'!$E$17*BA$12,0)</f>
        <v>-7242.8968852638536</v>
      </c>
      <c r="BB37" s="434">
        <f>IF(BB$4&gt;=Inputs!$E$29,-BB$10*'(Z+) OpEx'!$E$17*BB$12,0)</f>
        <v>-7260.3820548475651</v>
      </c>
      <c r="BC37" s="434">
        <f>IF(BC$4&gt;=Inputs!$E$29,-BC$10*'(Z+) OpEx'!$E$17*BC$12,0)</f>
        <v>-7277.9094356017831</v>
      </c>
      <c r="BD37" s="434">
        <f>IF(BD$4&gt;=Inputs!$E$29,-BD$10*'(Z+) OpEx'!$E$17*BD$12,0)</f>
        <v>-7295.479129429028</v>
      </c>
      <c r="BE37" s="434">
        <f>IF(BE$4&gt;=Inputs!$E$29,-BE$10*'(Z+) OpEx'!$E$17*BE$12,0)</f>
        <v>-7313.0912384778312</v>
      </c>
      <c r="BF37" s="434">
        <f>IF(BF$4&gt;=Inputs!$E$29,-BF$10*'(Z+) OpEx'!$E$17*BF$12,0)</f>
        <v>-7330.7458651433171</v>
      </c>
      <c r="BG37" s="434">
        <f>IF(BG$4&gt;=Inputs!$E$29,-BG$10*'(Z+) OpEx'!$E$17*BG$12,0)</f>
        <v>-7348.4431120678064</v>
      </c>
      <c r="BH37" s="434">
        <f>IF(BH$4&gt;=Inputs!$E$29,-BH$10*'(Z+) OpEx'!$E$17*BH$12,0)</f>
        <v>-7366.1830821414087</v>
      </c>
      <c r="BI37" s="434">
        <f>IF(BI$4&gt;=Inputs!$E$29,-BI$10*'(Z+) OpEx'!$E$17*BI$12,0)</f>
        <v>-7383.9658785026213</v>
      </c>
      <c r="BJ37" s="434">
        <f>IF(BJ$4&gt;=Inputs!$E$29,-BJ$10*'(Z+) OpEx'!$E$17*BJ$12,0)</f>
        <v>-7401.7916045389329</v>
      </c>
      <c r="BK37" s="434">
        <f>IF(BK$4&gt;=Inputs!$E$29,-BK$10*'(Z+) OpEx'!$E$17*BK$12,0)</f>
        <v>-7419.6603638874167</v>
      </c>
      <c r="BL37" s="434">
        <f>IF(BL$4&gt;=Inputs!$E$29,-BL$10*'(Z+) OpEx'!$E$17*BL$12,0)</f>
        <v>-7437.5722604353396</v>
      </c>
      <c r="BM37" s="434">
        <f>IF(BM$4&gt;=Inputs!$E$29,-BM$10*'(Z+) OpEx'!$E$17*BM$12,0)</f>
        <v>-7455.5273983207653</v>
      </c>
      <c r="BN37" s="434">
        <f>IF(BN$4&gt;=Inputs!$E$29,-BN$10*'(Z+) OpEx'!$E$17*BN$12,0)</f>
        <v>-7473.5258819331548</v>
      </c>
      <c r="BO37" s="434">
        <f>IF(BO$4&gt;=Inputs!$E$29,-BO$10*'(Z+) OpEx'!$E$17*BO$12,0)</f>
        <v>-7491.5678159139816</v>
      </c>
      <c r="BP37" s="434">
        <f>IF(BP$4&gt;=Inputs!$E$29,-BP$10*'(Z+) OpEx'!$E$17*BP$12,0)</f>
        <v>-7509.6533051573324</v>
      </c>
      <c r="BQ37" s="434">
        <f>IF(BQ$4&gt;=Inputs!$E$29,-BQ$10*'(Z+) OpEx'!$E$17*BQ$12,0)</f>
        <v>-7527.7824548105209</v>
      </c>
      <c r="BR37" s="434">
        <f>IF(BR$4&gt;=Inputs!$E$29,-BR$10*'(Z+) OpEx'!$E$17*BR$12,0)</f>
        <v>-7545.955370274698</v>
      </c>
      <c r="BS37" s="434">
        <f>IF(BS$4&gt;=Inputs!$E$29,-BS$10*'(Z+) OpEx'!$E$17*BS$12,0)</f>
        <v>-7564.1721572054666</v>
      </c>
      <c r="BT37" s="434">
        <f>IF(BT$4&gt;=Inputs!$E$29,-BT$10*'(Z+) OpEx'!$E$17*BT$12,0)</f>
        <v>-7582.4329215134912</v>
      </c>
      <c r="BU37" s="434">
        <f>IF(BU$4&gt;=Inputs!$E$29,-BU$10*'(Z+) OpEx'!$E$17*BU$12,0)</f>
        <v>-7600.7377693651197</v>
      </c>
      <c r="BV37" s="434">
        <f>IF(BV$4&gt;=Inputs!$E$29,-BV$10*'(Z+) OpEx'!$E$17*BV$12,0)</f>
        <v>-7619.0868071829946</v>
      </c>
      <c r="BW37" s="434">
        <f>IF(BW$4&gt;=Inputs!$E$29,-BW$10*'(Z+) OpEx'!$E$17*BW$12,0)</f>
        <v>-7637.4801416466762</v>
      </c>
      <c r="BX37" s="434">
        <f>IF(BX$4&gt;=Inputs!$E$29,-BX$10*'(Z+) OpEx'!$E$17*BX$12,0)</f>
        <v>-7655.917879693262</v>
      </c>
      <c r="BY37" s="434">
        <f>IF(BY$4&gt;=Inputs!$E$29,-BY$10*'(Z+) OpEx'!$E$17*BY$12,0)</f>
        <v>-7674.4001285180066</v>
      </c>
      <c r="BZ37" s="434">
        <f>IF(BZ$4&gt;=Inputs!$E$29,-BZ$10*'(Z+) OpEx'!$E$17*BZ$12,0)</f>
        <v>-7692.926995574946</v>
      </c>
      <c r="CA37" s="434">
        <f>IF(CA$4&gt;=Inputs!$E$29,-CA$10*'(Z+) OpEx'!$E$17*CA$12,0)</f>
        <v>-7711.4985885775213</v>
      </c>
      <c r="CB37" s="434">
        <f>IF(CB$4&gt;=Inputs!$E$29,-CB$10*'(Z+) OpEx'!$E$17*CB$12,0)</f>
        <v>-7730.1150154992083</v>
      </c>
      <c r="CC37" s="434">
        <f>IF(CC$4&gt;=Inputs!$E$29,-CC$10*'(Z+) OpEx'!$E$17*CC$12,0)</f>
        <v>-7748.7763845741438</v>
      </c>
      <c r="CD37" s="434">
        <f>IF(CD$4&gt;=Inputs!$E$29,-CD$10*'(Z+) OpEx'!$E$17*CD$12,0)</f>
        <v>-7767.4828042977497</v>
      </c>
      <c r="CE37" s="434">
        <f>IF(CE$4&gt;=Inputs!$E$29,-CE$10*'(Z+) OpEx'!$E$17*CE$12,0)</f>
        <v>-7786.2343834273715</v>
      </c>
      <c r="CF37" s="434">
        <f>IF(CF$4&gt;=Inputs!$E$29,-CF$10*'(Z+) OpEx'!$E$17*CF$12,0)</f>
        <v>-7805.031230982906</v>
      </c>
      <c r="CG37" s="434">
        <f>IF(CG$4&gt;=Inputs!$E$29,-CG$10*'(Z+) OpEx'!$E$17*CG$12,0)</f>
        <v>-7823.8734562474365</v>
      </c>
      <c r="CH37" s="434">
        <f>IF(CH$4&gt;=Inputs!$E$29,-CH$10*'(Z+) OpEx'!$E$17*CH$12,0)</f>
        <v>-7842.7611687678673</v>
      </c>
      <c r="CI37" s="434">
        <f>IF(CI$4&gt;=Inputs!$E$29,-CI$10*'(Z+) OpEx'!$E$17*CI$12,0)</f>
        <v>-7861.6944783555637</v>
      </c>
      <c r="CJ37" s="434">
        <f>IF(CJ$4&gt;=Inputs!$E$29,-CJ$10*'(Z+) OpEx'!$E$17*CJ$12,0)</f>
        <v>-7880.673495086985</v>
      </c>
      <c r="CK37" s="434">
        <f>IF(CK$4&gt;=Inputs!$E$29,-CK$10*'(Z+) OpEx'!$E$17*CK$12,0)</f>
        <v>-7899.6983293043295</v>
      </c>
      <c r="CL37" s="434">
        <f>IF(CL$4&gt;=Inputs!$E$29,-CL$10*'(Z+) OpEx'!$E$17*CL$12,0)</f>
        <v>-7918.7690916161719</v>
      </c>
      <c r="CM37" s="434">
        <f>IF(CM$4&gt;=Inputs!$E$29,-CM$10*'(Z+) OpEx'!$E$17*CM$12,0)</f>
        <v>-7937.8858928981117</v>
      </c>
      <c r="CN37" s="434">
        <f>IF(CN$4&gt;=Inputs!$E$29,-CN$10*'(Z+) OpEx'!$E$17*CN$12,0)</f>
        <v>-7957.0488442934111</v>
      </c>
      <c r="CO37" s="434">
        <f>IF(CO$4&gt;=Inputs!$E$29,-CO$10*'(Z+) OpEx'!$E$17*CO$12,0)</f>
        <v>-7976.2580572136476</v>
      </c>
      <c r="CP37" s="434">
        <f>IF(CP$4&gt;=Inputs!$E$29,-CP$10*'(Z+) OpEx'!$E$17*CP$12,0)</f>
        <v>-7995.5136433393573</v>
      </c>
      <c r="CQ37" s="434">
        <f>IF(CQ$4&gt;=Inputs!$E$29,-CQ$10*'(Z+) OpEx'!$E$17*CQ$12,0)</f>
        <v>-8014.8157146206859</v>
      </c>
      <c r="CR37" s="434">
        <f>IF(CR$4&gt;=Inputs!$E$29,-CR$10*'(Z+) OpEx'!$E$17*CR$12,0)</f>
        <v>-8034.1643832780383</v>
      </c>
      <c r="CS37" s="434">
        <f>IF(CS$4&gt;=Inputs!$E$29,-CS$10*'(Z+) OpEx'!$E$17*CS$12,0)</f>
        <v>-8053.559761802735</v>
      </c>
      <c r="CT37" s="434">
        <f>IF(CT$4&gt;=Inputs!$E$29,-CT$10*'(Z+) OpEx'!$E$17*CT$12,0)</f>
        <v>-8073.00196295766</v>
      </c>
      <c r="CU37" s="434">
        <f>IF(CU$4&gt;=Inputs!$E$29,-CU$10*'(Z+) OpEx'!$E$17*CU$12,0)</f>
        <v>-8092.4910997779216</v>
      </c>
      <c r="CV37" s="434">
        <f>IF(CV$4&gt;=Inputs!$E$29,-CV$10*'(Z+) OpEx'!$E$17*CV$12,0)</f>
        <v>-8112.0272855715075</v>
      </c>
      <c r="CW37" s="434">
        <f>IF(CW$4&gt;=Inputs!$E$29,-CW$10*'(Z+) OpEx'!$E$17*CW$12,0)</f>
        <v>-8131.6106339199423</v>
      </c>
      <c r="CX37" s="434">
        <f>IF(CX$4&gt;=Inputs!$E$29,-CX$10*'(Z+) OpEx'!$E$17*CX$12,0)</f>
        <v>-8151.2412586789505</v>
      </c>
      <c r="CY37" s="434">
        <f>IF(CY$4&gt;=Inputs!$E$29,-CY$10*'(Z+) OpEx'!$E$17*CY$12,0)</f>
        <v>-8170.919273979117</v>
      </c>
      <c r="CZ37" s="434">
        <f>IF(CZ$4&gt;=Inputs!$E$29,-CZ$10*'(Z+) OpEx'!$E$17*CZ$12,0)</f>
        <v>-8190.6447942265504</v>
      </c>
      <c r="DA37" s="434">
        <f>IF(DA$4&gt;=Inputs!$E$29,-DA$10*'(Z+) OpEx'!$E$17*DA$12,0)</f>
        <v>-8210.4179341035488</v>
      </c>
      <c r="DB37" s="434">
        <f>IF(DB$4&gt;=Inputs!$E$29,-DB$10*'(Z+) OpEx'!$E$17*DB$12,0)</f>
        <v>-8230.2388085692655</v>
      </c>
      <c r="DC37" s="434">
        <f>IF(DC$4&gt;=Inputs!$E$29,-DC$10*'(Z+) OpEx'!$E$17*DC$12,0)</f>
        <v>-8250.107532860382</v>
      </c>
      <c r="DD37" s="434">
        <f>IF(DD$4&gt;=Inputs!$E$29,-DD$10*'(Z+) OpEx'!$E$17*DD$12,0)</f>
        <v>-8270.0242224917674</v>
      </c>
      <c r="DE37" s="434">
        <f>IF(DE$4&gt;=Inputs!$E$29,-DE$10*'(Z+) OpEx'!$E$17*DE$12,0)</f>
        <v>-8289.9889932571605</v>
      </c>
      <c r="DF37" s="434">
        <f>IF(DF$4&gt;=Inputs!$E$29,-DF$10*'(Z+) OpEx'!$E$17*DF$12,0)</f>
        <v>-8310.0019612298402</v>
      </c>
      <c r="DG37" s="434">
        <f>IF(DG$4&gt;=Inputs!$E$29,-DG$10*'(Z+) OpEx'!$E$17*DG$12,0)</f>
        <v>-8330.0632427632991</v>
      </c>
      <c r="DH37" s="434">
        <f>IF(DH$4&gt;=Inputs!$E$29,-DH$10*'(Z+) OpEx'!$E$17*DH$12,0)</f>
        <v>-8350.1729544919181</v>
      </c>
      <c r="DI37" s="434">
        <f>IF(DI$4&gt;=Inputs!$E$29,-DI$10*'(Z+) OpEx'!$E$17*DI$12,0)</f>
        <v>-8370.3312133316467</v>
      </c>
      <c r="DJ37" s="434">
        <f>IF(DJ$4&gt;=Inputs!$E$29,-DJ$10*'(Z+) OpEx'!$E$17*DJ$12,0)</f>
        <v>-8390.5381364806854</v>
      </c>
      <c r="DK37" s="434">
        <f>IF(DK$4&gt;=Inputs!$E$29,-DK$10*'(Z+) OpEx'!$E$17*DK$12,0)</f>
        <v>-8410.7938414201635</v>
      </c>
      <c r="DL37" s="434">
        <f>IF(DL$4&gt;=Inputs!$E$29,-DL$10*'(Z+) OpEx'!$E$17*DL$12,0)</f>
        <v>-8431.0984459148222</v>
      </c>
      <c r="DM37" s="434">
        <f>IF(DM$4&gt;=Inputs!$E$29,-DM$10*'(Z+) OpEx'!$E$17*DM$12,0)</f>
        <v>-8451.4520680136993</v>
      </c>
      <c r="DN37" s="434">
        <f>IF(DN$4&gt;=Inputs!$E$29,-DN$10*'(Z+) OpEx'!$E$17*DN$12,0)</f>
        <v>-8471.854826050816</v>
      </c>
      <c r="DO37" s="434">
        <f>IF(DO$4&gt;=Inputs!$E$29,-DO$10*'(Z+) OpEx'!$E$17*DO$12,0)</f>
        <v>-8492.3068386458708</v>
      </c>
      <c r="DP37" s="434">
        <f>IF(DP$4&gt;=Inputs!$E$29,-DP$10*'(Z+) OpEx'!$E$17*DP$12,0)</f>
        <v>-8512.8082247049151</v>
      </c>
      <c r="DQ37" s="434">
        <f>IF(DQ$4&gt;=Inputs!$E$29,-DQ$10*'(Z+) OpEx'!$E$17*DQ$12,0)</f>
        <v>-8533.3591034210585</v>
      </c>
      <c r="DR37" s="434">
        <f>IF(DR$4&gt;=Inputs!$E$29,-DR$10*'(Z+) OpEx'!$E$17*DR$12,0)</f>
        <v>-8553.959594275153</v>
      </c>
      <c r="DS37" s="434">
        <f>IF(DS$4&gt;=Inputs!$E$29,-DS$10*'(Z+) OpEx'!$E$17*DS$12,0)</f>
        <v>-8574.6098170364949</v>
      </c>
      <c r="DT37" s="434">
        <f>IF(DT$4&gt;=Inputs!$E$29,-DT$10*'(Z+) OpEx'!$E$17*DT$12,0)</f>
        <v>-8595.3098917635125</v>
      </c>
      <c r="DU37" s="434">
        <f>IF(DU$4&gt;=Inputs!$E$29,-DU$10*'(Z+) OpEx'!$E$17*DU$12,0)</f>
        <v>-8616.059938804472</v>
      </c>
    </row>
    <row r="38" spans="1:125" ht="15.75" customHeight="1" x14ac:dyDescent="0.25">
      <c r="A38" s="436" t="str">
        <f>+'(Z+) OpEx'!C18</f>
        <v xml:space="preserve">   Landscape</v>
      </c>
      <c r="B38" s="112"/>
      <c r="C38" s="437">
        <f>+'(Z+) OpEx'!D18</f>
        <v>0</v>
      </c>
      <c r="D38" s="419"/>
      <c r="E38" s="112"/>
      <c r="F38" s="438">
        <f>IF(F$4&gt;=Inputs!$E$29,-F$10*'(Z+) OpEx'!$E$18*F$12,0)</f>
        <v>0</v>
      </c>
      <c r="G38" s="438">
        <f>IF(G$4&gt;=Inputs!$E$29,-G$10*'(Z+) OpEx'!$E$18*G$12,0)</f>
        <v>0</v>
      </c>
      <c r="H38" s="438">
        <f>IF(H$4&gt;=Inputs!$E$29,-H$10*'(Z+) OpEx'!$E$18*H$12,0)</f>
        <v>0</v>
      </c>
      <c r="I38" s="438">
        <f>IF(I$4&gt;=Inputs!$E$29,-I$10*'(Z+) OpEx'!$E$18*I$12,0)</f>
        <v>0</v>
      </c>
      <c r="J38" s="439">
        <f>IF(J$4&gt;=Inputs!$E$29,-J$10*'(Z+) OpEx'!$E$18*J$12,0)</f>
        <v>0</v>
      </c>
      <c r="K38" s="439">
        <f>IF(K$4&gt;=Inputs!$E$29,-K$10*'(Z+) OpEx'!$E$18*K$12,0)</f>
        <v>0</v>
      </c>
      <c r="L38" s="439">
        <f>IF(L$4&gt;=Inputs!$E$29,-L$10*'(Z+) OpEx'!$E$18*L$12,0)</f>
        <v>0</v>
      </c>
      <c r="M38" s="439">
        <f>IF(M$4&gt;=Inputs!$E$29,-M$10*'(Z+) OpEx'!$E$18*M$12,0)</f>
        <v>0</v>
      </c>
      <c r="N38" s="439">
        <f>IF(N$4&gt;=Inputs!$E$29,-N$10*'(Z+) OpEx'!$E$18*N$12,0)</f>
        <v>0</v>
      </c>
      <c r="O38" s="439">
        <f>IF(O$4&gt;=Inputs!$E$29,-O$10*'(Z+) OpEx'!$E$18*O$12,0)</f>
        <v>0</v>
      </c>
      <c r="P38" s="439">
        <f>IF(P$4&gt;=Inputs!$E$29,-P$10*'(Z+) OpEx'!$E$18*P$12,0)</f>
        <v>0</v>
      </c>
      <c r="Q38" s="439">
        <f>IF(Q$4&gt;=Inputs!$E$29,-Q$10*'(Z+) OpEx'!$E$18*Q$12,0)</f>
        <v>0</v>
      </c>
      <c r="R38" s="439">
        <f>IF(R$4&gt;=Inputs!$E$29,-R$10*'(Z+) OpEx'!$E$18*R$12,0)</f>
        <v>0</v>
      </c>
      <c r="S38" s="439">
        <f>IF(S$4&gt;=Inputs!$E$29,-S$10*'(Z+) OpEx'!$E$18*S$12,0)</f>
        <v>0</v>
      </c>
      <c r="T38" s="439">
        <f>IF(T$4&gt;=Inputs!$E$29,-T$10*'(Z+) OpEx'!$E$18*T$12,0)</f>
        <v>0</v>
      </c>
      <c r="U38" s="440">
        <f>IF(U$4&gt;=Inputs!$E$29,-U$10*'(Z+) OpEx'!$E$18*U$12,0)</f>
        <v>0</v>
      </c>
      <c r="V38" s="440">
        <f>IF(V$4&gt;=Inputs!$E$29,-V$10*'(Z+) OpEx'!$E$18*V$12,0)</f>
        <v>0</v>
      </c>
      <c r="W38" s="440">
        <f>IF(W$4&gt;=Inputs!$E$29,-W$10*'(Z+) OpEx'!$E$18*W$12,0)</f>
        <v>0</v>
      </c>
      <c r="X38" s="440">
        <f>IF(X$4&gt;=Inputs!$E$29,-X$10*'(Z+) OpEx'!$E$18*X$12,0)</f>
        <v>0</v>
      </c>
      <c r="Y38" s="440">
        <f>IF(Y$4&gt;=Inputs!$E$29,-Y$10*'(Z+) OpEx'!$E$18*Y$12,0)</f>
        <v>0</v>
      </c>
      <c r="Z38" s="440">
        <f>IF(Z$4&gt;=Inputs!$E$29,-Z$10*'(Z+) OpEx'!$E$18*Z$12,0)</f>
        <v>0</v>
      </c>
      <c r="AA38" s="440">
        <f>IF(AA$4&gt;=Inputs!$E$29,-AA$10*'(Z+) OpEx'!$E$18*AA$12,0)</f>
        <v>-72.30836015649507</v>
      </c>
      <c r="AB38" s="440">
        <f>IF(AB$4&gt;=Inputs!$E$29,-AB$10*'(Z+) OpEx'!$E$18*AB$12,0)</f>
        <v>-144.9658413786866</v>
      </c>
      <c r="AC38" s="440">
        <f>IF(AC$4&gt;=Inputs!$E$29,-AC$10*'(Z+) OpEx'!$E$18*AC$12,0)</f>
        <v>-217.9737078929889</v>
      </c>
      <c r="AD38" s="440">
        <f>IF(AD$4&gt;=Inputs!$E$29,-AD$10*'(Z+) OpEx'!$E$18*AD$12,0)</f>
        <v>-291.33322799512968</v>
      </c>
      <c r="AE38" s="440">
        <f>IF(AE$4&gt;=Inputs!$E$29,-AE$10*'(Z+) OpEx'!$E$18*AE$12,0)</f>
        <v>-365.04567406243001</v>
      </c>
      <c r="AF38" s="440">
        <f>IF(AF$4&gt;=Inputs!$E$29,-AF$10*'(Z+) OpEx'!$E$18*AF$12,0)</f>
        <v>-434.23329675982876</v>
      </c>
      <c r="AG38" s="440">
        <f>IF(AG$4&gt;=Inputs!$E$29,-AG$10*'(Z+) OpEx'!$E$18*AG$12,0)</f>
        <v>-513.53445408368566</v>
      </c>
      <c r="AH38" s="440">
        <f>IF(AH$4&gt;=Inputs!$E$29,-AH$10*'(Z+) OpEx'!$E$18*AH$12,0)</f>
        <v>-588.31335331126513</v>
      </c>
      <c r="AI38" s="440">
        <f>IF(AI$4&gt;=Inputs!$E$29,-AI$10*'(Z+) OpEx'!$E$18*AI$12,0)</f>
        <v>-663.4503090760611</v>
      </c>
      <c r="AJ38" s="440">
        <f>IF(AJ$4&gt;=Inputs!$E$29,-AJ$10*'(Z+) OpEx'!$E$18*AJ$12,0)</f>
        <v>-665.05195291392431</v>
      </c>
      <c r="AK38" s="440">
        <f>IF(AK$4&gt;=Inputs!$E$29,-AK$10*'(Z+) OpEx'!$E$18*AK$12,0)</f>
        <v>-666.65746330056777</v>
      </c>
      <c r="AL38" s="440">
        <f>IF(AL$4&gt;=Inputs!$E$29,-AL$10*'(Z+) OpEx'!$E$18*AL$12,0)</f>
        <v>-668.26684957027624</v>
      </c>
      <c r="AM38" s="440">
        <f>IF(AM$4&gt;=Inputs!$E$29,-AM$10*'(Z+) OpEx'!$E$18*AM$12,0)</f>
        <v>-669.88012107986833</v>
      </c>
      <c r="AN38" s="440">
        <f>IF(AN$4&gt;=Inputs!$E$29,-AN$10*'(Z+) OpEx'!$E$18*AN$12,0)</f>
        <v>-671.49728720875112</v>
      </c>
      <c r="AO38" s="440">
        <f>IF(AO$4&gt;=Inputs!$E$29,-AO$10*'(Z+) OpEx'!$E$18*AO$12,0)</f>
        <v>-673.11835735897466</v>
      </c>
      <c r="AP38" s="440">
        <f>IF(AP$4&gt;=Inputs!$E$29,-AP$10*'(Z+) OpEx'!$E$18*AP$12,0)</f>
        <v>-674.74334095528638</v>
      </c>
      <c r="AQ38" s="440">
        <f>IF(AQ$4&gt;=Inputs!$E$29,-AQ$10*'(Z+) OpEx'!$E$18*AQ$12,0)</f>
        <v>-676.37224744518653</v>
      </c>
      <c r="AR38" s="440">
        <f>IF(AR$4&gt;=Inputs!$E$29,-AR$10*'(Z+) OpEx'!$E$18*AR$12,0)</f>
        <v>-678.00508629898241</v>
      </c>
      <c r="AS38" s="440">
        <f>IF(AS$4&gt;=Inputs!$E$29,-AS$10*'(Z+) OpEx'!$E$18*AS$12,0)</f>
        <v>-679.64186700984362</v>
      </c>
      <c r="AT38" s="440">
        <f>IF(AT$4&gt;=Inputs!$E$29,-AT$10*'(Z+) OpEx'!$E$18*AT$12,0)</f>
        <v>-681.2825990938577</v>
      </c>
      <c r="AU38" s="440">
        <f>IF(AU$4&gt;=Inputs!$E$29,-AU$10*'(Z+) OpEx'!$E$18*AU$12,0)</f>
        <v>-682.92729209008485</v>
      </c>
      <c r="AV38" s="440">
        <f>IF(AV$4&gt;=Inputs!$E$29,-AV$10*'(Z+) OpEx'!$E$18*AV$12,0)</f>
        <v>-684.57595556061358</v>
      </c>
      <c r="AW38" s="440">
        <f>IF(AW$4&gt;=Inputs!$E$29,-AW$10*'(Z+) OpEx'!$E$18*AW$12,0)</f>
        <v>-686.2285990906164</v>
      </c>
      <c r="AX38" s="440">
        <f>IF(AX$4&gt;=Inputs!$E$29,-AX$10*'(Z+) OpEx'!$E$18*AX$12,0)</f>
        <v>-687.88523228840575</v>
      </c>
      <c r="AY38" s="440">
        <f>IF(AY$4&gt;=Inputs!$E$29,-AY$10*'(Z+) OpEx'!$E$18*AY$12,0)</f>
        <v>-689.54586478548913</v>
      </c>
      <c r="AZ38" s="440">
        <f>IF(AZ$4&gt;=Inputs!$E$29,-AZ$10*'(Z+) OpEx'!$E$18*AZ$12,0)</f>
        <v>-691.2105062366262</v>
      </c>
      <c r="BA38" s="440">
        <f>IF(BA$4&gt;=Inputs!$E$29,-BA$10*'(Z+) OpEx'!$E$18*BA$12,0)</f>
        <v>-692.87916631988389</v>
      </c>
      <c r="BB38" s="440">
        <f>IF(BB$4&gt;=Inputs!$E$29,-BB$10*'(Z+) OpEx'!$E$18*BB$12,0)</f>
        <v>-694.55185473669314</v>
      </c>
      <c r="BC38" s="440">
        <f>IF(BC$4&gt;=Inputs!$E$29,-BC$10*'(Z+) OpEx'!$E$18*BC$12,0)</f>
        <v>-696.22858121190529</v>
      </c>
      <c r="BD38" s="440">
        <f>IF(BD$4&gt;=Inputs!$E$29,-BD$10*'(Z+) OpEx'!$E$18*BD$12,0)</f>
        <v>-697.90935549384835</v>
      </c>
      <c r="BE38" s="440">
        <f>IF(BE$4&gt;=Inputs!$E$29,-BE$10*'(Z+) OpEx'!$E$18*BE$12,0)</f>
        <v>-699.5941873543843</v>
      </c>
      <c r="BF38" s="440">
        <f>IF(BF$4&gt;=Inputs!$E$29,-BF$10*'(Z+) OpEx'!$E$18*BF$12,0)</f>
        <v>-701.28308658896526</v>
      </c>
      <c r="BG38" s="440">
        <f>IF(BG$4&gt;=Inputs!$E$29,-BG$10*'(Z+) OpEx'!$E$18*BG$12,0)</f>
        <v>-702.97606301669077</v>
      </c>
      <c r="BH38" s="440">
        <f>IF(BH$4&gt;=Inputs!$E$29,-BH$10*'(Z+) OpEx'!$E$18*BH$12,0)</f>
        <v>-704.67312648036443</v>
      </c>
      <c r="BI38" s="440">
        <f>IF(BI$4&gt;=Inputs!$E$29,-BI$10*'(Z+) OpEx'!$E$18*BI$12,0)</f>
        <v>-706.37428684655185</v>
      </c>
      <c r="BJ38" s="440">
        <f>IF(BJ$4&gt;=Inputs!$E$29,-BJ$10*'(Z+) OpEx'!$E$18*BJ$12,0)</f>
        <v>-708.07955400563776</v>
      </c>
      <c r="BK38" s="440">
        <f>IF(BK$4&gt;=Inputs!$E$29,-BK$10*'(Z+) OpEx'!$E$18*BK$12,0)</f>
        <v>-709.78893787188292</v>
      </c>
      <c r="BL38" s="440">
        <f>IF(BL$4&gt;=Inputs!$E$29,-BL$10*'(Z+) OpEx'!$E$18*BL$12,0)</f>
        <v>-711.50244838348283</v>
      </c>
      <c r="BM38" s="440">
        <f>IF(BM$4&gt;=Inputs!$E$29,-BM$10*'(Z+) OpEx'!$E$18*BM$12,0)</f>
        <v>-713.22009550262419</v>
      </c>
      <c r="BN38" s="440">
        <f>IF(BN$4&gt;=Inputs!$E$29,-BN$10*'(Z+) OpEx'!$E$18*BN$12,0)</f>
        <v>-714.94188921554417</v>
      </c>
      <c r="BO38" s="440">
        <f>IF(BO$4&gt;=Inputs!$E$29,-BO$10*'(Z+) OpEx'!$E$18*BO$12,0)</f>
        <v>-716.66783953258755</v>
      </c>
      <c r="BP38" s="440">
        <f>IF(BP$4&gt;=Inputs!$E$29,-BP$10*'(Z+) OpEx'!$E$18*BP$12,0)</f>
        <v>-718.39795648826521</v>
      </c>
      <c r="BQ38" s="440">
        <f>IF(BQ$4&gt;=Inputs!$E$29,-BQ$10*'(Z+) OpEx'!$E$18*BQ$12,0)</f>
        <v>-720.13225014131262</v>
      </c>
      <c r="BR38" s="440">
        <f>IF(BR$4&gt;=Inputs!$E$29,-BR$10*'(Z+) OpEx'!$E$18*BR$12,0)</f>
        <v>-721.87073057474799</v>
      </c>
      <c r="BS38" s="440">
        <f>IF(BS$4&gt;=Inputs!$E$29,-BS$10*'(Z+) OpEx'!$E$18*BS$12,0)</f>
        <v>-723.61340789593112</v>
      </c>
      <c r="BT38" s="440">
        <f>IF(BT$4&gt;=Inputs!$E$29,-BT$10*'(Z+) OpEx'!$E$18*BT$12,0)</f>
        <v>-725.36029223662229</v>
      </c>
      <c r="BU38" s="440">
        <f>IF(BU$4&gt;=Inputs!$E$29,-BU$10*'(Z+) OpEx'!$E$18*BU$12,0)</f>
        <v>-727.11139375304083</v>
      </c>
      <c r="BV38" s="440">
        <f>IF(BV$4&gt;=Inputs!$E$29,-BV$10*'(Z+) OpEx'!$E$18*BV$12,0)</f>
        <v>-728.86672262592424</v>
      </c>
      <c r="BW38" s="440">
        <f>IF(BW$4&gt;=Inputs!$E$29,-BW$10*'(Z+) OpEx'!$E$18*BW$12,0)</f>
        <v>-730.62628906058774</v>
      </c>
      <c r="BX38" s="440">
        <f>IF(BX$4&gt;=Inputs!$E$29,-BX$10*'(Z+) OpEx'!$E$18*BX$12,0)</f>
        <v>-732.39010328698294</v>
      </c>
      <c r="BY38" s="440">
        <f>IF(BY$4&gt;=Inputs!$E$29,-BY$10*'(Z+) OpEx'!$E$18*BY$12,0)</f>
        <v>-734.15817555975832</v>
      </c>
      <c r="BZ38" s="440">
        <f>IF(BZ$4&gt;=Inputs!$E$29,-BZ$10*'(Z+) OpEx'!$E$18*BZ$12,0)</f>
        <v>-735.93051615831757</v>
      </c>
      <c r="CA38" s="440">
        <f>IF(CA$4&gt;=Inputs!$E$29,-CA$10*'(Z+) OpEx'!$E$18*CA$12,0)</f>
        <v>-737.70713538688028</v>
      </c>
      <c r="CB38" s="440">
        <f>IF(CB$4&gt;=Inputs!$E$29,-CB$10*'(Z+) OpEx'!$E$18*CB$12,0)</f>
        <v>-739.48804357454162</v>
      </c>
      <c r="CC38" s="440">
        <f>IF(CC$4&gt;=Inputs!$E$29,-CC$10*'(Z+) OpEx'!$E$18*CC$12,0)</f>
        <v>-741.27325107533261</v>
      </c>
      <c r="CD38" s="440">
        <f>IF(CD$4&gt;=Inputs!$E$29,-CD$10*'(Z+) OpEx'!$E$18*CD$12,0)</f>
        <v>-743.06276826827968</v>
      </c>
      <c r="CE38" s="440">
        <f>IF(CE$4&gt;=Inputs!$E$29,-CE$10*'(Z+) OpEx'!$E$18*CE$12,0)</f>
        <v>-744.8566055574654</v>
      </c>
      <c r="CF38" s="440">
        <f>IF(CF$4&gt;=Inputs!$E$29,-CF$10*'(Z+) OpEx'!$E$18*CF$12,0)</f>
        <v>-746.65477337208927</v>
      </c>
      <c r="CG38" s="440">
        <f>IF(CG$4&gt;=Inputs!$E$29,-CG$10*'(Z+) OpEx'!$E$18*CG$12,0)</f>
        <v>-748.45728216652776</v>
      </c>
      <c r="CH38" s="440">
        <f>IF(CH$4&gt;=Inputs!$E$29,-CH$10*'(Z+) OpEx'!$E$18*CH$12,0)</f>
        <v>-750.2641424203955</v>
      </c>
      <c r="CI38" s="440">
        <f>IF(CI$4&gt;=Inputs!$E$29,-CI$10*'(Z+) OpEx'!$E$18*CI$12,0)</f>
        <v>-752.07536463860617</v>
      </c>
      <c r="CJ38" s="440">
        <f>IF(CJ$4&gt;=Inputs!$E$29,-CJ$10*'(Z+) OpEx'!$E$18*CJ$12,0)</f>
        <v>-753.89095935143348</v>
      </c>
      <c r="CK38" s="440">
        <f>IF(CK$4&gt;=Inputs!$E$29,-CK$10*'(Z+) OpEx'!$E$18*CK$12,0)</f>
        <v>-755.71093711457229</v>
      </c>
      <c r="CL38" s="440">
        <f>IF(CL$4&gt;=Inputs!$E$29,-CL$10*'(Z+) OpEx'!$E$18*CL$12,0)</f>
        <v>-757.53530850920015</v>
      </c>
      <c r="CM38" s="440">
        <f>IF(CM$4&gt;=Inputs!$E$29,-CM$10*'(Z+) OpEx'!$E$18*CM$12,0)</f>
        <v>-759.36408414203879</v>
      </c>
      <c r="CN38" s="440">
        <f>IF(CN$4&gt;=Inputs!$E$29,-CN$10*'(Z+) OpEx'!$E$18*CN$12,0)</f>
        <v>-761.19727464541563</v>
      </c>
      <c r="CO38" s="440">
        <f>IF(CO$4&gt;=Inputs!$E$29,-CO$10*'(Z+) OpEx'!$E$18*CO$12,0)</f>
        <v>-763.03489067732608</v>
      </c>
      <c r="CP38" s="440">
        <f>IF(CP$4&gt;=Inputs!$E$29,-CP$10*'(Z+) OpEx'!$E$18*CP$12,0)</f>
        <v>-764.87694292149467</v>
      </c>
      <c r="CQ38" s="440">
        <f>IF(CQ$4&gt;=Inputs!$E$29,-CQ$10*'(Z+) OpEx'!$E$18*CQ$12,0)</f>
        <v>-766.72344208743812</v>
      </c>
      <c r="CR38" s="440">
        <f>IF(CR$4&gt;=Inputs!$E$29,-CR$10*'(Z+) OpEx'!$E$18*CR$12,0)</f>
        <v>-768.57439891052661</v>
      </c>
      <c r="CS38" s="440">
        <f>IF(CS$4&gt;=Inputs!$E$29,-CS$10*'(Z+) OpEx'!$E$18*CS$12,0)</f>
        <v>-770.42982415204733</v>
      </c>
      <c r="CT38" s="440">
        <f>IF(CT$4&gt;=Inputs!$E$29,-CT$10*'(Z+) OpEx'!$E$18*CT$12,0)</f>
        <v>-772.28972859926603</v>
      </c>
      <c r="CU38" s="440">
        <f>IF(CU$4&gt;=Inputs!$E$29,-CU$10*'(Z+) OpEx'!$E$18*CU$12,0)</f>
        <v>-774.15412306549001</v>
      </c>
      <c r="CV38" s="440">
        <f>IF(CV$4&gt;=Inputs!$E$29,-CV$10*'(Z+) OpEx'!$E$18*CV$12,0)</f>
        <v>-776.02301839013148</v>
      </c>
      <c r="CW38" s="440">
        <f>IF(CW$4&gt;=Inputs!$E$29,-CW$10*'(Z+) OpEx'!$E$18*CW$12,0)</f>
        <v>-777.89642543877005</v>
      </c>
      <c r="CX38" s="440">
        <f>IF(CX$4&gt;=Inputs!$E$29,-CX$10*'(Z+) OpEx'!$E$18*CX$12,0)</f>
        <v>-779.77435510321595</v>
      </c>
      <c r="CY38" s="440">
        <f>IF(CY$4&gt;=Inputs!$E$29,-CY$10*'(Z+) OpEx'!$E$18*CY$12,0)</f>
        <v>-781.65681830157371</v>
      </c>
      <c r="CZ38" s="440">
        <f>IF(CZ$4&gt;=Inputs!$E$29,-CZ$10*'(Z+) OpEx'!$E$18*CZ$12,0)</f>
        <v>-783.54382597830522</v>
      </c>
      <c r="DA38" s="440">
        <f>IF(DA$4&gt;=Inputs!$E$29,-DA$10*'(Z+) OpEx'!$E$18*DA$12,0)</f>
        <v>-785.43538910429356</v>
      </c>
      <c r="DB38" s="440">
        <f>IF(DB$4&gt;=Inputs!$E$29,-DB$10*'(Z+) OpEx'!$E$18*DB$12,0)</f>
        <v>-787.33151867690685</v>
      </c>
      <c r="DC38" s="440">
        <f>IF(DC$4&gt;=Inputs!$E$29,-DC$10*'(Z+) OpEx'!$E$18*DC$12,0)</f>
        <v>-789.23222572006205</v>
      </c>
      <c r="DD38" s="440">
        <f>IF(DD$4&gt;=Inputs!$E$29,-DD$10*'(Z+) OpEx'!$E$18*DD$12,0)</f>
        <v>-791.13752128428894</v>
      </c>
      <c r="DE38" s="440">
        <f>IF(DE$4&gt;=Inputs!$E$29,-DE$10*'(Z+) OpEx'!$E$18*DE$12,0)</f>
        <v>-793.04741644679473</v>
      </c>
      <c r="DF38" s="440">
        <f>IF(DF$4&gt;=Inputs!$E$29,-DF$10*'(Z+) OpEx'!$E$18*DF$12,0)</f>
        <v>-794.96192231152816</v>
      </c>
      <c r="DG38" s="440">
        <f>IF(DG$4&gt;=Inputs!$E$29,-DG$10*'(Z+) OpEx'!$E$18*DG$12,0)</f>
        <v>-796.88105000924418</v>
      </c>
      <c r="DH38" s="440">
        <f>IF(DH$4&gt;=Inputs!$E$29,-DH$10*'(Z+) OpEx'!$E$18*DH$12,0)</f>
        <v>-798.80481069756866</v>
      </c>
      <c r="DI38" s="440">
        <f>IF(DI$4&gt;=Inputs!$E$29,-DI$10*'(Z+) OpEx'!$E$18*DI$12,0)</f>
        <v>-800.73321556106316</v>
      </c>
      <c r="DJ38" s="440">
        <f>IF(DJ$4&gt;=Inputs!$E$29,-DJ$10*'(Z+) OpEx'!$E$18*DJ$12,0)</f>
        <v>-802.66627581129012</v>
      </c>
      <c r="DK38" s="440">
        <f>IF(DK$4&gt;=Inputs!$E$29,-DK$10*'(Z+) OpEx'!$E$18*DK$12,0)</f>
        <v>-804.60400268687795</v>
      </c>
      <c r="DL38" s="440">
        <f>IF(DL$4&gt;=Inputs!$E$29,-DL$10*'(Z+) OpEx'!$E$18*DL$12,0)</f>
        <v>-806.54640745358631</v>
      </c>
      <c r="DM38" s="440">
        <f>IF(DM$4&gt;=Inputs!$E$29,-DM$10*'(Z+) OpEx'!$E$18*DM$12,0)</f>
        <v>-808.49350140437173</v>
      </c>
      <c r="DN38" s="440">
        <f>IF(DN$4&gt;=Inputs!$E$29,-DN$10*'(Z+) OpEx'!$E$18*DN$12,0)</f>
        <v>-810.44529585945315</v>
      </c>
      <c r="DO38" s="440">
        <f>IF(DO$4&gt;=Inputs!$E$29,-DO$10*'(Z+) OpEx'!$E$18*DO$12,0)</f>
        <v>-812.40180216637793</v>
      </c>
      <c r="DP38" s="440">
        <f>IF(DP$4&gt;=Inputs!$E$29,-DP$10*'(Z+) OpEx'!$E$18*DP$12,0)</f>
        <v>-814.3630317000875</v>
      </c>
      <c r="DQ38" s="440">
        <f>IF(DQ$4&gt;=Inputs!$E$29,-DQ$10*'(Z+) OpEx'!$E$18*DQ$12,0)</f>
        <v>-816.3289958629839</v>
      </c>
      <c r="DR38" s="440">
        <f>IF(DR$4&gt;=Inputs!$E$29,-DR$10*'(Z+) OpEx'!$E$18*DR$12,0)</f>
        <v>-818.29970608499559</v>
      </c>
      <c r="DS38" s="440">
        <f>IF(DS$4&gt;=Inputs!$E$29,-DS$10*'(Z+) OpEx'!$E$18*DS$12,0)</f>
        <v>-820.2751738236442</v>
      </c>
      <c r="DT38" s="440">
        <f>IF(DT$4&gt;=Inputs!$E$29,-DT$10*'(Z+) OpEx'!$E$18*DT$12,0)</f>
        <v>-822.25541056411146</v>
      </c>
      <c r="DU38" s="440">
        <f>IF(DU$4&gt;=Inputs!$E$29,-DU$10*'(Z+) OpEx'!$E$18*DU$12,0)</f>
        <v>-824.2404278193053</v>
      </c>
    </row>
    <row r="39" spans="1:125" ht="16.5" customHeight="1" x14ac:dyDescent="0.25">
      <c r="A39" s="436" t="str">
        <f>+'(Z+) OpEx'!C19</f>
        <v xml:space="preserve">   M&amp;R/Turnover</v>
      </c>
      <c r="B39" s="112"/>
      <c r="C39" s="437">
        <f>+'(Z+) OpEx'!D19</f>
        <v>50</v>
      </c>
      <c r="D39" s="419"/>
      <c r="E39" s="112"/>
      <c r="F39" s="438">
        <f>IF(F$4&gt;=Inputs!$E$29,F$10*'(Z+) OpEx'!$E$19*F$12,0)</f>
        <v>0</v>
      </c>
      <c r="G39" s="438">
        <f>IF(G$4&gt;=Inputs!$E$29,G$10*'(Z+) OpEx'!$E$19*G$12,0)</f>
        <v>0</v>
      </c>
      <c r="H39" s="438">
        <f>IF(H$4&gt;=Inputs!$E$29,H$10*'(Z+) OpEx'!$E$19*H$12,0)</f>
        <v>0</v>
      </c>
      <c r="I39" s="438">
        <f>IF(I$4&gt;=Inputs!$E$29,I$10*'(Z+) OpEx'!$E$19*I$12,0)</f>
        <v>0</v>
      </c>
      <c r="J39" s="439">
        <f>IF(J$4&gt;=Inputs!$E$29,J$10*'(Z+) OpEx'!$E$19*J$12,0)</f>
        <v>0</v>
      </c>
      <c r="K39" s="439">
        <f>IF(K$4&gt;=Inputs!$E$29,K$10*'(Z+) OpEx'!$E$19*K$12,0)</f>
        <v>0</v>
      </c>
      <c r="L39" s="439">
        <f>IF(L$4&gt;=Inputs!$E$29,L$10*'(Z+) OpEx'!$E$19*L$12,0)</f>
        <v>0</v>
      </c>
      <c r="M39" s="439">
        <f>IF(M$4&gt;=Inputs!$E$29,M$10*'(Z+) OpEx'!$E$19*M$12,0)</f>
        <v>0</v>
      </c>
      <c r="N39" s="439">
        <f>IF(N$4&gt;=Inputs!$E$29,N$10*'(Z+) OpEx'!$E$19*N$12,0)</f>
        <v>0</v>
      </c>
      <c r="O39" s="439">
        <f>IF(O$4&gt;=Inputs!$E$29,O$10*'(Z+) OpEx'!$E$19*O$12,0)</f>
        <v>0</v>
      </c>
      <c r="P39" s="439">
        <f>IF(P$4&gt;=Inputs!$E$29,P$10*'(Z+) OpEx'!$E$19*P$12,0)</f>
        <v>0</v>
      </c>
      <c r="Q39" s="439">
        <f>IF(Q$4&gt;=Inputs!$E$29,Q$10*'(Z+) OpEx'!$E$19*Q$12,0)</f>
        <v>0</v>
      </c>
      <c r="R39" s="439">
        <f>IF(R$4&gt;=Inputs!$E$29,R$10*'(Z+) OpEx'!$E$19*R$12,0)</f>
        <v>0</v>
      </c>
      <c r="S39" s="439">
        <f>IF(S$4&gt;=Inputs!$E$29,S$10*'(Z+) OpEx'!$E$19*S$12,0)</f>
        <v>0</v>
      </c>
      <c r="T39" s="439">
        <f>IF(T$4&gt;=Inputs!$E$29,T$10*'(Z+) OpEx'!$E$19*T$12,0)</f>
        <v>0</v>
      </c>
      <c r="U39" s="440">
        <f>IF(U$4&gt;=Inputs!$E$29,U$10*'(Z+) OpEx'!$E$19*U$12,0)</f>
        <v>0</v>
      </c>
      <c r="V39" s="440">
        <f>IF(V$4&gt;=Inputs!$E$29,V$10*'(Z+) OpEx'!$E$19*V$12,0)</f>
        <v>0</v>
      </c>
      <c r="W39" s="440">
        <f>IF(W$4&gt;=Inputs!$E$29,W$10*'(Z+) OpEx'!$E$19*W$12,0)</f>
        <v>0</v>
      </c>
      <c r="X39" s="440">
        <f>IF(X$4&gt;=Inputs!$E$29,X$10*'(Z+) OpEx'!$E$19*X$12,0)</f>
        <v>0</v>
      </c>
      <c r="Y39" s="440">
        <f>IF(Y$4&gt;=Inputs!$E$29,Y$10*'(Z+) OpEx'!$E$19*Y$12,0)</f>
        <v>0</v>
      </c>
      <c r="Z39" s="440">
        <f>IF(Z$4&gt;=Inputs!$E$29,Z$10*'(Z+) OpEx'!$E$19*Z$12,0)</f>
        <v>0</v>
      </c>
      <c r="AA39" s="440">
        <f>IF(AA$4&gt;=Inputs!$E$29,AA$10*'(Z+) OpEx'!$E$19*AA$12,0)</f>
        <v>1349.7560562545748</v>
      </c>
      <c r="AB39" s="440">
        <f>IF(AB$4&gt;=Inputs!$E$29,AB$10*'(Z+) OpEx'!$E$19*AB$12,0)</f>
        <v>2706.0290390688169</v>
      </c>
      <c r="AC39" s="440">
        <f>IF(AC$4&gt;=Inputs!$E$29,AC$10*'(Z+) OpEx'!$E$19*AC$12,0)</f>
        <v>4068.8425473357934</v>
      </c>
      <c r="AD39" s="440">
        <f>IF(AD$4&gt;=Inputs!$E$29,AD$10*'(Z+) OpEx'!$E$19*AD$12,0)</f>
        <v>5438.2202559090883</v>
      </c>
      <c r="AE39" s="440">
        <f>IF(AE$4&gt;=Inputs!$E$29,AE$10*'(Z+) OpEx'!$E$19*AE$12,0)</f>
        <v>6814.1859158320267</v>
      </c>
      <c r="AF39" s="440">
        <f>IF(AF$4&gt;=Inputs!$E$29,AF$10*'(Z+) OpEx'!$E$19*AF$12,0)</f>
        <v>8105.6882061834704</v>
      </c>
      <c r="AG39" s="440">
        <f>IF(AG$4&gt;=Inputs!$E$29,AG$10*'(Z+) OpEx'!$E$19*AG$12,0)</f>
        <v>9585.9764762287996</v>
      </c>
      <c r="AH39" s="440">
        <f>IF(AH$4&gt;=Inputs!$E$29,AH$10*'(Z+) OpEx'!$E$19*AH$12,0)</f>
        <v>10981.849261810281</v>
      </c>
      <c r="AI39" s="440">
        <f>IF(AI$4&gt;=Inputs!$E$29,AI$10*'(Z+) OpEx'!$E$19*AI$12,0)</f>
        <v>12384.405769419807</v>
      </c>
      <c r="AJ39" s="440">
        <f>IF(AJ$4&gt;=Inputs!$E$29,AJ$10*'(Z+) OpEx'!$E$19*AJ$12,0)</f>
        <v>12414.30312105992</v>
      </c>
      <c r="AK39" s="440">
        <f>IF(AK$4&gt;=Inputs!$E$29,AK$10*'(Z+) OpEx'!$E$19*AK$12,0)</f>
        <v>12444.272648277265</v>
      </c>
      <c r="AL39" s="440">
        <f>IF(AL$4&gt;=Inputs!$E$29,AL$10*'(Z+) OpEx'!$E$19*AL$12,0)</f>
        <v>12474.314525311824</v>
      </c>
      <c r="AM39" s="440">
        <f>IF(AM$4&gt;=Inputs!$E$29,AM$10*'(Z+) OpEx'!$E$19*AM$12,0)</f>
        <v>12504.42892682421</v>
      </c>
      <c r="AN39" s="440">
        <f>IF(AN$4&gt;=Inputs!$E$29,AN$10*'(Z+) OpEx'!$E$19*AN$12,0)</f>
        <v>12534.616027896689</v>
      </c>
      <c r="AO39" s="440">
        <f>IF(AO$4&gt;=Inputs!$E$29,AO$10*'(Z+) OpEx'!$E$19*AO$12,0)</f>
        <v>12564.876004034193</v>
      </c>
      <c r="AP39" s="440">
        <f>IF(AP$4&gt;=Inputs!$E$29,AP$10*'(Z+) OpEx'!$E$19*AP$12,0)</f>
        <v>12595.209031165345</v>
      </c>
      <c r="AQ39" s="440">
        <f>IF(AQ$4&gt;=Inputs!$E$29,AQ$10*'(Z+) OpEx'!$E$19*AQ$12,0)</f>
        <v>12625.615285643482</v>
      </c>
      <c r="AR39" s="440">
        <f>IF(AR$4&gt;=Inputs!$E$29,AR$10*'(Z+) OpEx'!$E$19*AR$12,0)</f>
        <v>12656.09494424767</v>
      </c>
      <c r="AS39" s="440">
        <f>IF(AS$4&gt;=Inputs!$E$29,AS$10*'(Z+) OpEx'!$E$19*AS$12,0)</f>
        <v>12686.648184183749</v>
      </c>
      <c r="AT39" s="440">
        <f>IF(AT$4&gt;=Inputs!$E$29,AT$10*'(Z+) OpEx'!$E$19*AT$12,0)</f>
        <v>12717.275183085345</v>
      </c>
      <c r="AU39" s="440">
        <f>IF(AU$4&gt;=Inputs!$E$29,AU$10*'(Z+) OpEx'!$E$19*AU$12,0)</f>
        <v>12747.976119014918</v>
      </c>
      <c r="AV39" s="440">
        <f>IF(AV$4&gt;=Inputs!$E$29,AV$10*'(Z+) OpEx'!$E$19*AV$12,0)</f>
        <v>12778.751170464788</v>
      </c>
      <c r="AW39" s="440">
        <f>IF(AW$4&gt;=Inputs!$E$29,AW$10*'(Z+) OpEx'!$E$19*AW$12,0)</f>
        <v>12809.600516358174</v>
      </c>
      <c r="AX39" s="440">
        <f>IF(AX$4&gt;=Inputs!$E$29,AX$10*'(Z+) OpEx'!$E$19*AX$12,0)</f>
        <v>12840.524336050241</v>
      </c>
      <c r="AY39" s="440">
        <f>IF(AY$4&gt;=Inputs!$E$29,AY$10*'(Z+) OpEx'!$E$19*AY$12,0)</f>
        <v>12871.522809329132</v>
      </c>
      <c r="AZ39" s="440">
        <f>IF(AZ$4&gt;=Inputs!$E$29,AZ$10*'(Z+) OpEx'!$E$19*AZ$12,0)</f>
        <v>12902.596116417024</v>
      </c>
      <c r="BA39" s="440">
        <f>IF(BA$4&gt;=Inputs!$E$29,BA$10*'(Z+) OpEx'!$E$19*BA$12,0)</f>
        <v>12933.744437971167</v>
      </c>
      <c r="BB39" s="440">
        <f>IF(BB$4&gt;=Inputs!$E$29,BB$10*'(Z+) OpEx'!$E$19*BB$12,0)</f>
        <v>12964.967955084938</v>
      </c>
      <c r="BC39" s="440">
        <f>IF(BC$4&gt;=Inputs!$E$29,BC$10*'(Z+) OpEx'!$E$19*BC$12,0)</f>
        <v>12996.266849288899</v>
      </c>
      <c r="BD39" s="440">
        <f>IF(BD$4&gt;=Inputs!$E$29,BD$10*'(Z+) OpEx'!$E$19*BD$12,0)</f>
        <v>13027.641302551836</v>
      </c>
      <c r="BE39" s="440">
        <f>IF(BE$4&gt;=Inputs!$E$29,BE$10*'(Z+) OpEx'!$E$19*BE$12,0)</f>
        <v>13059.091497281841</v>
      </c>
      <c r="BF39" s="440">
        <f>IF(BF$4&gt;=Inputs!$E$29,BF$10*'(Z+) OpEx'!$E$19*BF$12,0)</f>
        <v>13090.617616327352</v>
      </c>
      <c r="BG39" s="440">
        <f>IF(BG$4&gt;=Inputs!$E$29,BG$10*'(Z+) OpEx'!$E$19*BG$12,0)</f>
        <v>13122.219842978227</v>
      </c>
      <c r="BH39" s="440">
        <f>IF(BH$4&gt;=Inputs!$E$29,BH$10*'(Z+) OpEx'!$E$19*BH$12,0)</f>
        <v>13153.898360966801</v>
      </c>
      <c r="BI39" s="440">
        <f>IF(BI$4&gt;=Inputs!$E$29,BI$10*'(Z+) OpEx'!$E$19*BI$12,0)</f>
        <v>13185.653354468968</v>
      </c>
      <c r="BJ39" s="440">
        <f>IF(BJ$4&gt;=Inputs!$E$29,BJ$10*'(Z+) OpEx'!$E$19*BJ$12,0)</f>
        <v>13217.485008105237</v>
      </c>
      <c r="BK39" s="440">
        <f>IF(BK$4&gt;=Inputs!$E$29,BK$10*'(Z+) OpEx'!$E$19*BK$12,0)</f>
        <v>13249.393506941815</v>
      </c>
      <c r="BL39" s="440">
        <f>IF(BL$4&gt;=Inputs!$E$29,BL$10*'(Z+) OpEx'!$E$19*BL$12,0)</f>
        <v>13281.379036491679</v>
      </c>
      <c r="BM39" s="440">
        <f>IF(BM$4&gt;=Inputs!$E$29,BM$10*'(Z+) OpEx'!$E$19*BM$12,0)</f>
        <v>13313.441782715652</v>
      </c>
      <c r="BN39" s="440">
        <f>IF(BN$4&gt;=Inputs!$E$29,BN$10*'(Z+) OpEx'!$E$19*BN$12,0)</f>
        <v>13345.581932023491</v>
      </c>
      <c r="BO39" s="440">
        <f>IF(BO$4&gt;=Inputs!$E$29,BO$10*'(Z+) OpEx'!$E$19*BO$12,0)</f>
        <v>13377.799671274968</v>
      </c>
      <c r="BP39" s="440">
        <f>IF(BP$4&gt;=Inputs!$E$29,BP$10*'(Z+) OpEx'!$E$19*BP$12,0)</f>
        <v>13410.095187780951</v>
      </c>
      <c r="BQ39" s="440">
        <f>IF(BQ$4&gt;=Inputs!$E$29,BQ$10*'(Z+) OpEx'!$E$19*BQ$12,0)</f>
        <v>13442.468669304502</v>
      </c>
      <c r="BR39" s="440">
        <f>IF(BR$4&gt;=Inputs!$E$29,BR$10*'(Z+) OpEx'!$E$19*BR$12,0)</f>
        <v>13474.920304061961</v>
      </c>
      <c r="BS39" s="440">
        <f>IF(BS$4&gt;=Inputs!$E$29,BS$10*'(Z+) OpEx'!$E$19*BS$12,0)</f>
        <v>13507.450280724048</v>
      </c>
      <c r="BT39" s="440">
        <f>IF(BT$4&gt;=Inputs!$E$29,BT$10*'(Z+) OpEx'!$E$19*BT$12,0)</f>
        <v>13540.058788416949</v>
      </c>
      <c r="BU39" s="440">
        <f>IF(BU$4&gt;=Inputs!$E$29,BU$10*'(Z+) OpEx'!$E$19*BU$12,0)</f>
        <v>13572.746016723428</v>
      </c>
      <c r="BV39" s="440">
        <f>IF(BV$4&gt;=Inputs!$E$29,BV$10*'(Z+) OpEx'!$E$19*BV$12,0)</f>
        <v>13605.51215568392</v>
      </c>
      <c r="BW39" s="440">
        <f>IF(BW$4&gt;=Inputs!$E$29,BW$10*'(Z+) OpEx'!$E$19*BW$12,0)</f>
        <v>13638.357395797637</v>
      </c>
      <c r="BX39" s="440">
        <f>IF(BX$4&gt;=Inputs!$E$29,BX$10*'(Z+) OpEx'!$E$19*BX$12,0)</f>
        <v>13671.281928023682</v>
      </c>
      <c r="BY39" s="440">
        <f>IF(BY$4&gt;=Inputs!$E$29,BY$10*'(Z+) OpEx'!$E$19*BY$12,0)</f>
        <v>13704.285943782155</v>
      </c>
      <c r="BZ39" s="440">
        <f>IF(BZ$4&gt;=Inputs!$E$29,BZ$10*'(Z+) OpEx'!$E$19*BZ$12,0)</f>
        <v>13737.369634955261</v>
      </c>
      <c r="CA39" s="440">
        <f>IF(CA$4&gt;=Inputs!$E$29,CA$10*'(Z+) OpEx'!$E$19*CA$12,0)</f>
        <v>13770.533193888432</v>
      </c>
      <c r="CB39" s="440">
        <f>IF(CB$4&gt;=Inputs!$E$29,CB$10*'(Z+) OpEx'!$E$19*CB$12,0)</f>
        <v>13803.776813391445</v>
      </c>
      <c r="CC39" s="440">
        <f>IF(CC$4&gt;=Inputs!$E$29,CC$10*'(Z+) OpEx'!$E$19*CC$12,0)</f>
        <v>13837.100686739543</v>
      </c>
      <c r="CD39" s="440">
        <f>IF(CD$4&gt;=Inputs!$E$29,CD$10*'(Z+) OpEx'!$E$19*CD$12,0)</f>
        <v>13870.505007674554</v>
      </c>
      <c r="CE39" s="440">
        <f>IF(CE$4&gt;=Inputs!$E$29,CE$10*'(Z+) OpEx'!$E$19*CE$12,0)</f>
        <v>13903.989970406021</v>
      </c>
      <c r="CF39" s="440">
        <f>IF(CF$4&gt;=Inputs!$E$29,CF$10*'(Z+) OpEx'!$E$19*CF$12,0)</f>
        <v>13937.555769612332</v>
      </c>
      <c r="CG39" s="440">
        <f>IF(CG$4&gt;=Inputs!$E$29,CG$10*'(Z+) OpEx'!$E$19*CG$12,0)</f>
        <v>13971.202600441851</v>
      </c>
      <c r="CH39" s="440">
        <f>IF(CH$4&gt;=Inputs!$E$29,CH$10*'(Z+) OpEx'!$E$19*CH$12,0)</f>
        <v>14004.930658514049</v>
      </c>
      <c r="CI39" s="440">
        <f>IF(CI$4&gt;=Inputs!$E$29,CI$10*'(Z+) OpEx'!$E$19*CI$12,0)</f>
        <v>14038.74013992065</v>
      </c>
      <c r="CJ39" s="440">
        <f>IF(CJ$4&gt;=Inputs!$E$29,CJ$10*'(Z+) OpEx'!$E$19*CJ$12,0)</f>
        <v>14072.631241226758</v>
      </c>
      <c r="CK39" s="440">
        <f>IF(CK$4&gt;=Inputs!$E$29,CK$10*'(Z+) OpEx'!$E$19*CK$12,0)</f>
        <v>14106.604159472017</v>
      </c>
      <c r="CL39" s="440">
        <f>IF(CL$4&gt;=Inputs!$E$29,CL$10*'(Z+) OpEx'!$E$19*CL$12,0)</f>
        <v>14140.659092171736</v>
      </c>
      <c r="CM39" s="440">
        <f>IF(CM$4&gt;=Inputs!$E$29,CM$10*'(Z+) OpEx'!$E$19*CM$12,0)</f>
        <v>14174.796237318056</v>
      </c>
      <c r="CN39" s="440">
        <f>IF(CN$4&gt;=Inputs!$E$29,CN$10*'(Z+) OpEx'!$E$19*CN$12,0)</f>
        <v>14209.015793381091</v>
      </c>
      <c r="CO39" s="440">
        <f>IF(CO$4&gt;=Inputs!$E$29,CO$10*'(Z+) OpEx'!$E$19*CO$12,0)</f>
        <v>14243.317959310085</v>
      </c>
      <c r="CP39" s="440">
        <f>IF(CP$4&gt;=Inputs!$E$29,CP$10*'(Z+) OpEx'!$E$19*CP$12,0)</f>
        <v>14277.702934534567</v>
      </c>
      <c r="CQ39" s="440">
        <f>IF(CQ$4&gt;=Inputs!$E$29,CQ$10*'(Z+) OpEx'!$E$19*CQ$12,0)</f>
        <v>14312.17091896551</v>
      </c>
      <c r="CR39" s="440">
        <f>IF(CR$4&gt;=Inputs!$E$29,CR$10*'(Z+) OpEx'!$E$19*CR$12,0)</f>
        <v>14346.722112996498</v>
      </c>
      <c r="CS39" s="440">
        <f>IF(CS$4&gt;=Inputs!$E$29,CS$10*'(Z+) OpEx'!$E$19*CS$12,0)</f>
        <v>14381.356717504883</v>
      </c>
      <c r="CT39" s="440">
        <f>IF(CT$4&gt;=Inputs!$E$29,CT$10*'(Z+) OpEx'!$E$19*CT$12,0)</f>
        <v>14416.074933852964</v>
      </c>
      <c r="CU39" s="440">
        <f>IF(CU$4&gt;=Inputs!$E$29,CU$10*'(Z+) OpEx'!$E$19*CU$12,0)</f>
        <v>14450.876963889146</v>
      </c>
      <c r="CV39" s="440">
        <f>IF(CV$4&gt;=Inputs!$E$29,CV$10*'(Z+) OpEx'!$E$19*CV$12,0)</f>
        <v>14485.76300994912</v>
      </c>
      <c r="CW39" s="440">
        <f>IF(CW$4&gt;=Inputs!$E$29,CW$10*'(Z+) OpEx'!$E$19*CW$12,0)</f>
        <v>14520.733274857041</v>
      </c>
      <c r="CX39" s="440">
        <f>IF(CX$4&gt;=Inputs!$E$29,CX$10*'(Z+) OpEx'!$E$19*CX$12,0)</f>
        <v>14555.787961926697</v>
      </c>
      <c r="CY39" s="440">
        <f>IF(CY$4&gt;=Inputs!$E$29,CY$10*'(Z+) OpEx'!$E$19*CY$12,0)</f>
        <v>14590.927274962709</v>
      </c>
      <c r="CZ39" s="440">
        <f>IF(CZ$4&gt;=Inputs!$E$29,CZ$10*'(Z+) OpEx'!$E$19*CZ$12,0)</f>
        <v>14626.151418261697</v>
      </c>
      <c r="DA39" s="440">
        <f>IF(DA$4&gt;=Inputs!$E$29,DA$10*'(Z+) OpEx'!$E$19*DA$12,0)</f>
        <v>14661.46059661348</v>
      </c>
      <c r="DB39" s="440">
        <f>IF(DB$4&gt;=Inputs!$E$29,DB$10*'(Z+) OpEx'!$E$19*DB$12,0)</f>
        <v>14696.855015302262</v>
      </c>
      <c r="DC39" s="440">
        <f>IF(DC$4&gt;=Inputs!$E$29,DC$10*'(Z+) OpEx'!$E$19*DC$12,0)</f>
        <v>14732.334880107825</v>
      </c>
      <c r="DD39" s="440">
        <f>IF(DD$4&gt;=Inputs!$E$29,DD$10*'(Z+) OpEx'!$E$19*DD$12,0)</f>
        <v>14767.900397306728</v>
      </c>
      <c r="DE39" s="440">
        <f>IF(DE$4&gt;=Inputs!$E$29,DE$10*'(Z+) OpEx'!$E$19*DE$12,0)</f>
        <v>14803.551773673502</v>
      </c>
      <c r="DF39" s="440">
        <f>IF(DF$4&gt;=Inputs!$E$29,DF$10*'(Z+) OpEx'!$E$19*DF$12,0)</f>
        <v>14839.289216481859</v>
      </c>
      <c r="DG39" s="440">
        <f>IF(DG$4&gt;=Inputs!$E$29,DG$10*'(Z+) OpEx'!$E$19*DG$12,0)</f>
        <v>14875.112933505892</v>
      </c>
      <c r="DH39" s="440">
        <f>IF(DH$4&gt;=Inputs!$E$29,DH$10*'(Z+) OpEx'!$E$19*DH$12,0)</f>
        <v>14911.023133021281</v>
      </c>
      <c r="DI39" s="440">
        <f>IF(DI$4&gt;=Inputs!$E$29,DI$10*'(Z+) OpEx'!$E$19*DI$12,0)</f>
        <v>14947.020023806512</v>
      </c>
      <c r="DJ39" s="440">
        <f>IF(DJ$4&gt;=Inputs!$E$29,DJ$10*'(Z+) OpEx'!$E$19*DJ$12,0)</f>
        <v>14983.103815144083</v>
      </c>
      <c r="DK39" s="440">
        <f>IF(DK$4&gt;=Inputs!$E$29,DK$10*'(Z+) OpEx'!$E$19*DK$12,0)</f>
        <v>15019.274716821721</v>
      </c>
      <c r="DL39" s="440">
        <f>IF(DL$4&gt;=Inputs!$E$29,DL$10*'(Z+) OpEx'!$E$19*DL$12,0)</f>
        <v>15055.532939133611</v>
      </c>
      <c r="DM39" s="440">
        <f>IF(DM$4&gt;=Inputs!$E$29,DM$10*'(Z+) OpEx'!$E$19*DM$12,0)</f>
        <v>15091.878692881606</v>
      </c>
      <c r="DN39" s="440">
        <f>IF(DN$4&gt;=Inputs!$E$29,DN$10*'(Z+) OpEx'!$E$19*DN$12,0)</f>
        <v>15128.312189376458</v>
      </c>
      <c r="DO39" s="440">
        <f>IF(DO$4&gt;=Inputs!$E$29,DO$10*'(Z+) OpEx'!$E$19*DO$12,0)</f>
        <v>15164.833640439056</v>
      </c>
      <c r="DP39" s="440">
        <f>IF(DP$4&gt;=Inputs!$E$29,DP$10*'(Z+) OpEx'!$E$19*DP$12,0)</f>
        <v>15201.443258401634</v>
      </c>
      <c r="DQ39" s="440">
        <f>IF(DQ$4&gt;=Inputs!$E$29,DQ$10*'(Z+) OpEx'!$E$19*DQ$12,0)</f>
        <v>15238.141256109033</v>
      </c>
      <c r="DR39" s="440">
        <f>IF(DR$4&gt;=Inputs!$E$29,DR$10*'(Z+) OpEx'!$E$19*DR$12,0)</f>
        <v>15274.927846919918</v>
      </c>
      <c r="DS39" s="440">
        <f>IF(DS$4&gt;=Inputs!$E$29,DS$10*'(Z+) OpEx'!$E$19*DS$12,0)</f>
        <v>15311.803244708026</v>
      </c>
      <c r="DT39" s="440">
        <f>IF(DT$4&gt;=Inputs!$E$29,DT$10*'(Z+) OpEx'!$E$19*DT$12,0)</f>
        <v>15348.767663863415</v>
      </c>
      <c r="DU39" s="440">
        <f>IF(DU$4&gt;=Inputs!$E$29,DU$10*'(Z+) OpEx'!$E$19*DU$12,0)</f>
        <v>15385.8213192937</v>
      </c>
    </row>
    <row r="40" spans="1:125" ht="15.75" customHeight="1" x14ac:dyDescent="0.25">
      <c r="A40" s="393" t="str">
        <f>+'(Z+) OpEx'!C20</f>
        <v xml:space="preserve">   Payroll/Security</v>
      </c>
      <c r="B40" s="394"/>
      <c r="C40" s="435">
        <f>+'(Z+) OpEx'!D20</f>
        <v>0</v>
      </c>
      <c r="D40" s="395"/>
      <c r="E40" s="394"/>
      <c r="F40" s="432">
        <f>IF(F$4&gt;=Inputs!$E$29,-F$10*'(Z+) OpEx'!$E$20,0)</f>
        <v>0</v>
      </c>
      <c r="G40" s="432">
        <f>IF(G$4&gt;=Inputs!$E$29,-G$10*'(Z+) OpEx'!$E$20,0)</f>
        <v>0</v>
      </c>
      <c r="H40" s="432">
        <f>IF(H$4&gt;=Inputs!$E$29,-H$10*'(Z+) OpEx'!$E$20,0)</f>
        <v>0</v>
      </c>
      <c r="I40" s="432">
        <f>IF(I$4&gt;=Inputs!$E$29,-I$10*'(Z+) OpEx'!$E$20,0)</f>
        <v>0</v>
      </c>
      <c r="J40" s="433">
        <f>IF(J$4&gt;=Inputs!$E$29,-J$10*'(Z+) OpEx'!$E$20,0)</f>
        <v>0</v>
      </c>
      <c r="K40" s="433">
        <f>IF(K$4&gt;=Inputs!$E$29,-K$10*'(Z+) OpEx'!$E$20,0)</f>
        <v>0</v>
      </c>
      <c r="L40" s="433">
        <f>IF(L$4&gt;=Inputs!$E$29,-L$10*'(Z+) OpEx'!$E$20,0)</f>
        <v>0</v>
      </c>
      <c r="M40" s="433">
        <f>IF(M$4&gt;=Inputs!$E$29,-M$10*'(Z+) OpEx'!$E$20,0)</f>
        <v>0</v>
      </c>
      <c r="N40" s="433">
        <f>IF(N$4&gt;=Inputs!$E$29,-N$10*'(Z+) OpEx'!$E$20,0)</f>
        <v>0</v>
      </c>
      <c r="O40" s="433">
        <f>IF(O$4&gt;=Inputs!$E$29,-O$10*'(Z+) OpEx'!$E$20,0)</f>
        <v>0</v>
      </c>
      <c r="P40" s="433">
        <f>IF(P$4&gt;=Inputs!$E$29,-P$10*'(Z+) OpEx'!$E$20,0)</f>
        <v>0</v>
      </c>
      <c r="Q40" s="433">
        <f>IF(Q$4&gt;=Inputs!$E$29,-Q$10*'(Z+) OpEx'!$E$20,0)</f>
        <v>0</v>
      </c>
      <c r="R40" s="433">
        <f>IF(R$4&gt;=Inputs!$E$29,-R$10*'(Z+) OpEx'!$E$20,0)</f>
        <v>0</v>
      </c>
      <c r="S40" s="433">
        <f>IF(S$4&gt;=Inputs!$E$29,-S$10*'(Z+) OpEx'!$E$20,0)</f>
        <v>0</v>
      </c>
      <c r="T40" s="433">
        <f>IF(T$4&gt;=Inputs!$E$29,-T$10*'(Z+) OpEx'!$E$20,0)</f>
        <v>0</v>
      </c>
      <c r="U40" s="434">
        <f>IF(U$4&gt;=Inputs!$E$29,-U$10*'(Z+) OpEx'!$E$20,0)</f>
        <v>0</v>
      </c>
      <c r="V40" s="434">
        <f>IF(V$4&gt;=Inputs!$E$29,-V$10*'(Z+) OpEx'!$E$20,0)</f>
        <v>0</v>
      </c>
      <c r="W40" s="434">
        <f>IF(W$4&gt;=Inputs!$E$29,-W$10*'(Z+) OpEx'!$E$20,0)</f>
        <v>0</v>
      </c>
      <c r="X40" s="434">
        <f>IF(X$4&gt;=Inputs!$E$29,-X$10*'(Z+) OpEx'!$E$20,0)</f>
        <v>0</v>
      </c>
      <c r="Y40" s="434">
        <f>IF(Y$4&gt;=Inputs!$E$29,-Y$10*'(Z+) OpEx'!$E$20,0)</f>
        <v>0</v>
      </c>
      <c r="Z40" s="434">
        <f>IF(Z$4&gt;=Inputs!$E$29,-Z$10*'(Z+) OpEx'!$E$20,0)</f>
        <v>0</v>
      </c>
      <c r="AA40" s="434">
        <f>IF(AA$4&gt;=Inputs!$E$29,-AA$10*'(Z+) OpEx'!$E$20,0)</f>
        <v>-30670.651014977739</v>
      </c>
      <c r="AB40" s="434">
        <f>IF(AB$4&gt;=Inputs!$E$29,-AB$10*'(Z+) OpEx'!$E$20,0)</f>
        <v>-30744.69342407662</v>
      </c>
      <c r="AC40" s="434">
        <f>IF(AC$4&gt;=Inputs!$E$29,-AC$10*'(Z+) OpEx'!$E$20,0)</f>
        <v>-30818.914579897984</v>
      </c>
      <c r="AD40" s="434">
        <f>IF(AD$4&gt;=Inputs!$E$29,-AD$10*'(Z+) OpEx'!$E$20,0)</f>
        <v>-30893.314913956561</v>
      </c>
      <c r="AE40" s="434">
        <f>IF(AE$4&gt;=Inputs!$E$29,-AE$10*'(Z+) OpEx'!$E$20,0)</f>
        <v>-30967.894858808813</v>
      </c>
      <c r="AF40" s="434">
        <f>IF(AF$4&gt;=Inputs!$E$29,-AF$10*'(Z+) OpEx'!$E$20,0)</f>
        <v>-31042.654848055452</v>
      </c>
      <c r="AG40" s="434">
        <f>IF(AG$4&gt;=Inputs!$E$29,-AG$10*'(Z+) OpEx'!$E$20,0)</f>
        <v>-31117.595316343941</v>
      </c>
      <c r="AH40" s="434">
        <f>IF(AH$4&gt;=Inputs!$E$29,-AH$10*'(Z+) OpEx'!$E$20,0)</f>
        <v>-31192.716699371031</v>
      </c>
      <c r="AI40" s="434">
        <f>IF(AI$4&gt;=Inputs!$E$29,-AI$10*'(Z+) OpEx'!$E$20,0)</f>
        <v>-31268.019433885293</v>
      </c>
      <c r="AJ40" s="434">
        <f>IF(AJ$4&gt;=Inputs!$E$29,-AJ$10*'(Z+) OpEx'!$E$20,0)</f>
        <v>-31343.503957689663</v>
      </c>
      <c r="AK40" s="434">
        <f>IF(AK$4&gt;=Inputs!$E$29,-AK$10*'(Z+) OpEx'!$E$20,0)</f>
        <v>-31419.170709643982</v>
      </c>
      <c r="AL40" s="434">
        <f>IF(AL$4&gt;=Inputs!$E$29,-AL$10*'(Z+) OpEx'!$E$20,0)</f>
        <v>-31495.020129667548</v>
      </c>
      <c r="AM40" s="434">
        <f>IF(AM$4&gt;=Inputs!$E$29,-AM$10*'(Z+) OpEx'!$E$20,0)</f>
        <v>-31571.052658741664</v>
      </c>
      <c r="AN40" s="434">
        <f>IF(AN$4&gt;=Inputs!$E$29,-AN$10*'(Z+) OpEx'!$E$20,0)</f>
        <v>-31647.268738912233</v>
      </c>
      <c r="AO40" s="434">
        <f>IF(AO$4&gt;=Inputs!$E$29,-AO$10*'(Z+) OpEx'!$E$20,0)</f>
        <v>-31723.668813292283</v>
      </c>
      <c r="AP40" s="434">
        <f>IF(AP$4&gt;=Inputs!$E$29,-AP$10*'(Z+) OpEx'!$E$20,0)</f>
        <v>-31800.25332606458</v>
      </c>
      <c r="AQ40" s="434">
        <f>IF(AQ$4&gt;=Inputs!$E$29,-AQ$10*'(Z+) OpEx'!$E$20,0)</f>
        <v>-31877.022722484202</v>
      </c>
      <c r="AR40" s="434">
        <f>IF(AR$4&gt;=Inputs!$E$29,-AR$10*'(Z+) OpEx'!$E$20,0)</f>
        <v>-31953.977448881109</v>
      </c>
      <c r="AS40" s="434">
        <f>IF(AS$4&gt;=Inputs!$E$29,-AS$10*'(Z+) OpEx'!$E$20,0)</f>
        <v>-32031.11795266276</v>
      </c>
      <c r="AT40" s="434">
        <f>IF(AT$4&gt;=Inputs!$E$29,-AT$10*'(Z+) OpEx'!$E$20,0)</f>
        <v>-32108.444682316705</v>
      </c>
      <c r="AU40" s="434">
        <f>IF(AU$4&gt;=Inputs!$E$29,-AU$10*'(Z+) OpEx'!$E$20,0)</f>
        <v>-32185.958087413197</v>
      </c>
      <c r="AV40" s="434">
        <f>IF(AV$4&gt;=Inputs!$E$29,-AV$10*'(Z+) OpEx'!$E$20,0)</f>
        <v>-32263.658618607791</v>
      </c>
      <c r="AW40" s="434">
        <f>IF(AW$4&gt;=Inputs!$E$29,-AW$10*'(Z+) OpEx'!$E$20,0)</f>
        <v>-32341.546727643989</v>
      </c>
      <c r="AX40" s="434">
        <f>IF(AX$4&gt;=Inputs!$E$29,-AX$10*'(Z+) OpEx'!$E$20,0)</f>
        <v>-32419.62286735584</v>
      </c>
      <c r="AY40" s="434">
        <f>IF(AY$4&gt;=Inputs!$E$29,-AY$10*'(Z+) OpEx'!$E$20,0)</f>
        <v>-32497.887491670597</v>
      </c>
      <c r="AZ40" s="434">
        <f>IF(AZ$4&gt;=Inputs!$E$29,-AZ$10*'(Z+) OpEx'!$E$20,0)</f>
        <v>-32576.341055611341</v>
      </c>
      <c r="BA40" s="434">
        <f>IF(BA$4&gt;=Inputs!$E$29,-BA$10*'(Z+) OpEx'!$E$20,0)</f>
        <v>-32654.984015299629</v>
      </c>
      <c r="BB40" s="434">
        <f>IF(BB$4&gt;=Inputs!$E$29,-BB$10*'(Z+) OpEx'!$E$20,0)</f>
        <v>-32733.81682795814</v>
      </c>
      <c r="BC40" s="434">
        <f>IF(BC$4&gt;=Inputs!$E$29,-BC$10*'(Z+) OpEx'!$E$20,0)</f>
        <v>-32812.839951913353</v>
      </c>
      <c r="BD40" s="434">
        <f>IF(BD$4&gt;=Inputs!$E$29,-BD$10*'(Z+) OpEx'!$E$20,0)</f>
        <v>-32892.053846598188</v>
      </c>
      <c r="BE40" s="434">
        <f>IF(BE$4&gt;=Inputs!$E$29,-BE$10*'(Z+) OpEx'!$E$20,0)</f>
        <v>-32971.458972554698</v>
      </c>
      <c r="BF40" s="434">
        <f>IF(BF$4&gt;=Inputs!$E$29,-BF$10*'(Z+) OpEx'!$E$20,0)</f>
        <v>-33051.055791436724</v>
      </c>
      <c r="BG40" s="434">
        <f>IF(BG$4&gt;=Inputs!$E$29,-BG$10*'(Z+) OpEx'!$E$20,0)</f>
        <v>-33130.844766012597</v>
      </c>
      <c r="BH40" s="434">
        <f>IF(BH$4&gt;=Inputs!$E$29,-BH$10*'(Z+) OpEx'!$E$20,0)</f>
        <v>-33210.826360167834</v>
      </c>
      <c r="BI40" s="434">
        <f>IF(BI$4&gt;=Inputs!$E$29,-BI$10*'(Z+) OpEx'!$E$20,0)</f>
        <v>-33291.001038907794</v>
      </c>
      <c r="BJ40" s="434">
        <f>IF(BJ$4&gt;=Inputs!$E$29,-BJ$10*'(Z+) OpEx'!$E$20,0)</f>
        <v>-33371.36926836046</v>
      </c>
      <c r="BK40" s="434">
        <f>IF(BK$4&gt;=Inputs!$E$29,-BK$10*'(Z+) OpEx'!$E$20,0)</f>
        <v>-33451.931515779048</v>
      </c>
      <c r="BL40" s="434">
        <f>IF(BL$4&gt;=Inputs!$E$29,-BL$10*'(Z+) OpEx'!$E$20,0)</f>
        <v>-33532.688249544815</v>
      </c>
      <c r="BM40" s="434">
        <f>IF(BM$4&gt;=Inputs!$E$29,-BM$10*'(Z+) OpEx'!$E$20,0)</f>
        <v>-33613.63993916972</v>
      </c>
      <c r="BN40" s="434">
        <f>IF(BN$4&gt;=Inputs!$E$29,-BN$10*'(Z+) OpEx'!$E$20,0)</f>
        <v>-33694.787055299181</v>
      </c>
      <c r="BO40" s="434">
        <f>IF(BO$4&gt;=Inputs!$E$29,-BO$10*'(Z+) OpEx'!$E$20,0)</f>
        <v>-33776.130069714818</v>
      </c>
      <c r="BP40" s="434">
        <f>IF(BP$4&gt;=Inputs!$E$29,-BP$10*'(Z+) OpEx'!$E$20,0)</f>
        <v>-33857.669455337171</v>
      </c>
      <c r="BQ40" s="434">
        <f>IF(BQ$4&gt;=Inputs!$E$29,-BQ$10*'(Z+) OpEx'!$E$20,0)</f>
        <v>-33939.405686228478</v>
      </c>
      <c r="BR40" s="434">
        <f>IF(BR$4&gt;=Inputs!$E$29,-BR$10*'(Z+) OpEx'!$E$20,0)</f>
        <v>-34021.339237595399</v>
      </c>
      <c r="BS40" s="434">
        <f>IF(BS$4&gt;=Inputs!$E$29,-BS$10*'(Z+) OpEx'!$E$20,0)</f>
        <v>-34103.470585791823</v>
      </c>
      <c r="BT40" s="434">
        <f>IF(BT$4&gt;=Inputs!$E$29,-BT$10*'(Z+) OpEx'!$E$20,0)</f>
        <v>-34185.800208321576</v>
      </c>
      <c r="BU40" s="434">
        <f>IF(BU$4&gt;=Inputs!$E$29,-BU$10*'(Z+) OpEx'!$E$20,0)</f>
        <v>-34268.328583841256</v>
      </c>
      <c r="BV40" s="434">
        <f>IF(BV$4&gt;=Inputs!$E$29,-BV$10*'(Z+) OpEx'!$E$20,0)</f>
        <v>-34351.056192163</v>
      </c>
      <c r="BW40" s="434">
        <f>IF(BW$4&gt;=Inputs!$E$29,-BW$10*'(Z+) OpEx'!$E$20,0)</f>
        <v>-34433.983514257226</v>
      </c>
      <c r="BX40" s="434">
        <f>IF(BX$4&gt;=Inputs!$E$29,-BX$10*'(Z+) OpEx'!$E$20,0)</f>
        <v>-34517.111032255518</v>
      </c>
      <c r="BY40" s="434">
        <f>IF(BY$4&gt;=Inputs!$E$29,-BY$10*'(Z+) OpEx'!$E$20,0)</f>
        <v>-34600.439229453354</v>
      </c>
      <c r="BZ40" s="434">
        <f>IF(BZ$4&gt;=Inputs!$E$29,-BZ$10*'(Z+) OpEx'!$E$20,0)</f>
        <v>-34683.968590312928</v>
      </c>
      <c r="CA40" s="434">
        <f>IF(CA$4&gt;=Inputs!$E$29,-CA$10*'(Z+) OpEx'!$E$20,0)</f>
        <v>-34767.69960046601</v>
      </c>
      <c r="CB40" s="434">
        <f>IF(CB$4&gt;=Inputs!$E$29,-CB$10*'(Z+) OpEx'!$E$20,0)</f>
        <v>-34851.632746716728</v>
      </c>
      <c r="CC40" s="434">
        <f>IF(CC$4&gt;=Inputs!$E$29,-CC$10*'(Z+) OpEx'!$E$20,0)</f>
        <v>-34935.768517044402</v>
      </c>
      <c r="CD40" s="434">
        <f>IF(CD$4&gt;=Inputs!$E$29,-CD$10*'(Z+) OpEx'!$E$20,0)</f>
        <v>-35020.107400606408</v>
      </c>
      <c r="CE40" s="434">
        <f>IF(CE$4&gt;=Inputs!$E$29,-CE$10*'(Z+) OpEx'!$E$20,0)</f>
        <v>-35104.649887740969</v>
      </c>
      <c r="CF40" s="434">
        <f>IF(CF$4&gt;=Inputs!$E$29,-CF$10*'(Z+) OpEx'!$E$20,0)</f>
        <v>-35189.396469970088</v>
      </c>
      <c r="CG40" s="434">
        <f>IF(CG$4&gt;=Inputs!$E$29,-CG$10*'(Z+) OpEx'!$E$20,0)</f>
        <v>-35274.347640002306</v>
      </c>
      <c r="CH40" s="434">
        <f>IF(CH$4&gt;=Inputs!$E$29,-CH$10*'(Z+) OpEx'!$E$20,0)</f>
        <v>-35359.503891735665</v>
      </c>
      <c r="CI40" s="434">
        <f>IF(CI$4&gt;=Inputs!$E$29,-CI$10*'(Z+) OpEx'!$E$20,0)</f>
        <v>-35444.865720260495</v>
      </c>
      <c r="CJ40" s="434">
        <f>IF(CJ$4&gt;=Inputs!$E$29,-CJ$10*'(Z+) OpEx'!$E$20,0)</f>
        <v>-35530.43362186235</v>
      </c>
      <c r="CK40" s="434">
        <f>IF(CK$4&gt;=Inputs!$E$29,-CK$10*'(Z+) OpEx'!$E$20,0)</f>
        <v>-35616.208094024878</v>
      </c>
      <c r="CL40" s="434">
        <f>IF(CL$4&gt;=Inputs!$E$29,-CL$10*'(Z+) OpEx'!$E$20,0)</f>
        <v>-35702.189635432689</v>
      </c>
      <c r="CM40" s="434">
        <f>IF(CM$4&gt;=Inputs!$E$29,-CM$10*'(Z+) OpEx'!$E$20,0)</f>
        <v>-35788.378745974289</v>
      </c>
      <c r="CN40" s="434">
        <f>IF(CN$4&gt;=Inputs!$E$29,-CN$10*'(Z+) OpEx'!$E$20,0)</f>
        <v>-35874.775926744958</v>
      </c>
      <c r="CO40" s="434">
        <f>IF(CO$4&gt;=Inputs!$E$29,-CO$10*'(Z+) OpEx'!$E$20,0)</f>
        <v>-35961.381680049693</v>
      </c>
      <c r="CP40" s="434">
        <f>IF(CP$4&gt;=Inputs!$E$29,-CP$10*'(Z+) OpEx'!$E$20,0)</f>
        <v>-36048.196509406109</v>
      </c>
      <c r="CQ40" s="434">
        <f>IF(CQ$4&gt;=Inputs!$E$29,-CQ$10*'(Z+) OpEx'!$E$20,0)</f>
        <v>-36135.220919547355</v>
      </c>
      <c r="CR40" s="434">
        <f>IF(CR$4&gt;=Inputs!$E$29,-CR$10*'(Z+) OpEx'!$E$20,0)</f>
        <v>-36222.455416425073</v>
      </c>
      <c r="CS40" s="434">
        <f>IF(CS$4&gt;=Inputs!$E$29,-CS$10*'(Z+) OpEx'!$E$20,0)</f>
        <v>-36309.900507212325</v>
      </c>
      <c r="CT40" s="434">
        <f>IF(CT$4&gt;=Inputs!$E$29,-CT$10*'(Z+) OpEx'!$E$20,0)</f>
        <v>-36397.556700306566</v>
      </c>
      <c r="CU40" s="434">
        <f>IF(CU$4&gt;=Inputs!$E$29,-CU$10*'(Z+) OpEx'!$E$20,0)</f>
        <v>-36485.424505332543</v>
      </c>
      <c r="CV40" s="434">
        <f>IF(CV$4&gt;=Inputs!$E$29,-CV$10*'(Z+) OpEx'!$E$20,0)</f>
        <v>-36573.504433145325</v>
      </c>
      <c r="CW40" s="434">
        <f>IF(CW$4&gt;=Inputs!$E$29,-CW$10*'(Z+) OpEx'!$E$20,0)</f>
        <v>-36661.796995833232</v>
      </c>
      <c r="CX40" s="434">
        <f>IF(CX$4&gt;=Inputs!$E$29,-CX$10*'(Z+) OpEx'!$E$20,0)</f>
        <v>-36750.302706720817</v>
      </c>
      <c r="CY40" s="434">
        <f>IF(CY$4&gt;=Inputs!$E$29,-CY$10*'(Z+) OpEx'!$E$20,0)</f>
        <v>-36839.022080371869</v>
      </c>
      <c r="CZ40" s="434">
        <f>IF(CZ$4&gt;=Inputs!$E$29,-CZ$10*'(Z+) OpEx'!$E$20,0)</f>
        <v>-36927.955632592377</v>
      </c>
      <c r="DA40" s="434">
        <f>IF(DA$4&gt;=Inputs!$E$29,-DA$10*'(Z+) OpEx'!$E$20,0)</f>
        <v>-37017.103880433569</v>
      </c>
      <c r="DB40" s="434">
        <f>IF(DB$4&gt;=Inputs!$E$29,-DB$10*'(Z+) OpEx'!$E$20,0)</f>
        <v>-37106.467342194861</v>
      </c>
      <c r="DC40" s="434">
        <f>IF(DC$4&gt;=Inputs!$E$29,-DC$10*'(Z+) OpEx'!$E$20,0)</f>
        <v>-37196.046537426926</v>
      </c>
      <c r="DD40" s="434">
        <f>IF(DD$4&gt;=Inputs!$E$29,-DD$10*'(Z+) OpEx'!$E$20,0)</f>
        <v>-37285.841986934676</v>
      </c>
      <c r="DE40" s="434">
        <f>IF(DE$4&gt;=Inputs!$E$29,-DE$10*'(Z+) OpEx'!$E$20,0)</f>
        <v>-37375.854212780316</v>
      </c>
      <c r="DF40" s="434">
        <f>IF(DF$4&gt;=Inputs!$E$29,-DF$10*'(Z+) OpEx'!$E$20,0)</f>
        <v>-37466.083738286361</v>
      </c>
      <c r="DG40" s="434">
        <f>IF(DG$4&gt;=Inputs!$E$29,-DG$10*'(Z+) OpEx'!$E$20,0)</f>
        <v>-37556.53108803869</v>
      </c>
      <c r="DH40" s="434">
        <f>IF(DH$4&gt;=Inputs!$E$29,-DH$10*'(Z+) OpEx'!$E$20,0)</f>
        <v>-37647.196787889588</v>
      </c>
      <c r="DI40" s="434">
        <f>IF(DI$4&gt;=Inputs!$E$29,-DI$10*'(Z+) OpEx'!$E$20,0)</f>
        <v>-37738.081364960803</v>
      </c>
      <c r="DJ40" s="434">
        <f>IF(DJ$4&gt;=Inputs!$E$29,-DJ$10*'(Z+) OpEx'!$E$20,0)</f>
        <v>-37829.185347646628</v>
      </c>
      <c r="DK40" s="434">
        <f>IF(DK$4&gt;=Inputs!$E$29,-DK$10*'(Z+) OpEx'!$E$20,0)</f>
        <v>-37920.509265616936</v>
      </c>
      <c r="DL40" s="434">
        <f>IF(DL$4&gt;=Inputs!$E$29,-DL$10*'(Z+) OpEx'!$E$20,0)</f>
        <v>-38012.053649820315</v>
      </c>
      <c r="DM40" s="434">
        <f>IF(DM$4&gt;=Inputs!$E$29,-DM$10*'(Z+) OpEx'!$E$20,0)</f>
        <v>-38103.819032487096</v>
      </c>
      <c r="DN40" s="434">
        <f>IF(DN$4&gt;=Inputs!$E$29,-DN$10*'(Z+) OpEx'!$E$20,0)</f>
        <v>-38195.805947132481</v>
      </c>
      <c r="DO40" s="434">
        <f>IF(DO$4&gt;=Inputs!$E$29,-DO$10*'(Z+) OpEx'!$E$20,0)</f>
        <v>-38288.014928559649</v>
      </c>
      <c r="DP40" s="434">
        <f>IF(DP$4&gt;=Inputs!$E$29,-DP$10*'(Z+) OpEx'!$E$20,0)</f>
        <v>-38380.446512862844</v>
      </c>
      <c r="DQ40" s="434">
        <f>IF(DQ$4&gt;=Inputs!$E$29,-DQ$10*'(Z+) OpEx'!$E$20,0)</f>
        <v>-38473.101237430492</v>
      </c>
      <c r="DR40" s="434">
        <f>IF(DR$4&gt;=Inputs!$E$29,-DR$10*'(Z+) OpEx'!$E$20,0)</f>
        <v>-38565.979640948353</v>
      </c>
      <c r="DS40" s="434">
        <f>IF(DS$4&gt;=Inputs!$E$29,-DS$10*'(Z+) OpEx'!$E$20,0)</f>
        <v>-38659.082263402634</v>
      </c>
      <c r="DT40" s="434">
        <f>IF(DT$4&gt;=Inputs!$E$29,-DT$10*'(Z+) OpEx'!$E$20,0)</f>
        <v>-38752.409646083106</v>
      </c>
      <c r="DU40" s="434">
        <f>IF(DU$4&gt;=Inputs!$E$29,-DU$10*'(Z+) OpEx'!$E$20,0)</f>
        <v>-38845.962331586314</v>
      </c>
    </row>
    <row r="41" spans="1:125" x14ac:dyDescent="0.25">
      <c r="A41" s="393" t="str">
        <f>+'(Z+) OpEx'!C21</f>
        <v xml:space="preserve">   HCID Fee</v>
      </c>
      <c r="B41" s="394"/>
      <c r="C41" s="435">
        <f>+'(Z+) OpEx'!D21</f>
        <v>22</v>
      </c>
      <c r="D41" s="395"/>
      <c r="E41" s="394"/>
      <c r="F41" s="432">
        <f>IF(F$4&gt;=Inputs!$E$29,-F$10*'(Z+) OpEx'!$E$21,0)</f>
        <v>0</v>
      </c>
      <c r="G41" s="432">
        <f>IF(G$4&gt;=Inputs!$E$29,-G$10*'(Z+) OpEx'!$E$21,0)</f>
        <v>0</v>
      </c>
      <c r="H41" s="432">
        <f>IF(H$4&gt;=Inputs!$E$29,-H$10*'(Z+) OpEx'!$E$21,0)</f>
        <v>0</v>
      </c>
      <c r="I41" s="432">
        <f>IF(I$4&gt;=Inputs!$E$29,-I$10*'(Z+) OpEx'!$E$21,0)</f>
        <v>0</v>
      </c>
      <c r="J41" s="433">
        <f>IF(J$4&gt;=Inputs!$E$29,-J$10*'(Z+) OpEx'!$E$21,0)</f>
        <v>0</v>
      </c>
      <c r="K41" s="433">
        <f>IF(K$4&gt;=Inputs!$E$29,-K$10*'(Z+) OpEx'!$E$21,0)</f>
        <v>0</v>
      </c>
      <c r="L41" s="433">
        <f>IF(L$4&gt;=Inputs!$E$29,-L$10*'(Z+) OpEx'!$E$21,0)</f>
        <v>0</v>
      </c>
      <c r="M41" s="433">
        <f>IF(M$4&gt;=Inputs!$E$29,-M$10*'(Z+) OpEx'!$E$21,0)</f>
        <v>0</v>
      </c>
      <c r="N41" s="433">
        <f>IF(N$4&gt;=Inputs!$E$29,-N$10*'(Z+) OpEx'!$E$21,0)</f>
        <v>0</v>
      </c>
      <c r="O41" s="433">
        <f>IF(O$4&gt;=Inputs!$E$29,-O$10*'(Z+) OpEx'!$E$21,0)</f>
        <v>0</v>
      </c>
      <c r="P41" s="433">
        <f>IF(P$4&gt;=Inputs!$E$29,-P$10*'(Z+) OpEx'!$E$21,0)</f>
        <v>0</v>
      </c>
      <c r="Q41" s="433">
        <f>IF(Q$4&gt;=Inputs!$E$29,-Q$10*'(Z+) OpEx'!$E$21,0)</f>
        <v>0</v>
      </c>
      <c r="R41" s="433">
        <f>IF(R$4&gt;=Inputs!$E$29,-R$10*'(Z+) OpEx'!$E$21,0)</f>
        <v>0</v>
      </c>
      <c r="S41" s="433">
        <f>IF(S$4&gt;=Inputs!$E$29,-S$10*'(Z+) OpEx'!$E$21,0)</f>
        <v>0</v>
      </c>
      <c r="T41" s="433">
        <f>IF(T$4&gt;=Inputs!$E$29,-T$10*'(Z+) OpEx'!$E$21,0)</f>
        <v>0</v>
      </c>
      <c r="U41" s="434">
        <f>IF(U$4&gt;=Inputs!$E$29,-U$10*'(Z+) OpEx'!$E$21,0)</f>
        <v>0</v>
      </c>
      <c r="V41" s="434">
        <f>IF(V$4&gt;=Inputs!$E$29,-V$10*'(Z+) OpEx'!$E$21,0)</f>
        <v>0</v>
      </c>
      <c r="W41" s="434">
        <f>IF(W$4&gt;=Inputs!$E$29,-W$10*'(Z+) OpEx'!$E$21,0)</f>
        <v>0</v>
      </c>
      <c r="X41" s="434">
        <f>IF(X$4&gt;=Inputs!$E$29,-X$10*'(Z+) OpEx'!$E$21,0)</f>
        <v>0</v>
      </c>
      <c r="Y41" s="434">
        <f>IF(Y$4&gt;=Inputs!$E$29,-Y$10*'(Z+) OpEx'!$E$21,0)</f>
        <v>0</v>
      </c>
      <c r="Z41" s="434">
        <f>IF(Z$4&gt;=Inputs!$E$29,-Z$10*'(Z+) OpEx'!$E$21,0)</f>
        <v>0</v>
      </c>
      <c r="AA41" s="434">
        <f>IF(AA$4&gt;=Inputs!$E$29,-AA$10*'(Z+) OpEx'!$E$21,0)</f>
        <v>-5345.0339827681164</v>
      </c>
      <c r="AB41" s="434">
        <f>IF(AB$4&gt;=Inputs!$E$29,-AB$10*'(Z+) OpEx'!$E$21,0)</f>
        <v>-5357.9374973562572</v>
      </c>
      <c r="AC41" s="434">
        <f>IF(AC$4&gt;=Inputs!$E$29,-AC$10*'(Z+) OpEx'!$E$21,0)</f>
        <v>-5370.8721624832478</v>
      </c>
      <c r="AD41" s="434">
        <f>IF(AD$4&gt;=Inputs!$E$29,-AD$10*'(Z+) OpEx'!$E$21,0)</f>
        <v>-5383.8380533499976</v>
      </c>
      <c r="AE41" s="434">
        <f>IF(AE$4&gt;=Inputs!$E$29,-AE$10*'(Z+) OpEx'!$E$21,0)</f>
        <v>-5396.8352453389643</v>
      </c>
      <c r="AF41" s="434">
        <f>IF(AF$4&gt;=Inputs!$E$29,-AF$10*'(Z+) OpEx'!$E$21,0)</f>
        <v>-5409.8638140145868</v>
      </c>
      <c r="AG41" s="434">
        <f>IF(AG$4&gt;=Inputs!$E$29,-AG$10*'(Z+) OpEx'!$E$21,0)</f>
        <v>-5422.9238351237218</v>
      </c>
      <c r="AH41" s="434">
        <f>IF(AH$4&gt;=Inputs!$E$29,-AH$10*'(Z+) OpEx'!$E$21,0)</f>
        <v>-5436.0153845960904</v>
      </c>
      <c r="AI41" s="434">
        <f>IF(AI$4&gt;=Inputs!$E$29,-AI$10*'(Z+) OpEx'!$E$21,0)</f>
        <v>-5449.1385385447147</v>
      </c>
      <c r="AJ41" s="434">
        <f>IF(AJ$4&gt;=Inputs!$E$29,-AJ$10*'(Z+) OpEx'!$E$21,0)</f>
        <v>-5462.2933732663651</v>
      </c>
      <c r="AK41" s="434">
        <f>IF(AK$4&gt;=Inputs!$E$29,-AK$10*'(Z+) OpEx'!$E$21,0)</f>
        <v>-5475.479965241997</v>
      </c>
      <c r="AL41" s="434">
        <f>IF(AL$4&gt;=Inputs!$E$29,-AL$10*'(Z+) OpEx'!$E$21,0)</f>
        <v>-5488.6983911372026</v>
      </c>
      <c r="AM41" s="434">
        <f>IF(AM$4&gt;=Inputs!$E$29,-AM$10*'(Z+) OpEx'!$E$21,0)</f>
        <v>-5501.9487278026527</v>
      </c>
      <c r="AN41" s="434">
        <f>IF(AN$4&gt;=Inputs!$E$29,-AN$10*'(Z+) OpEx'!$E$21,0)</f>
        <v>-5515.2310522745429</v>
      </c>
      <c r="AO41" s="434">
        <f>IF(AO$4&gt;=Inputs!$E$29,-AO$10*'(Z+) OpEx'!$E$21,0)</f>
        <v>-5528.5454417750452</v>
      </c>
      <c r="AP41" s="434">
        <f>IF(AP$4&gt;=Inputs!$E$29,-AP$10*'(Z+) OpEx'!$E$21,0)</f>
        <v>-5541.8919737127517</v>
      </c>
      <c r="AQ41" s="434">
        <f>IF(AQ$4&gt;=Inputs!$E$29,-AQ$10*'(Z+) OpEx'!$E$21,0)</f>
        <v>-5555.2707256831318</v>
      </c>
      <c r="AR41" s="434">
        <f>IF(AR$4&gt;=Inputs!$E$29,-AR$10*'(Z+) OpEx'!$E$21,0)</f>
        <v>-5568.6817754689755</v>
      </c>
      <c r="AS41" s="434">
        <f>IF(AS$4&gt;=Inputs!$E$29,-AS$10*'(Z+) OpEx'!$E$21,0)</f>
        <v>-5582.1252010408498</v>
      </c>
      <c r="AT41" s="434">
        <f>IF(AT$4&gt;=Inputs!$E$29,-AT$10*'(Z+) OpEx'!$E$21,0)</f>
        <v>-5595.6010805575515</v>
      </c>
      <c r="AU41" s="434">
        <f>IF(AU$4&gt;=Inputs!$E$29,-AU$10*'(Z+) OpEx'!$E$21,0)</f>
        <v>-5609.1094923665642</v>
      </c>
      <c r="AV41" s="434">
        <f>IF(AV$4&gt;=Inputs!$E$29,-AV$10*'(Z+) OpEx'!$E$21,0)</f>
        <v>-5622.6505150045068</v>
      </c>
      <c r="AW41" s="434">
        <f>IF(AW$4&gt;=Inputs!$E$29,-AW$10*'(Z+) OpEx'!$E$21,0)</f>
        <v>-5636.2242271975965</v>
      </c>
      <c r="AX41" s="434">
        <f>IF(AX$4&gt;=Inputs!$E$29,-AX$10*'(Z+) OpEx'!$E$21,0)</f>
        <v>-5649.8307078621056</v>
      </c>
      <c r="AY41" s="434">
        <f>IF(AY$4&gt;=Inputs!$E$29,-AY$10*'(Z+) OpEx'!$E$21,0)</f>
        <v>-5663.4700361048181</v>
      </c>
      <c r="AZ41" s="434">
        <f>IF(AZ$4&gt;=Inputs!$E$29,-AZ$10*'(Z+) OpEx'!$E$21,0)</f>
        <v>-5677.1422912234902</v>
      </c>
      <c r="BA41" s="434">
        <f>IF(BA$4&gt;=Inputs!$E$29,-BA$10*'(Z+) OpEx'!$E$21,0)</f>
        <v>-5690.8475527073133</v>
      </c>
      <c r="BB41" s="434">
        <f>IF(BB$4&gt;=Inputs!$E$29,-BB$10*'(Z+) OpEx'!$E$21,0)</f>
        <v>-5704.5859002373727</v>
      </c>
      <c r="BC41" s="434">
        <f>IF(BC$4&gt;=Inputs!$E$29,-BC$10*'(Z+) OpEx'!$E$21,0)</f>
        <v>-5718.3574136871157</v>
      </c>
      <c r="BD41" s="434">
        <f>IF(BD$4&gt;=Inputs!$E$29,-BD$10*'(Z+) OpEx'!$E$21,0)</f>
        <v>-5732.1621731228079</v>
      </c>
      <c r="BE41" s="434">
        <f>IF(BE$4&gt;=Inputs!$E$29,-BE$10*'(Z+) OpEx'!$E$21,0)</f>
        <v>-5746.0002588040106</v>
      </c>
      <c r="BF41" s="434">
        <f>IF(BF$4&gt;=Inputs!$E$29,-BF$10*'(Z+) OpEx'!$E$21,0)</f>
        <v>-5759.871751184035</v>
      </c>
      <c r="BG41" s="434">
        <f>IF(BG$4&gt;=Inputs!$E$29,-BG$10*'(Z+) OpEx'!$E$21,0)</f>
        <v>-5773.7767309104202</v>
      </c>
      <c r="BH41" s="434">
        <f>IF(BH$4&gt;=Inputs!$E$29,-BH$10*'(Z+) OpEx'!$E$21,0)</f>
        <v>-5787.7152788253934</v>
      </c>
      <c r="BI41" s="434">
        <f>IF(BI$4&gt;=Inputs!$E$29,-BI$10*'(Z+) OpEx'!$E$21,0)</f>
        <v>-5801.687475966346</v>
      </c>
      <c r="BJ41" s="434">
        <f>IF(BJ$4&gt;=Inputs!$E$29,-BJ$10*'(Z+) OpEx'!$E$21,0)</f>
        <v>-5815.6934035663044</v>
      </c>
      <c r="BK41" s="434">
        <f>IF(BK$4&gt;=Inputs!$E$29,-BK$10*'(Z+) OpEx'!$E$21,0)</f>
        <v>-5829.7331430543991</v>
      </c>
      <c r="BL41" s="434">
        <f>IF(BL$4&gt;=Inputs!$E$29,-BL$10*'(Z+) OpEx'!$E$21,0)</f>
        <v>-5843.806776056339</v>
      </c>
      <c r="BM41" s="434">
        <f>IF(BM$4&gt;=Inputs!$E$29,-BM$10*'(Z+) OpEx'!$E$21,0)</f>
        <v>-5857.9143843948868</v>
      </c>
      <c r="BN41" s="434">
        <f>IF(BN$4&gt;=Inputs!$E$29,-BN$10*'(Z+) OpEx'!$E$21,0)</f>
        <v>-5872.0560500903366</v>
      </c>
      <c r="BO41" s="434">
        <f>IF(BO$4&gt;=Inputs!$E$29,-BO$10*'(Z+) OpEx'!$E$21,0)</f>
        <v>-5886.2318553609857</v>
      </c>
      <c r="BP41" s="434">
        <f>IF(BP$4&gt;=Inputs!$E$29,-BP$10*'(Z+) OpEx'!$E$21,0)</f>
        <v>-5900.4418826236188</v>
      </c>
      <c r="BQ41" s="434">
        <f>IF(BQ$4&gt;=Inputs!$E$29,-BQ$10*'(Z+) OpEx'!$E$21,0)</f>
        <v>-5914.6862144939814</v>
      </c>
      <c r="BR41" s="434">
        <f>IF(BR$4&gt;=Inputs!$E$29,-BR$10*'(Z+) OpEx'!$E$21,0)</f>
        <v>-5928.9649337872634</v>
      </c>
      <c r="BS41" s="434">
        <f>IF(BS$4&gt;=Inputs!$E$29,-BS$10*'(Z+) OpEx'!$E$21,0)</f>
        <v>-5943.2781235185812</v>
      </c>
      <c r="BT41" s="434">
        <f>IF(BT$4&gt;=Inputs!$E$29,-BT$10*'(Z+) OpEx'!$E$21,0)</f>
        <v>-5957.6258669034578</v>
      </c>
      <c r="BU41" s="434">
        <f>IF(BU$4&gt;=Inputs!$E$29,-BU$10*'(Z+) OpEx'!$E$21,0)</f>
        <v>-5972.0082473583088</v>
      </c>
      <c r="BV41" s="434">
        <f>IF(BV$4&gt;=Inputs!$E$29,-BV$10*'(Z+) OpEx'!$E$21,0)</f>
        <v>-5986.4253485009249</v>
      </c>
      <c r="BW41" s="434">
        <f>IF(BW$4&gt;=Inputs!$E$29,-BW$10*'(Z+) OpEx'!$E$21,0)</f>
        <v>-6000.8772541509607</v>
      </c>
      <c r="BX41" s="434">
        <f>IF(BX$4&gt;=Inputs!$E$29,-BX$10*'(Z+) OpEx'!$E$21,0)</f>
        <v>-6015.3640483304207</v>
      </c>
      <c r="BY41" s="434">
        <f>IF(BY$4&gt;=Inputs!$E$29,-BY$10*'(Z+) OpEx'!$E$21,0)</f>
        <v>-6029.8858152641487</v>
      </c>
      <c r="BZ41" s="434">
        <f>IF(BZ$4&gt;=Inputs!$E$29,-BZ$10*'(Z+) OpEx'!$E$21,0)</f>
        <v>-6044.4426393803151</v>
      </c>
      <c r="CA41" s="434">
        <f>IF(CA$4&gt;=Inputs!$E$29,-CA$10*'(Z+) OpEx'!$E$21,0)</f>
        <v>-6059.0346053109097</v>
      </c>
      <c r="CB41" s="434">
        <f>IF(CB$4&gt;=Inputs!$E$29,-CB$10*'(Z+) OpEx'!$E$21,0)</f>
        <v>-6073.6617978922359</v>
      </c>
      <c r="CC41" s="434">
        <f>IF(CC$4&gt;=Inputs!$E$29,-CC$10*'(Z+) OpEx'!$E$21,0)</f>
        <v>-6088.3243021653989</v>
      </c>
      <c r="CD41" s="434">
        <f>IF(CD$4&gt;=Inputs!$E$29,-CD$10*'(Z+) OpEx'!$E$21,0)</f>
        <v>-6103.0222033768041</v>
      </c>
      <c r="CE41" s="434">
        <f>IF(CE$4&gt;=Inputs!$E$29,-CE$10*'(Z+) OpEx'!$E$21,0)</f>
        <v>-6117.7555869786493</v>
      </c>
      <c r="CF41" s="434">
        <f>IF(CF$4&gt;=Inputs!$E$29,-CF$10*'(Z+) OpEx'!$E$21,0)</f>
        <v>-6132.5245386294264</v>
      </c>
      <c r="CG41" s="434">
        <f>IF(CG$4&gt;=Inputs!$E$29,-CG$10*'(Z+) OpEx'!$E$21,0)</f>
        <v>-6147.3291441944148</v>
      </c>
      <c r="CH41" s="434">
        <f>IF(CH$4&gt;=Inputs!$E$29,-CH$10*'(Z+) OpEx'!$E$21,0)</f>
        <v>-6162.1694897461812</v>
      </c>
      <c r="CI41" s="434">
        <f>IF(CI$4&gt;=Inputs!$E$29,-CI$10*'(Z+) OpEx'!$E$21,0)</f>
        <v>-6177.0456615650855</v>
      </c>
      <c r="CJ41" s="434">
        <f>IF(CJ$4&gt;=Inputs!$E$29,-CJ$10*'(Z+) OpEx'!$E$21,0)</f>
        <v>-6191.9577461397739</v>
      </c>
      <c r="CK41" s="434">
        <f>IF(CK$4&gt;=Inputs!$E$29,-CK$10*'(Z+) OpEx'!$E$21,0)</f>
        <v>-6206.9058301676878</v>
      </c>
      <c r="CL41" s="434">
        <f>IF(CL$4&gt;=Inputs!$E$29,-CL$10*'(Z+) OpEx'!$E$21,0)</f>
        <v>-6221.8900005555643</v>
      </c>
      <c r="CM41" s="434">
        <f>IF(CM$4&gt;=Inputs!$E$29,-CM$10*'(Z+) OpEx'!$E$21,0)</f>
        <v>-6236.9103444199454</v>
      </c>
      <c r="CN41" s="434">
        <f>IF(CN$4&gt;=Inputs!$E$29,-CN$10*'(Z+) OpEx'!$E$21,0)</f>
        <v>-6251.9669490876804</v>
      </c>
      <c r="CO41" s="434">
        <f>IF(CO$4&gt;=Inputs!$E$29,-CO$10*'(Z+) OpEx'!$E$21,0)</f>
        <v>-6267.0599020964382</v>
      </c>
      <c r="CP41" s="434">
        <f>IF(CP$4&gt;=Inputs!$E$29,-CP$10*'(Z+) OpEx'!$E$21,0)</f>
        <v>-6282.18929119521</v>
      </c>
      <c r="CQ41" s="434">
        <f>IF(CQ$4&gt;=Inputs!$E$29,-CQ$10*'(Z+) OpEx'!$E$21,0)</f>
        <v>-6297.3552043448244</v>
      </c>
      <c r="CR41" s="434">
        <f>IF(CR$4&gt;=Inputs!$E$29,-CR$10*'(Z+) OpEx'!$E$21,0)</f>
        <v>-6312.5577297184591</v>
      </c>
      <c r="CS41" s="434">
        <f>IF(CS$4&gt;=Inputs!$E$29,-CS$10*'(Z+) OpEx'!$E$21,0)</f>
        <v>-6327.7969557021488</v>
      </c>
      <c r="CT41" s="434">
        <f>IF(CT$4&gt;=Inputs!$E$29,-CT$10*'(Z+) OpEx'!$E$21,0)</f>
        <v>-6343.0729708953049</v>
      </c>
      <c r="CU41" s="434">
        <f>IF(CU$4&gt;=Inputs!$E$29,-CU$10*'(Z+) OpEx'!$E$21,0)</f>
        <v>-6358.3858641112247</v>
      </c>
      <c r="CV41" s="434">
        <f>IF(CV$4&gt;=Inputs!$E$29,-CV$10*'(Z+) OpEx'!$E$21,0)</f>
        <v>-6373.7357243776132</v>
      </c>
      <c r="CW41" s="434">
        <f>IF(CW$4&gt;=Inputs!$E$29,-CW$10*'(Z+) OpEx'!$E$21,0)</f>
        <v>-6389.1226409370975</v>
      </c>
      <c r="CX41" s="434">
        <f>IF(CX$4&gt;=Inputs!$E$29,-CX$10*'(Z+) OpEx'!$E$21,0)</f>
        <v>-6404.5467032477472</v>
      </c>
      <c r="CY41" s="434">
        <f>IF(CY$4&gt;=Inputs!$E$29,-CY$10*'(Z+) OpEx'!$E$21,0)</f>
        <v>-6420.008000983592</v>
      </c>
      <c r="CZ41" s="434">
        <f>IF(CZ$4&gt;=Inputs!$E$29,-CZ$10*'(Z+) OpEx'!$E$21,0)</f>
        <v>-6435.5066240351471</v>
      </c>
      <c r="DA41" s="434">
        <f>IF(DA$4&gt;=Inputs!$E$29,-DA$10*'(Z+) OpEx'!$E$21,0)</f>
        <v>-6451.0426625099317</v>
      </c>
      <c r="DB41" s="434">
        <f>IF(DB$4&gt;=Inputs!$E$29,-DB$10*'(Z+) OpEx'!$E$21,0)</f>
        <v>-6466.6162067329951</v>
      </c>
      <c r="DC41" s="434">
        <f>IF(DC$4&gt;=Inputs!$E$29,-DC$10*'(Z+) OpEx'!$E$21,0)</f>
        <v>-6482.2273472474435</v>
      </c>
      <c r="DD41" s="434">
        <f>IF(DD$4&gt;=Inputs!$E$29,-DD$10*'(Z+) OpEx'!$E$21,0)</f>
        <v>-6497.87617481496</v>
      </c>
      <c r="DE41" s="434">
        <f>IF(DE$4&gt;=Inputs!$E$29,-DE$10*'(Z+) OpEx'!$E$21,0)</f>
        <v>-6513.5627804163405</v>
      </c>
      <c r="DF41" s="434">
        <f>IF(DF$4&gt;=Inputs!$E$29,-DF$10*'(Z+) OpEx'!$E$21,0)</f>
        <v>-6529.2872552520184</v>
      </c>
      <c r="DG41" s="434">
        <f>IF(DG$4&gt;=Inputs!$E$29,-DG$10*'(Z+) OpEx'!$E$21,0)</f>
        <v>-6545.0496907425922</v>
      </c>
      <c r="DH41" s="434">
        <f>IF(DH$4&gt;=Inputs!$E$29,-DH$10*'(Z+) OpEx'!$E$21,0)</f>
        <v>-6560.8501785293638</v>
      </c>
      <c r="DI41" s="434">
        <f>IF(DI$4&gt;=Inputs!$E$29,-DI$10*'(Z+) OpEx'!$E$21,0)</f>
        <v>-6576.6888104748659</v>
      </c>
      <c r="DJ41" s="434">
        <f>IF(DJ$4&gt;=Inputs!$E$29,-DJ$10*'(Z+) OpEx'!$E$21,0)</f>
        <v>-6592.5656786633963</v>
      </c>
      <c r="DK41" s="434">
        <f>IF(DK$4&gt;=Inputs!$E$29,-DK$10*'(Z+) OpEx'!$E$21,0)</f>
        <v>-6608.4808754015576</v>
      </c>
      <c r="DL41" s="434">
        <f>IF(DL$4&gt;=Inputs!$E$29,-DL$10*'(Z+) OpEx'!$E$21,0)</f>
        <v>-6624.4344932187887</v>
      </c>
      <c r="DM41" s="434">
        <f>IF(DM$4&gt;=Inputs!$E$29,-DM$10*'(Z+) OpEx'!$E$21,0)</f>
        <v>-6640.4266248679069</v>
      </c>
      <c r="DN41" s="434">
        <f>IF(DN$4&gt;=Inputs!$E$29,-DN$10*'(Z+) OpEx'!$E$21,0)</f>
        <v>-6656.4573633256423</v>
      </c>
      <c r="DO41" s="434">
        <f>IF(DO$4&gt;=Inputs!$E$29,-DO$10*'(Z+) OpEx'!$E$21,0)</f>
        <v>-6672.5268017931849</v>
      </c>
      <c r="DP41" s="434">
        <f>IF(DP$4&gt;=Inputs!$E$29,-DP$10*'(Z+) OpEx'!$E$21,0)</f>
        <v>-6688.6350336967189</v>
      </c>
      <c r="DQ41" s="434">
        <f>IF(DQ$4&gt;=Inputs!$E$29,-DQ$10*'(Z+) OpEx'!$E$21,0)</f>
        <v>-6704.7821526879743</v>
      </c>
      <c r="DR41" s="434">
        <f>IF(DR$4&gt;=Inputs!$E$29,-DR$10*'(Z+) OpEx'!$E$21,0)</f>
        <v>-6720.9682526447641</v>
      </c>
      <c r="DS41" s="434">
        <f>IF(DS$4&gt;=Inputs!$E$29,-DS$10*'(Z+) OpEx'!$E$21,0)</f>
        <v>-6737.1934276715319</v>
      </c>
      <c r="DT41" s="434">
        <f>IF(DT$4&gt;=Inputs!$E$29,-DT$10*'(Z+) OpEx'!$E$21,0)</f>
        <v>-6753.4577720999023</v>
      </c>
      <c r="DU41" s="434">
        <f>IF(DU$4&gt;=Inputs!$E$29,-DU$10*'(Z+) OpEx'!$E$21,0)</f>
        <v>-6769.761380489228</v>
      </c>
    </row>
    <row r="42" spans="1:125" x14ac:dyDescent="0.25">
      <c r="A42" s="393" t="str">
        <f>+'(Z+) OpEx'!C22</f>
        <v xml:space="preserve">   Elevator Maint.</v>
      </c>
      <c r="B42" s="394"/>
      <c r="C42" s="435">
        <f>+'(Z+) OpEx'!D22</f>
        <v>5</v>
      </c>
      <c r="D42" s="395"/>
      <c r="E42" s="394"/>
      <c r="F42" s="432">
        <f>IF(F$4&gt;=Inputs!$E$29,-F$10*'(Z+) OpEx'!$E$22,0)</f>
        <v>0</v>
      </c>
      <c r="G42" s="432">
        <f>IF(G$4&gt;=Inputs!$E$29,-G$10*'(Z+) OpEx'!$E$22,0)</f>
        <v>0</v>
      </c>
      <c r="H42" s="432">
        <f>IF(H$4&gt;=Inputs!$E$29,-H$10*'(Z+) OpEx'!$E$22,0)</f>
        <v>0</v>
      </c>
      <c r="I42" s="432">
        <f>IF(I$4&gt;=Inputs!$E$29,-I$10*'(Z+) OpEx'!$E$22,0)</f>
        <v>0</v>
      </c>
      <c r="J42" s="433">
        <f>IF(J$4&gt;=Inputs!$E$29,-J$10*'(Z+) OpEx'!$E$22,0)</f>
        <v>0</v>
      </c>
      <c r="K42" s="433">
        <f>IF(K$4&gt;=Inputs!$E$29,-K$10*'(Z+) OpEx'!$E$22,0)</f>
        <v>0</v>
      </c>
      <c r="L42" s="433">
        <f>IF(L$4&gt;=Inputs!$E$29,-L$10*'(Z+) OpEx'!$E$22,0)</f>
        <v>0</v>
      </c>
      <c r="M42" s="433">
        <f>IF(M$4&gt;=Inputs!$E$29,-M$10*'(Z+) OpEx'!$E$22,0)</f>
        <v>0</v>
      </c>
      <c r="N42" s="433">
        <f>IF(N$4&gt;=Inputs!$E$29,-N$10*'(Z+) OpEx'!$E$22,0)</f>
        <v>0</v>
      </c>
      <c r="O42" s="433">
        <f>IF(O$4&gt;=Inputs!$E$29,-O$10*'(Z+) OpEx'!$E$22,0)</f>
        <v>0</v>
      </c>
      <c r="P42" s="433">
        <f>IF(P$4&gt;=Inputs!$E$29,-P$10*'(Z+) OpEx'!$E$22,0)</f>
        <v>0</v>
      </c>
      <c r="Q42" s="433">
        <f>IF(Q$4&gt;=Inputs!$E$29,-Q$10*'(Z+) OpEx'!$E$22,0)</f>
        <v>0</v>
      </c>
      <c r="R42" s="433">
        <f>IF(R$4&gt;=Inputs!$E$29,-R$10*'(Z+) OpEx'!$E$22,0)</f>
        <v>0</v>
      </c>
      <c r="S42" s="433">
        <f>IF(S$4&gt;=Inputs!$E$29,-S$10*'(Z+) OpEx'!$E$22,0)</f>
        <v>0</v>
      </c>
      <c r="T42" s="433">
        <f>IF(T$4&gt;=Inputs!$E$29,-T$10*'(Z+) OpEx'!$E$22,0)</f>
        <v>0</v>
      </c>
      <c r="U42" s="434">
        <f>IF(U$4&gt;=Inputs!$E$29,-U$10*'(Z+) OpEx'!$E$22,0)</f>
        <v>0</v>
      </c>
      <c r="V42" s="434">
        <f>IF(V$4&gt;=Inputs!$E$29,-V$10*'(Z+) OpEx'!$E$22,0)</f>
        <v>0</v>
      </c>
      <c r="W42" s="434">
        <f>IF(W$4&gt;=Inputs!$E$29,-W$10*'(Z+) OpEx'!$E$22,0)</f>
        <v>0</v>
      </c>
      <c r="X42" s="434">
        <f>IF(X$4&gt;=Inputs!$E$29,-X$10*'(Z+) OpEx'!$E$22,0)</f>
        <v>0</v>
      </c>
      <c r="Y42" s="434">
        <f>IF(Y$4&gt;=Inputs!$E$29,-Y$10*'(Z+) OpEx'!$E$22,0)</f>
        <v>0</v>
      </c>
      <c r="Z42" s="434">
        <f>IF(Z$4&gt;=Inputs!$E$29,-Z$10*'(Z+) OpEx'!$E$22,0)</f>
        <v>0</v>
      </c>
      <c r="AA42" s="434">
        <f>IF(AA$4&gt;=Inputs!$E$29,-AA$10*'(Z+) OpEx'!$E$22,0)</f>
        <v>-1084.6254023474262</v>
      </c>
      <c r="AB42" s="434">
        <f>IF(AB$4&gt;=Inputs!$E$29,-AB$10*'(Z+) OpEx'!$E$22,0)</f>
        <v>-1087.2438103401496</v>
      </c>
      <c r="AC42" s="434">
        <f>IF(AC$4&gt;=Inputs!$E$29,-AC$10*'(Z+) OpEx'!$E$22,0)</f>
        <v>-1089.8685394649447</v>
      </c>
      <c r="AD42" s="434">
        <f>IF(AD$4&gt;=Inputs!$E$29,-AD$10*'(Z+) OpEx'!$E$22,0)</f>
        <v>-1092.4996049817366</v>
      </c>
      <c r="AE42" s="434">
        <f>IF(AE$4&gt;=Inputs!$E$29,-AE$10*'(Z+) OpEx'!$E$22,0)</f>
        <v>-1095.1370221872899</v>
      </c>
      <c r="AF42" s="434">
        <f>IF(AF$4&gt;=Inputs!$E$29,-AF$10*'(Z+) OpEx'!$E$22,0)</f>
        <v>-1097.7808064152975</v>
      </c>
      <c r="AG42" s="434">
        <f>IF(AG$4&gt;=Inputs!$E$29,-AG$10*'(Z+) OpEx'!$E$22,0)</f>
        <v>-1100.4309730364694</v>
      </c>
      <c r="AH42" s="434">
        <f>IF(AH$4&gt;=Inputs!$E$29,-AH$10*'(Z+) OpEx'!$E$22,0)</f>
        <v>-1103.0875374586221</v>
      </c>
      <c r="AI42" s="434">
        <f>IF(AI$4&gt;=Inputs!$E$29,-AI$10*'(Z+) OpEx'!$E$22,0)</f>
        <v>-1105.7505151267685</v>
      </c>
      <c r="AJ42" s="434">
        <f>IF(AJ$4&gt;=Inputs!$E$29,-AJ$10*'(Z+) OpEx'!$E$22,0)</f>
        <v>-1108.419921523207</v>
      </c>
      <c r="AK42" s="434">
        <f>IF(AK$4&gt;=Inputs!$E$29,-AK$10*'(Z+) OpEx'!$E$22,0)</f>
        <v>-1111.0957721676129</v>
      </c>
      <c r="AL42" s="434">
        <f>IF(AL$4&gt;=Inputs!$E$29,-AL$10*'(Z+) OpEx'!$E$22,0)</f>
        <v>-1113.7780826171272</v>
      </c>
      <c r="AM42" s="434">
        <f>IF(AM$4&gt;=Inputs!$E$29,-AM$10*'(Z+) OpEx'!$E$22,0)</f>
        <v>-1116.4668684664473</v>
      </c>
      <c r="AN42" s="434">
        <f>IF(AN$4&gt;=Inputs!$E$29,-AN$10*'(Z+) OpEx'!$E$22,0)</f>
        <v>-1119.1621453479186</v>
      </c>
      <c r="AO42" s="434">
        <f>IF(AO$4&gt;=Inputs!$E$29,-AO$10*'(Z+) OpEx'!$E$22,0)</f>
        <v>-1121.8639289316243</v>
      </c>
      <c r="AP42" s="434">
        <f>IF(AP$4&gt;=Inputs!$E$29,-AP$10*'(Z+) OpEx'!$E$22,0)</f>
        <v>-1124.5722349254772</v>
      </c>
      <c r="AQ42" s="434">
        <f>IF(AQ$4&gt;=Inputs!$E$29,-AQ$10*'(Z+) OpEx'!$E$22,0)</f>
        <v>-1127.2870790753109</v>
      </c>
      <c r="AR42" s="434">
        <f>IF(AR$4&gt;=Inputs!$E$29,-AR$10*'(Z+) OpEx'!$E$22,0)</f>
        <v>-1130.0084771649706</v>
      </c>
      <c r="AS42" s="434">
        <f>IF(AS$4&gt;=Inputs!$E$29,-AS$10*'(Z+) OpEx'!$E$22,0)</f>
        <v>-1132.7364450164062</v>
      </c>
      <c r="AT42" s="434">
        <f>IF(AT$4&gt;=Inputs!$E$29,-AT$10*'(Z+) OpEx'!$E$22,0)</f>
        <v>-1135.4709984897629</v>
      </c>
      <c r="AU42" s="434">
        <f>IF(AU$4&gt;=Inputs!$E$29,-AU$10*'(Z+) OpEx'!$E$22,0)</f>
        <v>-1138.2121534834748</v>
      </c>
      <c r="AV42" s="434">
        <f>IF(AV$4&gt;=Inputs!$E$29,-AV$10*'(Z+) OpEx'!$E$22,0)</f>
        <v>-1140.9599259343561</v>
      </c>
      <c r="AW42" s="434">
        <f>IF(AW$4&gt;=Inputs!$E$29,-AW$10*'(Z+) OpEx'!$E$22,0)</f>
        <v>-1143.7143318176941</v>
      </c>
      <c r="AX42" s="434">
        <f>IF(AX$4&gt;=Inputs!$E$29,-AX$10*'(Z+) OpEx'!$E$22,0)</f>
        <v>-1146.4753871473429</v>
      </c>
      <c r="AY42" s="434">
        <f>IF(AY$4&gt;=Inputs!$E$29,-AY$10*'(Z+) OpEx'!$E$22,0)</f>
        <v>-1149.2431079758153</v>
      </c>
      <c r="AZ42" s="434">
        <f>IF(AZ$4&gt;=Inputs!$E$29,-AZ$10*'(Z+) OpEx'!$E$22,0)</f>
        <v>-1152.017510394377</v>
      </c>
      <c r="BA42" s="434">
        <f>IF(BA$4&gt;=Inputs!$E$29,-BA$10*'(Z+) OpEx'!$E$22,0)</f>
        <v>-1154.7986105331399</v>
      </c>
      <c r="BB42" s="434">
        <f>IF(BB$4&gt;=Inputs!$E$29,-BB$10*'(Z+) OpEx'!$E$22,0)</f>
        <v>-1157.5864245611551</v>
      </c>
      <c r="BC42" s="434">
        <f>IF(BC$4&gt;=Inputs!$E$29,-BC$10*'(Z+) OpEx'!$E$22,0)</f>
        <v>-1160.3809686865088</v>
      </c>
      <c r="BD42" s="434">
        <f>IF(BD$4&gt;=Inputs!$E$29,-BD$10*'(Z+) OpEx'!$E$22,0)</f>
        <v>-1163.1822591564139</v>
      </c>
      <c r="BE42" s="434">
        <f>IF(BE$4&gt;=Inputs!$E$29,-BE$10*'(Z+) OpEx'!$E$22,0)</f>
        <v>-1165.9903122573073</v>
      </c>
      <c r="BF42" s="434">
        <f>IF(BF$4&gt;=Inputs!$E$29,-BF$10*'(Z+) OpEx'!$E$22,0)</f>
        <v>-1168.8051443149423</v>
      </c>
      <c r="BG42" s="434">
        <f>IF(BG$4&gt;=Inputs!$E$29,-BG$10*'(Z+) OpEx'!$E$22,0)</f>
        <v>-1171.6267716944844</v>
      </c>
      <c r="BH42" s="434">
        <f>IF(BH$4&gt;=Inputs!$E$29,-BH$10*'(Z+) OpEx'!$E$22,0)</f>
        <v>-1174.4552108006073</v>
      </c>
      <c r="BI42" s="434">
        <f>IF(BI$4&gt;=Inputs!$E$29,-BI$10*'(Z+) OpEx'!$E$22,0)</f>
        <v>-1177.2904780775864</v>
      </c>
      <c r="BJ42" s="434">
        <f>IF(BJ$4&gt;=Inputs!$E$29,-BJ$10*'(Z+) OpEx'!$E$22,0)</f>
        <v>-1180.1325900093962</v>
      </c>
      <c r="BK42" s="434">
        <f>IF(BK$4&gt;=Inputs!$E$29,-BK$10*'(Z+) OpEx'!$E$22,0)</f>
        <v>-1182.9815631198048</v>
      </c>
      <c r="BL42" s="434">
        <f>IF(BL$4&gt;=Inputs!$E$29,-BL$10*'(Z+) OpEx'!$E$22,0)</f>
        <v>-1185.8374139724713</v>
      </c>
      <c r="BM42" s="434">
        <f>IF(BM$4&gt;=Inputs!$E$29,-BM$10*'(Z+) OpEx'!$E$22,0)</f>
        <v>-1188.7001591710405</v>
      </c>
      <c r="BN42" s="434">
        <f>IF(BN$4&gt;=Inputs!$E$29,-BN$10*'(Z+) OpEx'!$E$22,0)</f>
        <v>-1191.5698153592402</v>
      </c>
      <c r="BO42" s="434">
        <f>IF(BO$4&gt;=Inputs!$E$29,-BO$10*'(Z+) OpEx'!$E$22,0)</f>
        <v>-1194.4463992209792</v>
      </c>
      <c r="BP42" s="434">
        <f>IF(BP$4&gt;=Inputs!$E$29,-BP$10*'(Z+) OpEx'!$E$22,0)</f>
        <v>-1197.3299274804419</v>
      </c>
      <c r="BQ42" s="434">
        <f>IF(BQ$4&gt;=Inputs!$E$29,-BQ$10*'(Z+) OpEx'!$E$22,0)</f>
        <v>-1200.2204169021877</v>
      </c>
      <c r="BR42" s="434">
        <f>IF(BR$4&gt;=Inputs!$E$29,-BR$10*'(Z+) OpEx'!$E$22,0)</f>
        <v>-1203.1178842912466</v>
      </c>
      <c r="BS42" s="434">
        <f>IF(BS$4&gt;=Inputs!$E$29,-BS$10*'(Z+) OpEx'!$E$22,0)</f>
        <v>-1206.0223464932185</v>
      </c>
      <c r="BT42" s="434">
        <f>IF(BT$4&gt;=Inputs!$E$29,-BT$10*'(Z+) OpEx'!$E$22,0)</f>
        <v>-1208.9338203943705</v>
      </c>
      <c r="BU42" s="434">
        <f>IF(BU$4&gt;=Inputs!$E$29,-BU$10*'(Z+) OpEx'!$E$22,0)</f>
        <v>-1211.8523229217346</v>
      </c>
      <c r="BV42" s="434">
        <f>IF(BV$4&gt;=Inputs!$E$29,-BV$10*'(Z+) OpEx'!$E$22,0)</f>
        <v>-1214.7778710432071</v>
      </c>
      <c r="BW42" s="434">
        <f>IF(BW$4&gt;=Inputs!$E$29,-BW$10*'(Z+) OpEx'!$E$22,0)</f>
        <v>-1217.7104817676461</v>
      </c>
      <c r="BX42" s="434">
        <f>IF(BX$4&gt;=Inputs!$E$29,-BX$10*'(Z+) OpEx'!$E$22,0)</f>
        <v>-1220.6501721449715</v>
      </c>
      <c r="BY42" s="434">
        <f>IF(BY$4&gt;=Inputs!$E$29,-BY$10*'(Z+) OpEx'!$E$22,0)</f>
        <v>-1223.5969592662639</v>
      </c>
      <c r="BZ42" s="434">
        <f>IF(BZ$4&gt;=Inputs!$E$29,-BZ$10*'(Z+) OpEx'!$E$22,0)</f>
        <v>-1226.5508602638627</v>
      </c>
      <c r="CA42" s="434">
        <f>IF(CA$4&gt;=Inputs!$E$29,-CA$10*'(Z+) OpEx'!$E$22,0)</f>
        <v>-1229.5118923114671</v>
      </c>
      <c r="CB42" s="434">
        <f>IF(CB$4&gt;=Inputs!$E$29,-CB$10*'(Z+) OpEx'!$E$22,0)</f>
        <v>-1232.4800726242361</v>
      </c>
      <c r="CC42" s="434">
        <f>IF(CC$4&gt;=Inputs!$E$29,-CC$10*'(Z+) OpEx'!$E$22,0)</f>
        <v>-1235.4554184588876</v>
      </c>
      <c r="CD42" s="434">
        <f>IF(CD$4&gt;=Inputs!$E$29,-CD$10*'(Z+) OpEx'!$E$22,0)</f>
        <v>-1238.4379471137995</v>
      </c>
      <c r="CE42" s="434">
        <f>IF(CE$4&gt;=Inputs!$E$29,-CE$10*'(Z+) OpEx'!$E$22,0)</f>
        <v>-1241.427675929109</v>
      </c>
      <c r="CF42" s="434">
        <f>IF(CF$4&gt;=Inputs!$E$29,-CF$10*'(Z+) OpEx'!$E$22,0)</f>
        <v>-1244.4246222868153</v>
      </c>
      <c r="CG42" s="434">
        <f>IF(CG$4&gt;=Inputs!$E$29,-CG$10*'(Z+) OpEx'!$E$22,0)</f>
        <v>-1247.4288036108796</v>
      </c>
      <c r="CH42" s="434">
        <f>IF(CH$4&gt;=Inputs!$E$29,-CH$10*'(Z+) OpEx'!$E$22,0)</f>
        <v>-1250.4402373673258</v>
      </c>
      <c r="CI42" s="434">
        <f>IF(CI$4&gt;=Inputs!$E$29,-CI$10*'(Z+) OpEx'!$E$22,0)</f>
        <v>-1253.4589410643437</v>
      </c>
      <c r="CJ42" s="434">
        <f>IF(CJ$4&gt;=Inputs!$E$29,-CJ$10*'(Z+) OpEx'!$E$22,0)</f>
        <v>-1256.4849322523892</v>
      </c>
      <c r="CK42" s="434">
        <f>IF(CK$4&gt;=Inputs!$E$29,-CK$10*'(Z+) OpEx'!$E$22,0)</f>
        <v>-1259.5182285242872</v>
      </c>
      <c r="CL42" s="434">
        <f>IF(CL$4&gt;=Inputs!$E$29,-CL$10*'(Z+) OpEx'!$E$22,0)</f>
        <v>-1262.5588475153336</v>
      </c>
      <c r="CM42" s="434">
        <f>IF(CM$4&gt;=Inputs!$E$29,-CM$10*'(Z+) OpEx'!$E$22,0)</f>
        <v>-1265.6068069033979</v>
      </c>
      <c r="CN42" s="434">
        <f>IF(CN$4&gt;=Inputs!$E$29,-CN$10*'(Z+) OpEx'!$E$22,0)</f>
        <v>-1268.6621244090261</v>
      </c>
      <c r="CO42" s="434">
        <f>IF(CO$4&gt;=Inputs!$E$29,-CO$10*'(Z+) OpEx'!$E$22,0)</f>
        <v>-1271.7248177955435</v>
      </c>
      <c r="CP42" s="434">
        <f>IF(CP$4&gt;=Inputs!$E$29,-CP$10*'(Z+) OpEx'!$E$22,0)</f>
        <v>-1274.7949048691578</v>
      </c>
      <c r="CQ42" s="434">
        <f>IF(CQ$4&gt;=Inputs!$E$29,-CQ$10*'(Z+) OpEx'!$E$22,0)</f>
        <v>-1277.8724034790635</v>
      </c>
      <c r="CR42" s="434">
        <f>IF(CR$4&gt;=Inputs!$E$29,-CR$10*'(Z+) OpEx'!$E$22,0)</f>
        <v>-1280.9573315175444</v>
      </c>
      <c r="CS42" s="434">
        <f>IF(CS$4&gt;=Inputs!$E$29,-CS$10*'(Z+) OpEx'!$E$22,0)</f>
        <v>-1284.049706920079</v>
      </c>
      <c r="CT42" s="434">
        <f>IF(CT$4&gt;=Inputs!$E$29,-CT$10*'(Z+) OpEx'!$E$22,0)</f>
        <v>-1287.1495476654434</v>
      </c>
      <c r="CU42" s="434">
        <f>IF(CU$4&gt;=Inputs!$E$29,-CU$10*'(Z+) OpEx'!$E$22,0)</f>
        <v>-1290.2568717758165</v>
      </c>
      <c r="CV42" s="434">
        <f>IF(CV$4&gt;=Inputs!$E$29,-CV$10*'(Z+) OpEx'!$E$22,0)</f>
        <v>-1293.3716973168857</v>
      </c>
      <c r="CW42" s="434">
        <f>IF(CW$4&gt;=Inputs!$E$29,-CW$10*'(Z+) OpEx'!$E$22,0)</f>
        <v>-1296.4940423979501</v>
      </c>
      <c r="CX42" s="434">
        <f>IF(CX$4&gt;=Inputs!$E$29,-CX$10*'(Z+) OpEx'!$E$22,0)</f>
        <v>-1299.6239251720265</v>
      </c>
      <c r="CY42" s="434">
        <f>IF(CY$4&gt;=Inputs!$E$29,-CY$10*'(Z+) OpEx'!$E$22,0)</f>
        <v>-1302.7613638359562</v>
      </c>
      <c r="CZ42" s="434">
        <f>IF(CZ$4&gt;=Inputs!$E$29,-CZ$10*'(Z+) OpEx'!$E$22,0)</f>
        <v>-1305.9063766305087</v>
      </c>
      <c r="DA42" s="434">
        <f>IF(DA$4&gt;=Inputs!$E$29,-DA$10*'(Z+) OpEx'!$E$22,0)</f>
        <v>-1309.0589818404894</v>
      </c>
      <c r="DB42" s="434">
        <f>IF(DB$4&gt;=Inputs!$E$29,-DB$10*'(Z+) OpEx'!$E$22,0)</f>
        <v>-1312.2191977948448</v>
      </c>
      <c r="DC42" s="434">
        <f>IF(DC$4&gt;=Inputs!$E$29,-DC$10*'(Z+) OpEx'!$E$22,0)</f>
        <v>-1315.3870428667701</v>
      </c>
      <c r="DD42" s="434">
        <f>IF(DD$4&gt;=Inputs!$E$29,-DD$10*'(Z+) OpEx'!$E$22,0)</f>
        <v>-1318.5625354738149</v>
      </c>
      <c r="DE42" s="434">
        <f>IF(DE$4&gt;=Inputs!$E$29,-DE$10*'(Z+) OpEx'!$E$22,0)</f>
        <v>-1321.7456940779912</v>
      </c>
      <c r="DF42" s="434">
        <f>IF(DF$4&gt;=Inputs!$E$29,-DF$10*'(Z+) OpEx'!$E$22,0)</f>
        <v>-1324.9365371858803</v>
      </c>
      <c r="DG42" s="434">
        <f>IF(DG$4&gt;=Inputs!$E$29,-DG$10*'(Z+) OpEx'!$E$22,0)</f>
        <v>-1328.1350833487404</v>
      </c>
      <c r="DH42" s="434">
        <f>IF(DH$4&gt;=Inputs!$E$29,-DH$10*'(Z+) OpEx'!$E$22,0)</f>
        <v>-1331.3413511626145</v>
      </c>
      <c r="DI42" s="434">
        <f>IF(DI$4&gt;=Inputs!$E$29,-DI$10*'(Z+) OpEx'!$E$22,0)</f>
        <v>-1334.5553592684387</v>
      </c>
      <c r="DJ42" s="434">
        <f>IF(DJ$4&gt;=Inputs!$E$29,-DJ$10*'(Z+) OpEx'!$E$22,0)</f>
        <v>-1337.7771263521502</v>
      </c>
      <c r="DK42" s="434">
        <f>IF(DK$4&gt;=Inputs!$E$29,-DK$10*'(Z+) OpEx'!$E$22,0)</f>
        <v>-1341.0066711447967</v>
      </c>
      <c r="DL42" s="434">
        <f>IF(DL$4&gt;=Inputs!$E$29,-DL$10*'(Z+) OpEx'!$E$22,0)</f>
        <v>-1344.2440124226439</v>
      </c>
      <c r="DM42" s="434">
        <f>IF(DM$4&gt;=Inputs!$E$29,-DM$10*'(Z+) OpEx'!$E$22,0)</f>
        <v>-1347.4891690072861</v>
      </c>
      <c r="DN42" s="434">
        <f>IF(DN$4&gt;=Inputs!$E$29,-DN$10*'(Z+) OpEx'!$E$22,0)</f>
        <v>-1350.7421597657553</v>
      </c>
      <c r="DO42" s="434">
        <f>IF(DO$4&gt;=Inputs!$E$29,-DO$10*'(Z+) OpEx'!$E$22,0)</f>
        <v>-1354.00300361063</v>
      </c>
      <c r="DP42" s="434">
        <f>IF(DP$4&gt;=Inputs!$E$29,-DP$10*'(Z+) OpEx'!$E$22,0)</f>
        <v>-1357.271719500146</v>
      </c>
      <c r="DQ42" s="434">
        <f>IF(DQ$4&gt;=Inputs!$E$29,-DQ$10*'(Z+) OpEx'!$E$22,0)</f>
        <v>-1360.5483264383065</v>
      </c>
      <c r="DR42" s="434">
        <f>IF(DR$4&gt;=Inputs!$E$29,-DR$10*'(Z+) OpEx'!$E$22,0)</f>
        <v>-1363.8328434749926</v>
      </c>
      <c r="DS42" s="434">
        <f>IF(DS$4&gt;=Inputs!$E$29,-DS$10*'(Z+) OpEx'!$E$22,0)</f>
        <v>-1367.1252897060738</v>
      </c>
      <c r="DT42" s="434">
        <f>IF(DT$4&gt;=Inputs!$E$29,-DT$10*'(Z+) OpEx'!$E$22,0)</f>
        <v>-1370.4256842735192</v>
      </c>
      <c r="DU42" s="434">
        <f>IF(DU$4&gt;=Inputs!$E$29,-DU$10*'(Z+) OpEx'!$E$22,0)</f>
        <v>-1373.7340463655089</v>
      </c>
    </row>
    <row r="43" spans="1:125" x14ac:dyDescent="0.25">
      <c r="A43" s="393" t="str">
        <f>+'(Z+) OpEx'!C23</f>
        <v xml:space="preserve">   Legal</v>
      </c>
      <c r="B43" s="394"/>
      <c r="C43" s="435">
        <f>+'(Z+) OpEx'!D23</f>
        <v>5</v>
      </c>
      <c r="D43" s="395"/>
      <c r="E43" s="394"/>
      <c r="F43" s="432">
        <f>IF(F$4&gt;=Inputs!$E$29,-F$10*'(Z+) OpEx'!$E$23*F$12,0)</f>
        <v>0</v>
      </c>
      <c r="G43" s="432">
        <f>IF(G$4&gt;=Inputs!$E$29,-G$10*'(Z+) OpEx'!$E$23*G$12,0)</f>
        <v>0</v>
      </c>
      <c r="H43" s="432">
        <f>IF(H$4&gt;=Inputs!$E$29,-H$10*'(Z+) OpEx'!$E$23*H$12,0)</f>
        <v>0</v>
      </c>
      <c r="I43" s="432">
        <f>IF(I$4&gt;=Inputs!$E$29,-I$10*'(Z+) OpEx'!$E$23*I$12,0)</f>
        <v>0</v>
      </c>
      <c r="J43" s="433">
        <f>IF(J$4&gt;=Inputs!$E$29,-J$10*'(Z+) OpEx'!$E$23*J$12,0)</f>
        <v>0</v>
      </c>
      <c r="K43" s="433">
        <f>IF(K$4&gt;=Inputs!$E$29,-K$10*'(Z+) OpEx'!$E$23*K$12,0)</f>
        <v>0</v>
      </c>
      <c r="L43" s="433">
        <f>IF(L$4&gt;=Inputs!$E$29,-L$10*'(Z+) OpEx'!$E$23*L$12,0)</f>
        <v>0</v>
      </c>
      <c r="M43" s="433">
        <f>IF(M$4&gt;=Inputs!$E$29,-M$10*'(Z+) OpEx'!$E$23*M$12,0)</f>
        <v>0</v>
      </c>
      <c r="N43" s="433">
        <f>IF(N$4&gt;=Inputs!$E$29,-N$10*'(Z+) OpEx'!$E$23*N$12,0)</f>
        <v>0</v>
      </c>
      <c r="O43" s="433">
        <f>IF(O$4&gt;=Inputs!$E$29,-O$10*'(Z+) OpEx'!$E$23*O$12,0)</f>
        <v>0</v>
      </c>
      <c r="P43" s="433">
        <f>IF(P$4&gt;=Inputs!$E$29,-P$10*'(Z+) OpEx'!$E$23*P$12,0)</f>
        <v>0</v>
      </c>
      <c r="Q43" s="433">
        <f>IF(Q$4&gt;=Inputs!$E$29,-Q$10*'(Z+) OpEx'!$E$23*Q$12,0)</f>
        <v>0</v>
      </c>
      <c r="R43" s="433">
        <f>IF(R$4&gt;=Inputs!$E$29,-R$10*'(Z+) OpEx'!$E$23*R$12,0)</f>
        <v>0</v>
      </c>
      <c r="S43" s="433">
        <f>IF(S$4&gt;=Inputs!$E$29,-S$10*'(Z+) OpEx'!$E$23*S$12,0)</f>
        <v>0</v>
      </c>
      <c r="T43" s="433">
        <f>IF(T$4&gt;=Inputs!$E$29,-T$10*'(Z+) OpEx'!$E$23*T$12,0)</f>
        <v>0</v>
      </c>
      <c r="U43" s="434">
        <f>IF(U$4&gt;=Inputs!$E$29,-U$10*'(Z+) OpEx'!$E$23*U$12,0)</f>
        <v>0</v>
      </c>
      <c r="V43" s="434">
        <f>IF(V$4&gt;=Inputs!$E$29,-V$10*'(Z+) OpEx'!$E$23*V$12,0)</f>
        <v>0</v>
      </c>
      <c r="W43" s="434">
        <f>IF(W$4&gt;=Inputs!$E$29,-W$10*'(Z+) OpEx'!$E$23*W$12,0)</f>
        <v>0</v>
      </c>
      <c r="X43" s="434">
        <f>IF(X$4&gt;=Inputs!$E$29,-X$10*'(Z+) OpEx'!$E$23*X$12,0)</f>
        <v>0</v>
      </c>
      <c r="Y43" s="434">
        <f>IF(Y$4&gt;=Inputs!$E$29,-Y$10*'(Z+) OpEx'!$E$23*Y$12,0)</f>
        <v>0</v>
      </c>
      <c r="Z43" s="434">
        <f>IF(Z$4&gt;=Inputs!$E$29,-Z$10*'(Z+) OpEx'!$E$23*Z$12,0)</f>
        <v>0</v>
      </c>
      <c r="AA43" s="434">
        <f>IF(AA$4&gt;=Inputs!$E$29,-AA$10*'(Z+) OpEx'!$E$23*AA$12,0)</f>
        <v>-134.97560562545749</v>
      </c>
      <c r="AB43" s="434">
        <f>IF(AB$4&gt;=Inputs!$E$29,-AB$10*'(Z+) OpEx'!$E$23*AB$12,0)</f>
        <v>-270.60290390688169</v>
      </c>
      <c r="AC43" s="434">
        <f>IF(AC$4&gt;=Inputs!$E$29,-AC$10*'(Z+) OpEx'!$E$23*AC$12,0)</f>
        <v>-406.88425473357938</v>
      </c>
      <c r="AD43" s="434">
        <f>IF(AD$4&gt;=Inputs!$E$29,-AD$10*'(Z+) OpEx'!$E$23*AD$12,0)</f>
        <v>-543.82202559090888</v>
      </c>
      <c r="AE43" s="434">
        <f>IF(AE$4&gt;=Inputs!$E$29,-AE$10*'(Z+) OpEx'!$E$23*AE$12,0)</f>
        <v>-681.41859158320267</v>
      </c>
      <c r="AF43" s="434">
        <f>IF(AF$4&gt;=Inputs!$E$29,-AF$10*'(Z+) OpEx'!$E$23*AF$12,0)</f>
        <v>-810.56882061834722</v>
      </c>
      <c r="AG43" s="434">
        <f>IF(AG$4&gt;=Inputs!$E$29,-AG$10*'(Z+) OpEx'!$E$23*AG$12,0)</f>
        <v>-958.59764762288</v>
      </c>
      <c r="AH43" s="434">
        <f>IF(AH$4&gt;=Inputs!$E$29,-AH$10*'(Z+) OpEx'!$E$23*AH$12,0)</f>
        <v>-1098.1849261810282</v>
      </c>
      <c r="AI43" s="434">
        <f>IF(AI$4&gt;=Inputs!$E$29,-AI$10*'(Z+) OpEx'!$E$23*AI$12,0)</f>
        <v>-1238.4405769419809</v>
      </c>
      <c r="AJ43" s="434">
        <f>IF(AJ$4&gt;=Inputs!$E$29,-AJ$10*'(Z+) OpEx'!$E$23*AJ$12,0)</f>
        <v>-1241.430312105992</v>
      </c>
      <c r="AK43" s="434">
        <f>IF(AK$4&gt;=Inputs!$E$29,-AK$10*'(Z+) OpEx'!$E$23*AK$12,0)</f>
        <v>-1244.4272648277267</v>
      </c>
      <c r="AL43" s="434">
        <f>IF(AL$4&gt;=Inputs!$E$29,-AL$10*'(Z+) OpEx'!$E$23*AL$12,0)</f>
        <v>-1247.4314525311825</v>
      </c>
      <c r="AM43" s="434">
        <f>IF(AM$4&gt;=Inputs!$E$29,-AM$10*'(Z+) OpEx'!$E$23*AM$12,0)</f>
        <v>-1250.442892682421</v>
      </c>
      <c r="AN43" s="434">
        <f>IF(AN$4&gt;=Inputs!$E$29,-AN$10*'(Z+) OpEx'!$E$23*AN$12,0)</f>
        <v>-1253.4616027896689</v>
      </c>
      <c r="AO43" s="434">
        <f>IF(AO$4&gt;=Inputs!$E$29,-AO$10*'(Z+) OpEx'!$E$23*AO$12,0)</f>
        <v>-1256.4876004034195</v>
      </c>
      <c r="AP43" s="434">
        <f>IF(AP$4&gt;=Inputs!$E$29,-AP$10*'(Z+) OpEx'!$E$23*AP$12,0)</f>
        <v>-1259.5209031165346</v>
      </c>
      <c r="AQ43" s="434">
        <f>IF(AQ$4&gt;=Inputs!$E$29,-AQ$10*'(Z+) OpEx'!$E$23*AQ$12,0)</f>
        <v>-1262.5615285643482</v>
      </c>
      <c r="AR43" s="434">
        <f>IF(AR$4&gt;=Inputs!$E$29,-AR$10*'(Z+) OpEx'!$E$23*AR$12,0)</f>
        <v>-1265.6094944247673</v>
      </c>
      <c r="AS43" s="434">
        <f>IF(AS$4&gt;=Inputs!$E$29,-AS$10*'(Z+) OpEx'!$E$23*AS$12,0)</f>
        <v>-1268.664818418375</v>
      </c>
      <c r="AT43" s="434">
        <f>IF(AT$4&gt;=Inputs!$E$29,-AT$10*'(Z+) OpEx'!$E$23*AT$12,0)</f>
        <v>-1271.7275183085346</v>
      </c>
      <c r="AU43" s="434">
        <f>IF(AU$4&gt;=Inputs!$E$29,-AU$10*'(Z+) OpEx'!$E$23*AU$12,0)</f>
        <v>-1274.797611901492</v>
      </c>
      <c r="AV43" s="434">
        <f>IF(AV$4&gt;=Inputs!$E$29,-AV$10*'(Z+) OpEx'!$E$23*AV$12,0)</f>
        <v>-1277.8751170464789</v>
      </c>
      <c r="AW43" s="434">
        <f>IF(AW$4&gt;=Inputs!$E$29,-AW$10*'(Z+) OpEx'!$E$23*AW$12,0)</f>
        <v>-1280.9600516358175</v>
      </c>
      <c r="AX43" s="434">
        <f>IF(AX$4&gt;=Inputs!$E$29,-AX$10*'(Z+) OpEx'!$E$23*AX$12,0)</f>
        <v>-1284.0524336050241</v>
      </c>
      <c r="AY43" s="434">
        <f>IF(AY$4&gt;=Inputs!$E$29,-AY$10*'(Z+) OpEx'!$E$23*AY$12,0)</f>
        <v>-1287.1522809329133</v>
      </c>
      <c r="AZ43" s="434">
        <f>IF(AZ$4&gt;=Inputs!$E$29,-AZ$10*'(Z+) OpEx'!$E$23*AZ$12,0)</f>
        <v>-1290.2596116417026</v>
      </c>
      <c r="BA43" s="434">
        <f>IF(BA$4&gt;=Inputs!$E$29,-BA$10*'(Z+) OpEx'!$E$23*BA$12,0)</f>
        <v>-1293.3744437971168</v>
      </c>
      <c r="BB43" s="434">
        <f>IF(BB$4&gt;=Inputs!$E$29,-BB$10*'(Z+) OpEx'!$E$23*BB$12,0)</f>
        <v>-1296.496795508494</v>
      </c>
      <c r="BC43" s="434">
        <f>IF(BC$4&gt;=Inputs!$E$29,-BC$10*'(Z+) OpEx'!$E$23*BC$12,0)</f>
        <v>-1299.62668492889</v>
      </c>
      <c r="BD43" s="434">
        <f>IF(BD$4&gt;=Inputs!$E$29,-BD$10*'(Z+) OpEx'!$E$23*BD$12,0)</f>
        <v>-1302.7641302551838</v>
      </c>
      <c r="BE43" s="434">
        <f>IF(BE$4&gt;=Inputs!$E$29,-BE$10*'(Z+) OpEx'!$E$23*BE$12,0)</f>
        <v>-1305.9091497281843</v>
      </c>
      <c r="BF43" s="434">
        <f>IF(BF$4&gt;=Inputs!$E$29,-BF$10*'(Z+) OpEx'!$E$23*BF$12,0)</f>
        <v>-1309.0617616327354</v>
      </c>
      <c r="BG43" s="434">
        <f>IF(BG$4&gt;=Inputs!$E$29,-BG$10*'(Z+) OpEx'!$E$23*BG$12,0)</f>
        <v>-1312.2219842978229</v>
      </c>
      <c r="BH43" s="434">
        <f>IF(BH$4&gt;=Inputs!$E$29,-BH$10*'(Z+) OpEx'!$E$23*BH$12,0)</f>
        <v>-1315.3898360966803</v>
      </c>
      <c r="BI43" s="434">
        <f>IF(BI$4&gt;=Inputs!$E$29,-BI$10*'(Z+) OpEx'!$E$23*BI$12,0)</f>
        <v>-1318.5653354468968</v>
      </c>
      <c r="BJ43" s="434">
        <f>IF(BJ$4&gt;=Inputs!$E$29,-BJ$10*'(Z+) OpEx'!$E$23*BJ$12,0)</f>
        <v>-1321.7485008105239</v>
      </c>
      <c r="BK43" s="434">
        <f>IF(BK$4&gt;=Inputs!$E$29,-BK$10*'(Z+) OpEx'!$E$23*BK$12,0)</f>
        <v>-1324.9393506941817</v>
      </c>
      <c r="BL43" s="434">
        <f>IF(BL$4&gt;=Inputs!$E$29,-BL$10*'(Z+) OpEx'!$E$23*BL$12,0)</f>
        <v>-1328.137903649168</v>
      </c>
      <c r="BM43" s="434">
        <f>IF(BM$4&gt;=Inputs!$E$29,-BM$10*'(Z+) OpEx'!$E$23*BM$12,0)</f>
        <v>-1331.3441782715654</v>
      </c>
      <c r="BN43" s="434">
        <f>IF(BN$4&gt;=Inputs!$E$29,-BN$10*'(Z+) OpEx'!$E$23*BN$12,0)</f>
        <v>-1334.5581932023492</v>
      </c>
      <c r="BO43" s="434">
        <f>IF(BO$4&gt;=Inputs!$E$29,-BO$10*'(Z+) OpEx'!$E$23*BO$12,0)</f>
        <v>-1337.779967127497</v>
      </c>
      <c r="BP43" s="434">
        <f>IF(BP$4&gt;=Inputs!$E$29,-BP$10*'(Z+) OpEx'!$E$23*BP$12,0)</f>
        <v>-1341.0095187780953</v>
      </c>
      <c r="BQ43" s="434">
        <f>IF(BQ$4&gt;=Inputs!$E$29,-BQ$10*'(Z+) OpEx'!$E$23*BQ$12,0)</f>
        <v>-1344.2468669304503</v>
      </c>
      <c r="BR43" s="434">
        <f>IF(BR$4&gt;=Inputs!$E$29,-BR$10*'(Z+) OpEx'!$E$23*BR$12,0)</f>
        <v>-1347.4920304061964</v>
      </c>
      <c r="BS43" s="434">
        <f>IF(BS$4&gt;=Inputs!$E$29,-BS$10*'(Z+) OpEx'!$E$23*BS$12,0)</f>
        <v>-1350.7450280724049</v>
      </c>
      <c r="BT43" s="434">
        <f>IF(BT$4&gt;=Inputs!$E$29,-BT$10*'(Z+) OpEx'!$E$23*BT$12,0)</f>
        <v>-1354.005878841695</v>
      </c>
      <c r="BU43" s="434">
        <f>IF(BU$4&gt;=Inputs!$E$29,-BU$10*'(Z+) OpEx'!$E$23*BU$12,0)</f>
        <v>-1357.2746016723429</v>
      </c>
      <c r="BV43" s="434">
        <f>IF(BV$4&gt;=Inputs!$E$29,-BV$10*'(Z+) OpEx'!$E$23*BV$12,0)</f>
        <v>-1360.5512155683921</v>
      </c>
      <c r="BW43" s="434">
        <f>IF(BW$4&gt;=Inputs!$E$29,-BW$10*'(Z+) OpEx'!$E$23*BW$12,0)</f>
        <v>-1363.8357395797639</v>
      </c>
      <c r="BX43" s="434">
        <f>IF(BX$4&gt;=Inputs!$E$29,-BX$10*'(Z+) OpEx'!$E$23*BX$12,0)</f>
        <v>-1367.1281928023684</v>
      </c>
      <c r="BY43" s="434">
        <f>IF(BY$4&gt;=Inputs!$E$29,-BY$10*'(Z+) OpEx'!$E$23*BY$12,0)</f>
        <v>-1370.4285943782156</v>
      </c>
      <c r="BZ43" s="434">
        <f>IF(BZ$4&gt;=Inputs!$E$29,-BZ$10*'(Z+) OpEx'!$E$23*BZ$12,0)</f>
        <v>-1373.7369634955262</v>
      </c>
      <c r="CA43" s="434">
        <f>IF(CA$4&gt;=Inputs!$E$29,-CA$10*'(Z+) OpEx'!$E$23*CA$12,0)</f>
        <v>-1377.0533193888434</v>
      </c>
      <c r="CB43" s="434">
        <f>IF(CB$4&gt;=Inputs!$E$29,-CB$10*'(Z+) OpEx'!$E$23*CB$12,0)</f>
        <v>-1380.3776813391446</v>
      </c>
      <c r="CC43" s="434">
        <f>IF(CC$4&gt;=Inputs!$E$29,-CC$10*'(Z+) OpEx'!$E$23*CC$12,0)</f>
        <v>-1383.7100686739543</v>
      </c>
      <c r="CD43" s="434">
        <f>IF(CD$4&gt;=Inputs!$E$29,-CD$10*'(Z+) OpEx'!$E$23*CD$12,0)</f>
        <v>-1387.0505007674556</v>
      </c>
      <c r="CE43" s="434">
        <f>IF(CE$4&gt;=Inputs!$E$29,-CE$10*'(Z+) OpEx'!$E$23*CE$12,0)</f>
        <v>-1390.3989970406021</v>
      </c>
      <c r="CF43" s="434">
        <f>IF(CF$4&gt;=Inputs!$E$29,-CF$10*'(Z+) OpEx'!$E$23*CF$12,0)</f>
        <v>-1393.7555769612334</v>
      </c>
      <c r="CG43" s="434">
        <f>IF(CG$4&gt;=Inputs!$E$29,-CG$10*'(Z+) OpEx'!$E$23*CG$12,0)</f>
        <v>-1397.1202600441852</v>
      </c>
      <c r="CH43" s="434">
        <f>IF(CH$4&gt;=Inputs!$E$29,-CH$10*'(Z+) OpEx'!$E$23*CH$12,0)</f>
        <v>-1400.4930658514049</v>
      </c>
      <c r="CI43" s="434">
        <f>IF(CI$4&gt;=Inputs!$E$29,-CI$10*'(Z+) OpEx'!$E$23*CI$12,0)</f>
        <v>-1403.8740139920651</v>
      </c>
      <c r="CJ43" s="434">
        <f>IF(CJ$4&gt;=Inputs!$E$29,-CJ$10*'(Z+) OpEx'!$E$23*CJ$12,0)</f>
        <v>-1407.2631241226761</v>
      </c>
      <c r="CK43" s="434">
        <f>IF(CK$4&gt;=Inputs!$E$29,-CK$10*'(Z+) OpEx'!$E$23*CK$12,0)</f>
        <v>-1410.660415947202</v>
      </c>
      <c r="CL43" s="434">
        <f>IF(CL$4&gt;=Inputs!$E$29,-CL$10*'(Z+) OpEx'!$E$23*CL$12,0)</f>
        <v>-1414.0659092171738</v>
      </c>
      <c r="CM43" s="434">
        <f>IF(CM$4&gt;=Inputs!$E$29,-CM$10*'(Z+) OpEx'!$E$23*CM$12,0)</f>
        <v>-1417.479623731806</v>
      </c>
      <c r="CN43" s="434">
        <f>IF(CN$4&gt;=Inputs!$E$29,-CN$10*'(Z+) OpEx'!$E$23*CN$12,0)</f>
        <v>-1420.9015793381093</v>
      </c>
      <c r="CO43" s="434">
        <f>IF(CO$4&gt;=Inputs!$E$29,-CO$10*'(Z+) OpEx'!$E$23*CO$12,0)</f>
        <v>-1424.3317959310089</v>
      </c>
      <c r="CP43" s="434">
        <f>IF(CP$4&gt;=Inputs!$E$29,-CP$10*'(Z+) OpEx'!$E$23*CP$12,0)</f>
        <v>-1427.7702934534568</v>
      </c>
      <c r="CQ43" s="434">
        <f>IF(CQ$4&gt;=Inputs!$E$29,-CQ$10*'(Z+) OpEx'!$E$23*CQ$12,0)</f>
        <v>-1431.2170918965512</v>
      </c>
      <c r="CR43" s="434">
        <f>IF(CR$4&gt;=Inputs!$E$29,-CR$10*'(Z+) OpEx'!$E$23*CR$12,0)</f>
        <v>-1434.6722112996499</v>
      </c>
      <c r="CS43" s="434">
        <f>IF(CS$4&gt;=Inputs!$E$29,-CS$10*'(Z+) OpEx'!$E$23*CS$12,0)</f>
        <v>-1438.1356717504887</v>
      </c>
      <c r="CT43" s="434">
        <f>IF(CT$4&gt;=Inputs!$E$29,-CT$10*'(Z+) OpEx'!$E$23*CT$12,0)</f>
        <v>-1441.6074933852967</v>
      </c>
      <c r="CU43" s="434">
        <f>IF(CU$4&gt;=Inputs!$E$29,-CU$10*'(Z+) OpEx'!$E$23*CU$12,0)</f>
        <v>-1445.0876963889148</v>
      </c>
      <c r="CV43" s="434">
        <f>IF(CV$4&gt;=Inputs!$E$29,-CV$10*'(Z+) OpEx'!$E$23*CV$12,0)</f>
        <v>-1448.5763009949121</v>
      </c>
      <c r="CW43" s="434">
        <f>IF(CW$4&gt;=Inputs!$E$29,-CW$10*'(Z+) OpEx'!$E$23*CW$12,0)</f>
        <v>-1452.0733274857041</v>
      </c>
      <c r="CX43" s="434">
        <f>IF(CX$4&gt;=Inputs!$E$29,-CX$10*'(Z+) OpEx'!$E$23*CX$12,0)</f>
        <v>-1455.5787961926699</v>
      </c>
      <c r="CY43" s="434">
        <f>IF(CY$4&gt;=Inputs!$E$29,-CY$10*'(Z+) OpEx'!$E$23*CY$12,0)</f>
        <v>-1459.0927274962712</v>
      </c>
      <c r="CZ43" s="434">
        <f>IF(CZ$4&gt;=Inputs!$E$29,-CZ$10*'(Z+) OpEx'!$E$23*CZ$12,0)</f>
        <v>-1462.61514182617</v>
      </c>
      <c r="DA43" s="434">
        <f>IF(DA$4&gt;=Inputs!$E$29,-DA$10*'(Z+) OpEx'!$E$23*DA$12,0)</f>
        <v>-1466.1460596613483</v>
      </c>
      <c r="DB43" s="434">
        <f>IF(DB$4&gt;=Inputs!$E$29,-DB$10*'(Z+) OpEx'!$E$23*DB$12,0)</f>
        <v>-1469.6855015302262</v>
      </c>
      <c r="DC43" s="434">
        <f>IF(DC$4&gt;=Inputs!$E$29,-DC$10*'(Z+) OpEx'!$E$23*DC$12,0)</f>
        <v>-1473.2334880107828</v>
      </c>
      <c r="DD43" s="434">
        <f>IF(DD$4&gt;=Inputs!$E$29,-DD$10*'(Z+) OpEx'!$E$23*DD$12,0)</f>
        <v>-1476.790039730673</v>
      </c>
      <c r="DE43" s="434">
        <f>IF(DE$4&gt;=Inputs!$E$29,-DE$10*'(Z+) OpEx'!$E$23*DE$12,0)</f>
        <v>-1480.3551773673503</v>
      </c>
      <c r="DF43" s="434">
        <f>IF(DF$4&gt;=Inputs!$E$29,-DF$10*'(Z+) OpEx'!$E$23*DF$12,0)</f>
        <v>-1483.9289216481861</v>
      </c>
      <c r="DG43" s="434">
        <f>IF(DG$4&gt;=Inputs!$E$29,-DG$10*'(Z+) OpEx'!$E$23*DG$12,0)</f>
        <v>-1487.5112933505893</v>
      </c>
      <c r="DH43" s="434">
        <f>IF(DH$4&gt;=Inputs!$E$29,-DH$10*'(Z+) OpEx'!$E$23*DH$12,0)</f>
        <v>-1491.1023133021283</v>
      </c>
      <c r="DI43" s="434">
        <f>IF(DI$4&gt;=Inputs!$E$29,-DI$10*'(Z+) OpEx'!$E$23*DI$12,0)</f>
        <v>-1494.7020023806515</v>
      </c>
      <c r="DJ43" s="434">
        <f>IF(DJ$4&gt;=Inputs!$E$29,-DJ$10*'(Z+) OpEx'!$E$23*DJ$12,0)</f>
        <v>-1498.3103815144084</v>
      </c>
      <c r="DK43" s="434">
        <f>IF(DK$4&gt;=Inputs!$E$29,-DK$10*'(Z+) OpEx'!$E$23*DK$12,0)</f>
        <v>-1501.9274716821724</v>
      </c>
      <c r="DL43" s="434">
        <f>IF(DL$4&gt;=Inputs!$E$29,-DL$10*'(Z+) OpEx'!$E$23*DL$12,0)</f>
        <v>-1505.5532939133611</v>
      </c>
      <c r="DM43" s="434">
        <f>IF(DM$4&gt;=Inputs!$E$29,-DM$10*'(Z+) OpEx'!$E$23*DM$12,0)</f>
        <v>-1509.1878692881608</v>
      </c>
      <c r="DN43" s="434">
        <f>IF(DN$4&gt;=Inputs!$E$29,-DN$10*'(Z+) OpEx'!$E$23*DN$12,0)</f>
        <v>-1512.8312189376461</v>
      </c>
      <c r="DO43" s="434">
        <f>IF(DO$4&gt;=Inputs!$E$29,-DO$10*'(Z+) OpEx'!$E$23*DO$12,0)</f>
        <v>-1516.4833640439058</v>
      </c>
      <c r="DP43" s="434">
        <f>IF(DP$4&gt;=Inputs!$E$29,-DP$10*'(Z+) OpEx'!$E$23*DP$12,0)</f>
        <v>-1520.1443258401637</v>
      </c>
      <c r="DQ43" s="434">
        <f>IF(DQ$4&gt;=Inputs!$E$29,-DQ$10*'(Z+) OpEx'!$E$23*DQ$12,0)</f>
        <v>-1523.8141256109034</v>
      </c>
      <c r="DR43" s="434">
        <f>IF(DR$4&gt;=Inputs!$E$29,-DR$10*'(Z+) OpEx'!$E$23*DR$12,0)</f>
        <v>-1527.492784691992</v>
      </c>
      <c r="DS43" s="434">
        <f>IF(DS$4&gt;=Inputs!$E$29,-DS$10*'(Z+) OpEx'!$E$23*DS$12,0)</f>
        <v>-1531.1803244708028</v>
      </c>
      <c r="DT43" s="434">
        <f>IF(DT$4&gt;=Inputs!$E$29,-DT$10*'(Z+) OpEx'!$E$23*DT$12,0)</f>
        <v>-1534.8767663863416</v>
      </c>
      <c r="DU43" s="434">
        <f>IF(DU$4&gt;=Inputs!$E$29,-DU$10*'(Z+) OpEx'!$E$23*DU$12,0)</f>
        <v>-1538.58213192937</v>
      </c>
    </row>
    <row r="44" spans="1:125" x14ac:dyDescent="0.25">
      <c r="A44" s="393" t="str">
        <f>+'(Z+) OpEx'!C24</f>
        <v xml:space="preserve">   Misc.</v>
      </c>
      <c r="B44" s="394"/>
      <c r="C44" s="435">
        <f>+'(Z+) OpEx'!D24</f>
        <v>180</v>
      </c>
      <c r="D44" s="395"/>
      <c r="E44" s="394"/>
      <c r="F44" s="432">
        <f>IF(F$4&gt;=Inputs!$E$29,-F$10*'(Z+) OpEx'!$E$24,0)</f>
        <v>0</v>
      </c>
      <c r="G44" s="432">
        <f>IF(G$4&gt;=Inputs!$E$29,-G$10*'(Z+) OpEx'!$E$24,0)</f>
        <v>0</v>
      </c>
      <c r="H44" s="432">
        <f>IF(H$4&gt;=Inputs!$E$29,-H$10*'(Z+) OpEx'!$E$24,0)</f>
        <v>0</v>
      </c>
      <c r="I44" s="432">
        <f>IF(I$4&gt;=Inputs!$E$29,-I$10*'(Z+) OpEx'!$E$24,0)</f>
        <v>0</v>
      </c>
      <c r="J44" s="433">
        <f>IF(J$4&gt;=Inputs!$E$29,-J$10*'(Z+) OpEx'!$E$24,0)</f>
        <v>0</v>
      </c>
      <c r="K44" s="433">
        <f>IF(K$4&gt;=Inputs!$E$29,-K$10*'(Z+) OpEx'!$E$24,0)</f>
        <v>0</v>
      </c>
      <c r="L44" s="433">
        <f>IF(L$4&gt;=Inputs!$E$29,-L$10*'(Z+) OpEx'!$E$24,0)</f>
        <v>0</v>
      </c>
      <c r="M44" s="433">
        <f>IF(M$4&gt;=Inputs!$E$29,-M$10*'(Z+) OpEx'!$E$24,0)</f>
        <v>0</v>
      </c>
      <c r="N44" s="433">
        <f>IF(N$4&gt;=Inputs!$E$29,-N$10*'(Z+) OpEx'!$E$24,0)</f>
        <v>0</v>
      </c>
      <c r="O44" s="433">
        <f>IF(O$4&gt;=Inputs!$E$29,-O$10*'(Z+) OpEx'!$E$24,0)</f>
        <v>0</v>
      </c>
      <c r="P44" s="433">
        <f>IF(P$4&gt;=Inputs!$E$29,-P$10*'(Z+) OpEx'!$E$24,0)</f>
        <v>0</v>
      </c>
      <c r="Q44" s="433">
        <f>IF(Q$4&gt;=Inputs!$E$29,-Q$10*'(Z+) OpEx'!$E$24,0)</f>
        <v>0</v>
      </c>
      <c r="R44" s="433">
        <f>IF(R$4&gt;=Inputs!$E$29,-R$10*'(Z+) OpEx'!$E$24,0)</f>
        <v>0</v>
      </c>
      <c r="S44" s="433">
        <f>IF(S$4&gt;=Inputs!$E$29,-S$10*'(Z+) OpEx'!$E$24,0)</f>
        <v>0</v>
      </c>
      <c r="T44" s="433">
        <f>IF(T$4&gt;=Inputs!$E$29,-T$10*'(Z+) OpEx'!$E$24,0)</f>
        <v>0</v>
      </c>
      <c r="U44" s="434">
        <f>IF(U$4&gt;=Inputs!$E$29,-U$10*'(Z+) OpEx'!$E$24,0)</f>
        <v>0</v>
      </c>
      <c r="V44" s="434">
        <f>IF(V$4&gt;=Inputs!$E$29,-V$10*'(Z+) OpEx'!$E$24,0)</f>
        <v>0</v>
      </c>
      <c r="W44" s="434">
        <f>IF(W$4&gt;=Inputs!$E$29,-W$10*'(Z+) OpEx'!$E$24,0)</f>
        <v>0</v>
      </c>
      <c r="X44" s="434">
        <f>IF(X$4&gt;=Inputs!$E$29,-X$10*'(Z+) OpEx'!$E$24,0)</f>
        <v>0</v>
      </c>
      <c r="Y44" s="434">
        <f>IF(Y$4&gt;=Inputs!$E$29,-Y$10*'(Z+) OpEx'!$E$24,0)</f>
        <v>0</v>
      </c>
      <c r="Z44" s="434">
        <f>IF(Z$4&gt;=Inputs!$E$29,-Z$10*'(Z+) OpEx'!$E$24,0)</f>
        <v>0</v>
      </c>
      <c r="AA44" s="434">
        <f>IF(AA$4&gt;=Inputs!$E$29,-AA$10*'(Z+) OpEx'!$E$24,0)</f>
        <v>-43732.096222648222</v>
      </c>
      <c r="AB44" s="434">
        <f>IF(AB$4&gt;=Inputs!$E$29,-AB$10*'(Z+) OpEx'!$E$24,0)</f>
        <v>-43837.670432914834</v>
      </c>
      <c r="AC44" s="434">
        <f>IF(AC$4&gt;=Inputs!$E$29,-AC$10*'(Z+) OpEx'!$E$24,0)</f>
        <v>-43943.499511226568</v>
      </c>
      <c r="AD44" s="434">
        <f>IF(AD$4&gt;=Inputs!$E$29,-AD$10*'(Z+) OpEx'!$E$24,0)</f>
        <v>-44049.584072863618</v>
      </c>
      <c r="AE44" s="434">
        <f>IF(AE$4&gt;=Inputs!$E$29,-AE$10*'(Z+) OpEx'!$E$24,0)</f>
        <v>-44155.924734591528</v>
      </c>
      <c r="AF44" s="434">
        <f>IF(AF$4&gt;=Inputs!$E$29,-AF$10*'(Z+) OpEx'!$E$24,0)</f>
        <v>-44262.522114664796</v>
      </c>
      <c r="AG44" s="434">
        <f>IF(AG$4&gt;=Inputs!$E$29,-AG$10*'(Z+) OpEx'!$E$24,0)</f>
        <v>-44369.376832830443</v>
      </c>
      <c r="AH44" s="434">
        <f>IF(AH$4&gt;=Inputs!$E$29,-AH$10*'(Z+) OpEx'!$E$24,0)</f>
        <v>-44476.489510331645</v>
      </c>
      <c r="AI44" s="434">
        <f>IF(AI$4&gt;=Inputs!$E$29,-AI$10*'(Z+) OpEx'!$E$24,0)</f>
        <v>-44583.860769911305</v>
      </c>
      <c r="AJ44" s="434">
        <f>IF(AJ$4&gt;=Inputs!$E$29,-AJ$10*'(Z+) OpEx'!$E$24,0)</f>
        <v>-44691.491235815709</v>
      </c>
      <c r="AK44" s="434">
        <f>IF(AK$4&gt;=Inputs!$E$29,-AK$10*'(Z+) OpEx'!$E$24,0)</f>
        <v>-44799.38153379815</v>
      </c>
      <c r="AL44" s="434">
        <f>IF(AL$4&gt;=Inputs!$E$29,-AL$10*'(Z+) OpEx'!$E$24,0)</f>
        <v>-44907.532291122567</v>
      </c>
      <c r="AM44" s="434">
        <f>IF(AM$4&gt;=Inputs!$E$29,-AM$10*'(Z+) OpEx'!$E$24,0)</f>
        <v>-45015.944136567152</v>
      </c>
      <c r="AN44" s="434">
        <f>IF(AN$4&gt;=Inputs!$E$29,-AN$10*'(Z+) OpEx'!$E$24,0)</f>
        <v>-45124.617700428076</v>
      </c>
      <c r="AO44" s="434">
        <f>IF(AO$4&gt;=Inputs!$E$29,-AO$10*'(Z+) OpEx'!$E$24,0)</f>
        <v>-45233.553614523094</v>
      </c>
      <c r="AP44" s="434">
        <f>IF(AP$4&gt;=Inputs!$E$29,-AP$10*'(Z+) OpEx'!$E$24,0)</f>
        <v>-45342.752512195242</v>
      </c>
      <c r="AQ44" s="434">
        <f>IF(AQ$4&gt;=Inputs!$E$29,-AQ$10*'(Z+) OpEx'!$E$24,0)</f>
        <v>-45452.215028316532</v>
      </c>
      <c r="AR44" s="434">
        <f>IF(AR$4&gt;=Inputs!$E$29,-AR$10*'(Z+) OpEx'!$E$24,0)</f>
        <v>-45561.941799291613</v>
      </c>
      <c r="AS44" s="434">
        <f>IF(AS$4&gt;=Inputs!$E$29,-AS$10*'(Z+) OpEx'!$E$24,0)</f>
        <v>-45671.93346306149</v>
      </c>
      <c r="AT44" s="434">
        <f>IF(AT$4&gt;=Inputs!$E$29,-AT$10*'(Z+) OpEx'!$E$24,0)</f>
        <v>-45782.19065910724</v>
      </c>
      <c r="AU44" s="434">
        <f>IF(AU$4&gt;=Inputs!$E$29,-AU$10*'(Z+) OpEx'!$E$24,0)</f>
        <v>-45892.714028453702</v>
      </c>
      <c r="AV44" s="434">
        <f>IF(AV$4&gt;=Inputs!$E$29,-AV$10*'(Z+) OpEx'!$E$24,0)</f>
        <v>-46003.50421367323</v>
      </c>
      <c r="AW44" s="434">
        <f>IF(AW$4&gt;=Inputs!$E$29,-AW$10*'(Z+) OpEx'!$E$24,0)</f>
        <v>-46114.561858889421</v>
      </c>
      <c r="AX44" s="434">
        <f>IF(AX$4&gt;=Inputs!$E$29,-AX$10*'(Z+) OpEx'!$E$24,0)</f>
        <v>-46225.887609780861</v>
      </c>
      <c r="AY44" s="434">
        <f>IF(AY$4&gt;=Inputs!$E$29,-AY$10*'(Z+) OpEx'!$E$24,0)</f>
        <v>-46337.482113584869</v>
      </c>
      <c r="AZ44" s="434">
        <f>IF(AZ$4&gt;=Inputs!$E$29,-AZ$10*'(Z+) OpEx'!$E$24,0)</f>
        <v>-46449.346019101278</v>
      </c>
      <c r="BA44" s="434">
        <f>IF(BA$4&gt;=Inputs!$E$29,-BA$10*'(Z+) OpEx'!$E$24,0)</f>
        <v>-46561.479976696202</v>
      </c>
      <c r="BB44" s="434">
        <f>IF(BB$4&gt;=Inputs!$E$29,-BB$10*'(Z+) OpEx'!$E$24,0)</f>
        <v>-46673.884638305775</v>
      </c>
      <c r="BC44" s="434">
        <f>IF(BC$4&gt;=Inputs!$E$29,-BC$10*'(Z+) OpEx'!$E$24,0)</f>
        <v>-46786.56065744003</v>
      </c>
      <c r="BD44" s="434">
        <f>IF(BD$4&gt;=Inputs!$E$29,-BD$10*'(Z+) OpEx'!$E$24,0)</f>
        <v>-46899.508689186609</v>
      </c>
      <c r="BE44" s="434">
        <f>IF(BE$4&gt;=Inputs!$E$29,-BE$10*'(Z+) OpEx'!$E$24,0)</f>
        <v>-47012.729390214627</v>
      </c>
      <c r="BF44" s="434">
        <f>IF(BF$4&gt;=Inputs!$E$29,-BF$10*'(Z+) OpEx'!$E$24,0)</f>
        <v>-47126.223418778463</v>
      </c>
      <c r="BG44" s="434">
        <f>IF(BG$4&gt;=Inputs!$E$29,-BG$10*'(Z+) OpEx'!$E$24,0)</f>
        <v>-47239.991434721618</v>
      </c>
      <c r="BH44" s="434">
        <f>IF(BH$4&gt;=Inputs!$E$29,-BH$10*'(Z+) OpEx'!$E$24,0)</f>
        <v>-47354.034099480486</v>
      </c>
      <c r="BI44" s="434">
        <f>IF(BI$4&gt;=Inputs!$E$29,-BI$10*'(Z+) OpEx'!$E$24,0)</f>
        <v>-47468.352076088282</v>
      </c>
      <c r="BJ44" s="434">
        <f>IF(BJ$4&gt;=Inputs!$E$29,-BJ$10*'(Z+) OpEx'!$E$24,0)</f>
        <v>-47582.946029178856</v>
      </c>
      <c r="BK44" s="434">
        <f>IF(BK$4&gt;=Inputs!$E$29,-BK$10*'(Z+) OpEx'!$E$24,0)</f>
        <v>-47697.816624990533</v>
      </c>
      <c r="BL44" s="434">
        <f>IF(BL$4&gt;=Inputs!$E$29,-BL$10*'(Z+) OpEx'!$E$24,0)</f>
        <v>-47812.964531370038</v>
      </c>
      <c r="BM44" s="434">
        <f>IF(BM$4&gt;=Inputs!$E$29,-BM$10*'(Z+) OpEx'!$E$24,0)</f>
        <v>-47928.390417776347</v>
      </c>
      <c r="BN44" s="434">
        <f>IF(BN$4&gt;=Inputs!$E$29,-BN$10*'(Z+) OpEx'!$E$24,0)</f>
        <v>-48044.09495528457</v>
      </c>
      <c r="BO44" s="434">
        <f>IF(BO$4&gt;=Inputs!$E$29,-BO$10*'(Z+) OpEx'!$E$24,0)</f>
        <v>-48160.078816589885</v>
      </c>
      <c r="BP44" s="434">
        <f>IF(BP$4&gt;=Inputs!$E$29,-BP$10*'(Z+) OpEx'!$E$24,0)</f>
        <v>-48276.342676011423</v>
      </c>
      <c r="BQ44" s="434">
        <f>IF(BQ$4&gt;=Inputs!$E$29,-BQ$10*'(Z+) OpEx'!$E$24,0)</f>
        <v>-48392.887209496206</v>
      </c>
      <c r="BR44" s="434">
        <f>IF(BR$4&gt;=Inputs!$E$29,-BR$10*'(Z+) OpEx'!$E$24,0)</f>
        <v>-48509.713094623061</v>
      </c>
      <c r="BS44" s="434">
        <f>IF(BS$4&gt;=Inputs!$E$29,-BS$10*'(Z+) OpEx'!$E$24,0)</f>
        <v>-48626.821010606567</v>
      </c>
      <c r="BT44" s="434">
        <f>IF(BT$4&gt;=Inputs!$E$29,-BT$10*'(Z+) OpEx'!$E$24,0)</f>
        <v>-48744.211638301014</v>
      </c>
      <c r="BU44" s="434">
        <f>IF(BU$4&gt;=Inputs!$E$29,-BU$10*'(Z+) OpEx'!$E$24,0)</f>
        <v>-48861.885660204338</v>
      </c>
      <c r="BV44" s="434">
        <f>IF(BV$4&gt;=Inputs!$E$29,-BV$10*'(Z+) OpEx'!$E$24,0)</f>
        <v>-48979.843760462107</v>
      </c>
      <c r="BW44" s="434">
        <f>IF(BW$4&gt;=Inputs!$E$29,-BW$10*'(Z+) OpEx'!$E$24,0)</f>
        <v>-49098.086624871488</v>
      </c>
      <c r="BX44" s="434">
        <f>IF(BX$4&gt;=Inputs!$E$29,-BX$10*'(Z+) OpEx'!$E$24,0)</f>
        <v>-49216.614940885251</v>
      </c>
      <c r="BY44" s="434">
        <f>IF(BY$4&gt;=Inputs!$E$29,-BY$10*'(Z+) OpEx'!$E$24,0)</f>
        <v>-49335.429397615757</v>
      </c>
      <c r="BZ44" s="434">
        <f>IF(BZ$4&gt;=Inputs!$E$29,-BZ$10*'(Z+) OpEx'!$E$24,0)</f>
        <v>-49454.530685838938</v>
      </c>
      <c r="CA44" s="434">
        <f>IF(CA$4&gt;=Inputs!$E$29,-CA$10*'(Z+) OpEx'!$E$24,0)</f>
        <v>-49573.919497998351</v>
      </c>
      <c r="CB44" s="434">
        <f>IF(CB$4&gt;=Inputs!$E$29,-CB$10*'(Z+) OpEx'!$E$24,0)</f>
        <v>-49693.5965282092</v>
      </c>
      <c r="CC44" s="434">
        <f>IF(CC$4&gt;=Inputs!$E$29,-CC$10*'(Z+) OpEx'!$E$24,0)</f>
        <v>-49813.562472262347</v>
      </c>
      <c r="CD44" s="434">
        <f>IF(CD$4&gt;=Inputs!$E$29,-CD$10*'(Z+) OpEx'!$E$24,0)</f>
        <v>-49933.818027628389</v>
      </c>
      <c r="CE44" s="434">
        <f>IF(CE$4&gt;=Inputs!$E$29,-CE$10*'(Z+) OpEx'!$E$24,0)</f>
        <v>-50054.363893461668</v>
      </c>
      <c r="CF44" s="434">
        <f>IF(CF$4&gt;=Inputs!$E$29,-CF$10*'(Z+) OpEx'!$E$24,0)</f>
        <v>-50175.200770604395</v>
      </c>
      <c r="CG44" s="434">
        <f>IF(CG$4&gt;=Inputs!$E$29,-CG$10*'(Z+) OpEx'!$E$24,0)</f>
        <v>-50296.329361590659</v>
      </c>
      <c r="CH44" s="434">
        <f>IF(CH$4&gt;=Inputs!$E$29,-CH$10*'(Z+) OpEx'!$E$24,0)</f>
        <v>-50417.750370650574</v>
      </c>
      <c r="CI44" s="434">
        <f>IF(CI$4&gt;=Inputs!$E$29,-CI$10*'(Z+) OpEx'!$E$24,0)</f>
        <v>-50539.464503714335</v>
      </c>
      <c r="CJ44" s="434">
        <f>IF(CJ$4&gt;=Inputs!$E$29,-CJ$10*'(Z+) OpEx'!$E$24,0)</f>
        <v>-50661.47246841633</v>
      </c>
      <c r="CK44" s="434">
        <f>IF(CK$4&gt;=Inputs!$E$29,-CK$10*'(Z+) OpEx'!$E$24,0)</f>
        <v>-50783.774974099259</v>
      </c>
      <c r="CL44" s="434">
        <f>IF(CL$4&gt;=Inputs!$E$29,-CL$10*'(Z+) OpEx'!$E$24,0)</f>
        <v>-50906.37273181825</v>
      </c>
      <c r="CM44" s="434">
        <f>IF(CM$4&gt;=Inputs!$E$29,-CM$10*'(Z+) OpEx'!$E$24,0)</f>
        <v>-51029.266454345001</v>
      </c>
      <c r="CN44" s="434">
        <f>IF(CN$4&gt;=Inputs!$E$29,-CN$10*'(Z+) OpEx'!$E$24,0)</f>
        <v>-51152.456856171928</v>
      </c>
      <c r="CO44" s="434">
        <f>IF(CO$4&gt;=Inputs!$E$29,-CO$10*'(Z+) OpEx'!$E$24,0)</f>
        <v>-51275.944653516308</v>
      </c>
      <c r="CP44" s="434">
        <f>IF(CP$4&gt;=Inputs!$E$29,-CP$10*'(Z+) OpEx'!$E$24,0)</f>
        <v>-51399.73056432444</v>
      </c>
      <c r="CQ44" s="434">
        <f>IF(CQ$4&gt;=Inputs!$E$29,-CQ$10*'(Z+) OpEx'!$E$24,0)</f>
        <v>-51523.815308275836</v>
      </c>
      <c r="CR44" s="434">
        <f>IF(CR$4&gt;=Inputs!$E$29,-CR$10*'(Z+) OpEx'!$E$24,0)</f>
        <v>-51648.199606787392</v>
      </c>
      <c r="CS44" s="434">
        <f>IF(CS$4&gt;=Inputs!$E$29,-CS$10*'(Z+) OpEx'!$E$24,0)</f>
        <v>-51772.884183017581</v>
      </c>
      <c r="CT44" s="434">
        <f>IF(CT$4&gt;=Inputs!$E$29,-CT$10*'(Z+) OpEx'!$E$24,0)</f>
        <v>-51897.869761870672</v>
      </c>
      <c r="CU44" s="434">
        <f>IF(CU$4&gt;=Inputs!$E$29,-CU$10*'(Z+) OpEx'!$E$24,0)</f>
        <v>-52023.157070000925</v>
      </c>
      <c r="CV44" s="434">
        <f>IF(CV$4&gt;=Inputs!$E$29,-CV$10*'(Z+) OpEx'!$E$24,0)</f>
        <v>-52148.746835816833</v>
      </c>
      <c r="CW44" s="434">
        <f>IF(CW$4&gt;=Inputs!$E$29,-CW$10*'(Z+) OpEx'!$E$24,0)</f>
        <v>-52274.639789485343</v>
      </c>
      <c r="CX44" s="434">
        <f>IF(CX$4&gt;=Inputs!$E$29,-CX$10*'(Z+) OpEx'!$E$24,0)</f>
        <v>-52400.836662936112</v>
      </c>
      <c r="CY44" s="434">
        <f>IF(CY$4&gt;=Inputs!$E$29,-CY$10*'(Z+) OpEx'!$E$24,0)</f>
        <v>-52527.338189865754</v>
      </c>
      <c r="CZ44" s="434">
        <f>IF(CZ$4&gt;=Inputs!$E$29,-CZ$10*'(Z+) OpEx'!$E$24,0)</f>
        <v>-52654.145105742107</v>
      </c>
      <c r="DA44" s="434">
        <f>IF(DA$4&gt;=Inputs!$E$29,-DA$10*'(Z+) OpEx'!$E$24,0)</f>
        <v>-52781.258147808527</v>
      </c>
      <c r="DB44" s="434">
        <f>IF(DB$4&gt;=Inputs!$E$29,-DB$10*'(Z+) OpEx'!$E$24,0)</f>
        <v>-52908.678055088138</v>
      </c>
      <c r="DC44" s="434">
        <f>IF(DC$4&gt;=Inputs!$E$29,-DC$10*'(Z+) OpEx'!$E$24,0)</f>
        <v>-53036.405568388167</v>
      </c>
      <c r="DD44" s="434">
        <f>IF(DD$4&gt;=Inputs!$E$29,-DD$10*'(Z+) OpEx'!$E$24,0)</f>
        <v>-53164.441430304214</v>
      </c>
      <c r="DE44" s="434">
        <f>IF(DE$4&gt;=Inputs!$E$29,-DE$10*'(Z+) OpEx'!$E$24,0)</f>
        <v>-53292.786385224601</v>
      </c>
      <c r="DF44" s="434">
        <f>IF(DF$4&gt;=Inputs!$E$29,-DF$10*'(Z+) OpEx'!$E$24,0)</f>
        <v>-53421.441179334688</v>
      </c>
      <c r="DG44" s="434">
        <f>IF(DG$4&gt;=Inputs!$E$29,-DG$10*'(Z+) OpEx'!$E$24,0)</f>
        <v>-53550.40656062121</v>
      </c>
      <c r="DH44" s="434">
        <f>IF(DH$4&gt;=Inputs!$E$29,-DH$10*'(Z+) OpEx'!$E$24,0)</f>
        <v>-53679.683278876611</v>
      </c>
      <c r="DI44" s="434">
        <f>IF(DI$4&gt;=Inputs!$E$29,-DI$10*'(Z+) OpEx'!$E$24,0)</f>
        <v>-53809.272085703444</v>
      </c>
      <c r="DJ44" s="434">
        <f>IF(DJ$4&gt;=Inputs!$E$29,-DJ$10*'(Z+) OpEx'!$E$24,0)</f>
        <v>-53939.173734518699</v>
      </c>
      <c r="DK44" s="434">
        <f>IF(DK$4&gt;=Inputs!$E$29,-DK$10*'(Z+) OpEx'!$E$24,0)</f>
        <v>-54069.388980558193</v>
      </c>
      <c r="DL44" s="434">
        <f>IF(DL$4&gt;=Inputs!$E$29,-DL$10*'(Z+) OpEx'!$E$24,0)</f>
        <v>-54199.918580880993</v>
      </c>
      <c r="DM44" s="434">
        <f>IF(DM$4&gt;=Inputs!$E$29,-DM$10*'(Z+) OpEx'!$E$24,0)</f>
        <v>-54330.763294373777</v>
      </c>
      <c r="DN44" s="434">
        <f>IF(DN$4&gt;=Inputs!$E$29,-DN$10*'(Z+) OpEx'!$E$24,0)</f>
        <v>-54461.923881755247</v>
      </c>
      <c r="DO44" s="434">
        <f>IF(DO$4&gt;=Inputs!$E$29,-DO$10*'(Z+) OpEx'!$E$24,0)</f>
        <v>-54593.401105580597</v>
      </c>
      <c r="DP44" s="434">
        <f>IF(DP$4&gt;=Inputs!$E$29,-DP$10*'(Z+) OpEx'!$E$24,0)</f>
        <v>-54725.195730245883</v>
      </c>
      <c r="DQ44" s="434">
        <f>IF(DQ$4&gt;=Inputs!$E$29,-DQ$10*'(Z+) OpEx'!$E$24,0)</f>
        <v>-54857.30852199252</v>
      </c>
      <c r="DR44" s="434">
        <f>IF(DR$4&gt;=Inputs!$E$29,-DR$10*'(Z+) OpEx'!$E$24,0)</f>
        <v>-54989.740248911701</v>
      </c>
      <c r="DS44" s="434">
        <f>IF(DS$4&gt;=Inputs!$E$29,-DS$10*'(Z+) OpEx'!$E$24,0)</f>
        <v>-55122.491680948893</v>
      </c>
      <c r="DT44" s="434">
        <f>IF(DT$4&gt;=Inputs!$E$29,-DT$10*'(Z+) OpEx'!$E$24,0)</f>
        <v>-55255.563589908292</v>
      </c>
      <c r="DU44" s="434">
        <f>IF(DU$4&gt;=Inputs!$E$29,-DU$10*'(Z+) OpEx'!$E$24,0)</f>
        <v>-55388.956749457313</v>
      </c>
    </row>
    <row r="45" spans="1:125" ht="15.75" customHeight="1" x14ac:dyDescent="0.25">
      <c r="A45" s="436" t="str">
        <f>+'(Z+) OpEx'!C25</f>
        <v xml:space="preserve">   Mgr's Rent Credit</v>
      </c>
      <c r="B45" s="112"/>
      <c r="C45" s="437"/>
      <c r="D45" s="419"/>
      <c r="E45" s="112"/>
      <c r="F45" s="438">
        <f>IF(F$4&gt;=Inputs!$E$29,-F$10*'(Z+) OpEx'!$E$25,0)</f>
        <v>0</v>
      </c>
      <c r="G45" s="438">
        <f>IF(G$4&gt;=Inputs!$E$29,-G$10*'(Z+) OpEx'!$E$25,0)</f>
        <v>0</v>
      </c>
      <c r="H45" s="438">
        <f>IF(H$4&gt;=Inputs!$E$29,-H$10*'(Z+) OpEx'!$E$25,0)</f>
        <v>0</v>
      </c>
      <c r="I45" s="438">
        <f>IF(I$4&gt;=Inputs!$E$29,-I$10*'(Z+) OpEx'!$E$25,0)</f>
        <v>0</v>
      </c>
      <c r="J45" s="439">
        <f>IF(J$4&gt;=Inputs!$E$29,-J$10*'(Z+) OpEx'!$E$25,0)</f>
        <v>0</v>
      </c>
      <c r="K45" s="439">
        <f>IF(K$4&gt;=Inputs!$E$29,-K$10*'(Z+) OpEx'!$E$25,0)</f>
        <v>0</v>
      </c>
      <c r="L45" s="439">
        <f>IF(L$4&gt;=Inputs!$E$29,-L$10*'(Z+) OpEx'!$E$25,0)</f>
        <v>0</v>
      </c>
      <c r="M45" s="439">
        <f>IF(M$4&gt;=Inputs!$E$29,-M$10*'(Z+) OpEx'!$E$25,0)</f>
        <v>0</v>
      </c>
      <c r="N45" s="439">
        <f>IF(N$4&gt;=Inputs!$E$29,-N$10*'(Z+) OpEx'!$E$25,0)</f>
        <v>0</v>
      </c>
      <c r="O45" s="439">
        <f>IF(O$4&gt;=Inputs!$E$29,-O$10*'(Z+) OpEx'!$E$25,0)</f>
        <v>0</v>
      </c>
      <c r="P45" s="439">
        <f>IF(P$4&gt;=Inputs!$E$29,-P$10*'(Z+) OpEx'!$E$25,0)</f>
        <v>0</v>
      </c>
      <c r="Q45" s="439">
        <f>IF(Q$4&gt;=Inputs!$E$29,-Q$10*'(Z+) OpEx'!$E$25,0)</f>
        <v>0</v>
      </c>
      <c r="R45" s="439">
        <f>IF(R$4&gt;=Inputs!$E$29,-R$10*'(Z+) OpEx'!$E$25,0)</f>
        <v>0</v>
      </c>
      <c r="S45" s="439">
        <f>IF(S$4&gt;=Inputs!$E$29,-S$10*'(Z+) OpEx'!$E$25,0)</f>
        <v>0</v>
      </c>
      <c r="T45" s="439">
        <f>IF(T$4&gt;=Inputs!$E$29,-T$10*'(Z+) OpEx'!$E$25,0)</f>
        <v>0</v>
      </c>
      <c r="U45" s="440">
        <f>IF(U$4&gt;=Inputs!$E$29,-U$10*'(Z+) OpEx'!$E$25,0)</f>
        <v>0</v>
      </c>
      <c r="V45" s="440">
        <f>IF(V$4&gt;=Inputs!$E$29,-V$10*'(Z+) OpEx'!$E$25,0)</f>
        <v>0</v>
      </c>
      <c r="W45" s="440">
        <f>IF(W$4&gt;=Inputs!$E$29,-W$10*'(Z+) OpEx'!$E$25,0)</f>
        <v>0</v>
      </c>
      <c r="X45" s="440">
        <f>IF(X$4&gt;=Inputs!$E$29,-X$10*'(Z+) OpEx'!$E$25,0)</f>
        <v>0</v>
      </c>
      <c r="Y45" s="440">
        <f>IF(Y$4&gt;=Inputs!$E$29,-Y$10*'(Z+) OpEx'!$E$25,0)</f>
        <v>0</v>
      </c>
      <c r="Z45" s="440">
        <f>IF(Z$4&gt;=Inputs!$E$29,-Z$10*'(Z+) OpEx'!$E$25,0)</f>
        <v>0</v>
      </c>
      <c r="AA45" s="440">
        <f>IF(AA$4&gt;=Inputs!$E$29,-AA$10*'(Z+) OpEx'!$E$25,0)</f>
        <v>0</v>
      </c>
      <c r="AB45" s="440">
        <f>IF(AB$4&gt;=Inputs!$E$29,-AB$10*'(Z+) OpEx'!$E$25,0)</f>
        <v>0</v>
      </c>
      <c r="AC45" s="440">
        <f>IF(AC$4&gt;=Inputs!$E$29,-AC$10*'(Z+) OpEx'!$E$25,0)</f>
        <v>0</v>
      </c>
      <c r="AD45" s="440">
        <f>IF(AD$4&gt;=Inputs!$E$29,-AD$10*'(Z+) OpEx'!$E$25,0)</f>
        <v>0</v>
      </c>
      <c r="AE45" s="440">
        <f>IF(AE$4&gt;=Inputs!$E$29,-AE$10*'(Z+) OpEx'!$E$25,0)</f>
        <v>0</v>
      </c>
      <c r="AF45" s="440">
        <f>IF(AF$4&gt;=Inputs!$E$29,-AF$10*'(Z+) OpEx'!$E$25,0)</f>
        <v>0</v>
      </c>
      <c r="AG45" s="440">
        <f>IF(AG$4&gt;=Inputs!$E$29,-AG$10*'(Z+) OpEx'!$E$25,0)</f>
        <v>0</v>
      </c>
      <c r="AH45" s="440">
        <f>IF(AH$4&gt;=Inputs!$E$29,-AH$10*'(Z+) OpEx'!$E$25,0)</f>
        <v>0</v>
      </c>
      <c r="AI45" s="440">
        <f>IF(AI$4&gt;=Inputs!$E$29,-AI$10*'(Z+) OpEx'!$E$25,0)</f>
        <v>0</v>
      </c>
      <c r="AJ45" s="440">
        <f>IF(AJ$4&gt;=Inputs!$E$29,-AJ$10*'(Z+) OpEx'!$E$25,0)</f>
        <v>0</v>
      </c>
      <c r="AK45" s="440">
        <f>IF(AK$4&gt;=Inputs!$E$29,-AK$10*'(Z+) OpEx'!$E$25,0)</f>
        <v>0</v>
      </c>
      <c r="AL45" s="440">
        <f>IF(AL$4&gt;=Inputs!$E$29,-AL$10*'(Z+) OpEx'!$E$25,0)</f>
        <v>0</v>
      </c>
      <c r="AM45" s="440">
        <f>IF(AM$4&gt;=Inputs!$E$29,-AM$10*'(Z+) OpEx'!$E$25,0)</f>
        <v>0</v>
      </c>
      <c r="AN45" s="440">
        <f>IF(AN$4&gt;=Inputs!$E$29,-AN$10*'(Z+) OpEx'!$E$25,0)</f>
        <v>0</v>
      </c>
      <c r="AO45" s="440">
        <f>IF(AO$4&gt;=Inputs!$E$29,-AO$10*'(Z+) OpEx'!$E$25,0)</f>
        <v>0</v>
      </c>
      <c r="AP45" s="440">
        <f>IF(AP$4&gt;=Inputs!$E$29,-AP$10*'(Z+) OpEx'!$E$25,0)</f>
        <v>0</v>
      </c>
      <c r="AQ45" s="440">
        <f>IF(AQ$4&gt;=Inputs!$E$29,-AQ$10*'(Z+) OpEx'!$E$25,0)</f>
        <v>0</v>
      </c>
      <c r="AR45" s="440">
        <f>IF(AR$4&gt;=Inputs!$E$29,-AR$10*'(Z+) OpEx'!$E$25,0)</f>
        <v>0</v>
      </c>
      <c r="AS45" s="440">
        <f>IF(AS$4&gt;=Inputs!$E$29,-AS$10*'(Z+) OpEx'!$E$25,0)</f>
        <v>0</v>
      </c>
      <c r="AT45" s="440">
        <f>IF(AT$4&gt;=Inputs!$E$29,-AT$10*'(Z+) OpEx'!$E$25,0)</f>
        <v>0</v>
      </c>
      <c r="AU45" s="440">
        <f>IF(AU$4&gt;=Inputs!$E$29,-AU$10*'(Z+) OpEx'!$E$25,0)</f>
        <v>0</v>
      </c>
      <c r="AV45" s="440">
        <f>IF(AV$4&gt;=Inputs!$E$29,-AV$10*'(Z+) OpEx'!$E$25,0)</f>
        <v>0</v>
      </c>
      <c r="AW45" s="440">
        <f>IF(AW$4&gt;=Inputs!$E$29,-AW$10*'(Z+) OpEx'!$E$25,0)</f>
        <v>0</v>
      </c>
      <c r="AX45" s="440">
        <f>IF(AX$4&gt;=Inputs!$E$29,-AX$10*'(Z+) OpEx'!$E$25,0)</f>
        <v>0</v>
      </c>
      <c r="AY45" s="440">
        <f>IF(AY$4&gt;=Inputs!$E$29,-AY$10*'(Z+) OpEx'!$E$25,0)</f>
        <v>0</v>
      </c>
      <c r="AZ45" s="440">
        <f>IF(AZ$4&gt;=Inputs!$E$29,-AZ$10*'(Z+) OpEx'!$E$25,0)</f>
        <v>0</v>
      </c>
      <c r="BA45" s="440">
        <f>IF(BA$4&gt;=Inputs!$E$29,-BA$10*'(Z+) OpEx'!$E$25,0)</f>
        <v>0</v>
      </c>
      <c r="BB45" s="440">
        <f>IF(BB$4&gt;=Inputs!$E$29,-BB$10*'(Z+) OpEx'!$E$25,0)</f>
        <v>0</v>
      </c>
      <c r="BC45" s="440">
        <f>IF(BC$4&gt;=Inputs!$E$29,-BC$10*'(Z+) OpEx'!$E$25,0)</f>
        <v>0</v>
      </c>
      <c r="BD45" s="440">
        <f>IF(BD$4&gt;=Inputs!$E$29,-BD$10*'(Z+) OpEx'!$E$25,0)</f>
        <v>0</v>
      </c>
      <c r="BE45" s="440">
        <f>IF(BE$4&gt;=Inputs!$E$29,-BE$10*'(Z+) OpEx'!$E$25,0)</f>
        <v>0</v>
      </c>
      <c r="BF45" s="440">
        <f>IF(BF$4&gt;=Inputs!$E$29,-BF$10*'(Z+) OpEx'!$E$25,0)</f>
        <v>0</v>
      </c>
      <c r="BG45" s="440">
        <f>IF(BG$4&gt;=Inputs!$E$29,-BG$10*'(Z+) OpEx'!$E$25,0)</f>
        <v>0</v>
      </c>
      <c r="BH45" s="440">
        <f>IF(BH$4&gt;=Inputs!$E$29,-BH$10*'(Z+) OpEx'!$E$25,0)</f>
        <v>0</v>
      </c>
      <c r="BI45" s="440">
        <f>IF(BI$4&gt;=Inputs!$E$29,-BI$10*'(Z+) OpEx'!$E$25,0)</f>
        <v>0</v>
      </c>
      <c r="BJ45" s="440">
        <f>IF(BJ$4&gt;=Inputs!$E$29,-BJ$10*'(Z+) OpEx'!$E$25,0)</f>
        <v>0</v>
      </c>
      <c r="BK45" s="440">
        <f>IF(BK$4&gt;=Inputs!$E$29,-BK$10*'(Z+) OpEx'!$E$25,0)</f>
        <v>0</v>
      </c>
      <c r="BL45" s="440">
        <f>IF(BL$4&gt;=Inputs!$E$29,-BL$10*'(Z+) OpEx'!$E$25,0)</f>
        <v>0</v>
      </c>
      <c r="BM45" s="440">
        <f>IF(BM$4&gt;=Inputs!$E$29,-BM$10*'(Z+) OpEx'!$E$25,0)</f>
        <v>0</v>
      </c>
      <c r="BN45" s="440">
        <f>IF(BN$4&gt;=Inputs!$E$29,-BN$10*'(Z+) OpEx'!$E$25,0)</f>
        <v>0</v>
      </c>
      <c r="BO45" s="440">
        <f>IF(BO$4&gt;=Inputs!$E$29,-BO$10*'(Z+) OpEx'!$E$25,0)</f>
        <v>0</v>
      </c>
      <c r="BP45" s="440">
        <f>IF(BP$4&gt;=Inputs!$E$29,-BP$10*'(Z+) OpEx'!$E$25,0)</f>
        <v>0</v>
      </c>
      <c r="BQ45" s="440">
        <f>IF(BQ$4&gt;=Inputs!$E$29,-BQ$10*'(Z+) OpEx'!$E$25,0)</f>
        <v>0</v>
      </c>
      <c r="BR45" s="440">
        <f>IF(BR$4&gt;=Inputs!$E$29,-BR$10*'(Z+) OpEx'!$E$25,0)</f>
        <v>0</v>
      </c>
      <c r="BS45" s="440">
        <f>IF(BS$4&gt;=Inputs!$E$29,-BS$10*'(Z+) OpEx'!$E$25,0)</f>
        <v>0</v>
      </c>
      <c r="BT45" s="440">
        <f>IF(BT$4&gt;=Inputs!$E$29,-BT$10*'(Z+) OpEx'!$E$25,0)</f>
        <v>0</v>
      </c>
      <c r="BU45" s="440">
        <f>IF(BU$4&gt;=Inputs!$E$29,-BU$10*'(Z+) OpEx'!$E$25,0)</f>
        <v>0</v>
      </c>
      <c r="BV45" s="440">
        <f>IF(BV$4&gt;=Inputs!$E$29,-BV$10*'(Z+) OpEx'!$E$25,0)</f>
        <v>0</v>
      </c>
      <c r="BW45" s="440">
        <f>IF(BW$4&gt;=Inputs!$E$29,-BW$10*'(Z+) OpEx'!$E$25,0)</f>
        <v>0</v>
      </c>
      <c r="BX45" s="440">
        <f>IF(BX$4&gt;=Inputs!$E$29,-BX$10*'(Z+) OpEx'!$E$25,0)</f>
        <v>0</v>
      </c>
      <c r="BY45" s="440">
        <f>IF(BY$4&gt;=Inputs!$E$29,-BY$10*'(Z+) OpEx'!$E$25,0)</f>
        <v>0</v>
      </c>
      <c r="BZ45" s="440">
        <f>IF(BZ$4&gt;=Inputs!$E$29,-BZ$10*'(Z+) OpEx'!$E$25,0)</f>
        <v>0</v>
      </c>
      <c r="CA45" s="440">
        <f>IF(CA$4&gt;=Inputs!$E$29,-CA$10*'(Z+) OpEx'!$E$25,0)</f>
        <v>0</v>
      </c>
      <c r="CB45" s="440">
        <f>IF(CB$4&gt;=Inputs!$E$29,-CB$10*'(Z+) OpEx'!$E$25,0)</f>
        <v>0</v>
      </c>
      <c r="CC45" s="440">
        <f>IF(CC$4&gt;=Inputs!$E$29,-CC$10*'(Z+) OpEx'!$E$25,0)</f>
        <v>0</v>
      </c>
      <c r="CD45" s="440">
        <f>IF(CD$4&gt;=Inputs!$E$29,-CD$10*'(Z+) OpEx'!$E$25,0)</f>
        <v>0</v>
      </c>
      <c r="CE45" s="440">
        <f>IF(CE$4&gt;=Inputs!$E$29,-CE$10*'(Z+) OpEx'!$E$25,0)</f>
        <v>0</v>
      </c>
      <c r="CF45" s="440">
        <f>IF(CF$4&gt;=Inputs!$E$29,-CF$10*'(Z+) OpEx'!$E$25,0)</f>
        <v>0</v>
      </c>
      <c r="CG45" s="440">
        <f>IF(CG$4&gt;=Inputs!$E$29,-CG$10*'(Z+) OpEx'!$E$25,0)</f>
        <v>0</v>
      </c>
      <c r="CH45" s="440">
        <f>IF(CH$4&gt;=Inputs!$E$29,-CH$10*'(Z+) OpEx'!$E$25,0)</f>
        <v>0</v>
      </c>
      <c r="CI45" s="440">
        <f>IF(CI$4&gt;=Inputs!$E$29,-CI$10*'(Z+) OpEx'!$E$25,0)</f>
        <v>0</v>
      </c>
      <c r="CJ45" s="440">
        <f>IF(CJ$4&gt;=Inputs!$E$29,-CJ$10*'(Z+) OpEx'!$E$25,0)</f>
        <v>0</v>
      </c>
      <c r="CK45" s="440">
        <f>IF(CK$4&gt;=Inputs!$E$29,-CK$10*'(Z+) OpEx'!$E$25,0)</f>
        <v>0</v>
      </c>
      <c r="CL45" s="440">
        <f>IF(CL$4&gt;=Inputs!$E$29,-CL$10*'(Z+) OpEx'!$E$25,0)</f>
        <v>0</v>
      </c>
      <c r="CM45" s="440">
        <f>IF(CM$4&gt;=Inputs!$E$29,-CM$10*'(Z+) OpEx'!$E$25,0)</f>
        <v>0</v>
      </c>
      <c r="CN45" s="440">
        <f>IF(CN$4&gt;=Inputs!$E$29,-CN$10*'(Z+) OpEx'!$E$25,0)</f>
        <v>0</v>
      </c>
      <c r="CO45" s="440">
        <f>IF(CO$4&gt;=Inputs!$E$29,-CO$10*'(Z+) OpEx'!$E$25,0)</f>
        <v>0</v>
      </c>
      <c r="CP45" s="440">
        <f>IF(CP$4&gt;=Inputs!$E$29,-CP$10*'(Z+) OpEx'!$E$25,0)</f>
        <v>0</v>
      </c>
      <c r="CQ45" s="440">
        <f>IF(CQ$4&gt;=Inputs!$E$29,-CQ$10*'(Z+) OpEx'!$E$25,0)</f>
        <v>0</v>
      </c>
      <c r="CR45" s="440">
        <f>IF(CR$4&gt;=Inputs!$E$29,-CR$10*'(Z+) OpEx'!$E$25,0)</f>
        <v>0</v>
      </c>
      <c r="CS45" s="440">
        <f>IF(CS$4&gt;=Inputs!$E$29,-CS$10*'(Z+) OpEx'!$E$25,0)</f>
        <v>0</v>
      </c>
      <c r="CT45" s="440">
        <f>IF(CT$4&gt;=Inputs!$E$29,-CT$10*'(Z+) OpEx'!$E$25,0)</f>
        <v>0</v>
      </c>
      <c r="CU45" s="440">
        <f>IF(CU$4&gt;=Inputs!$E$29,-CU$10*'(Z+) OpEx'!$E$25,0)</f>
        <v>0</v>
      </c>
      <c r="CV45" s="440">
        <f>IF(CV$4&gt;=Inputs!$E$29,-CV$10*'(Z+) OpEx'!$E$25,0)</f>
        <v>0</v>
      </c>
      <c r="CW45" s="440">
        <f>IF(CW$4&gt;=Inputs!$E$29,-CW$10*'(Z+) OpEx'!$E$25,0)</f>
        <v>0</v>
      </c>
      <c r="CX45" s="440">
        <f>IF(CX$4&gt;=Inputs!$E$29,-CX$10*'(Z+) OpEx'!$E$25,0)</f>
        <v>0</v>
      </c>
      <c r="CY45" s="440">
        <f>IF(CY$4&gt;=Inputs!$E$29,-CY$10*'(Z+) OpEx'!$E$25,0)</f>
        <v>0</v>
      </c>
      <c r="CZ45" s="440">
        <f>IF(CZ$4&gt;=Inputs!$E$29,-CZ$10*'(Z+) OpEx'!$E$25,0)</f>
        <v>0</v>
      </c>
      <c r="DA45" s="440">
        <f>IF(DA$4&gt;=Inputs!$E$29,-DA$10*'(Z+) OpEx'!$E$25,0)</f>
        <v>0</v>
      </c>
      <c r="DB45" s="440">
        <f>IF(DB$4&gt;=Inputs!$E$29,-DB$10*'(Z+) OpEx'!$E$25,0)</f>
        <v>0</v>
      </c>
      <c r="DC45" s="440">
        <f>IF(DC$4&gt;=Inputs!$E$29,-DC$10*'(Z+) OpEx'!$E$25,0)</f>
        <v>0</v>
      </c>
      <c r="DD45" s="440">
        <f>IF(DD$4&gt;=Inputs!$E$29,-DD$10*'(Z+) OpEx'!$E$25,0)</f>
        <v>0</v>
      </c>
      <c r="DE45" s="440">
        <f>IF(DE$4&gt;=Inputs!$E$29,-DE$10*'(Z+) OpEx'!$E$25,0)</f>
        <v>0</v>
      </c>
      <c r="DF45" s="440">
        <f>IF(DF$4&gt;=Inputs!$E$29,-DF$10*'(Z+) OpEx'!$E$25,0)</f>
        <v>0</v>
      </c>
      <c r="DG45" s="440">
        <f>IF(DG$4&gt;=Inputs!$E$29,-DG$10*'(Z+) OpEx'!$E$25,0)</f>
        <v>0</v>
      </c>
      <c r="DH45" s="440">
        <f>IF(DH$4&gt;=Inputs!$E$29,-DH$10*'(Z+) OpEx'!$E$25,0)</f>
        <v>0</v>
      </c>
      <c r="DI45" s="440">
        <f>IF(DI$4&gt;=Inputs!$E$29,-DI$10*'(Z+) OpEx'!$E$25,0)</f>
        <v>0</v>
      </c>
      <c r="DJ45" s="440">
        <f>IF(DJ$4&gt;=Inputs!$E$29,-DJ$10*'(Z+) OpEx'!$E$25,0)</f>
        <v>0</v>
      </c>
      <c r="DK45" s="440">
        <f>IF(DK$4&gt;=Inputs!$E$29,-DK$10*'(Z+) OpEx'!$E$25,0)</f>
        <v>0</v>
      </c>
      <c r="DL45" s="440">
        <f>IF(DL$4&gt;=Inputs!$E$29,-DL$10*'(Z+) OpEx'!$E$25,0)</f>
        <v>0</v>
      </c>
      <c r="DM45" s="440">
        <f>IF(DM$4&gt;=Inputs!$E$29,-DM$10*'(Z+) OpEx'!$E$25,0)</f>
        <v>0</v>
      </c>
      <c r="DN45" s="440">
        <f>IF(DN$4&gt;=Inputs!$E$29,-DN$10*'(Z+) OpEx'!$E$25,0)</f>
        <v>0</v>
      </c>
      <c r="DO45" s="440">
        <f>IF(DO$4&gt;=Inputs!$E$29,-DO$10*'(Z+) OpEx'!$E$25,0)</f>
        <v>0</v>
      </c>
      <c r="DP45" s="440">
        <f>IF(DP$4&gt;=Inputs!$E$29,-DP$10*'(Z+) OpEx'!$E$25,0)</f>
        <v>0</v>
      </c>
      <c r="DQ45" s="440">
        <f>IF(DQ$4&gt;=Inputs!$E$29,-DQ$10*'(Z+) OpEx'!$E$25,0)</f>
        <v>0</v>
      </c>
      <c r="DR45" s="440">
        <f>IF(DR$4&gt;=Inputs!$E$29,-DR$10*'(Z+) OpEx'!$E$25,0)</f>
        <v>0</v>
      </c>
      <c r="DS45" s="440">
        <f>IF(DS$4&gt;=Inputs!$E$29,-DS$10*'(Z+) OpEx'!$E$25,0)</f>
        <v>0</v>
      </c>
      <c r="DT45" s="440">
        <f>IF(DT$4&gt;=Inputs!$E$29,-DT$10*'(Z+) OpEx'!$E$25,0)</f>
        <v>0</v>
      </c>
      <c r="DU45" s="440">
        <f>IF(DU$4&gt;=Inputs!$E$29,-DU$10*'(Z+) OpEx'!$E$25,0)</f>
        <v>0</v>
      </c>
    </row>
    <row r="46" spans="1:125" ht="15.75" customHeight="1" x14ac:dyDescent="0.25">
      <c r="A46" s="393" t="str">
        <f>+'(Z+) OpEx'!C26</f>
        <v xml:space="preserve">   Reserves</v>
      </c>
      <c r="B46" s="394"/>
      <c r="C46" s="435">
        <f>+'(Z+) OpEx'!D26</f>
        <v>1</v>
      </c>
      <c r="D46" s="395"/>
      <c r="E46" s="394"/>
      <c r="F46" s="432">
        <f>IF(F$4&gt;=Inputs!$E$29,-F$10*'(Z+) OpEx'!$E$26,0)</f>
        <v>0</v>
      </c>
      <c r="G46" s="432">
        <f>IF(G$4&gt;=Inputs!$E$29,-G$10*'(Z+) OpEx'!$E$26,0)</f>
        <v>0</v>
      </c>
      <c r="H46" s="432">
        <f>IF(H$4&gt;=Inputs!$E$29,-H$10*'(Z+) OpEx'!$E$26,0)</f>
        <v>0</v>
      </c>
      <c r="I46" s="432">
        <f>IF(I$4&gt;=Inputs!$E$29,-I$10*'(Z+) OpEx'!$E$26,0)</f>
        <v>0</v>
      </c>
      <c r="J46" s="433">
        <f>IF(J$4&gt;=Inputs!$E$29,-J$10*'(Z+) OpEx'!$E$26,0)</f>
        <v>0</v>
      </c>
      <c r="K46" s="433">
        <f>IF(K$4&gt;=Inputs!$E$29,-K$10*'(Z+) OpEx'!$E$26,0)</f>
        <v>0</v>
      </c>
      <c r="L46" s="433">
        <f>IF(L$4&gt;=Inputs!$E$29,-L$10*'(Z+) OpEx'!$E$26,0)</f>
        <v>0</v>
      </c>
      <c r="M46" s="433">
        <f>IF(M$4&gt;=Inputs!$E$29,-M$10*'(Z+) OpEx'!$E$26,0)</f>
        <v>0</v>
      </c>
      <c r="N46" s="433">
        <f>IF(N$4&gt;=Inputs!$E$29,-N$10*'(Z+) OpEx'!$E$26,0)</f>
        <v>0</v>
      </c>
      <c r="O46" s="433">
        <f>IF(O$4&gt;=Inputs!$E$29,-O$10*'(Z+) OpEx'!$E$26,0)</f>
        <v>0</v>
      </c>
      <c r="P46" s="433">
        <f>IF(P$4&gt;=Inputs!$E$29,-P$10*'(Z+) OpEx'!$E$26,0)</f>
        <v>0</v>
      </c>
      <c r="Q46" s="433">
        <f>IF(Q$4&gt;=Inputs!$E$29,-Q$10*'(Z+) OpEx'!$E$26,0)</f>
        <v>0</v>
      </c>
      <c r="R46" s="433">
        <f>IF(R$4&gt;=Inputs!$E$29,-R$10*'(Z+) OpEx'!$E$26,0)</f>
        <v>0</v>
      </c>
      <c r="S46" s="433">
        <f>IF(S$4&gt;=Inputs!$E$29,-S$10*'(Z+) OpEx'!$E$26,0)</f>
        <v>0</v>
      </c>
      <c r="T46" s="433">
        <f>IF(T$4&gt;=Inputs!$E$29,-T$10*'(Z+) OpEx'!$E$26,0)</f>
        <v>0</v>
      </c>
      <c r="U46" s="434">
        <f>IF(U$4&gt;=Inputs!$E$29,-U$10*'(Z+) OpEx'!$E$26,0)</f>
        <v>0</v>
      </c>
      <c r="V46" s="434">
        <f>IF(V$4&gt;=Inputs!$E$29,-V$10*'(Z+) OpEx'!$E$26,0)</f>
        <v>0</v>
      </c>
      <c r="W46" s="434">
        <f>IF(W$4&gt;=Inputs!$E$29,-W$10*'(Z+) OpEx'!$E$26,0)</f>
        <v>0</v>
      </c>
      <c r="X46" s="434">
        <f>IF(X$4&gt;=Inputs!$E$29,-X$10*'(Z+) OpEx'!$E$26,0)</f>
        <v>0</v>
      </c>
      <c r="Y46" s="434">
        <f>IF(Y$4&gt;=Inputs!$E$29,-Y$10*'(Z+) OpEx'!$E$26,0)</f>
        <v>0</v>
      </c>
      <c r="Z46" s="434">
        <f>IF(Z$4&gt;=Inputs!$E$29,-Z$10*'(Z+) OpEx'!$E$26,0)</f>
        <v>0</v>
      </c>
      <c r="AA46" s="434">
        <f>IF(AA$4&gt;=Inputs!$E$29,-AA$10*'(Z+) OpEx'!$E$26,0)</f>
        <v>-242.95609012582347</v>
      </c>
      <c r="AB46" s="434">
        <f>IF(AB$4&gt;=Inputs!$E$29,-AB$10*'(Z+) OpEx'!$E$26,0)</f>
        <v>-243.54261351619351</v>
      </c>
      <c r="AC46" s="434">
        <f>IF(AC$4&gt;=Inputs!$E$29,-AC$10*'(Z+) OpEx'!$E$26,0)</f>
        <v>-244.1305528401476</v>
      </c>
      <c r="AD46" s="434">
        <f>IF(AD$4&gt;=Inputs!$E$29,-AD$10*'(Z+) OpEx'!$E$26,0)</f>
        <v>-244.71991151590899</v>
      </c>
      <c r="AE46" s="434">
        <f>IF(AE$4&gt;=Inputs!$E$29,-AE$10*'(Z+) OpEx'!$E$26,0)</f>
        <v>-245.31069296995292</v>
      </c>
      <c r="AF46" s="434">
        <f>IF(AF$4&gt;=Inputs!$E$29,-AF$10*'(Z+) OpEx'!$E$26,0)</f>
        <v>-245.90290063702665</v>
      </c>
      <c r="AG46" s="434">
        <f>IF(AG$4&gt;=Inputs!$E$29,-AG$10*'(Z+) OpEx'!$E$26,0)</f>
        <v>-246.49653796016915</v>
      </c>
      <c r="AH46" s="434">
        <f>IF(AH$4&gt;=Inputs!$E$29,-AH$10*'(Z+) OpEx'!$E$26,0)</f>
        <v>-247.09160839073135</v>
      </c>
      <c r="AI46" s="434">
        <f>IF(AI$4&gt;=Inputs!$E$29,-AI$10*'(Z+) OpEx'!$E$26,0)</f>
        <v>-247.68811538839614</v>
      </c>
      <c r="AJ46" s="434">
        <f>IF(AJ$4&gt;=Inputs!$E$29,-AJ$10*'(Z+) OpEx'!$E$26,0)</f>
        <v>-248.28606242119838</v>
      </c>
      <c r="AK46" s="434">
        <f>IF(AK$4&gt;=Inputs!$E$29,-AK$10*'(Z+) OpEx'!$E$26,0)</f>
        <v>-248.88545296554531</v>
      </c>
      <c r="AL46" s="434">
        <f>IF(AL$4&gt;=Inputs!$E$29,-AL$10*'(Z+) OpEx'!$E$26,0)</f>
        <v>-249.48629050623649</v>
      </c>
      <c r="AM46" s="434">
        <f>IF(AM$4&gt;=Inputs!$E$29,-AM$10*'(Z+) OpEx'!$E$26,0)</f>
        <v>-250.08857853648419</v>
      </c>
      <c r="AN46" s="434">
        <f>IF(AN$4&gt;=Inputs!$E$29,-AN$10*'(Z+) OpEx'!$E$26,0)</f>
        <v>-250.69232055793375</v>
      </c>
      <c r="AO46" s="434">
        <f>IF(AO$4&gt;=Inputs!$E$29,-AO$10*'(Z+) OpEx'!$E$26,0)</f>
        <v>-251.29752008068385</v>
      </c>
      <c r="AP46" s="434">
        <f>IF(AP$4&gt;=Inputs!$E$29,-AP$10*'(Z+) OpEx'!$E$26,0)</f>
        <v>-251.9041806233069</v>
      </c>
      <c r="AQ46" s="434">
        <f>IF(AQ$4&gt;=Inputs!$E$29,-AQ$10*'(Z+) OpEx'!$E$26,0)</f>
        <v>-252.51230571286962</v>
      </c>
      <c r="AR46" s="434">
        <f>IF(AR$4&gt;=Inputs!$E$29,-AR$10*'(Z+) OpEx'!$E$26,0)</f>
        <v>-253.12189888495342</v>
      </c>
      <c r="AS46" s="434">
        <f>IF(AS$4&gt;=Inputs!$E$29,-AS$10*'(Z+) OpEx'!$E$26,0)</f>
        <v>-253.73296368367497</v>
      </c>
      <c r="AT46" s="434">
        <f>IF(AT$4&gt;=Inputs!$E$29,-AT$10*'(Z+) OpEx'!$E$26,0)</f>
        <v>-254.34550366170689</v>
      </c>
      <c r="AU46" s="434">
        <f>IF(AU$4&gt;=Inputs!$E$29,-AU$10*'(Z+) OpEx'!$E$26,0)</f>
        <v>-254.95952238029835</v>
      </c>
      <c r="AV46" s="434">
        <f>IF(AV$4&gt;=Inputs!$E$29,-AV$10*'(Z+) OpEx'!$E$26,0)</f>
        <v>-255.57502340929574</v>
      </c>
      <c r="AW46" s="434">
        <f>IF(AW$4&gt;=Inputs!$E$29,-AW$10*'(Z+) OpEx'!$E$26,0)</f>
        <v>-256.19201032716347</v>
      </c>
      <c r="AX46" s="434">
        <f>IF(AX$4&gt;=Inputs!$E$29,-AX$10*'(Z+) OpEx'!$E$26,0)</f>
        <v>-256.81048672100479</v>
      </c>
      <c r="AY46" s="434">
        <f>IF(AY$4&gt;=Inputs!$E$29,-AY$10*'(Z+) OpEx'!$E$26,0)</f>
        <v>-257.4304561865826</v>
      </c>
      <c r="AZ46" s="434">
        <f>IF(AZ$4&gt;=Inputs!$E$29,-AZ$10*'(Z+) OpEx'!$E$26,0)</f>
        <v>-258.05192232834048</v>
      </c>
      <c r="BA46" s="434">
        <f>IF(BA$4&gt;=Inputs!$E$29,-BA$10*'(Z+) OpEx'!$E$26,0)</f>
        <v>-258.67488875942331</v>
      </c>
      <c r="BB46" s="434">
        <f>IF(BB$4&gt;=Inputs!$E$29,-BB$10*'(Z+) OpEx'!$E$26,0)</f>
        <v>-259.29935910169877</v>
      </c>
      <c r="BC46" s="434">
        <f>IF(BC$4&gt;=Inputs!$E$29,-BC$10*'(Z+) OpEx'!$E$26,0)</f>
        <v>-259.92533698577796</v>
      </c>
      <c r="BD46" s="434">
        <f>IF(BD$4&gt;=Inputs!$E$29,-BD$10*'(Z+) OpEx'!$E$26,0)</f>
        <v>-260.55282605103673</v>
      </c>
      <c r="BE46" s="434">
        <f>IF(BE$4&gt;=Inputs!$E$29,-BE$10*'(Z+) OpEx'!$E$26,0)</f>
        <v>-261.18182994563682</v>
      </c>
      <c r="BF46" s="434">
        <f>IF(BF$4&gt;=Inputs!$E$29,-BF$10*'(Z+) OpEx'!$E$26,0)</f>
        <v>-261.81235232654706</v>
      </c>
      <c r="BG46" s="434">
        <f>IF(BG$4&gt;=Inputs!$E$29,-BG$10*'(Z+) OpEx'!$E$26,0)</f>
        <v>-262.44439685956456</v>
      </c>
      <c r="BH46" s="434">
        <f>IF(BH$4&gt;=Inputs!$E$29,-BH$10*'(Z+) OpEx'!$E$26,0)</f>
        <v>-263.07796721933602</v>
      </c>
      <c r="BI46" s="434">
        <f>IF(BI$4&gt;=Inputs!$E$29,-BI$10*'(Z+) OpEx'!$E$26,0)</f>
        <v>-263.71306708937936</v>
      </c>
      <c r="BJ46" s="434">
        <f>IF(BJ$4&gt;=Inputs!$E$29,-BJ$10*'(Z+) OpEx'!$E$26,0)</f>
        <v>-264.34970016210474</v>
      </c>
      <c r="BK46" s="434">
        <f>IF(BK$4&gt;=Inputs!$E$29,-BK$10*'(Z+) OpEx'!$E$26,0)</f>
        <v>-264.98787013883629</v>
      </c>
      <c r="BL46" s="434">
        <f>IF(BL$4&gt;=Inputs!$E$29,-BL$10*'(Z+) OpEx'!$E$26,0)</f>
        <v>-265.6275807298336</v>
      </c>
      <c r="BM46" s="434">
        <f>IF(BM$4&gt;=Inputs!$E$29,-BM$10*'(Z+) OpEx'!$E$26,0)</f>
        <v>-266.26883565431302</v>
      </c>
      <c r="BN46" s="434">
        <f>IF(BN$4&gt;=Inputs!$E$29,-BN$10*'(Z+) OpEx'!$E$26,0)</f>
        <v>-266.91163864046985</v>
      </c>
      <c r="BO46" s="434">
        <f>IF(BO$4&gt;=Inputs!$E$29,-BO$10*'(Z+) OpEx'!$E$26,0)</f>
        <v>-267.55599342549937</v>
      </c>
      <c r="BP46" s="434">
        <f>IF(BP$4&gt;=Inputs!$E$29,-BP$10*'(Z+) OpEx'!$E$26,0)</f>
        <v>-268.20190375561901</v>
      </c>
      <c r="BQ46" s="434">
        <f>IF(BQ$4&gt;=Inputs!$E$29,-BQ$10*'(Z+) OpEx'!$E$26,0)</f>
        <v>-268.84937338609006</v>
      </c>
      <c r="BR46" s="434">
        <f>IF(BR$4&gt;=Inputs!$E$29,-BR$10*'(Z+) OpEx'!$E$26,0)</f>
        <v>-269.49840608123924</v>
      </c>
      <c r="BS46" s="434">
        <f>IF(BS$4&gt;=Inputs!$E$29,-BS$10*'(Z+) OpEx'!$E$26,0)</f>
        <v>-270.14900561448093</v>
      </c>
      <c r="BT46" s="434">
        <f>IF(BT$4&gt;=Inputs!$E$29,-BT$10*'(Z+) OpEx'!$E$26,0)</f>
        <v>-270.80117576833896</v>
      </c>
      <c r="BU46" s="434">
        <f>IF(BU$4&gt;=Inputs!$E$29,-BU$10*'(Z+) OpEx'!$E$26,0)</f>
        <v>-271.45492033446857</v>
      </c>
      <c r="BV46" s="434">
        <f>IF(BV$4&gt;=Inputs!$E$29,-BV$10*'(Z+) OpEx'!$E$26,0)</f>
        <v>-272.11024311367839</v>
      </c>
      <c r="BW46" s="434">
        <f>IF(BW$4&gt;=Inputs!$E$29,-BW$10*'(Z+) OpEx'!$E$26,0)</f>
        <v>-272.76714791595271</v>
      </c>
      <c r="BX46" s="434">
        <f>IF(BX$4&gt;=Inputs!$E$29,-BX$10*'(Z+) OpEx'!$E$26,0)</f>
        <v>-273.42563856047366</v>
      </c>
      <c r="BY46" s="434">
        <f>IF(BY$4&gt;=Inputs!$E$29,-BY$10*'(Z+) OpEx'!$E$26,0)</f>
        <v>-274.08571887564312</v>
      </c>
      <c r="BZ46" s="434">
        <f>IF(BZ$4&gt;=Inputs!$E$29,-BZ$10*'(Z+) OpEx'!$E$26,0)</f>
        <v>-274.74739269910521</v>
      </c>
      <c r="CA46" s="434">
        <f>IF(CA$4&gt;=Inputs!$E$29,-CA$10*'(Z+) OpEx'!$E$26,0)</f>
        <v>-275.41066387776863</v>
      </c>
      <c r="CB46" s="434">
        <f>IF(CB$4&gt;=Inputs!$E$29,-CB$10*'(Z+) OpEx'!$E$26,0)</f>
        <v>-276.07553626782891</v>
      </c>
      <c r="CC46" s="434">
        <f>IF(CC$4&gt;=Inputs!$E$29,-CC$10*'(Z+) OpEx'!$E$26,0)</f>
        <v>-276.74201373479082</v>
      </c>
      <c r="CD46" s="434">
        <f>IF(CD$4&gt;=Inputs!$E$29,-CD$10*'(Z+) OpEx'!$E$26,0)</f>
        <v>-277.41010015349104</v>
      </c>
      <c r="CE46" s="434">
        <f>IF(CE$4&gt;=Inputs!$E$29,-CE$10*'(Z+) OpEx'!$E$26,0)</f>
        <v>-278.07979940812038</v>
      </c>
      <c r="CF46" s="434">
        <f>IF(CF$4&gt;=Inputs!$E$29,-CF$10*'(Z+) OpEx'!$E$26,0)</f>
        <v>-278.75111539224662</v>
      </c>
      <c r="CG46" s="434">
        <f>IF(CG$4&gt;=Inputs!$E$29,-CG$10*'(Z+) OpEx'!$E$26,0)</f>
        <v>-279.42405200883701</v>
      </c>
      <c r="CH46" s="434">
        <f>IF(CH$4&gt;=Inputs!$E$29,-CH$10*'(Z+) OpEx'!$E$26,0)</f>
        <v>-280.098613170281</v>
      </c>
      <c r="CI46" s="434">
        <f>IF(CI$4&gt;=Inputs!$E$29,-CI$10*'(Z+) OpEx'!$E$26,0)</f>
        <v>-280.77480279841296</v>
      </c>
      <c r="CJ46" s="434">
        <f>IF(CJ$4&gt;=Inputs!$E$29,-CJ$10*'(Z+) OpEx'!$E$26,0)</f>
        <v>-281.45262482453518</v>
      </c>
      <c r="CK46" s="434">
        <f>IF(CK$4&gt;=Inputs!$E$29,-CK$10*'(Z+) OpEx'!$E$26,0)</f>
        <v>-282.13208318944032</v>
      </c>
      <c r="CL46" s="434">
        <f>IF(CL$4&gt;=Inputs!$E$29,-CL$10*'(Z+) OpEx'!$E$26,0)</f>
        <v>-282.81318184343473</v>
      </c>
      <c r="CM46" s="434">
        <f>IF(CM$4&gt;=Inputs!$E$29,-CM$10*'(Z+) OpEx'!$E$26,0)</f>
        <v>-283.49592474636114</v>
      </c>
      <c r="CN46" s="434">
        <f>IF(CN$4&gt;=Inputs!$E$29,-CN$10*'(Z+) OpEx'!$E$26,0)</f>
        <v>-284.18031586762186</v>
      </c>
      <c r="CO46" s="434">
        <f>IF(CO$4&gt;=Inputs!$E$29,-CO$10*'(Z+) OpEx'!$E$26,0)</f>
        <v>-284.86635918620169</v>
      </c>
      <c r="CP46" s="434">
        <f>IF(CP$4&gt;=Inputs!$E$29,-CP$10*'(Z+) OpEx'!$E$26,0)</f>
        <v>-285.55405869069136</v>
      </c>
      <c r="CQ46" s="434">
        <f>IF(CQ$4&gt;=Inputs!$E$29,-CQ$10*'(Z+) OpEx'!$E$26,0)</f>
        <v>-286.24341837931019</v>
      </c>
      <c r="CR46" s="434">
        <f>IF(CR$4&gt;=Inputs!$E$29,-CR$10*'(Z+) OpEx'!$E$26,0)</f>
        <v>-286.93444225992994</v>
      </c>
      <c r="CS46" s="434">
        <f>IF(CS$4&gt;=Inputs!$E$29,-CS$10*'(Z+) OpEx'!$E$26,0)</f>
        <v>-287.62713435009766</v>
      </c>
      <c r="CT46" s="434">
        <f>IF(CT$4&gt;=Inputs!$E$29,-CT$10*'(Z+) OpEx'!$E$26,0)</f>
        <v>-288.32149867705931</v>
      </c>
      <c r="CU46" s="434">
        <f>IF(CU$4&gt;=Inputs!$E$29,-CU$10*'(Z+) OpEx'!$E$26,0)</f>
        <v>-289.01753927778293</v>
      </c>
      <c r="CV46" s="434">
        <f>IF(CV$4&gt;=Inputs!$E$29,-CV$10*'(Z+) OpEx'!$E$26,0)</f>
        <v>-289.71526019898243</v>
      </c>
      <c r="CW46" s="434">
        <f>IF(CW$4&gt;=Inputs!$E$29,-CW$10*'(Z+) OpEx'!$E$26,0)</f>
        <v>-290.41466549714079</v>
      </c>
      <c r="CX46" s="434">
        <f>IF(CX$4&gt;=Inputs!$E$29,-CX$10*'(Z+) OpEx'!$E$26,0)</f>
        <v>-291.11575923853394</v>
      </c>
      <c r="CY46" s="434">
        <f>IF(CY$4&gt;=Inputs!$E$29,-CY$10*'(Z+) OpEx'!$E$26,0)</f>
        <v>-291.81854549925418</v>
      </c>
      <c r="CZ46" s="434">
        <f>IF(CZ$4&gt;=Inputs!$E$29,-CZ$10*'(Z+) OpEx'!$E$26,0)</f>
        <v>-292.52302836523393</v>
      </c>
      <c r="DA46" s="434">
        <f>IF(DA$4&gt;=Inputs!$E$29,-DA$10*'(Z+) OpEx'!$E$26,0)</f>
        <v>-293.22921193226961</v>
      </c>
      <c r="DB46" s="434">
        <f>IF(DB$4&gt;=Inputs!$E$29,-DB$10*'(Z+) OpEx'!$E$26,0)</f>
        <v>-293.93710030604524</v>
      </c>
      <c r="DC46" s="434">
        <f>IF(DC$4&gt;=Inputs!$E$29,-DC$10*'(Z+) OpEx'!$E$26,0)</f>
        <v>-294.64669760215651</v>
      </c>
      <c r="DD46" s="434">
        <f>IF(DD$4&gt;=Inputs!$E$29,-DD$10*'(Z+) OpEx'!$E$26,0)</f>
        <v>-295.35800794613453</v>
      </c>
      <c r="DE46" s="434">
        <f>IF(DE$4&gt;=Inputs!$E$29,-DE$10*'(Z+) OpEx'!$E$26,0)</f>
        <v>-296.07103547347003</v>
      </c>
      <c r="DF46" s="434">
        <f>IF(DF$4&gt;=Inputs!$E$29,-DF$10*'(Z+) OpEx'!$E$26,0)</f>
        <v>-296.78578432963718</v>
      </c>
      <c r="DG46" s="434">
        <f>IF(DG$4&gt;=Inputs!$E$29,-DG$10*'(Z+) OpEx'!$E$26,0)</f>
        <v>-297.50225867011784</v>
      </c>
      <c r="DH46" s="434">
        <f>IF(DH$4&gt;=Inputs!$E$29,-DH$10*'(Z+) OpEx'!$E$26,0)</f>
        <v>-298.22046266042565</v>
      </c>
      <c r="DI46" s="434">
        <f>IF(DI$4&gt;=Inputs!$E$29,-DI$10*'(Z+) OpEx'!$E$26,0)</f>
        <v>-298.94040047613026</v>
      </c>
      <c r="DJ46" s="434">
        <f>IF(DJ$4&gt;=Inputs!$E$29,-DJ$10*'(Z+) OpEx'!$E$26,0)</f>
        <v>-299.66207630288164</v>
      </c>
      <c r="DK46" s="434">
        <f>IF(DK$4&gt;=Inputs!$E$29,-DK$10*'(Z+) OpEx'!$E$26,0)</f>
        <v>-300.38549433643442</v>
      </c>
      <c r="DL46" s="434">
        <f>IF(DL$4&gt;=Inputs!$E$29,-DL$10*'(Z+) OpEx'!$E$26,0)</f>
        <v>-301.1106587826722</v>
      </c>
      <c r="DM46" s="434">
        <f>IF(DM$4&gt;=Inputs!$E$29,-DM$10*'(Z+) OpEx'!$E$26,0)</f>
        <v>-301.83757385763209</v>
      </c>
      <c r="DN46" s="434">
        <f>IF(DN$4&gt;=Inputs!$E$29,-DN$10*'(Z+) OpEx'!$E$26,0)</f>
        <v>-302.56624378752917</v>
      </c>
      <c r="DO46" s="434">
        <f>IF(DO$4&gt;=Inputs!$E$29,-DO$10*'(Z+) OpEx'!$E$26,0)</f>
        <v>-303.29667280878112</v>
      </c>
      <c r="DP46" s="434">
        <f>IF(DP$4&gt;=Inputs!$E$29,-DP$10*'(Z+) OpEx'!$E$26,0)</f>
        <v>-304.02886516803267</v>
      </c>
      <c r="DQ46" s="434">
        <f>IF(DQ$4&gt;=Inputs!$E$29,-DQ$10*'(Z+) OpEx'!$E$26,0)</f>
        <v>-304.76282512218063</v>
      </c>
      <c r="DR46" s="434">
        <f>IF(DR$4&gt;=Inputs!$E$29,-DR$10*'(Z+) OpEx'!$E$26,0)</f>
        <v>-305.49855693839834</v>
      </c>
      <c r="DS46" s="434">
        <f>IF(DS$4&gt;=Inputs!$E$29,-DS$10*'(Z+) OpEx'!$E$26,0)</f>
        <v>-306.23606489416051</v>
      </c>
      <c r="DT46" s="434">
        <f>IF(DT$4&gt;=Inputs!$E$29,-DT$10*'(Z+) OpEx'!$E$26,0)</f>
        <v>-306.97535327726831</v>
      </c>
      <c r="DU46" s="434">
        <f>IF(DU$4&gt;=Inputs!$E$29,-DU$10*'(Z+) OpEx'!$E$26,0)</f>
        <v>-307.716426385874</v>
      </c>
    </row>
    <row r="47" spans="1:125" x14ac:dyDescent="0.25">
      <c r="A47" s="385" t="s">
        <v>497</v>
      </c>
      <c r="D47" s="387"/>
      <c r="F47" s="441">
        <f t="shared" ref="F47:AK47" si="41">SUM(F$31:F$46)</f>
        <v>0</v>
      </c>
      <c r="G47" s="441">
        <f t="shared" si="41"/>
        <v>0</v>
      </c>
      <c r="H47" s="441">
        <f t="shared" si="41"/>
        <v>0</v>
      </c>
      <c r="I47" s="441">
        <f t="shared" si="41"/>
        <v>0</v>
      </c>
      <c r="J47" s="442">
        <f t="shared" si="41"/>
        <v>0</v>
      </c>
      <c r="K47" s="442">
        <f t="shared" si="41"/>
        <v>0</v>
      </c>
      <c r="L47" s="442">
        <f t="shared" si="41"/>
        <v>0</v>
      </c>
      <c r="M47" s="442">
        <f t="shared" si="41"/>
        <v>0</v>
      </c>
      <c r="N47" s="442">
        <f t="shared" si="41"/>
        <v>0</v>
      </c>
      <c r="O47" s="442">
        <f t="shared" si="41"/>
        <v>0</v>
      </c>
      <c r="P47" s="442">
        <f t="shared" si="41"/>
        <v>0</v>
      </c>
      <c r="Q47" s="442">
        <f t="shared" si="41"/>
        <v>0</v>
      </c>
      <c r="R47" s="442">
        <f t="shared" si="41"/>
        <v>0</v>
      </c>
      <c r="S47" s="442">
        <f t="shared" si="41"/>
        <v>0</v>
      </c>
      <c r="T47" s="442">
        <f t="shared" si="41"/>
        <v>0</v>
      </c>
      <c r="U47" s="443">
        <f t="shared" si="41"/>
        <v>0</v>
      </c>
      <c r="V47" s="443">
        <f t="shared" si="41"/>
        <v>0</v>
      </c>
      <c r="W47" s="443">
        <f t="shared" si="41"/>
        <v>0</v>
      </c>
      <c r="X47" s="443">
        <f t="shared" si="41"/>
        <v>0</v>
      </c>
      <c r="Y47" s="443">
        <f t="shared" si="41"/>
        <v>0</v>
      </c>
      <c r="Z47" s="443">
        <f t="shared" si="41"/>
        <v>0</v>
      </c>
      <c r="AA47" s="443">
        <f t="shared" si="41"/>
        <v>-102415.96604932631</v>
      </c>
      <c r="AB47" s="443">
        <f t="shared" si="41"/>
        <v>-107411.93942538968</v>
      </c>
      <c r="AC47" s="443">
        <f t="shared" si="41"/>
        <v>-112429.33181236692</v>
      </c>
      <c r="AD47" s="443">
        <f t="shared" si="41"/>
        <v>-117468.21354531629</v>
      </c>
      <c r="AE47" s="443">
        <f t="shared" si="41"/>
        <v>-122528.65516666313</v>
      </c>
      <c r="AF47" s="443">
        <f t="shared" si="41"/>
        <v>-127291.28927268418</v>
      </c>
      <c r="AG47" s="443">
        <f t="shared" si="41"/>
        <v>-132714.50128455315</v>
      </c>
      <c r="AH47" s="443">
        <f t="shared" si="41"/>
        <v>-137840.04790798874</v>
      </c>
      <c r="AI47" s="443">
        <f t="shared" si="41"/>
        <v>-142987.43867476977</v>
      </c>
      <c r="AJ47" s="443">
        <f t="shared" si="41"/>
        <v>-143323.01118570729</v>
      </c>
      <c r="AK47" s="443">
        <f t="shared" si="41"/>
        <v>-143659.37400060261</v>
      </c>
      <c r="AL47" s="443">
        <f t="shared" ref="AL47:BQ47" si="42">SUM(AL$31:AL$46)</f>
        <v>-143996.52898654161</v>
      </c>
      <c r="AM47" s="443">
        <f t="shared" si="42"/>
        <v>-144334.47801503356</v>
      </c>
      <c r="AN47" s="443">
        <f t="shared" si="42"/>
        <v>-144673.22296202139</v>
      </c>
      <c r="AO47" s="443">
        <f t="shared" si="42"/>
        <v>-145012.76570789263</v>
      </c>
      <c r="AP47" s="443">
        <f t="shared" si="42"/>
        <v>-145353.10813748956</v>
      </c>
      <c r="AQ47" s="443">
        <f t="shared" si="42"/>
        <v>-145694.25214012002</v>
      </c>
      <c r="AR47" s="443">
        <f t="shared" si="42"/>
        <v>-146036.19960956788</v>
      </c>
      <c r="AS47" s="443">
        <f t="shared" si="42"/>
        <v>-146378.95244410384</v>
      </c>
      <c r="AT47" s="443">
        <f t="shared" si="42"/>
        <v>-146722.51254649585</v>
      </c>
      <c r="AU47" s="443">
        <f t="shared" si="42"/>
        <v>-147066.88182402009</v>
      </c>
      <c r="AV47" s="443">
        <f t="shared" si="42"/>
        <v>-147412.06218847141</v>
      </c>
      <c r="AW47" s="443">
        <f t="shared" si="42"/>
        <v>-147758.05555617411</v>
      </c>
      <c r="AX47" s="443">
        <f t="shared" si="42"/>
        <v>-148104.86384799288</v>
      </c>
      <c r="AY47" s="443">
        <f t="shared" si="42"/>
        <v>-148452.48898934343</v>
      </c>
      <c r="AZ47" s="443">
        <f t="shared" si="42"/>
        <v>-148800.93291020326</v>
      </c>
      <c r="BA47" s="443">
        <f t="shared" si="42"/>
        <v>-149150.19754512265</v>
      </c>
      <c r="BB47" s="443">
        <f t="shared" si="42"/>
        <v>-149500.28483323535</v>
      </c>
      <c r="BC47" s="443">
        <f t="shared" si="42"/>
        <v>-149851.19671826964</v>
      </c>
      <c r="BD47" s="443">
        <f t="shared" si="42"/>
        <v>-150202.93514855899</v>
      </c>
      <c r="BE47" s="443">
        <f t="shared" si="42"/>
        <v>-150555.50207705339</v>
      </c>
      <c r="BF47" s="443">
        <f t="shared" si="42"/>
        <v>-150908.89946132989</v>
      </c>
      <c r="BG47" s="443">
        <f t="shared" si="42"/>
        <v>-151263.12926360391</v>
      </c>
      <c r="BH47" s="443">
        <f t="shared" si="42"/>
        <v>-151618.19345074007</v>
      </c>
      <c r="BI47" s="443">
        <f t="shared" si="42"/>
        <v>-151974.09399426333</v>
      </c>
      <c r="BJ47" s="443">
        <f t="shared" si="42"/>
        <v>-152330.83287036998</v>
      </c>
      <c r="BK47" s="443">
        <f t="shared" si="42"/>
        <v>-152688.41205993883</v>
      </c>
      <c r="BL47" s="443">
        <f t="shared" si="42"/>
        <v>-153046.83354854223</v>
      </c>
      <c r="BM47" s="443">
        <f t="shared" si="42"/>
        <v>-153406.09932645736</v>
      </c>
      <c r="BN47" s="443">
        <f t="shared" si="42"/>
        <v>-153766.21138867721</v>
      </c>
      <c r="BO47" s="443">
        <f t="shared" si="42"/>
        <v>-154127.17173492198</v>
      </c>
      <c r="BP47" s="443">
        <f t="shared" si="42"/>
        <v>-154488.98236965021</v>
      </c>
      <c r="BQ47" s="443">
        <f t="shared" si="42"/>
        <v>-154851.64530206996</v>
      </c>
      <c r="BR47" s="443">
        <f t="shared" ref="BR47:CW47" si="43">SUM(BR$31:BR$46)</f>
        <v>-155215.16254615015</v>
      </c>
      <c r="BS47" s="443">
        <f t="shared" si="43"/>
        <v>-155579.53612063211</v>
      </c>
      <c r="BT47" s="443">
        <f t="shared" si="43"/>
        <v>-155944.76804904055</v>
      </c>
      <c r="BU47" s="443">
        <f t="shared" si="43"/>
        <v>-156310.86035969501</v>
      </c>
      <c r="BV47" s="443">
        <f t="shared" si="43"/>
        <v>-156677.81508572141</v>
      </c>
      <c r="BW47" s="443">
        <f t="shared" si="43"/>
        <v>-157045.63426506333</v>
      </c>
      <c r="BX47" s="443">
        <f t="shared" si="43"/>
        <v>-157414.31994049353</v>
      </c>
      <c r="BY47" s="443">
        <f t="shared" si="43"/>
        <v>-157783.87415962541</v>
      </c>
      <c r="BZ47" s="443">
        <f t="shared" si="43"/>
        <v>-158154.29897492428</v>
      </c>
      <c r="CA47" s="443">
        <f t="shared" si="43"/>
        <v>-158525.59644371938</v>
      </c>
      <c r="CB47" s="443">
        <f t="shared" si="43"/>
        <v>-158897.76862821498</v>
      </c>
      <c r="CC47" s="443">
        <f t="shared" si="43"/>
        <v>-159270.81759550207</v>
      </c>
      <c r="CD47" s="443">
        <f t="shared" si="43"/>
        <v>-159644.74541757017</v>
      </c>
      <c r="CE47" s="443">
        <f t="shared" si="43"/>
        <v>-160019.55417131868</v>
      </c>
      <c r="CF47" s="443">
        <f t="shared" si="43"/>
        <v>-160395.24593856884</v>
      </c>
      <c r="CG47" s="443">
        <f t="shared" si="43"/>
        <v>-160771.82280607507</v>
      </c>
      <c r="CH47" s="443">
        <f t="shared" si="43"/>
        <v>-161149.28686553703</v>
      </c>
      <c r="CI47" s="443">
        <f t="shared" si="43"/>
        <v>-161527.64021361119</v>
      </c>
      <c r="CJ47" s="443">
        <f t="shared" si="43"/>
        <v>-161906.88495192258</v>
      </c>
      <c r="CK47" s="443">
        <f t="shared" si="43"/>
        <v>-162287.02318707667</v>
      </c>
      <c r="CL47" s="443">
        <f t="shared" si="43"/>
        <v>-162668.05703067122</v>
      </c>
      <c r="CM47" s="443">
        <f t="shared" si="43"/>
        <v>-163049.98859930804</v>
      </c>
      <c r="CN47" s="443">
        <f t="shared" si="43"/>
        <v>-163432.82001460501</v>
      </c>
      <c r="CO47" s="443">
        <f t="shared" si="43"/>
        <v>-163816.55340320794</v>
      </c>
      <c r="CP47" s="443">
        <f t="shared" si="43"/>
        <v>-164201.19089680232</v>
      </c>
      <c r="CQ47" s="443">
        <f t="shared" si="43"/>
        <v>-164586.73463212562</v>
      </c>
      <c r="CR47" s="443">
        <f t="shared" si="43"/>
        <v>-164973.18675097913</v>
      </c>
      <c r="CS47" s="443">
        <f t="shared" si="43"/>
        <v>-165360.54940024001</v>
      </c>
      <c r="CT47" s="443">
        <f t="shared" si="43"/>
        <v>-165748.82473187332</v>
      </c>
      <c r="CU47" s="443">
        <f t="shared" si="43"/>
        <v>-166138.01490294409</v>
      </c>
      <c r="CV47" s="443">
        <f t="shared" si="43"/>
        <v>-166528.12207562954</v>
      </c>
      <c r="CW47" s="443">
        <f t="shared" si="43"/>
        <v>-166919.1484172311</v>
      </c>
      <c r="CX47" s="443">
        <f t="shared" ref="CX47:DU47" si="44">SUM(CX$31:CX$46)</f>
        <v>-167311.0961001867</v>
      </c>
      <c r="CY47" s="443">
        <f t="shared" si="44"/>
        <v>-167703.96730208292</v>
      </c>
      <c r="CZ47" s="443">
        <f t="shared" si="44"/>
        <v>-168097.76420566707</v>
      </c>
      <c r="DA47" s="443">
        <f t="shared" si="44"/>
        <v>-168492.48899885986</v>
      </c>
      <c r="DB47" s="443">
        <f t="shared" si="44"/>
        <v>-168888.14387476718</v>
      </c>
      <c r="DC47" s="443">
        <f t="shared" si="44"/>
        <v>-169284.73103169285</v>
      </c>
      <c r="DD47" s="443">
        <f t="shared" si="44"/>
        <v>-169682.25267315071</v>
      </c>
      <c r="DE47" s="443">
        <f t="shared" si="44"/>
        <v>-170080.71100787699</v>
      </c>
      <c r="DF47" s="443">
        <f t="shared" si="44"/>
        <v>-170480.10824984298</v>
      </c>
      <c r="DG47" s="443">
        <f t="shared" si="44"/>
        <v>-170880.44661826722</v>
      </c>
      <c r="DH47" s="443">
        <f t="shared" si="44"/>
        <v>-171281.72833762792</v>
      </c>
      <c r="DI47" s="443">
        <f t="shared" si="44"/>
        <v>-171683.95563767583</v>
      </c>
      <c r="DJ47" s="443">
        <f t="shared" si="44"/>
        <v>-172087.13075344622</v>
      </c>
      <c r="DK47" s="443">
        <f t="shared" si="44"/>
        <v>-172491.25592527186</v>
      </c>
      <c r="DL47" s="443">
        <f t="shared" si="44"/>
        <v>-172896.33339879563</v>
      </c>
      <c r="DM47" s="443">
        <f t="shared" si="44"/>
        <v>-173302.36542498268</v>
      </c>
      <c r="DN47" s="443">
        <f t="shared" si="44"/>
        <v>-173709.35426013358</v>
      </c>
      <c r="DO47" s="443">
        <f t="shared" si="44"/>
        <v>-174117.30216589681</v>
      </c>
      <c r="DP47" s="443">
        <f t="shared" si="44"/>
        <v>-174526.21140928127</v>
      </c>
      <c r="DQ47" s="443">
        <f t="shared" si="44"/>
        <v>-174936.08426266929</v>
      </c>
      <c r="DR47" s="443">
        <f t="shared" si="44"/>
        <v>-175346.92300382932</v>
      </c>
      <c r="DS47" s="443">
        <f t="shared" si="44"/>
        <v>-175758.72991592876</v>
      </c>
      <c r="DT47" s="443">
        <f t="shared" si="44"/>
        <v>-176171.50728754661</v>
      </c>
      <c r="DU47" s="443">
        <f t="shared" si="44"/>
        <v>-176585.25741268662</v>
      </c>
    </row>
    <row r="48" spans="1:125" x14ac:dyDescent="0.25">
      <c r="A48" s="385" t="s">
        <v>346</v>
      </c>
      <c r="D48" s="387"/>
      <c r="F48" s="441">
        <f t="shared" ref="F48:AK48" si="45">+SUM(F$19,F$47)</f>
        <v>0</v>
      </c>
      <c r="G48" s="441">
        <f t="shared" si="45"/>
        <v>0</v>
      </c>
      <c r="H48" s="441">
        <f t="shared" si="45"/>
        <v>0</v>
      </c>
      <c r="I48" s="441">
        <f t="shared" si="45"/>
        <v>0</v>
      </c>
      <c r="J48" s="442">
        <f t="shared" si="45"/>
        <v>0</v>
      </c>
      <c r="K48" s="442">
        <f t="shared" si="45"/>
        <v>0</v>
      </c>
      <c r="L48" s="442">
        <f t="shared" si="45"/>
        <v>0</v>
      </c>
      <c r="M48" s="442">
        <f t="shared" si="45"/>
        <v>0</v>
      </c>
      <c r="N48" s="442">
        <f t="shared" si="45"/>
        <v>0</v>
      </c>
      <c r="O48" s="442">
        <f t="shared" si="45"/>
        <v>0</v>
      </c>
      <c r="P48" s="442">
        <f t="shared" si="45"/>
        <v>0</v>
      </c>
      <c r="Q48" s="442">
        <f t="shared" si="45"/>
        <v>0</v>
      </c>
      <c r="R48" s="442">
        <f t="shared" si="45"/>
        <v>0</v>
      </c>
      <c r="S48" s="442">
        <f t="shared" si="45"/>
        <v>0</v>
      </c>
      <c r="T48" s="442">
        <f t="shared" si="45"/>
        <v>0</v>
      </c>
      <c r="U48" s="443">
        <f t="shared" si="45"/>
        <v>0</v>
      </c>
      <c r="V48" s="443">
        <f t="shared" si="45"/>
        <v>0</v>
      </c>
      <c r="W48" s="443">
        <f t="shared" si="45"/>
        <v>0</v>
      </c>
      <c r="X48" s="443">
        <f t="shared" si="45"/>
        <v>0</v>
      </c>
      <c r="Y48" s="443">
        <f t="shared" si="45"/>
        <v>0</v>
      </c>
      <c r="Z48" s="443">
        <f t="shared" si="45"/>
        <v>0</v>
      </c>
      <c r="AA48" s="443">
        <f t="shared" si="45"/>
        <v>-43088.183666240562</v>
      </c>
      <c r="AB48" s="443">
        <f t="shared" si="45"/>
        <v>11488.036376705844</v>
      </c>
      <c r="AC48" s="443">
        <f t="shared" si="45"/>
        <v>66288.00361473723</v>
      </c>
      <c r="AD48" s="443">
        <f t="shared" si="45"/>
        <v>121312.40495690583</v>
      </c>
      <c r="AE48" s="443">
        <f t="shared" si="45"/>
        <v>176561.92918427248</v>
      </c>
      <c r="AF48" s="443">
        <f t="shared" si="45"/>
        <v>228360.61628231517</v>
      </c>
      <c r="AG48" s="443">
        <f t="shared" si="45"/>
        <v>287739.11080755387</v>
      </c>
      <c r="AH48" s="443">
        <f t="shared" si="45"/>
        <v>343668.155168675</v>
      </c>
      <c r="AI48" s="443">
        <f t="shared" si="45"/>
        <v>399825.09635501652</v>
      </c>
      <c r="AJ48" s="443">
        <f t="shared" si="45"/>
        <v>400607.62879145867</v>
      </c>
      <c r="AK48" s="443">
        <f t="shared" si="45"/>
        <v>401391.6740370671</v>
      </c>
      <c r="AL48" s="443">
        <f t="shared" ref="AL48:BQ48" si="46">+SUM(AL$19,AL$47)</f>
        <v>402177.23496879189</v>
      </c>
      <c r="AM48" s="443">
        <f t="shared" si="46"/>
        <v>402964.31446893187</v>
      </c>
      <c r="AN48" s="443">
        <f t="shared" si="46"/>
        <v>403752.91542514367</v>
      </c>
      <c r="AO48" s="443">
        <f t="shared" si="46"/>
        <v>404543.04073045193</v>
      </c>
      <c r="AP48" s="443">
        <f t="shared" si="46"/>
        <v>405334.69328325952</v>
      </c>
      <c r="AQ48" s="443">
        <f t="shared" si="46"/>
        <v>406127.87598735536</v>
      </c>
      <c r="AR48" s="443">
        <f t="shared" si="46"/>
        <v>406922.59175192635</v>
      </c>
      <c r="AS48" s="443">
        <f t="shared" si="46"/>
        <v>407718.84349156515</v>
      </c>
      <c r="AT48" s="443">
        <f t="shared" si="46"/>
        <v>408516.63412628137</v>
      </c>
      <c r="AU48" s="443">
        <f t="shared" si="46"/>
        <v>409315.96658151026</v>
      </c>
      <c r="AV48" s="443">
        <f t="shared" si="46"/>
        <v>410116.84378812299</v>
      </c>
      <c r="AW48" s="443">
        <f t="shared" si="46"/>
        <v>410919.26868243667</v>
      </c>
      <c r="AX48" s="443">
        <f t="shared" si="46"/>
        <v>411723.2442062234</v>
      </c>
      <c r="AY48" s="443">
        <f t="shared" si="46"/>
        <v>412528.77330672031</v>
      </c>
      <c r="AZ48" s="443">
        <f t="shared" si="46"/>
        <v>413335.8589366402</v>
      </c>
      <c r="BA48" s="443">
        <f t="shared" si="46"/>
        <v>414144.50405417982</v>
      </c>
      <c r="BB48" s="443">
        <f t="shared" si="46"/>
        <v>414954.71162303176</v>
      </c>
      <c r="BC48" s="443">
        <f t="shared" si="46"/>
        <v>415766.48461239203</v>
      </c>
      <c r="BD48" s="443">
        <f t="shared" si="46"/>
        <v>416579.82599697186</v>
      </c>
      <c r="BE48" s="443">
        <f t="shared" si="46"/>
        <v>417394.73875700659</v>
      </c>
      <c r="BF48" s="443">
        <f t="shared" si="46"/>
        <v>418211.22587826615</v>
      </c>
      <c r="BG48" s="443">
        <f t="shared" si="46"/>
        <v>419029.29035206407</v>
      </c>
      <c r="BH48" s="443">
        <f t="shared" si="46"/>
        <v>419848.93517526868</v>
      </c>
      <c r="BI48" s="443">
        <f t="shared" si="46"/>
        <v>420670.16335031216</v>
      </c>
      <c r="BJ48" s="443">
        <f t="shared" si="46"/>
        <v>421492.97788520099</v>
      </c>
      <c r="BK48" s="443">
        <f t="shared" si="46"/>
        <v>422317.38179352594</v>
      </c>
      <c r="BL48" s="443">
        <f t="shared" si="46"/>
        <v>423143.37809447164</v>
      </c>
      <c r="BM48" s="443">
        <f t="shared" si="46"/>
        <v>423970.96981282718</v>
      </c>
      <c r="BN48" s="443">
        <f t="shared" si="46"/>
        <v>424800.1599789958</v>
      </c>
      <c r="BO48" s="443">
        <f t="shared" si="46"/>
        <v>425630.95162900561</v>
      </c>
      <c r="BP48" s="443">
        <f t="shared" si="46"/>
        <v>426463.34780451836</v>
      </c>
      <c r="BQ48" s="443">
        <f t="shared" si="46"/>
        <v>427297.35155284114</v>
      </c>
      <c r="BR48" s="443">
        <f t="shared" ref="BR48:CW48" si="47">+SUM(BR$19,BR$47)</f>
        <v>428132.9659269352</v>
      </c>
      <c r="BS48" s="443">
        <f t="shared" si="47"/>
        <v>428970.19398542691</v>
      </c>
      <c r="BT48" s="443">
        <f t="shared" si="47"/>
        <v>429809.03879261774</v>
      </c>
      <c r="BU48" s="443">
        <f t="shared" si="47"/>
        <v>430649.50341849425</v>
      </c>
      <c r="BV48" s="443">
        <f t="shared" si="47"/>
        <v>431491.59093873808</v>
      </c>
      <c r="BW48" s="443">
        <f t="shared" si="47"/>
        <v>432335.30443473731</v>
      </c>
      <c r="BX48" s="443">
        <f t="shared" si="47"/>
        <v>433180.64699359483</v>
      </c>
      <c r="BY48" s="443">
        <f t="shared" si="47"/>
        <v>434027.62170814048</v>
      </c>
      <c r="BZ48" s="443">
        <f t="shared" si="47"/>
        <v>434876.23167693976</v>
      </c>
      <c r="CA48" s="443">
        <f t="shared" si="47"/>
        <v>435726.48000430549</v>
      </c>
      <c r="CB48" s="443">
        <f t="shared" si="47"/>
        <v>436578.36980030697</v>
      </c>
      <c r="CC48" s="443">
        <f t="shared" si="47"/>
        <v>437431.90418078081</v>
      </c>
      <c r="CD48" s="443">
        <f t="shared" si="47"/>
        <v>438287.08626734134</v>
      </c>
      <c r="CE48" s="443">
        <f t="shared" si="47"/>
        <v>439143.91918739083</v>
      </c>
      <c r="CF48" s="443">
        <f t="shared" si="47"/>
        <v>440002.40607412986</v>
      </c>
      <c r="CG48" s="443">
        <f t="shared" si="47"/>
        <v>440862.55006656772</v>
      </c>
      <c r="CH48" s="443">
        <f t="shared" si="47"/>
        <v>441724.35430953291</v>
      </c>
      <c r="CI48" s="443">
        <f t="shared" si="47"/>
        <v>442587.82195368351</v>
      </c>
      <c r="CJ48" s="443">
        <f t="shared" si="47"/>
        <v>443452.95615551702</v>
      </c>
      <c r="CK48" s="443">
        <f t="shared" si="47"/>
        <v>444319.76007738221</v>
      </c>
      <c r="CL48" s="443">
        <f t="shared" si="47"/>
        <v>445188.23688748846</v>
      </c>
      <c r="CM48" s="443">
        <f t="shared" si="47"/>
        <v>446058.38975991646</v>
      </c>
      <c r="CN48" s="443">
        <f t="shared" si="47"/>
        <v>446930.22187462886</v>
      </c>
      <c r="CO48" s="443">
        <f t="shared" si="47"/>
        <v>447803.73641748109</v>
      </c>
      <c r="CP48" s="443">
        <f t="shared" si="47"/>
        <v>448678.93658023095</v>
      </c>
      <c r="CQ48" s="443">
        <f t="shared" si="47"/>
        <v>449555.82556055079</v>
      </c>
      <c r="CR48" s="443">
        <f t="shared" si="47"/>
        <v>450434.40656203625</v>
      </c>
      <c r="CS48" s="443">
        <f t="shared" si="47"/>
        <v>451314.68279421813</v>
      </c>
      <c r="CT48" s="443">
        <f t="shared" si="47"/>
        <v>452196.65747257264</v>
      </c>
      <c r="CU48" s="443">
        <f t="shared" si="47"/>
        <v>453080.33381853206</v>
      </c>
      <c r="CV48" s="443">
        <f t="shared" si="47"/>
        <v>453965.7150594953</v>
      </c>
      <c r="CW48" s="443">
        <f t="shared" si="47"/>
        <v>454852.80442883848</v>
      </c>
      <c r="CX48" s="443">
        <f t="shared" ref="CX48:DU48" si="48">+SUM(CX$19,CX$47)</f>
        <v>455741.60516592627</v>
      </c>
      <c r="CY48" s="443">
        <f t="shared" si="48"/>
        <v>456632.12051612139</v>
      </c>
      <c r="CZ48" s="443">
        <f t="shared" si="48"/>
        <v>457524.35373079684</v>
      </c>
      <c r="DA48" s="443">
        <f t="shared" si="48"/>
        <v>458418.30806734541</v>
      </c>
      <c r="DB48" s="443">
        <f t="shared" si="48"/>
        <v>459313.9867891912</v>
      </c>
      <c r="DC48" s="443">
        <f t="shared" si="48"/>
        <v>460211.39316579956</v>
      </c>
      <c r="DD48" s="443">
        <f t="shared" si="48"/>
        <v>461110.53047268919</v>
      </c>
      <c r="DE48" s="443">
        <f t="shared" si="48"/>
        <v>462011.40199144173</v>
      </c>
      <c r="DF48" s="443">
        <f t="shared" si="48"/>
        <v>462914.01100971329</v>
      </c>
      <c r="DG48" s="443">
        <f t="shared" si="48"/>
        <v>463818.36082124489</v>
      </c>
      <c r="DH48" s="443">
        <f t="shared" si="48"/>
        <v>464724.45472587401</v>
      </c>
      <c r="DI48" s="443">
        <f t="shared" si="48"/>
        <v>465632.29602954467</v>
      </c>
      <c r="DJ48" s="443">
        <f t="shared" si="48"/>
        <v>466541.88804431853</v>
      </c>
      <c r="DK48" s="443">
        <f t="shared" si="48"/>
        <v>467453.23408838653</v>
      </c>
      <c r="DL48" s="443">
        <f t="shared" si="48"/>
        <v>468366.33748607902</v>
      </c>
      <c r="DM48" s="443">
        <f t="shared" si="48"/>
        <v>469281.20156787679</v>
      </c>
      <c r="DN48" s="443">
        <f t="shared" si="48"/>
        <v>470197.82967042283</v>
      </c>
      <c r="DO48" s="443">
        <f t="shared" si="48"/>
        <v>471116.22513653181</v>
      </c>
      <c r="DP48" s="443">
        <f t="shared" si="48"/>
        <v>472036.39131520351</v>
      </c>
      <c r="DQ48" s="443">
        <f t="shared" si="48"/>
        <v>472958.33156163141</v>
      </c>
      <c r="DR48" s="443">
        <f t="shared" si="48"/>
        <v>473882.04923721484</v>
      </c>
      <c r="DS48" s="443">
        <f t="shared" si="48"/>
        <v>474807.54770957027</v>
      </c>
      <c r="DT48" s="443">
        <f t="shared" si="48"/>
        <v>475734.83035254199</v>
      </c>
      <c r="DU48" s="443">
        <f t="shared" si="48"/>
        <v>476663.90054621338</v>
      </c>
    </row>
    <row r="49" spans="1:125" x14ac:dyDescent="0.25">
      <c r="A49" s="427" t="s">
        <v>349</v>
      </c>
      <c r="B49" s="394"/>
      <c r="C49" s="394"/>
      <c r="D49" s="395"/>
      <c r="E49" s="394"/>
      <c r="F49" s="444" t="str">
        <f t="shared" ref="F49:AK49" si="49">IF(F$19&gt;0,-F$47/F$19,"")</f>
        <v/>
      </c>
      <c r="G49" s="444" t="str">
        <f t="shared" si="49"/>
        <v/>
      </c>
      <c r="H49" s="444" t="str">
        <f t="shared" si="49"/>
        <v/>
      </c>
      <c r="I49" s="444" t="str">
        <f t="shared" si="49"/>
        <v/>
      </c>
      <c r="J49" s="445" t="str">
        <f t="shared" si="49"/>
        <v/>
      </c>
      <c r="K49" s="445" t="str">
        <f t="shared" si="49"/>
        <v/>
      </c>
      <c r="L49" s="445" t="str">
        <f t="shared" si="49"/>
        <v/>
      </c>
      <c r="M49" s="445" t="str">
        <f t="shared" si="49"/>
        <v/>
      </c>
      <c r="N49" s="445" t="str">
        <f t="shared" si="49"/>
        <v/>
      </c>
      <c r="O49" s="445" t="str">
        <f t="shared" si="49"/>
        <v/>
      </c>
      <c r="P49" s="445" t="str">
        <f t="shared" si="49"/>
        <v/>
      </c>
      <c r="Q49" s="445" t="str">
        <f t="shared" si="49"/>
        <v/>
      </c>
      <c r="R49" s="445" t="str">
        <f t="shared" si="49"/>
        <v/>
      </c>
      <c r="S49" s="445" t="str">
        <f t="shared" si="49"/>
        <v/>
      </c>
      <c r="T49" s="445" t="str">
        <f t="shared" si="49"/>
        <v/>
      </c>
      <c r="U49" s="446" t="str">
        <f t="shared" si="49"/>
        <v/>
      </c>
      <c r="V49" s="446" t="str">
        <f t="shared" si="49"/>
        <v/>
      </c>
      <c r="W49" s="446" t="str">
        <f t="shared" si="49"/>
        <v/>
      </c>
      <c r="X49" s="446" t="str">
        <f t="shared" si="49"/>
        <v/>
      </c>
      <c r="Y49" s="446" t="str">
        <f t="shared" si="49"/>
        <v/>
      </c>
      <c r="Z49" s="446" t="str">
        <f t="shared" si="49"/>
        <v/>
      </c>
      <c r="AA49" s="446">
        <f t="shared" si="49"/>
        <v>1.7262732894348827</v>
      </c>
      <c r="AB49" s="446">
        <f t="shared" si="49"/>
        <v>0.90338066682345464</v>
      </c>
      <c r="AC49" s="446">
        <f t="shared" si="49"/>
        <v>0.62909024210594833</v>
      </c>
      <c r="AD49" s="446">
        <f t="shared" si="49"/>
        <v>0.49195036968305333</v>
      </c>
      <c r="AE49" s="446">
        <f t="shared" si="49"/>
        <v>0.4096707204359703</v>
      </c>
      <c r="AF49" s="446">
        <f t="shared" si="49"/>
        <v>0.3579097631265169</v>
      </c>
      <c r="AG49" s="446">
        <f t="shared" si="49"/>
        <v>0.31564600105154988</v>
      </c>
      <c r="AH49" s="446">
        <f t="shared" si="49"/>
        <v>0.28626728896255677</v>
      </c>
      <c r="AI49" s="446">
        <f t="shared" si="49"/>
        <v>0.26341955914286963</v>
      </c>
      <c r="AJ49" s="446">
        <f t="shared" si="49"/>
        <v>0.26349501324603436</v>
      </c>
      <c r="AK49" s="446">
        <f t="shared" si="49"/>
        <v>0.2635704940258623</v>
      </c>
      <c r="AL49" s="446">
        <f t="shared" ref="AL49:BQ49" si="50">IF(AL$19&gt;0,-AL$47/AL$19,"")</f>
        <v>0.26364600149178485</v>
      </c>
      <c r="AM49" s="446">
        <f t="shared" si="50"/>
        <v>0.26372153565323686</v>
      </c>
      <c r="AN49" s="446">
        <f t="shared" si="50"/>
        <v>0.26379709651965638</v>
      </c>
      <c r="AO49" s="446">
        <f t="shared" si="50"/>
        <v>0.26387268410048509</v>
      </c>
      <c r="AP49" s="446">
        <f t="shared" si="50"/>
        <v>0.26394829840516759</v>
      </c>
      <c r="AQ49" s="446">
        <f t="shared" si="50"/>
        <v>0.26402393944315233</v>
      </c>
      <c r="AR49" s="446">
        <f t="shared" si="50"/>
        <v>0.26409960722389059</v>
      </c>
      <c r="AS49" s="446">
        <f t="shared" si="50"/>
        <v>0.26417530175683734</v>
      </c>
      <c r="AT49" s="446">
        <f t="shared" si="50"/>
        <v>0.26425102305145065</v>
      </c>
      <c r="AU49" s="446">
        <f t="shared" si="50"/>
        <v>0.26432677111719227</v>
      </c>
      <c r="AV49" s="446">
        <f t="shared" si="50"/>
        <v>0.26440254596352697</v>
      </c>
      <c r="AW49" s="446">
        <f t="shared" si="50"/>
        <v>0.26447834759992284</v>
      </c>
      <c r="AX49" s="446">
        <f t="shared" si="50"/>
        <v>0.26455417603585157</v>
      </c>
      <c r="AY49" s="446">
        <f t="shared" si="50"/>
        <v>0.26463003128078827</v>
      </c>
      <c r="AZ49" s="446">
        <f t="shared" si="50"/>
        <v>0.2647059133442109</v>
      </c>
      <c r="BA49" s="446">
        <f t="shared" si="50"/>
        <v>0.26478182223560143</v>
      </c>
      <c r="BB49" s="446">
        <f t="shared" si="50"/>
        <v>0.2648577579644445</v>
      </c>
      <c r="BC49" s="446">
        <f t="shared" si="50"/>
        <v>0.26493372054022868</v>
      </c>
      <c r="BD49" s="446">
        <f t="shared" si="50"/>
        <v>0.2650097099724455</v>
      </c>
      <c r="BE49" s="446">
        <f t="shared" si="50"/>
        <v>0.26508572627059018</v>
      </c>
      <c r="BF49" s="446">
        <f t="shared" si="50"/>
        <v>0.26516176944416081</v>
      </c>
      <c r="BG49" s="446">
        <f t="shared" si="50"/>
        <v>0.26523783950265956</v>
      </c>
      <c r="BH49" s="446">
        <f t="shared" si="50"/>
        <v>0.26531393645559126</v>
      </c>
      <c r="BI49" s="446">
        <f t="shared" si="50"/>
        <v>0.26539006031246448</v>
      </c>
      <c r="BJ49" s="446">
        <f t="shared" si="50"/>
        <v>0.26546621108279111</v>
      </c>
      <c r="BK49" s="446">
        <f t="shared" si="50"/>
        <v>0.26554238877608621</v>
      </c>
      <c r="BL49" s="446">
        <f t="shared" si="50"/>
        <v>0.26561859340186844</v>
      </c>
      <c r="BM49" s="446">
        <f t="shared" si="50"/>
        <v>0.26569482496965979</v>
      </c>
      <c r="BN49" s="446">
        <f t="shared" si="50"/>
        <v>0.26577108348898548</v>
      </c>
      <c r="BO49" s="446">
        <f t="shared" si="50"/>
        <v>0.26584736896937411</v>
      </c>
      <c r="BP49" s="446">
        <f t="shared" si="50"/>
        <v>0.26592368142035794</v>
      </c>
      <c r="BQ49" s="446">
        <f t="shared" si="50"/>
        <v>0.26600002085147217</v>
      </c>
      <c r="BR49" s="446">
        <f t="shared" ref="BR49:CW49" si="51">IF(BR$19&gt;0,-BR$47/BR$19,"")</f>
        <v>0.26607638727225558</v>
      </c>
      <c r="BS49" s="446">
        <f t="shared" si="51"/>
        <v>0.26615278069225046</v>
      </c>
      <c r="BT49" s="446">
        <f t="shared" si="51"/>
        <v>0.26622920112100223</v>
      </c>
      <c r="BU49" s="446">
        <f t="shared" si="51"/>
        <v>0.26630564856805977</v>
      </c>
      <c r="BV49" s="446">
        <f t="shared" si="51"/>
        <v>0.26638212304297554</v>
      </c>
      <c r="BW49" s="446">
        <f t="shared" si="51"/>
        <v>0.26645862455530489</v>
      </c>
      <c r="BX49" s="446">
        <f t="shared" si="51"/>
        <v>0.26653515311460702</v>
      </c>
      <c r="BY49" s="446">
        <f t="shared" si="51"/>
        <v>0.26661170873044443</v>
      </c>
      <c r="BZ49" s="446">
        <f t="shared" si="51"/>
        <v>0.26668829141238276</v>
      </c>
      <c r="CA49" s="446">
        <f t="shared" si="51"/>
        <v>0.26676490116999119</v>
      </c>
      <c r="CB49" s="446">
        <f t="shared" si="51"/>
        <v>0.26684153801284233</v>
      </c>
      <c r="CC49" s="446">
        <f t="shared" si="51"/>
        <v>0.26691820195051202</v>
      </c>
      <c r="CD49" s="446">
        <f t="shared" si="51"/>
        <v>0.26699489299257978</v>
      </c>
      <c r="CE49" s="446">
        <f t="shared" si="51"/>
        <v>0.26707161114862815</v>
      </c>
      <c r="CF49" s="446">
        <f t="shared" si="51"/>
        <v>0.26714835642824336</v>
      </c>
      <c r="CG49" s="446">
        <f t="shared" si="51"/>
        <v>0.26722512884101474</v>
      </c>
      <c r="CH49" s="446">
        <f t="shared" si="51"/>
        <v>0.26730192839653522</v>
      </c>
      <c r="CI49" s="446">
        <f t="shared" si="51"/>
        <v>0.26737875510440112</v>
      </c>
      <c r="CJ49" s="446">
        <f t="shared" si="51"/>
        <v>0.26745560897421217</v>
      </c>
      <c r="CK49" s="446">
        <f t="shared" si="51"/>
        <v>0.26753249001557133</v>
      </c>
      <c r="CL49" s="446">
        <f t="shared" si="51"/>
        <v>0.26760939823808499</v>
      </c>
      <c r="CM49" s="446">
        <f t="shared" si="51"/>
        <v>0.26768633365136302</v>
      </c>
      <c r="CN49" s="446">
        <f t="shared" si="51"/>
        <v>0.26776329626501882</v>
      </c>
      <c r="CO49" s="446">
        <f t="shared" si="51"/>
        <v>0.26784028608866894</v>
      </c>
      <c r="CP49" s="446">
        <f t="shared" si="51"/>
        <v>0.2679173031319334</v>
      </c>
      <c r="CQ49" s="446">
        <f t="shared" si="51"/>
        <v>0.26799434740443562</v>
      </c>
      <c r="CR49" s="446">
        <f t="shared" si="51"/>
        <v>0.26807141891580244</v>
      </c>
      <c r="CS49" s="446">
        <f t="shared" si="51"/>
        <v>0.26814851767566422</v>
      </c>
      <c r="CT49" s="446">
        <f t="shared" si="51"/>
        <v>0.26822564369365459</v>
      </c>
      <c r="CU49" s="446">
        <f t="shared" si="51"/>
        <v>0.26830279697941062</v>
      </c>
      <c r="CV49" s="446">
        <f t="shared" si="51"/>
        <v>0.26837997754257265</v>
      </c>
      <c r="CW49" s="446">
        <f t="shared" si="51"/>
        <v>0.26845718539278474</v>
      </c>
      <c r="CX49" s="446">
        <f t="shared" ref="CX49:DU49" si="52">IF(CX$19&gt;0,-CX$47/CX$19,"")</f>
        <v>0.26853442053969395</v>
      </c>
      <c r="CY49" s="446">
        <f t="shared" si="52"/>
        <v>0.26861168299295135</v>
      </c>
      <c r="CZ49" s="446">
        <f t="shared" si="52"/>
        <v>0.2686889727622106</v>
      </c>
      <c r="DA49" s="446">
        <f t="shared" si="52"/>
        <v>0.26876628985712958</v>
      </c>
      <c r="DB49" s="446">
        <f t="shared" si="52"/>
        <v>0.2688436342873689</v>
      </c>
      <c r="DC49" s="446">
        <f t="shared" si="52"/>
        <v>0.26892100606259334</v>
      </c>
      <c r="DD49" s="446">
        <f t="shared" si="52"/>
        <v>0.26899840519247031</v>
      </c>
      <c r="DE49" s="446">
        <f t="shared" si="52"/>
        <v>0.2690758316866711</v>
      </c>
      <c r="DF49" s="446">
        <f t="shared" si="52"/>
        <v>0.26915328555487039</v>
      </c>
      <c r="DG49" s="446">
        <f t="shared" si="52"/>
        <v>0.26923076680674624</v>
      </c>
      <c r="DH49" s="446">
        <f t="shared" si="52"/>
        <v>0.26930827545197988</v>
      </c>
      <c r="DI49" s="446">
        <f t="shared" si="52"/>
        <v>0.26938581150025642</v>
      </c>
      <c r="DJ49" s="446">
        <f t="shared" si="52"/>
        <v>0.26946337496126405</v>
      </c>
      <c r="DK49" s="446">
        <f t="shared" si="52"/>
        <v>0.26954096584469439</v>
      </c>
      <c r="DL49" s="446">
        <f t="shared" si="52"/>
        <v>0.26961858416024276</v>
      </c>
      <c r="DM49" s="446">
        <f t="shared" si="52"/>
        <v>0.26969622991760767</v>
      </c>
      <c r="DN49" s="446">
        <f t="shared" si="52"/>
        <v>0.26977390312649108</v>
      </c>
      <c r="DO49" s="446">
        <f t="shared" si="52"/>
        <v>0.26985160379659867</v>
      </c>
      <c r="DP49" s="446">
        <f t="shared" si="52"/>
        <v>0.26992933193763902</v>
      </c>
      <c r="DQ49" s="446">
        <f t="shared" si="52"/>
        <v>0.2700070875593244</v>
      </c>
      <c r="DR49" s="446">
        <f t="shared" si="52"/>
        <v>0.27008487067137066</v>
      </c>
      <c r="DS49" s="446">
        <f t="shared" si="52"/>
        <v>0.27016268128349707</v>
      </c>
      <c r="DT49" s="446">
        <f t="shared" si="52"/>
        <v>0.27024051940542609</v>
      </c>
      <c r="DU49" s="446">
        <f t="shared" si="52"/>
        <v>0.27031838504688394</v>
      </c>
    </row>
    <row r="50" spans="1:125" hidden="1" x14ac:dyDescent="0.25">
      <c r="A50" s="427" t="s">
        <v>498</v>
      </c>
      <c r="B50" s="394"/>
      <c r="C50" s="394"/>
      <c r="D50" s="395"/>
      <c r="E50" s="394"/>
      <c r="F50" s="432">
        <f t="shared" ref="F50:AK50" si="53">SUM(F$29,F$47)</f>
        <v>0</v>
      </c>
      <c r="G50" s="432">
        <f t="shared" si="53"/>
        <v>0</v>
      </c>
      <c r="H50" s="432">
        <f t="shared" si="53"/>
        <v>0</v>
      </c>
      <c r="I50" s="432">
        <f t="shared" si="53"/>
        <v>0</v>
      </c>
      <c r="J50" s="433">
        <f t="shared" si="53"/>
        <v>0</v>
      </c>
      <c r="K50" s="433">
        <f t="shared" si="53"/>
        <v>0</v>
      </c>
      <c r="L50" s="433">
        <f t="shared" si="53"/>
        <v>0</v>
      </c>
      <c r="M50" s="433">
        <f t="shared" si="53"/>
        <v>0</v>
      </c>
      <c r="N50" s="433">
        <f t="shared" si="53"/>
        <v>0</v>
      </c>
      <c r="O50" s="433">
        <f t="shared" si="53"/>
        <v>0</v>
      </c>
      <c r="P50" s="433">
        <f t="shared" si="53"/>
        <v>0</v>
      </c>
      <c r="Q50" s="433">
        <f t="shared" si="53"/>
        <v>0</v>
      </c>
      <c r="R50" s="433">
        <f t="shared" si="53"/>
        <v>0</v>
      </c>
      <c r="S50" s="433">
        <f t="shared" si="53"/>
        <v>0</v>
      </c>
      <c r="T50" s="433">
        <f t="shared" si="53"/>
        <v>0</v>
      </c>
      <c r="U50" s="434">
        <f t="shared" si="53"/>
        <v>0</v>
      </c>
      <c r="V50" s="434">
        <f t="shared" si="53"/>
        <v>0</v>
      </c>
      <c r="W50" s="434">
        <f t="shared" si="53"/>
        <v>0</v>
      </c>
      <c r="X50" s="434">
        <f t="shared" si="53"/>
        <v>0</v>
      </c>
      <c r="Y50" s="434">
        <f t="shared" si="53"/>
        <v>0</v>
      </c>
      <c r="Z50" s="434">
        <f t="shared" si="53"/>
        <v>0</v>
      </c>
      <c r="AA50" s="434">
        <f t="shared" si="53"/>
        <v>-100532.44443067642</v>
      </c>
      <c r="AB50" s="434">
        <f t="shared" si="53"/>
        <v>-103637.13669579965</v>
      </c>
      <c r="AC50" s="434">
        <f t="shared" si="53"/>
        <v>-106755.46450462102</v>
      </c>
      <c r="AD50" s="434">
        <f t="shared" si="53"/>
        <v>-109887.47415142741</v>
      </c>
      <c r="AE50" s="434">
        <f t="shared" si="53"/>
        <v>-113033.21207185733</v>
      </c>
      <c r="AF50" s="434">
        <f t="shared" si="53"/>
        <v>-116000.1533845872</v>
      </c>
      <c r="AG50" s="434">
        <f t="shared" si="53"/>
        <v>-119366.05918534714</v>
      </c>
      <c r="AH50" s="434">
        <f t="shared" si="53"/>
        <v>-122553.26196011691</v>
      </c>
      <c r="AI50" s="434">
        <f t="shared" si="53"/>
        <v>-125754.38017275112</v>
      </c>
      <c r="AJ50" s="434">
        <f t="shared" si="53"/>
        <v>-126054.45540474585</v>
      </c>
      <c r="AK50" s="434">
        <f t="shared" si="53"/>
        <v>-126355.24782211575</v>
      </c>
      <c r="AL50" s="434">
        <f t="shared" ref="AL50:BQ50" si="54">SUM(AL$29,AL$47)</f>
        <v>-126656.75914133436</v>
      </c>
      <c r="AM50" s="434">
        <f t="shared" si="54"/>
        <v>-126958.99108298843</v>
      </c>
      <c r="AN50" s="434">
        <f t="shared" si="54"/>
        <v>-127261.94537178746</v>
      </c>
      <c r="AO50" s="434">
        <f t="shared" si="54"/>
        <v>-127565.62373657402</v>
      </c>
      <c r="AP50" s="434">
        <f t="shared" si="54"/>
        <v>-127870.02791033335</v>
      </c>
      <c r="AQ50" s="434">
        <f t="shared" si="54"/>
        <v>-128175.15963020333</v>
      </c>
      <c r="AR50" s="434">
        <f t="shared" si="54"/>
        <v>-128481.02063748453</v>
      </c>
      <c r="AS50" s="434">
        <f t="shared" si="54"/>
        <v>-128787.61267765022</v>
      </c>
      <c r="AT50" s="434">
        <f t="shared" si="54"/>
        <v>-129094.93750035617</v>
      </c>
      <c r="AU50" s="434">
        <f t="shared" si="54"/>
        <v>-129402.996859451</v>
      </c>
      <c r="AV50" s="434">
        <f t="shared" si="54"/>
        <v>-129711.79251298597</v>
      </c>
      <c r="AW50" s="434">
        <f t="shared" si="54"/>
        <v>-130021.3262232251</v>
      </c>
      <c r="AX50" s="434">
        <f t="shared" si="54"/>
        <v>-130331.59975665547</v>
      </c>
      <c r="AY50" s="434">
        <f t="shared" si="54"/>
        <v>-130642.61488399719</v>
      </c>
      <c r="AZ50" s="434">
        <f t="shared" si="54"/>
        <v>-130954.37338021351</v>
      </c>
      <c r="BA50" s="434">
        <f t="shared" si="54"/>
        <v>-131266.87702452112</v>
      </c>
      <c r="BB50" s="434">
        <f t="shared" si="54"/>
        <v>-131580.12760040024</v>
      </c>
      <c r="BC50" s="434">
        <f t="shared" si="54"/>
        <v>-131894.12689560506</v>
      </c>
      <c r="BD50" s="434">
        <f t="shared" si="54"/>
        <v>-132208.87670217358</v>
      </c>
      <c r="BE50" s="434">
        <f t="shared" si="54"/>
        <v>-132524.37881643846</v>
      </c>
      <c r="BF50" s="434">
        <f t="shared" si="54"/>
        <v>-132840.63503903672</v>
      </c>
      <c r="BG50" s="434">
        <f t="shared" si="54"/>
        <v>-133157.6471749206</v>
      </c>
      <c r="BH50" s="434">
        <f t="shared" si="54"/>
        <v>-133475.4170333675</v>
      </c>
      <c r="BI50" s="434">
        <f t="shared" si="54"/>
        <v>-133793.94642799062</v>
      </c>
      <c r="BJ50" s="434">
        <f t="shared" si="54"/>
        <v>-134113.23717674916</v>
      </c>
      <c r="BK50" s="434">
        <f t="shared" si="54"/>
        <v>-134433.29110195895</v>
      </c>
      <c r="BL50" s="434">
        <f t="shared" si="54"/>
        <v>-134754.11003030275</v>
      </c>
      <c r="BM50" s="434">
        <f t="shared" si="54"/>
        <v>-135075.69579284079</v>
      </c>
      <c r="BN50" s="434">
        <f t="shared" si="54"/>
        <v>-135398.05022502126</v>
      </c>
      <c r="BO50" s="434">
        <f t="shared" si="54"/>
        <v>-135721.17516669081</v>
      </c>
      <c r="BP50" s="434">
        <f t="shared" si="54"/>
        <v>-136045.07246210519</v>
      </c>
      <c r="BQ50" s="434">
        <f t="shared" si="54"/>
        <v>-136369.74395993966</v>
      </c>
      <c r="BR50" s="434">
        <f t="shared" ref="BR50:CW50" si="55">SUM(BR$29,BR$47)</f>
        <v>-136695.19151329968</v>
      </c>
      <c r="BS50" s="434">
        <f t="shared" si="55"/>
        <v>-137021.41697973173</v>
      </c>
      <c r="BT50" s="434">
        <f t="shared" si="55"/>
        <v>-137348.42222123369</v>
      </c>
      <c r="BU50" s="434">
        <f t="shared" si="55"/>
        <v>-137676.20910426549</v>
      </c>
      <c r="BV50" s="434">
        <f t="shared" si="55"/>
        <v>-138004.77949976007</v>
      </c>
      <c r="BW50" s="434">
        <f t="shared" si="55"/>
        <v>-138334.13528313398</v>
      </c>
      <c r="BX50" s="434">
        <f t="shared" si="55"/>
        <v>-138664.27833429808</v>
      </c>
      <c r="BY50" s="434">
        <f t="shared" si="55"/>
        <v>-138995.21053766846</v>
      </c>
      <c r="BZ50" s="434">
        <f t="shared" si="55"/>
        <v>-139326.93378217696</v>
      </c>
      <c r="CA50" s="434">
        <f t="shared" si="55"/>
        <v>-139659.44996128246</v>
      </c>
      <c r="CB50" s="434">
        <f t="shared" si="55"/>
        <v>-139992.76097298137</v>
      </c>
      <c r="CC50" s="434">
        <f t="shared" si="55"/>
        <v>-140326.86871981854</v>
      </c>
      <c r="CD50" s="434">
        <f t="shared" si="55"/>
        <v>-140661.77510889847</v>
      </c>
      <c r="CE50" s="434">
        <f t="shared" si="55"/>
        <v>-140997.48205189584</v>
      </c>
      <c r="CF50" s="434">
        <f t="shared" si="55"/>
        <v>-141333.99146506685</v>
      </c>
      <c r="CG50" s="434">
        <f t="shared" si="55"/>
        <v>-141671.30526925984</v>
      </c>
      <c r="CH50" s="434">
        <f t="shared" si="55"/>
        <v>-142009.42538992671</v>
      </c>
      <c r="CI50" s="434">
        <f t="shared" si="55"/>
        <v>-142348.35375713365</v>
      </c>
      <c r="CJ50" s="434">
        <f t="shared" si="55"/>
        <v>-142688.09230557227</v>
      </c>
      <c r="CK50" s="434">
        <f t="shared" si="55"/>
        <v>-143028.64297457083</v>
      </c>
      <c r="CL50" s="434">
        <f t="shared" si="55"/>
        <v>-143370.00770810523</v>
      </c>
      <c r="CM50" s="434">
        <f t="shared" si="55"/>
        <v>-143712.18845481021</v>
      </c>
      <c r="CN50" s="434">
        <f t="shared" si="55"/>
        <v>-144055.18716799057</v>
      </c>
      <c r="CO50" s="434">
        <f t="shared" si="55"/>
        <v>-144399.00580563236</v>
      </c>
      <c r="CP50" s="434">
        <f t="shared" si="55"/>
        <v>-144743.64633041387</v>
      </c>
      <c r="CQ50" s="434">
        <f t="shared" si="55"/>
        <v>-145089.11070971724</v>
      </c>
      <c r="CR50" s="434">
        <f t="shared" si="55"/>
        <v>-145435.40091563962</v>
      </c>
      <c r="CS50" s="434">
        <f t="shared" si="55"/>
        <v>-145782.51892500444</v>
      </c>
      <c r="CT50" s="434">
        <f t="shared" si="55"/>
        <v>-146130.46671937278</v>
      </c>
      <c r="CU50" s="434">
        <f t="shared" si="55"/>
        <v>-146479.24628505463</v>
      </c>
      <c r="CV50" s="434">
        <f t="shared" si="55"/>
        <v>-146828.8596131205</v>
      </c>
      <c r="CW50" s="434">
        <f t="shared" si="55"/>
        <v>-147179.30869941265</v>
      </c>
      <c r="CX50" s="434">
        <f t="shared" ref="CX50:DU50" si="56">SUM(CX$29,CX$47)</f>
        <v>-147530.59554455659</v>
      </c>
      <c r="CY50" s="434">
        <f t="shared" si="56"/>
        <v>-147882.72215397269</v>
      </c>
      <c r="CZ50" s="434">
        <f t="shared" si="56"/>
        <v>-148235.69053788731</v>
      </c>
      <c r="DA50" s="434">
        <f t="shared" si="56"/>
        <v>-148589.50271134492</v>
      </c>
      <c r="DB50" s="434">
        <f t="shared" si="56"/>
        <v>-148944.16069421903</v>
      </c>
      <c r="DC50" s="434">
        <f t="shared" si="56"/>
        <v>-149299.66651122426</v>
      </c>
      <c r="DD50" s="434">
        <f t="shared" si="56"/>
        <v>-149656.02219192771</v>
      </c>
      <c r="DE50" s="434">
        <f t="shared" si="56"/>
        <v>-150013.22977076055</v>
      </c>
      <c r="DF50" s="434">
        <f t="shared" si="56"/>
        <v>-150371.29128702995</v>
      </c>
      <c r="DG50" s="434">
        <f t="shared" si="56"/>
        <v>-150730.20878493055</v>
      </c>
      <c r="DH50" s="434">
        <f t="shared" si="56"/>
        <v>-151089.9843135562</v>
      </c>
      <c r="DI50" s="434">
        <f t="shared" si="56"/>
        <v>-151450.61992691192</v>
      </c>
      <c r="DJ50" s="434">
        <f t="shared" si="56"/>
        <v>-151812.1176839254</v>
      </c>
      <c r="DK50" s="434">
        <f t="shared" si="56"/>
        <v>-152174.47964845889</v>
      </c>
      <c r="DL50" s="434">
        <f t="shared" si="56"/>
        <v>-152537.70788932141</v>
      </c>
      <c r="DM50" s="434">
        <f t="shared" si="56"/>
        <v>-152901.80448027991</v>
      </c>
      <c r="DN50" s="434">
        <f t="shared" si="56"/>
        <v>-153266.77150007174</v>
      </c>
      <c r="DO50" s="434">
        <f t="shared" si="56"/>
        <v>-153632.61103241655</v>
      </c>
      <c r="DP50" s="434">
        <f t="shared" si="56"/>
        <v>-153999.32516602776</v>
      </c>
      <c r="DQ50" s="434">
        <f t="shared" si="56"/>
        <v>-154366.91599462499</v>
      </c>
      <c r="DR50" s="434">
        <f t="shared" si="56"/>
        <v>-154735.38561694598</v>
      </c>
      <c r="DS50" s="434">
        <f t="shared" si="56"/>
        <v>-155104.7361367587</v>
      </c>
      <c r="DT50" s="434">
        <f t="shared" si="56"/>
        <v>-155474.96966287313</v>
      </c>
      <c r="DU50" s="434">
        <f t="shared" si="56"/>
        <v>-155846.08830915365</v>
      </c>
    </row>
    <row r="51" spans="1:125" hidden="1" x14ac:dyDescent="0.25">
      <c r="A51" s="385" t="s">
        <v>499</v>
      </c>
      <c r="D51" s="387"/>
      <c r="F51" s="388" t="str">
        <f t="shared" ref="F51:AK51" si="57">IF(F$29&gt;0,-F47/F$29,"")</f>
        <v/>
      </c>
      <c r="G51" s="388" t="str">
        <f t="shared" si="57"/>
        <v/>
      </c>
      <c r="H51" s="388" t="str">
        <f t="shared" si="57"/>
        <v/>
      </c>
      <c r="I51" s="388" t="str">
        <f t="shared" si="57"/>
        <v/>
      </c>
      <c r="J51" s="389" t="str">
        <f t="shared" si="57"/>
        <v/>
      </c>
      <c r="K51" s="389" t="str">
        <f t="shared" si="57"/>
        <v/>
      </c>
      <c r="L51" s="389" t="str">
        <f t="shared" si="57"/>
        <v/>
      </c>
      <c r="M51" s="389" t="str">
        <f t="shared" si="57"/>
        <v/>
      </c>
      <c r="N51" s="389" t="str">
        <f t="shared" si="57"/>
        <v/>
      </c>
      <c r="O51" s="389" t="str">
        <f t="shared" si="57"/>
        <v/>
      </c>
      <c r="P51" s="389" t="str">
        <f t="shared" si="57"/>
        <v/>
      </c>
      <c r="Q51" s="389" t="str">
        <f t="shared" si="57"/>
        <v/>
      </c>
      <c r="R51" s="389" t="str">
        <f t="shared" si="57"/>
        <v/>
      </c>
      <c r="S51" s="389" t="str">
        <f t="shared" si="57"/>
        <v/>
      </c>
      <c r="T51" s="389" t="str">
        <f t="shared" si="57"/>
        <v/>
      </c>
      <c r="U51" s="390" t="str">
        <f t="shared" si="57"/>
        <v/>
      </c>
      <c r="V51" s="390" t="str">
        <f t="shared" si="57"/>
        <v/>
      </c>
      <c r="W51" s="390" t="str">
        <f t="shared" si="57"/>
        <v/>
      </c>
      <c r="X51" s="390" t="str">
        <f t="shared" si="57"/>
        <v/>
      </c>
      <c r="Y51" s="390" t="str">
        <f t="shared" si="57"/>
        <v/>
      </c>
      <c r="Z51" s="390" t="str">
        <f t="shared" si="57"/>
        <v/>
      </c>
      <c r="AA51" s="390">
        <f t="shared" si="57"/>
        <v>54.374722878274511</v>
      </c>
      <c r="AB51" s="390">
        <f t="shared" si="57"/>
        <v>28.454980861226549</v>
      </c>
      <c r="AC51" s="390">
        <f t="shared" si="57"/>
        <v>19.815291002466658</v>
      </c>
      <c r="AD51" s="390">
        <f t="shared" si="57"/>
        <v>15.495614272139706</v>
      </c>
      <c r="AE51" s="390">
        <f t="shared" si="57"/>
        <v>12.903942864308119</v>
      </c>
      <c r="AF51" s="390">
        <f t="shared" si="57"/>
        <v>11.273559235689797</v>
      </c>
      <c r="AG51" s="390">
        <f t="shared" si="57"/>
        <v>9.9423213808933735</v>
      </c>
      <c r="AH51" s="390">
        <f t="shared" si="57"/>
        <v>9.0169410612554763</v>
      </c>
      <c r="AI51" s="390">
        <f t="shared" si="57"/>
        <v>8.2972757655305625</v>
      </c>
      <c r="AJ51" s="390">
        <f t="shared" si="57"/>
        <v>8.2996524436467798</v>
      </c>
      <c r="AK51" s="390">
        <f t="shared" si="57"/>
        <v>8.3020299620332949</v>
      </c>
      <c r="AL51" s="390">
        <f t="shared" ref="AL51:BQ51" si="58">IF(AL$29&gt;0,-AL47/AL$29,"")</f>
        <v>8.3044083209871804</v>
      </c>
      <c r="AM51" s="390">
        <f t="shared" si="58"/>
        <v>8.3067875208056172</v>
      </c>
      <c r="AN51" s="390">
        <f t="shared" si="58"/>
        <v>8.3091675617858893</v>
      </c>
      <c r="AO51" s="390">
        <f t="shared" si="58"/>
        <v>8.3115484442253909</v>
      </c>
      <c r="AP51" s="390">
        <f t="shared" si="58"/>
        <v>8.3139301684216189</v>
      </c>
      <c r="AQ51" s="390">
        <f t="shared" si="58"/>
        <v>8.3163127346721737</v>
      </c>
      <c r="AR51" s="390">
        <f t="shared" si="58"/>
        <v>8.3186961432747619</v>
      </c>
      <c r="AS51" s="390">
        <f t="shared" si="58"/>
        <v>8.3210803945271969</v>
      </c>
      <c r="AT51" s="390">
        <f t="shared" si="58"/>
        <v>8.3234654887273933</v>
      </c>
      <c r="AU51" s="390">
        <f t="shared" si="58"/>
        <v>8.3258514261733776</v>
      </c>
      <c r="AV51" s="390">
        <f t="shared" si="58"/>
        <v>8.3282382071632757</v>
      </c>
      <c r="AW51" s="390">
        <f t="shared" si="58"/>
        <v>8.3306258319953184</v>
      </c>
      <c r="AX51" s="390">
        <f t="shared" si="58"/>
        <v>8.3330143009678448</v>
      </c>
      <c r="AY51" s="390">
        <f t="shared" si="58"/>
        <v>8.335403614379306</v>
      </c>
      <c r="AZ51" s="390">
        <f t="shared" si="58"/>
        <v>8.3377937725282472</v>
      </c>
      <c r="BA51" s="390">
        <f t="shared" si="58"/>
        <v>8.3401847757133236</v>
      </c>
      <c r="BB51" s="390">
        <f t="shared" si="58"/>
        <v>8.3425766242332973</v>
      </c>
      <c r="BC51" s="390">
        <f t="shared" si="58"/>
        <v>8.3449693183870348</v>
      </c>
      <c r="BD51" s="390">
        <f t="shared" si="58"/>
        <v>8.347362858473506</v>
      </c>
      <c r="BE51" s="390">
        <f t="shared" si="58"/>
        <v>8.3497572447917925</v>
      </c>
      <c r="BF51" s="390">
        <f t="shared" si="58"/>
        <v>8.3521524776410736</v>
      </c>
      <c r="BG51" s="390">
        <f t="shared" si="58"/>
        <v>8.3545485573206459</v>
      </c>
      <c r="BH51" s="390">
        <f t="shared" si="58"/>
        <v>8.3569454841299002</v>
      </c>
      <c r="BI51" s="390">
        <f t="shared" si="58"/>
        <v>8.3593432583683356</v>
      </c>
      <c r="BJ51" s="390">
        <f t="shared" si="58"/>
        <v>8.361741880335563</v>
      </c>
      <c r="BK51" s="390">
        <f t="shared" si="58"/>
        <v>8.3641413503312929</v>
      </c>
      <c r="BL51" s="390">
        <f t="shared" si="58"/>
        <v>8.3665416686553424</v>
      </c>
      <c r="BM51" s="390">
        <f t="shared" si="58"/>
        <v>8.3689428356076441</v>
      </c>
      <c r="BN51" s="390">
        <f t="shared" si="58"/>
        <v>8.3713448514882227</v>
      </c>
      <c r="BO51" s="390">
        <f t="shared" si="58"/>
        <v>8.3737477165972134</v>
      </c>
      <c r="BP51" s="390">
        <f t="shared" si="58"/>
        <v>8.3761514312348702</v>
      </c>
      <c r="BQ51" s="390">
        <f t="shared" si="58"/>
        <v>8.3785559957015305</v>
      </c>
      <c r="BR51" s="390">
        <f t="shared" ref="BR51:CW51" si="59">IF(BR$29&gt;0,-BR47/BR$29,"")</f>
        <v>8.3809614102976546</v>
      </c>
      <c r="BS51" s="390">
        <f t="shared" si="59"/>
        <v>8.383367675323802</v>
      </c>
      <c r="BT51" s="390">
        <f t="shared" si="59"/>
        <v>8.3857747910806477</v>
      </c>
      <c r="BU51" s="390">
        <f t="shared" si="59"/>
        <v>8.3881827578689574</v>
      </c>
      <c r="BV51" s="390">
        <f t="shared" si="59"/>
        <v>8.3905915759896175</v>
      </c>
      <c r="BW51" s="390">
        <f t="shared" si="59"/>
        <v>8.3930012457436121</v>
      </c>
      <c r="BX51" s="390">
        <f t="shared" si="59"/>
        <v>8.3954117674320354</v>
      </c>
      <c r="BY51" s="390">
        <f t="shared" si="59"/>
        <v>8.397823141356092</v>
      </c>
      <c r="BZ51" s="390">
        <f t="shared" si="59"/>
        <v>8.4002353678170767</v>
      </c>
      <c r="CA51" s="390">
        <f t="shared" si="59"/>
        <v>8.4026484471164125</v>
      </c>
      <c r="CB51" s="390">
        <f t="shared" si="59"/>
        <v>8.4050623795556163</v>
      </c>
      <c r="CC51" s="390">
        <f t="shared" si="59"/>
        <v>8.4074771654363119</v>
      </c>
      <c r="CD51" s="390">
        <f t="shared" si="59"/>
        <v>8.4098928050602346</v>
      </c>
      <c r="CE51" s="390">
        <f t="shared" si="59"/>
        <v>8.4123092987292196</v>
      </c>
      <c r="CF51" s="390">
        <f t="shared" si="59"/>
        <v>8.4147266467452226</v>
      </c>
      <c r="CG51" s="390">
        <f t="shared" si="59"/>
        <v>8.4171448494102865</v>
      </c>
      <c r="CH51" s="390">
        <f t="shared" si="59"/>
        <v>8.4195639070265731</v>
      </c>
      <c r="CI51" s="390">
        <f t="shared" si="59"/>
        <v>8.4219838198963544</v>
      </c>
      <c r="CJ51" s="390">
        <f t="shared" si="59"/>
        <v>8.4244045883219982</v>
      </c>
      <c r="CK51" s="390">
        <f t="shared" si="59"/>
        <v>8.4268262126059863</v>
      </c>
      <c r="CL51" s="390">
        <f t="shared" si="59"/>
        <v>8.4292486930509067</v>
      </c>
      <c r="CM51" s="390">
        <f t="shared" si="59"/>
        <v>8.431672029959449</v>
      </c>
      <c r="CN51" s="390">
        <f t="shared" si="59"/>
        <v>8.4340962236344197</v>
      </c>
      <c r="CO51" s="390">
        <f t="shared" si="59"/>
        <v>8.4365212743787286</v>
      </c>
      <c r="CP51" s="390">
        <f t="shared" si="59"/>
        <v>8.4389471824953866</v>
      </c>
      <c r="CQ51" s="390">
        <f t="shared" si="59"/>
        <v>8.4413739482875148</v>
      </c>
      <c r="CR51" s="390">
        <f t="shared" si="59"/>
        <v>8.4438015720583444</v>
      </c>
      <c r="CS51" s="390">
        <f t="shared" si="59"/>
        <v>8.4462300541112167</v>
      </c>
      <c r="CT51" s="390">
        <f t="shared" si="59"/>
        <v>8.4486593947495727</v>
      </c>
      <c r="CU51" s="390">
        <f t="shared" si="59"/>
        <v>8.4510895942769615</v>
      </c>
      <c r="CV51" s="390">
        <f t="shared" si="59"/>
        <v>8.4535206529970459</v>
      </c>
      <c r="CW51" s="390">
        <f t="shared" si="59"/>
        <v>8.4559525712135848</v>
      </c>
      <c r="CX51" s="390">
        <f t="shared" ref="CX51:DU51" si="60">IF(CX$29&gt;0,-CX47/CX$29,"")</f>
        <v>8.458385349230463</v>
      </c>
      <c r="CY51" s="390">
        <f t="shared" si="60"/>
        <v>8.4608189873516526</v>
      </c>
      <c r="CZ51" s="390">
        <f t="shared" si="60"/>
        <v>8.4632534858812427</v>
      </c>
      <c r="DA51" s="390">
        <f t="shared" si="60"/>
        <v>8.4656888451234309</v>
      </c>
      <c r="DB51" s="390">
        <f t="shared" si="60"/>
        <v>8.4681250653825213</v>
      </c>
      <c r="DC51" s="390">
        <f t="shared" si="60"/>
        <v>8.4705621469629246</v>
      </c>
      <c r="DD51" s="390">
        <f t="shared" si="60"/>
        <v>8.4730000901691582</v>
      </c>
      <c r="DE51" s="390">
        <f t="shared" si="60"/>
        <v>8.4754388953058495</v>
      </c>
      <c r="DF51" s="390">
        <f t="shared" si="60"/>
        <v>8.4778785626777307</v>
      </c>
      <c r="DG51" s="390">
        <f t="shared" si="60"/>
        <v>8.4803190925896477</v>
      </c>
      <c r="DH51" s="390">
        <f t="shared" si="60"/>
        <v>8.4827604853465441</v>
      </c>
      <c r="DI51" s="390">
        <f t="shared" si="60"/>
        <v>8.4852027412534827</v>
      </c>
      <c r="DJ51" s="390">
        <f t="shared" si="60"/>
        <v>8.4876458606156291</v>
      </c>
      <c r="DK51" s="390">
        <f t="shared" si="60"/>
        <v>8.4900898437382448</v>
      </c>
      <c r="DL51" s="390">
        <f t="shared" si="60"/>
        <v>8.4925346909267265</v>
      </c>
      <c r="DM51" s="390">
        <f t="shared" si="60"/>
        <v>8.4949804024865525</v>
      </c>
      <c r="DN51" s="390">
        <f t="shared" si="60"/>
        <v>8.4974269787233219</v>
      </c>
      <c r="DO51" s="390">
        <f t="shared" si="60"/>
        <v>8.4998744199427456</v>
      </c>
      <c r="DP51" s="390">
        <f t="shared" si="60"/>
        <v>8.5023227264506325</v>
      </c>
      <c r="DQ51" s="390">
        <f t="shared" si="60"/>
        <v>8.5047718985528977</v>
      </c>
      <c r="DR51" s="390">
        <f t="shared" si="60"/>
        <v>8.5072219365555775</v>
      </c>
      <c r="DS51" s="390">
        <f t="shared" si="60"/>
        <v>8.509672840764809</v>
      </c>
      <c r="DT51" s="390">
        <f t="shared" si="60"/>
        <v>8.5121246114868399</v>
      </c>
      <c r="DU51" s="390">
        <f t="shared" si="60"/>
        <v>8.5145772490280205</v>
      </c>
    </row>
    <row r="52" spans="1:125" x14ac:dyDescent="0.25">
      <c r="D52" s="387"/>
      <c r="F52" s="388"/>
      <c r="G52" s="388"/>
      <c r="H52" s="388"/>
      <c r="I52" s="388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90"/>
      <c r="V52" s="390"/>
      <c r="W52" s="390"/>
      <c r="X52" s="390"/>
      <c r="Y52" s="390"/>
      <c r="Z52" s="390"/>
      <c r="AA52" s="390"/>
      <c r="AB52" s="390"/>
      <c r="AC52" s="390"/>
      <c r="AD52" s="390"/>
      <c r="AE52" s="390"/>
      <c r="AF52" s="390"/>
      <c r="AG52" s="390"/>
      <c r="AH52" s="390"/>
      <c r="AI52" s="390"/>
      <c r="AJ52" s="390"/>
      <c r="AK52" s="390"/>
      <c r="AL52" s="390"/>
      <c r="AM52" s="390"/>
      <c r="AN52" s="390"/>
      <c r="AO52" s="390"/>
      <c r="AP52" s="390"/>
      <c r="AQ52" s="390"/>
      <c r="AR52" s="390"/>
      <c r="AS52" s="390"/>
      <c r="AT52" s="390"/>
      <c r="AU52" s="390"/>
      <c r="AV52" s="390"/>
      <c r="AW52" s="390"/>
      <c r="AX52" s="390"/>
      <c r="AY52" s="390"/>
      <c r="AZ52" s="390"/>
      <c r="BA52" s="390"/>
      <c r="BB52" s="390"/>
      <c r="BC52" s="390"/>
      <c r="BD52" s="390"/>
      <c r="BE52" s="390"/>
      <c r="BF52" s="390"/>
      <c r="BG52" s="390"/>
      <c r="BH52" s="390"/>
      <c r="BI52" s="390"/>
      <c r="BJ52" s="390"/>
      <c r="BK52" s="390"/>
      <c r="BL52" s="390"/>
      <c r="BM52" s="390"/>
      <c r="BN52" s="390"/>
      <c r="BO52" s="390"/>
      <c r="BP52" s="390"/>
      <c r="BQ52" s="390"/>
      <c r="BR52" s="390"/>
      <c r="BS52" s="390"/>
      <c r="BT52" s="390"/>
      <c r="BU52" s="390"/>
      <c r="BV52" s="390"/>
      <c r="BW52" s="390"/>
      <c r="BX52" s="390"/>
      <c r="BY52" s="390"/>
      <c r="BZ52" s="390"/>
      <c r="CA52" s="390"/>
      <c r="CB52" s="390"/>
      <c r="CC52" s="390"/>
      <c r="CD52" s="390"/>
      <c r="CE52" s="390"/>
      <c r="CF52" s="390"/>
      <c r="CG52" s="390"/>
      <c r="CH52" s="390"/>
      <c r="CI52" s="390"/>
      <c r="CJ52" s="390"/>
      <c r="CK52" s="390"/>
      <c r="CL52" s="390"/>
      <c r="CM52" s="390"/>
      <c r="CN52" s="390"/>
      <c r="CO52" s="390"/>
      <c r="CP52" s="390"/>
      <c r="CQ52" s="390"/>
      <c r="CR52" s="390"/>
      <c r="CS52" s="390"/>
      <c r="CT52" s="390"/>
      <c r="CU52" s="390"/>
      <c r="CV52" s="390"/>
      <c r="CW52" s="390"/>
      <c r="CX52" s="390"/>
      <c r="CY52" s="390"/>
      <c r="CZ52" s="390"/>
      <c r="DA52" s="390"/>
      <c r="DB52" s="390"/>
      <c r="DC52" s="390"/>
      <c r="DD52" s="390"/>
      <c r="DE52" s="390"/>
      <c r="DF52" s="390"/>
      <c r="DG52" s="390"/>
      <c r="DH52" s="390"/>
      <c r="DI52" s="390"/>
      <c r="DJ52" s="390"/>
      <c r="DK52" s="390"/>
      <c r="DL52" s="390"/>
      <c r="DM52" s="390"/>
      <c r="DN52" s="390"/>
      <c r="DO52" s="390"/>
      <c r="DP52" s="390"/>
      <c r="DQ52" s="390"/>
      <c r="DR52" s="390"/>
      <c r="DS52" s="390"/>
      <c r="DT52" s="390"/>
      <c r="DU52" s="390"/>
    </row>
    <row r="53" spans="1:125" ht="30" customHeight="1" x14ac:dyDescent="0.25">
      <c r="A53" s="385" t="s">
        <v>500</v>
      </c>
      <c r="D53" s="387"/>
      <c r="F53" s="441">
        <f t="shared" ref="F53:AK53" si="61">-MIN(F48,0)</f>
        <v>0</v>
      </c>
      <c r="G53" s="441">
        <f t="shared" si="61"/>
        <v>0</v>
      </c>
      <c r="H53" s="441">
        <f t="shared" si="61"/>
        <v>0</v>
      </c>
      <c r="I53" s="441">
        <f t="shared" si="61"/>
        <v>0</v>
      </c>
      <c r="J53" s="442">
        <f t="shared" si="61"/>
        <v>0</v>
      </c>
      <c r="K53" s="442">
        <f t="shared" si="61"/>
        <v>0</v>
      </c>
      <c r="L53" s="442">
        <f t="shared" si="61"/>
        <v>0</v>
      </c>
      <c r="M53" s="442">
        <f t="shared" si="61"/>
        <v>0</v>
      </c>
      <c r="N53" s="442">
        <f t="shared" si="61"/>
        <v>0</v>
      </c>
      <c r="O53" s="442">
        <f t="shared" si="61"/>
        <v>0</v>
      </c>
      <c r="P53" s="442">
        <f t="shared" si="61"/>
        <v>0</v>
      </c>
      <c r="Q53" s="442">
        <f t="shared" si="61"/>
        <v>0</v>
      </c>
      <c r="R53" s="442">
        <f t="shared" si="61"/>
        <v>0</v>
      </c>
      <c r="S53" s="442">
        <f t="shared" si="61"/>
        <v>0</v>
      </c>
      <c r="T53" s="442">
        <f t="shared" si="61"/>
        <v>0</v>
      </c>
      <c r="U53" s="443">
        <f t="shared" si="61"/>
        <v>0</v>
      </c>
      <c r="V53" s="443">
        <f t="shared" si="61"/>
        <v>0</v>
      </c>
      <c r="W53" s="443">
        <f t="shared" si="61"/>
        <v>0</v>
      </c>
      <c r="X53" s="443">
        <f t="shared" si="61"/>
        <v>0</v>
      </c>
      <c r="Y53" s="443">
        <f t="shared" si="61"/>
        <v>0</v>
      </c>
      <c r="Z53" s="443">
        <f t="shared" si="61"/>
        <v>0</v>
      </c>
      <c r="AA53" s="443">
        <f t="shared" si="61"/>
        <v>43088.183666240562</v>
      </c>
      <c r="AB53" s="443">
        <f t="shared" si="61"/>
        <v>0</v>
      </c>
      <c r="AC53" s="443">
        <f t="shared" si="61"/>
        <v>0</v>
      </c>
      <c r="AD53" s="443">
        <f t="shared" si="61"/>
        <v>0</v>
      </c>
      <c r="AE53" s="443">
        <f t="shared" si="61"/>
        <v>0</v>
      </c>
      <c r="AF53" s="443">
        <f t="shared" si="61"/>
        <v>0</v>
      </c>
      <c r="AG53" s="443">
        <f t="shared" si="61"/>
        <v>0</v>
      </c>
      <c r="AH53" s="443">
        <f t="shared" si="61"/>
        <v>0</v>
      </c>
      <c r="AI53" s="443">
        <f t="shared" si="61"/>
        <v>0</v>
      </c>
      <c r="AJ53" s="443">
        <f t="shared" si="61"/>
        <v>0</v>
      </c>
      <c r="AK53" s="443">
        <f t="shared" si="61"/>
        <v>0</v>
      </c>
      <c r="AL53" s="443">
        <f t="shared" ref="AL53:BQ53" si="62">-MIN(AL48,0)</f>
        <v>0</v>
      </c>
      <c r="AM53" s="443">
        <f t="shared" si="62"/>
        <v>0</v>
      </c>
      <c r="AN53" s="443">
        <f t="shared" si="62"/>
        <v>0</v>
      </c>
      <c r="AO53" s="443">
        <f t="shared" si="62"/>
        <v>0</v>
      </c>
      <c r="AP53" s="443">
        <f t="shared" si="62"/>
        <v>0</v>
      </c>
      <c r="AQ53" s="443">
        <f t="shared" si="62"/>
        <v>0</v>
      </c>
      <c r="AR53" s="443">
        <f t="shared" si="62"/>
        <v>0</v>
      </c>
      <c r="AS53" s="443">
        <f t="shared" si="62"/>
        <v>0</v>
      </c>
      <c r="AT53" s="443">
        <f t="shared" si="62"/>
        <v>0</v>
      </c>
      <c r="AU53" s="443">
        <f t="shared" si="62"/>
        <v>0</v>
      </c>
      <c r="AV53" s="443">
        <f t="shared" si="62"/>
        <v>0</v>
      </c>
      <c r="AW53" s="443">
        <f t="shared" si="62"/>
        <v>0</v>
      </c>
      <c r="AX53" s="443">
        <f t="shared" si="62"/>
        <v>0</v>
      </c>
      <c r="AY53" s="443">
        <f t="shared" si="62"/>
        <v>0</v>
      </c>
      <c r="AZ53" s="443">
        <f t="shared" si="62"/>
        <v>0</v>
      </c>
      <c r="BA53" s="443">
        <f t="shared" si="62"/>
        <v>0</v>
      </c>
      <c r="BB53" s="443">
        <f t="shared" si="62"/>
        <v>0</v>
      </c>
      <c r="BC53" s="443">
        <f t="shared" si="62"/>
        <v>0</v>
      </c>
      <c r="BD53" s="443">
        <f t="shared" si="62"/>
        <v>0</v>
      </c>
      <c r="BE53" s="443">
        <f t="shared" si="62"/>
        <v>0</v>
      </c>
      <c r="BF53" s="443">
        <f t="shared" si="62"/>
        <v>0</v>
      </c>
      <c r="BG53" s="443">
        <f t="shared" si="62"/>
        <v>0</v>
      </c>
      <c r="BH53" s="443">
        <f t="shared" si="62"/>
        <v>0</v>
      </c>
      <c r="BI53" s="443">
        <f t="shared" si="62"/>
        <v>0</v>
      </c>
      <c r="BJ53" s="443">
        <f t="shared" si="62"/>
        <v>0</v>
      </c>
      <c r="BK53" s="443">
        <f t="shared" si="62"/>
        <v>0</v>
      </c>
      <c r="BL53" s="443">
        <f t="shared" si="62"/>
        <v>0</v>
      </c>
      <c r="BM53" s="443">
        <f t="shared" si="62"/>
        <v>0</v>
      </c>
      <c r="BN53" s="443">
        <f t="shared" si="62"/>
        <v>0</v>
      </c>
      <c r="BO53" s="443">
        <f t="shared" si="62"/>
        <v>0</v>
      </c>
      <c r="BP53" s="443">
        <f t="shared" si="62"/>
        <v>0</v>
      </c>
      <c r="BQ53" s="443">
        <f t="shared" si="62"/>
        <v>0</v>
      </c>
      <c r="BR53" s="443">
        <f t="shared" ref="BR53:CW53" si="63">-MIN(BR48,0)</f>
        <v>0</v>
      </c>
      <c r="BS53" s="443">
        <f t="shared" si="63"/>
        <v>0</v>
      </c>
      <c r="BT53" s="443">
        <f t="shared" si="63"/>
        <v>0</v>
      </c>
      <c r="BU53" s="443">
        <f t="shared" si="63"/>
        <v>0</v>
      </c>
      <c r="BV53" s="443">
        <f t="shared" si="63"/>
        <v>0</v>
      </c>
      <c r="BW53" s="443">
        <f t="shared" si="63"/>
        <v>0</v>
      </c>
      <c r="BX53" s="443">
        <f t="shared" si="63"/>
        <v>0</v>
      </c>
      <c r="BY53" s="443">
        <f t="shared" si="63"/>
        <v>0</v>
      </c>
      <c r="BZ53" s="443">
        <f t="shared" si="63"/>
        <v>0</v>
      </c>
      <c r="CA53" s="443">
        <f t="shared" si="63"/>
        <v>0</v>
      </c>
      <c r="CB53" s="443">
        <f t="shared" si="63"/>
        <v>0</v>
      </c>
      <c r="CC53" s="443">
        <f t="shared" si="63"/>
        <v>0</v>
      </c>
      <c r="CD53" s="443">
        <f t="shared" si="63"/>
        <v>0</v>
      </c>
      <c r="CE53" s="443">
        <f t="shared" si="63"/>
        <v>0</v>
      </c>
      <c r="CF53" s="443">
        <f t="shared" si="63"/>
        <v>0</v>
      </c>
      <c r="CG53" s="443">
        <f t="shared" si="63"/>
        <v>0</v>
      </c>
      <c r="CH53" s="443">
        <f t="shared" si="63"/>
        <v>0</v>
      </c>
      <c r="CI53" s="443">
        <f t="shared" si="63"/>
        <v>0</v>
      </c>
      <c r="CJ53" s="443">
        <f t="shared" si="63"/>
        <v>0</v>
      </c>
      <c r="CK53" s="443">
        <f t="shared" si="63"/>
        <v>0</v>
      </c>
      <c r="CL53" s="443">
        <f t="shared" si="63"/>
        <v>0</v>
      </c>
      <c r="CM53" s="443">
        <f t="shared" si="63"/>
        <v>0</v>
      </c>
      <c r="CN53" s="443">
        <f t="shared" si="63"/>
        <v>0</v>
      </c>
      <c r="CO53" s="443">
        <f t="shared" si="63"/>
        <v>0</v>
      </c>
      <c r="CP53" s="443">
        <f t="shared" si="63"/>
        <v>0</v>
      </c>
      <c r="CQ53" s="443">
        <f t="shared" si="63"/>
        <v>0</v>
      </c>
      <c r="CR53" s="443">
        <f t="shared" si="63"/>
        <v>0</v>
      </c>
      <c r="CS53" s="443">
        <f t="shared" si="63"/>
        <v>0</v>
      </c>
      <c r="CT53" s="443">
        <f t="shared" si="63"/>
        <v>0</v>
      </c>
      <c r="CU53" s="443">
        <f t="shared" si="63"/>
        <v>0</v>
      </c>
      <c r="CV53" s="443">
        <f t="shared" si="63"/>
        <v>0</v>
      </c>
      <c r="CW53" s="443">
        <f t="shared" si="63"/>
        <v>0</v>
      </c>
      <c r="CX53" s="443">
        <f t="shared" ref="CX53:DU53" si="64">-MIN(CX48,0)</f>
        <v>0</v>
      </c>
      <c r="CY53" s="443">
        <f t="shared" si="64"/>
        <v>0</v>
      </c>
      <c r="CZ53" s="443">
        <f t="shared" si="64"/>
        <v>0</v>
      </c>
      <c r="DA53" s="443">
        <f t="shared" si="64"/>
        <v>0</v>
      </c>
      <c r="DB53" s="443">
        <f t="shared" si="64"/>
        <v>0</v>
      </c>
      <c r="DC53" s="443">
        <f t="shared" si="64"/>
        <v>0</v>
      </c>
      <c r="DD53" s="443">
        <f t="shared" si="64"/>
        <v>0</v>
      </c>
      <c r="DE53" s="443">
        <f t="shared" si="64"/>
        <v>0</v>
      </c>
      <c r="DF53" s="443">
        <f t="shared" si="64"/>
        <v>0</v>
      </c>
      <c r="DG53" s="443">
        <f t="shared" si="64"/>
        <v>0</v>
      </c>
      <c r="DH53" s="443">
        <f t="shared" si="64"/>
        <v>0</v>
      </c>
      <c r="DI53" s="443">
        <f t="shared" si="64"/>
        <v>0</v>
      </c>
      <c r="DJ53" s="443">
        <f t="shared" si="64"/>
        <v>0</v>
      </c>
      <c r="DK53" s="443">
        <f t="shared" si="64"/>
        <v>0</v>
      </c>
      <c r="DL53" s="443">
        <f t="shared" si="64"/>
        <v>0</v>
      </c>
      <c r="DM53" s="443">
        <f t="shared" si="64"/>
        <v>0</v>
      </c>
      <c r="DN53" s="443">
        <f t="shared" si="64"/>
        <v>0</v>
      </c>
      <c r="DO53" s="443">
        <f t="shared" si="64"/>
        <v>0</v>
      </c>
      <c r="DP53" s="443">
        <f t="shared" si="64"/>
        <v>0</v>
      </c>
      <c r="DQ53" s="443">
        <f t="shared" si="64"/>
        <v>0</v>
      </c>
      <c r="DR53" s="443">
        <f t="shared" si="64"/>
        <v>0</v>
      </c>
      <c r="DS53" s="443">
        <f t="shared" si="64"/>
        <v>0</v>
      </c>
      <c r="DT53" s="443">
        <f t="shared" si="64"/>
        <v>0</v>
      </c>
      <c r="DU53" s="443">
        <f t="shared" si="64"/>
        <v>0</v>
      </c>
    </row>
    <row r="54" spans="1:125" x14ac:dyDescent="0.25">
      <c r="A54" s="385" t="s">
        <v>406</v>
      </c>
      <c r="D54" s="387"/>
      <c r="F54" s="441">
        <f>IFERROR((F4=Inputs!$E$38)*'(Z+) Financing'!$H$40, 0)</f>
        <v>0</v>
      </c>
      <c r="G54" s="441">
        <f>IFERROR((G4=Inputs!$E$38)*'(Z+) Financing'!$H$40, 0)</f>
        <v>0</v>
      </c>
      <c r="H54" s="441">
        <f>IFERROR((H4=Inputs!$E$38)*'(Z+) Financing'!$H$40, 0)</f>
        <v>0</v>
      </c>
      <c r="I54" s="441">
        <f>IFERROR((I4=Inputs!$E$38)*'(Z+) Financing'!$H$40, 0)</f>
        <v>0</v>
      </c>
      <c r="J54" s="442">
        <f>IFERROR((J4=Inputs!$E$38)*'(Z+) Financing'!$H$40, 0)</f>
        <v>0</v>
      </c>
      <c r="K54" s="442">
        <f>IFERROR((K4=Inputs!$E$38)*'(Z+) Financing'!$H$40, 0)</f>
        <v>0</v>
      </c>
      <c r="L54" s="442">
        <f>IFERROR((L4=Inputs!$E$38)*'(Z+) Financing'!$H$40, 0)</f>
        <v>0</v>
      </c>
      <c r="M54" s="442">
        <f>IFERROR((M4=Inputs!$E$38)*'(Z+) Financing'!$H$40, 0)</f>
        <v>0</v>
      </c>
      <c r="N54" s="442">
        <f>IFERROR((N4=Inputs!$E$38)*'(Z+) Financing'!$H$40, 0)</f>
        <v>0</v>
      </c>
      <c r="O54" s="442">
        <f>IFERROR((O4=Inputs!$E$38)*'(Z+) Financing'!$H$40, 0)</f>
        <v>0</v>
      </c>
      <c r="P54" s="442">
        <f>IFERROR((P4=Inputs!$E$38)*'(Z+) Financing'!$H$40, 0)</f>
        <v>0</v>
      </c>
      <c r="Q54" s="442">
        <f>IFERROR((Q4=Inputs!$E$38)*'(Z+) Financing'!$H$40, 0)</f>
        <v>0</v>
      </c>
      <c r="R54" s="442">
        <f>IFERROR((R4=Inputs!$E$38)*'(Z+) Financing'!$H$40, 0)</f>
        <v>0</v>
      </c>
      <c r="S54" s="442">
        <f>IFERROR((S4=Inputs!$E$38)*'(Z+) Financing'!$H$40, 0)</f>
        <v>0</v>
      </c>
      <c r="T54" s="442">
        <f>IFERROR((T4=Inputs!$E$38)*'(Z+) Financing'!$H$40, 0)</f>
        <v>0</v>
      </c>
      <c r="U54" s="443">
        <f>IFERROR((U4=Inputs!$E$38)*'(Z+) Financing'!$H$40, 0)</f>
        <v>0</v>
      </c>
      <c r="V54" s="443">
        <f>IFERROR((V4=Inputs!$E$38)*'(Z+) Financing'!$H$40, 0)</f>
        <v>0</v>
      </c>
      <c r="W54" s="443">
        <f>IFERROR((W4=Inputs!$E$38)*'(Z+) Financing'!$H$40, 0)</f>
        <v>0</v>
      </c>
      <c r="X54" s="443">
        <f>IFERROR((X4=Inputs!$E$38)*'(Z+) Financing'!$H$40, 0)</f>
        <v>0</v>
      </c>
      <c r="Y54" s="443">
        <f>IFERROR((Y4=Inputs!$E$38)*'(Z+) Financing'!$H$40, 0)</f>
        <v>0</v>
      </c>
      <c r="Z54" s="443">
        <f>IFERROR((Z4=Inputs!$E$38)*'(Z+) Financing'!$H$40, 0)</f>
        <v>0</v>
      </c>
      <c r="AA54" s="443">
        <f>IFERROR((AA4=Inputs!$E$38)*'(Z+) Financing'!$H$40, 0)</f>
        <v>0</v>
      </c>
      <c r="AB54" s="443">
        <f>IFERROR((AB4=Inputs!$E$38)*'(Z+) Financing'!$H$40, 0)</f>
        <v>0</v>
      </c>
      <c r="AC54" s="443">
        <f>IFERROR((AC4=Inputs!$E$38)*'(Z+) Financing'!$H$40, 0)</f>
        <v>0</v>
      </c>
      <c r="AD54" s="443">
        <f>IFERROR((AD4=Inputs!$E$38)*'(Z+) Financing'!$H$40, 0)</f>
        <v>0</v>
      </c>
      <c r="AE54" s="443">
        <f>IFERROR((AE4=Inputs!$E$38)*'(Z+) Financing'!$H$40, 0)</f>
        <v>0</v>
      </c>
      <c r="AF54" s="443">
        <f>IFERROR((AF4=Inputs!$E$38)*'(Z+) Financing'!$H$40, 0)</f>
        <v>0</v>
      </c>
      <c r="AG54" s="443">
        <f>IFERROR((AG4=Inputs!$E$38)*'(Z+) Financing'!$H$40, 0)</f>
        <v>0</v>
      </c>
      <c r="AH54" s="443">
        <f>IFERROR((AH4=Inputs!$E$38)*'(Z+) Financing'!$H$40, 0)</f>
        <v>0</v>
      </c>
      <c r="AI54" s="443">
        <f>IFERROR((AI4=Inputs!$E$38)*'(Z+) Financing'!$H$40, 0)</f>
        <v>0</v>
      </c>
      <c r="AJ54" s="443">
        <f>IFERROR((AJ4=Inputs!$E$38)*'(Z+) Financing'!$H$40, 0)</f>
        <v>0</v>
      </c>
      <c r="AK54" s="443">
        <f>IFERROR((AK4=Inputs!$E$38)*'(Z+) Financing'!$H$40, 0)</f>
        <v>0</v>
      </c>
      <c r="AL54" s="443">
        <f>IFERROR((AL4=Inputs!$E$38)*'(Z+) Financing'!$H$40, 0)</f>
        <v>0</v>
      </c>
      <c r="AM54" s="443">
        <f>IFERROR((AM4=Inputs!$E$38)*'(Z+) Financing'!$H$40, 0)</f>
        <v>0</v>
      </c>
      <c r="AN54" s="443">
        <f>IFERROR((AN4=Inputs!$E$38)*'(Z+) Financing'!$H$40, 0)</f>
        <v>0</v>
      </c>
      <c r="AO54" s="443">
        <f>IFERROR((AO4=Inputs!$E$38)*'(Z+) Financing'!$H$40, 0)</f>
        <v>0</v>
      </c>
      <c r="AP54" s="443">
        <f>IFERROR((AP4=Inputs!$E$38)*'(Z+) Financing'!$H$40, 0)</f>
        <v>0</v>
      </c>
      <c r="AQ54" s="443">
        <f>IFERROR((AQ4=Inputs!$E$38)*'(Z+) Financing'!$H$40, 0)</f>
        <v>0</v>
      </c>
      <c r="AR54" s="443">
        <f>IFERROR((AR4=Inputs!$E$38)*'(Z+) Financing'!$H$40, 0)</f>
        <v>0</v>
      </c>
      <c r="AS54" s="443">
        <f>IFERROR((AS4=Inputs!$E$38)*'(Z+) Financing'!$H$40, 0)</f>
        <v>0</v>
      </c>
      <c r="AT54" s="443">
        <f>IFERROR((AT4=Inputs!$E$38)*'(Z+) Financing'!$H$40, 0)</f>
        <v>0</v>
      </c>
      <c r="AU54" s="443">
        <f>IFERROR((AU4=Inputs!$E$38)*'(Z+) Financing'!$H$40, 0)</f>
        <v>0</v>
      </c>
      <c r="AV54" s="443">
        <f>IFERROR((AV4=Inputs!$E$38)*'(Z+) Financing'!$H$40, 0)</f>
        <v>0</v>
      </c>
      <c r="AW54" s="443">
        <f>IFERROR((AW4=Inputs!$E$38)*'(Z+) Financing'!$H$40, 0)</f>
        <v>0</v>
      </c>
      <c r="AX54" s="443">
        <f>IFERROR((AX4=Inputs!$E$38)*'(Z+) Financing'!$H$40, 0)</f>
        <v>0</v>
      </c>
      <c r="AY54" s="443">
        <f>IFERROR((AY4=Inputs!$E$38)*'(Z+) Financing'!$H$40, 0)</f>
        <v>0</v>
      </c>
      <c r="AZ54" s="443">
        <f>IFERROR((AZ4=Inputs!$E$38)*'(Z+) Financing'!$H$40, 0)</f>
        <v>0</v>
      </c>
      <c r="BA54" s="443">
        <f>IFERROR((BA4=Inputs!$E$38)*'(Z+) Financing'!$H$40, 0)</f>
        <v>0</v>
      </c>
      <c r="BB54" s="443">
        <f>IFERROR((BB4=Inputs!$E$38)*'(Z+) Financing'!$H$40, 0)</f>
        <v>0</v>
      </c>
      <c r="BC54" s="443">
        <f>IFERROR((BC4=Inputs!$E$38)*'(Z+) Financing'!$H$40, 0)</f>
        <v>0</v>
      </c>
      <c r="BD54" s="443">
        <f>IFERROR((BD4=Inputs!$E$38)*'(Z+) Financing'!$H$40, 0)</f>
        <v>0</v>
      </c>
      <c r="BE54" s="443">
        <f>IFERROR((BE4=Inputs!$E$38)*'(Z+) Financing'!$H$40, 0)</f>
        <v>0</v>
      </c>
      <c r="BF54" s="443">
        <f>IFERROR((BF4=Inputs!$E$38)*'(Z+) Financing'!$H$40, 0)</f>
        <v>0</v>
      </c>
      <c r="BG54" s="443">
        <f>IFERROR((BG4=Inputs!$E$38)*'(Z+) Financing'!$H$40, 0)</f>
        <v>0</v>
      </c>
      <c r="BH54" s="443">
        <f>IFERROR((BH4=Inputs!$E$38)*'(Z+) Financing'!$H$40, 0)</f>
        <v>0</v>
      </c>
      <c r="BI54" s="443">
        <f>IFERROR((BI4=Inputs!$E$38)*'(Z+) Financing'!$H$40, 0)</f>
        <v>0</v>
      </c>
      <c r="BJ54" s="443">
        <f>IFERROR((BJ4=Inputs!$E$38)*'(Z+) Financing'!$H$40, 0)</f>
        <v>0</v>
      </c>
      <c r="BK54" s="443">
        <f>IFERROR((BK4=Inputs!$E$38)*'(Z+) Financing'!$H$40, 0)</f>
        <v>0</v>
      </c>
      <c r="BL54" s="443">
        <f>IFERROR((BL4=Inputs!$E$38)*'(Z+) Financing'!$H$40, 0)</f>
        <v>0</v>
      </c>
      <c r="BM54" s="443">
        <f>IFERROR((BM4=Inputs!$E$38)*'(Z+) Financing'!$H$40, 0)</f>
        <v>0</v>
      </c>
      <c r="BN54" s="443">
        <f>IFERROR((BN4=Inputs!$E$38)*'(Z+) Financing'!$H$40, 0)</f>
        <v>0</v>
      </c>
      <c r="BO54" s="443">
        <f>IFERROR((BO4=Inputs!$E$38)*'(Z+) Financing'!$H$40, 0)</f>
        <v>0</v>
      </c>
      <c r="BP54" s="443">
        <f>IFERROR((BP4=Inputs!$E$38)*'(Z+) Financing'!$H$40, 0)</f>
        <v>0</v>
      </c>
      <c r="BQ54" s="443">
        <f>IFERROR((BQ4=Inputs!$E$38)*'(Z+) Financing'!$H$40, 0)</f>
        <v>0</v>
      </c>
      <c r="BR54" s="443">
        <f>IFERROR((BR4=Inputs!$E$38)*'(Z+) Financing'!$H$40, 0)</f>
        <v>0</v>
      </c>
      <c r="BS54" s="443">
        <f>IFERROR((BS4=Inputs!$E$38)*'(Z+) Financing'!$H$40, 0)</f>
        <v>0</v>
      </c>
      <c r="BT54" s="443">
        <f>IFERROR((BT4=Inputs!$E$38)*'(Z+) Financing'!$H$40, 0)</f>
        <v>0</v>
      </c>
      <c r="BU54" s="443">
        <f>IFERROR((BU4=Inputs!$E$38)*'(Z+) Financing'!$H$40, 0)</f>
        <v>0</v>
      </c>
      <c r="BV54" s="443">
        <f>IFERROR((BV4=Inputs!$E$38)*'(Z+) Financing'!$H$40, 0)</f>
        <v>0</v>
      </c>
      <c r="BW54" s="443">
        <f>IFERROR((BW4=Inputs!$E$38)*'(Z+) Financing'!$H$40, 0)</f>
        <v>0</v>
      </c>
      <c r="BX54" s="443">
        <f>IFERROR((BX4=Inputs!$E$38)*'(Z+) Financing'!$H$40, 0)</f>
        <v>0</v>
      </c>
      <c r="BY54" s="443">
        <f>IFERROR((BY4=Inputs!$E$38)*'(Z+) Financing'!$H$40, 0)</f>
        <v>0</v>
      </c>
      <c r="BZ54" s="443">
        <f>IFERROR((BZ4=Inputs!$E$38)*'(Z+) Financing'!$H$40, 0)</f>
        <v>0</v>
      </c>
      <c r="CA54" s="443">
        <f>IFERROR((CA4=Inputs!$E$38)*'(Z+) Financing'!$H$40, 0)</f>
        <v>0</v>
      </c>
      <c r="CB54" s="443">
        <f>IFERROR((CB4=Inputs!$E$38)*'(Z+) Financing'!$H$40, 0)</f>
        <v>0</v>
      </c>
      <c r="CC54" s="443">
        <f>IFERROR((CC4=Inputs!$E$38)*'(Z+) Financing'!$H$40, 0)</f>
        <v>0</v>
      </c>
      <c r="CD54" s="443">
        <f>IFERROR((CD4=Inputs!$E$38)*'(Z+) Financing'!$H$40, 0)</f>
        <v>0</v>
      </c>
      <c r="CE54" s="443">
        <f>IFERROR((CE4=Inputs!$E$38)*'(Z+) Financing'!$H$40, 0)</f>
        <v>0</v>
      </c>
      <c r="CF54" s="443">
        <f>IFERROR((CF4=Inputs!$E$38)*'(Z+) Financing'!$H$40, 0)</f>
        <v>0</v>
      </c>
      <c r="CG54" s="443">
        <f>IFERROR((CG4=Inputs!$E$38)*'(Z+) Financing'!$H$40, 0)</f>
        <v>0</v>
      </c>
      <c r="CH54" s="443">
        <f>IFERROR((CH4=Inputs!$E$38)*'(Z+) Financing'!$H$40, 0)</f>
        <v>0</v>
      </c>
      <c r="CI54" s="443">
        <f>IFERROR((CI4=Inputs!$E$38)*'(Z+) Financing'!$H$40, 0)</f>
        <v>0</v>
      </c>
      <c r="CJ54" s="443">
        <f>IFERROR((CJ4=Inputs!$E$38)*'(Z+) Financing'!$H$40, 0)</f>
        <v>0</v>
      </c>
      <c r="CK54" s="443">
        <f>IFERROR((CK4=Inputs!$E$38)*'(Z+) Financing'!$H$40, 0)</f>
        <v>0</v>
      </c>
      <c r="CL54" s="443">
        <f>IFERROR((CL4=Inputs!$E$38)*'(Z+) Financing'!$H$40, 0)</f>
        <v>0</v>
      </c>
      <c r="CM54" s="443">
        <f>IFERROR((CM4=Inputs!$E$38)*'(Z+) Financing'!$H$40, 0)</f>
        <v>0</v>
      </c>
      <c r="CN54" s="443">
        <f>IFERROR((CN4=Inputs!$E$38)*'(Z+) Financing'!$H$40, 0)</f>
        <v>0</v>
      </c>
      <c r="CO54" s="443">
        <f>IFERROR((CO4=Inputs!$E$38)*'(Z+) Financing'!$H$40, 0)</f>
        <v>59724978.399865359</v>
      </c>
      <c r="CP54" s="443">
        <f>IFERROR((CP4=Inputs!$E$38)*'(Z+) Financing'!$H$40, 0)</f>
        <v>0</v>
      </c>
      <c r="CQ54" s="443">
        <f>IFERROR((CQ4=Inputs!$E$38)*'(Z+) Financing'!$H$40, 0)</f>
        <v>0</v>
      </c>
      <c r="CR54" s="443">
        <f>IFERROR((CR4=Inputs!$E$38)*'(Z+) Financing'!$H$40, 0)</f>
        <v>0</v>
      </c>
      <c r="CS54" s="443">
        <f>IFERROR((CS4=Inputs!$E$38)*'(Z+) Financing'!$H$40, 0)</f>
        <v>0</v>
      </c>
      <c r="CT54" s="443">
        <f>IFERROR((CT4=Inputs!$E$38)*'(Z+) Financing'!$H$40, 0)</f>
        <v>0</v>
      </c>
      <c r="CU54" s="443">
        <f>IFERROR((CU4=Inputs!$E$38)*'(Z+) Financing'!$H$40, 0)</f>
        <v>0</v>
      </c>
      <c r="CV54" s="443">
        <f>IFERROR((CV4=Inputs!$E$38)*'(Z+) Financing'!$H$40, 0)</f>
        <v>0</v>
      </c>
      <c r="CW54" s="443">
        <f>IFERROR((CW4=Inputs!$E$38)*'(Z+) Financing'!$H$40, 0)</f>
        <v>0</v>
      </c>
      <c r="CX54" s="443">
        <f>IFERROR((CX4=Inputs!$E$38)*'(Z+) Financing'!$H$40, 0)</f>
        <v>0</v>
      </c>
      <c r="CY54" s="443">
        <f>IFERROR((CY4=Inputs!$E$38)*'(Z+) Financing'!$H$40, 0)</f>
        <v>0</v>
      </c>
      <c r="CZ54" s="443">
        <f>IFERROR((CZ4=Inputs!$E$38)*'(Z+) Financing'!$H$40, 0)</f>
        <v>0</v>
      </c>
      <c r="DA54" s="443">
        <f>IFERROR((DA4=Inputs!$E$38)*'(Z+) Financing'!$H$40, 0)</f>
        <v>0</v>
      </c>
      <c r="DB54" s="443">
        <f>IFERROR((DB4=Inputs!$E$38)*'(Z+) Financing'!$H$40, 0)</f>
        <v>0</v>
      </c>
      <c r="DC54" s="443">
        <f>IFERROR((DC4=Inputs!$E$38)*'(Z+) Financing'!$H$40, 0)</f>
        <v>0</v>
      </c>
      <c r="DD54" s="443">
        <f>IFERROR((DD4=Inputs!$E$38)*'(Z+) Financing'!$H$40, 0)</f>
        <v>0</v>
      </c>
      <c r="DE54" s="443">
        <f>IFERROR((DE4=Inputs!$E$38)*'(Z+) Financing'!$H$40, 0)</f>
        <v>0</v>
      </c>
      <c r="DF54" s="443">
        <f>IFERROR((DF4=Inputs!$E$38)*'(Z+) Financing'!$H$40, 0)</f>
        <v>0</v>
      </c>
      <c r="DG54" s="443">
        <f>IFERROR((DG4=Inputs!$E$38)*'(Z+) Financing'!$H$40, 0)</f>
        <v>0</v>
      </c>
      <c r="DH54" s="443">
        <f>IFERROR((DH4=Inputs!$E$38)*'(Z+) Financing'!$H$40, 0)</f>
        <v>0</v>
      </c>
      <c r="DI54" s="443">
        <f>IFERROR((DI4=Inputs!$E$38)*'(Z+) Financing'!$H$40, 0)</f>
        <v>0</v>
      </c>
      <c r="DJ54" s="443">
        <f>IFERROR((DJ4=Inputs!$E$38)*'(Z+) Financing'!$H$40, 0)</f>
        <v>0</v>
      </c>
      <c r="DK54" s="443">
        <f>IFERROR((DK4=Inputs!$E$38)*'(Z+) Financing'!$H$40, 0)</f>
        <v>0</v>
      </c>
      <c r="DL54" s="443">
        <f>IFERROR((DL4=Inputs!$E$38)*'(Z+) Financing'!$H$40, 0)</f>
        <v>0</v>
      </c>
      <c r="DM54" s="443">
        <f>IFERROR((DM4=Inputs!$E$38)*'(Z+) Financing'!$H$40, 0)</f>
        <v>0</v>
      </c>
      <c r="DN54" s="443">
        <f>IFERROR((DN4=Inputs!$E$38)*'(Z+) Financing'!$H$40, 0)</f>
        <v>0</v>
      </c>
      <c r="DO54" s="443">
        <f>IFERROR((DO4=Inputs!$E$38)*'(Z+) Financing'!$H$40, 0)</f>
        <v>0</v>
      </c>
      <c r="DP54" s="443">
        <f>IFERROR((DP4=Inputs!$E$38)*'(Z+) Financing'!$H$40, 0)</f>
        <v>0</v>
      </c>
      <c r="DQ54" s="443">
        <f>IFERROR((DQ4=Inputs!$E$38)*'(Z+) Financing'!$H$40, 0)</f>
        <v>0</v>
      </c>
      <c r="DR54" s="443">
        <f>IFERROR((DR4=Inputs!$E$38)*'(Z+) Financing'!$H$40, 0)</f>
        <v>0</v>
      </c>
      <c r="DS54" s="443">
        <f>IFERROR((DS4=Inputs!$E$38)*'(Z+) Financing'!$H$40, 0)</f>
        <v>0</v>
      </c>
      <c r="DT54" s="443">
        <f>IFERROR((DT4=Inputs!$E$38)*'(Z+) Financing'!$H$40, 0)</f>
        <v>0</v>
      </c>
      <c r="DU54" s="443">
        <f>IFERROR((DU4=Inputs!$E$38)*'(Z+) Financing'!$H$40, 0)</f>
        <v>0</v>
      </c>
    </row>
    <row r="55" spans="1:125" x14ac:dyDescent="0.25">
      <c r="D55" s="387"/>
      <c r="F55" s="388"/>
      <c r="G55" s="388"/>
      <c r="H55" s="388"/>
      <c r="I55" s="388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90"/>
      <c r="V55" s="390"/>
      <c r="W55" s="390"/>
      <c r="X55" s="390"/>
      <c r="Y55" s="390"/>
      <c r="Z55" s="390"/>
      <c r="AA55" s="390"/>
      <c r="AB55" s="390"/>
      <c r="AC55" s="390"/>
      <c r="AD55" s="390"/>
      <c r="AE55" s="390"/>
      <c r="AF55" s="390"/>
      <c r="AG55" s="390"/>
      <c r="AH55" s="390"/>
      <c r="AI55" s="390"/>
      <c r="AJ55" s="390"/>
      <c r="AK55" s="390"/>
      <c r="AL55" s="390"/>
      <c r="AM55" s="390"/>
      <c r="AN55" s="390"/>
      <c r="AO55" s="390"/>
      <c r="AP55" s="390"/>
      <c r="AQ55" s="390"/>
      <c r="AR55" s="390"/>
      <c r="AS55" s="390"/>
      <c r="AT55" s="390"/>
      <c r="AU55" s="390"/>
      <c r="AV55" s="390"/>
      <c r="AW55" s="390"/>
      <c r="AX55" s="390"/>
      <c r="AY55" s="390"/>
      <c r="AZ55" s="390"/>
      <c r="BA55" s="390"/>
      <c r="BB55" s="390"/>
      <c r="BC55" s="390"/>
      <c r="BD55" s="390"/>
      <c r="BE55" s="390"/>
      <c r="BF55" s="390"/>
      <c r="BG55" s="390"/>
      <c r="BH55" s="390"/>
      <c r="BI55" s="390"/>
      <c r="BJ55" s="390"/>
      <c r="BK55" s="390"/>
      <c r="BL55" s="390"/>
      <c r="BM55" s="390"/>
      <c r="BN55" s="390"/>
      <c r="BO55" s="390"/>
      <c r="BP55" s="390"/>
      <c r="BQ55" s="390"/>
      <c r="BR55" s="390"/>
      <c r="BS55" s="390"/>
      <c r="BT55" s="390"/>
      <c r="BU55" s="390"/>
      <c r="BV55" s="390"/>
      <c r="BW55" s="390"/>
      <c r="BX55" s="390"/>
      <c r="BY55" s="390"/>
      <c r="BZ55" s="390"/>
      <c r="CA55" s="390"/>
      <c r="CB55" s="390"/>
      <c r="CC55" s="390"/>
      <c r="CD55" s="390"/>
      <c r="CE55" s="390"/>
      <c r="CF55" s="390"/>
      <c r="CG55" s="390"/>
      <c r="CH55" s="390"/>
      <c r="CI55" s="390"/>
      <c r="CJ55" s="390"/>
      <c r="CK55" s="390"/>
      <c r="CL55" s="390"/>
      <c r="CM55" s="390"/>
      <c r="CN55" s="390"/>
      <c r="CO55" s="390"/>
      <c r="CP55" s="390"/>
      <c r="CQ55" s="390"/>
      <c r="CR55" s="390"/>
      <c r="CS55" s="390"/>
      <c r="CT55" s="390"/>
      <c r="CU55" s="390"/>
      <c r="CV55" s="390"/>
      <c r="CW55" s="390"/>
      <c r="CX55" s="390"/>
      <c r="CY55" s="390"/>
      <c r="CZ55" s="390"/>
      <c r="DA55" s="390"/>
      <c r="DB55" s="390"/>
      <c r="DC55" s="390"/>
      <c r="DD55" s="390"/>
      <c r="DE55" s="390"/>
      <c r="DF55" s="390"/>
      <c r="DG55" s="390"/>
      <c r="DH55" s="390"/>
      <c r="DI55" s="390"/>
      <c r="DJ55" s="390"/>
      <c r="DK55" s="390"/>
      <c r="DL55" s="390"/>
      <c r="DM55" s="390"/>
      <c r="DN55" s="390"/>
      <c r="DO55" s="390"/>
      <c r="DP55" s="390"/>
      <c r="DQ55" s="390"/>
      <c r="DR55" s="390"/>
      <c r="DS55" s="390"/>
      <c r="DT55" s="390"/>
      <c r="DU55" s="390"/>
    </row>
    <row r="56" spans="1:125" x14ac:dyDescent="0.25">
      <c r="A56" s="427" t="s">
        <v>501</v>
      </c>
      <c r="B56" s="394"/>
      <c r="C56" s="394"/>
      <c r="D56" s="447">
        <f>IFERROR(SUM(F56:GB56),0)</f>
        <v>85939506.844418392</v>
      </c>
      <c r="E56" s="394"/>
      <c r="F56" s="432">
        <f>+IFERROR((F$4&lt;=Inputs!$E$38)*(F54+F48+F53),0)</f>
        <v>0</v>
      </c>
      <c r="G56" s="432">
        <f>+IFERROR((G$4&lt;=Inputs!$E$38)*(G54+G48+G53),0)</f>
        <v>0</v>
      </c>
      <c r="H56" s="432">
        <f>+IFERROR((H$4&lt;=Inputs!$E$38)*(H54+H48+H53),0)</f>
        <v>0</v>
      </c>
      <c r="I56" s="432">
        <f>+IFERROR((I$4&lt;=Inputs!$E$38)*(I54+I48+I53),0)</f>
        <v>0</v>
      </c>
      <c r="J56" s="433">
        <f>+IFERROR((J$4&lt;=Inputs!$E$38)*(J54+J48+J53),0)</f>
        <v>0</v>
      </c>
      <c r="K56" s="433">
        <f>+IFERROR((K$4&lt;=Inputs!$E$38)*(K54+K48+K53),0)</f>
        <v>0</v>
      </c>
      <c r="L56" s="433">
        <f>+IFERROR((L$4&lt;=Inputs!$E$38)*(L54+L48+L53),0)</f>
        <v>0</v>
      </c>
      <c r="M56" s="433">
        <f>+IFERROR((M$4&lt;=Inputs!$E$38)*(M54+M48+M53),0)</f>
        <v>0</v>
      </c>
      <c r="N56" s="433">
        <f>+IFERROR((N$4&lt;=Inputs!$E$38)*(N54+N48+N53),0)</f>
        <v>0</v>
      </c>
      <c r="O56" s="433">
        <f>+IFERROR((O$4&lt;=Inputs!$E$38)*(O54+O48+O53),0)</f>
        <v>0</v>
      </c>
      <c r="P56" s="433">
        <f>+IFERROR((P$4&lt;=Inputs!$E$38)*(P54+P48+P53),0)</f>
        <v>0</v>
      </c>
      <c r="Q56" s="433">
        <f>+IFERROR((Q$4&lt;=Inputs!$E$38)*(Q54+Q48+Q53),0)</f>
        <v>0</v>
      </c>
      <c r="R56" s="433">
        <f>+IFERROR((R$4&lt;=Inputs!$E$38)*(R54+R48+R53),0)</f>
        <v>0</v>
      </c>
      <c r="S56" s="433">
        <f>+IFERROR((S$4&lt;=Inputs!$E$38)*(S54+S48+S53),0)</f>
        <v>0</v>
      </c>
      <c r="T56" s="433">
        <f>+IFERROR((T$4&lt;=Inputs!$E$38)*(T54+T48+T53),0)</f>
        <v>0</v>
      </c>
      <c r="U56" s="434">
        <f>+IFERROR((U$4&lt;=Inputs!$E$38)*(U54+U48+U53),0)</f>
        <v>0</v>
      </c>
      <c r="V56" s="434">
        <f>+IFERROR((V$4&lt;=Inputs!$E$38)*(V54+V48+V53),0)</f>
        <v>0</v>
      </c>
      <c r="W56" s="434">
        <f>+IFERROR((W$4&lt;=Inputs!$E$38)*(W54+W48+W53),0)</f>
        <v>0</v>
      </c>
      <c r="X56" s="434">
        <f>+IFERROR((X$4&lt;=Inputs!$E$38)*(X54+X48+X53),0)</f>
        <v>0</v>
      </c>
      <c r="Y56" s="434">
        <f>+IFERROR((Y$4&lt;=Inputs!$E$38)*(Y54+Y48+Y53),0)</f>
        <v>0</v>
      </c>
      <c r="Z56" s="434">
        <f>+IFERROR((Z$4&lt;=Inputs!$E$38)*(Z54+Z48+Z53),0)</f>
        <v>0</v>
      </c>
      <c r="AA56" s="434">
        <f>+IFERROR((AA$4&lt;=Inputs!$E$38)*(AA54+AA48+AA53),0)</f>
        <v>0</v>
      </c>
      <c r="AB56" s="434">
        <f>+IFERROR((AB$4&lt;=Inputs!$E$38)*(AB54+AB48+AB53),0)</f>
        <v>11488.036376705844</v>
      </c>
      <c r="AC56" s="434">
        <f>+IFERROR((AC$4&lt;=Inputs!$E$38)*(AC54+AC48+AC53),0)</f>
        <v>66288.00361473723</v>
      </c>
      <c r="AD56" s="434">
        <f>+IFERROR((AD$4&lt;=Inputs!$E$38)*(AD54+AD48+AD53),0)</f>
        <v>121312.40495690583</v>
      </c>
      <c r="AE56" s="434">
        <f>+IFERROR((AE$4&lt;=Inputs!$E$38)*(AE54+AE48+AE53),0)</f>
        <v>176561.92918427248</v>
      </c>
      <c r="AF56" s="434">
        <f>+IFERROR((AF$4&lt;=Inputs!$E$38)*(AF54+AF48+AF53),0)</f>
        <v>228360.61628231517</v>
      </c>
      <c r="AG56" s="434">
        <f>+IFERROR((AG$4&lt;=Inputs!$E$38)*(AG54+AG48+AG53),0)</f>
        <v>287739.11080755387</v>
      </c>
      <c r="AH56" s="434">
        <f>+IFERROR((AH$4&lt;=Inputs!$E$38)*(AH54+AH48+AH53),0)</f>
        <v>343668.155168675</v>
      </c>
      <c r="AI56" s="434">
        <f>+IFERROR((AI$4&lt;=Inputs!$E$38)*(AI54+AI48+AI53),0)</f>
        <v>399825.09635501652</v>
      </c>
      <c r="AJ56" s="434">
        <f>+IFERROR((AJ$4&lt;=Inputs!$E$38)*(AJ54+AJ48+AJ53),0)</f>
        <v>400607.62879145867</v>
      </c>
      <c r="AK56" s="434">
        <f>+IFERROR((AK$4&lt;=Inputs!$E$38)*(AK54+AK48+AK53),0)</f>
        <v>401391.6740370671</v>
      </c>
      <c r="AL56" s="434">
        <f>+IFERROR((AL$4&lt;=Inputs!$E$38)*(AL54+AL48+AL53),0)</f>
        <v>402177.23496879189</v>
      </c>
      <c r="AM56" s="434">
        <f>+IFERROR((AM$4&lt;=Inputs!$E$38)*(AM54+AM48+AM53),0)</f>
        <v>402964.31446893187</v>
      </c>
      <c r="AN56" s="434">
        <f>+IFERROR((AN$4&lt;=Inputs!$E$38)*(AN54+AN48+AN53),0)</f>
        <v>403752.91542514367</v>
      </c>
      <c r="AO56" s="434">
        <f>+IFERROR((AO$4&lt;=Inputs!$E$38)*(AO54+AO48+AO53),0)</f>
        <v>404543.04073045193</v>
      </c>
      <c r="AP56" s="434">
        <f>+IFERROR((AP$4&lt;=Inputs!$E$38)*(AP54+AP48+AP53),0)</f>
        <v>405334.69328325952</v>
      </c>
      <c r="AQ56" s="434">
        <f>+IFERROR((AQ$4&lt;=Inputs!$E$38)*(AQ54+AQ48+AQ53),0)</f>
        <v>406127.87598735536</v>
      </c>
      <c r="AR56" s="434">
        <f>+IFERROR((AR$4&lt;=Inputs!$E$38)*(AR54+AR48+AR53),0)</f>
        <v>406922.59175192635</v>
      </c>
      <c r="AS56" s="434">
        <f>+IFERROR((AS$4&lt;=Inputs!$E$38)*(AS54+AS48+AS53),0)</f>
        <v>407718.84349156515</v>
      </c>
      <c r="AT56" s="434">
        <f>+IFERROR((AT$4&lt;=Inputs!$E$38)*(AT54+AT48+AT53),0)</f>
        <v>408516.63412628137</v>
      </c>
      <c r="AU56" s="434">
        <f>+IFERROR((AU$4&lt;=Inputs!$E$38)*(AU54+AU48+AU53),0)</f>
        <v>409315.96658151026</v>
      </c>
      <c r="AV56" s="434">
        <f>+IFERROR((AV$4&lt;=Inputs!$E$38)*(AV54+AV48+AV53),0)</f>
        <v>410116.84378812299</v>
      </c>
      <c r="AW56" s="434">
        <f>+IFERROR((AW$4&lt;=Inputs!$E$38)*(AW54+AW48+AW53),0)</f>
        <v>410919.26868243667</v>
      </c>
      <c r="AX56" s="434">
        <f>+IFERROR((AX$4&lt;=Inputs!$E$38)*(AX54+AX48+AX53),0)</f>
        <v>411723.2442062234</v>
      </c>
      <c r="AY56" s="434">
        <f>+IFERROR((AY$4&lt;=Inputs!$E$38)*(AY54+AY48+AY53),0)</f>
        <v>412528.77330672031</v>
      </c>
      <c r="AZ56" s="434">
        <f>+IFERROR((AZ$4&lt;=Inputs!$E$38)*(AZ54+AZ48+AZ53),0)</f>
        <v>413335.8589366402</v>
      </c>
      <c r="BA56" s="434">
        <f>+IFERROR((BA$4&lt;=Inputs!$E$38)*(BA54+BA48+BA53),0)</f>
        <v>414144.50405417982</v>
      </c>
      <c r="BB56" s="434">
        <f>+IFERROR((BB$4&lt;=Inputs!$E$38)*(BB54+BB48+BB53),0)</f>
        <v>414954.71162303176</v>
      </c>
      <c r="BC56" s="434">
        <f>+IFERROR((BC$4&lt;=Inputs!$E$38)*(BC54+BC48+BC53),0)</f>
        <v>415766.48461239203</v>
      </c>
      <c r="BD56" s="434">
        <f>+IFERROR((BD$4&lt;=Inputs!$E$38)*(BD54+BD48+BD53),0)</f>
        <v>416579.82599697186</v>
      </c>
      <c r="BE56" s="434">
        <f>+IFERROR((BE$4&lt;=Inputs!$E$38)*(BE54+BE48+BE53),0)</f>
        <v>417394.73875700659</v>
      </c>
      <c r="BF56" s="434">
        <f>+IFERROR((BF$4&lt;=Inputs!$E$38)*(BF54+BF48+BF53),0)</f>
        <v>418211.22587826615</v>
      </c>
      <c r="BG56" s="434">
        <f>+IFERROR((BG$4&lt;=Inputs!$E$38)*(BG54+BG48+BG53),0)</f>
        <v>419029.29035206407</v>
      </c>
      <c r="BH56" s="434">
        <f>+IFERROR((BH$4&lt;=Inputs!$E$38)*(BH54+BH48+BH53),0)</f>
        <v>419848.93517526868</v>
      </c>
      <c r="BI56" s="434">
        <f>+IFERROR((BI$4&lt;=Inputs!$E$38)*(BI54+BI48+BI53),0)</f>
        <v>420670.16335031216</v>
      </c>
      <c r="BJ56" s="434">
        <f>+IFERROR((BJ$4&lt;=Inputs!$E$38)*(BJ54+BJ48+BJ53),0)</f>
        <v>421492.97788520099</v>
      </c>
      <c r="BK56" s="434">
        <f>+IFERROR((BK$4&lt;=Inputs!$E$38)*(BK54+BK48+BK53),0)</f>
        <v>422317.38179352594</v>
      </c>
      <c r="BL56" s="434">
        <f>+IFERROR((BL$4&lt;=Inputs!$E$38)*(BL54+BL48+BL53),0)</f>
        <v>423143.37809447164</v>
      </c>
      <c r="BM56" s="434">
        <f>+IFERROR((BM$4&lt;=Inputs!$E$38)*(BM54+BM48+BM53),0)</f>
        <v>423970.96981282718</v>
      </c>
      <c r="BN56" s="434">
        <f>+IFERROR((BN$4&lt;=Inputs!$E$38)*(BN54+BN48+BN53),0)</f>
        <v>424800.1599789958</v>
      </c>
      <c r="BO56" s="434">
        <f>+IFERROR((BO$4&lt;=Inputs!$E$38)*(BO54+BO48+BO53),0)</f>
        <v>425630.95162900561</v>
      </c>
      <c r="BP56" s="434">
        <f>+IFERROR((BP$4&lt;=Inputs!$E$38)*(BP54+BP48+BP53),0)</f>
        <v>426463.34780451836</v>
      </c>
      <c r="BQ56" s="434">
        <f>+IFERROR((BQ$4&lt;=Inputs!$E$38)*(BQ54+BQ48+BQ53),0)</f>
        <v>427297.35155284114</v>
      </c>
      <c r="BR56" s="434">
        <f>+IFERROR((BR$4&lt;=Inputs!$E$38)*(BR54+BR48+BR53),0)</f>
        <v>428132.9659269352</v>
      </c>
      <c r="BS56" s="434">
        <f>+IFERROR((BS$4&lt;=Inputs!$E$38)*(BS54+BS48+BS53),0)</f>
        <v>428970.19398542691</v>
      </c>
      <c r="BT56" s="434">
        <f>+IFERROR((BT$4&lt;=Inputs!$E$38)*(BT54+BT48+BT53),0)</f>
        <v>429809.03879261774</v>
      </c>
      <c r="BU56" s="434">
        <f>+IFERROR((BU$4&lt;=Inputs!$E$38)*(BU54+BU48+BU53),0)</f>
        <v>430649.50341849425</v>
      </c>
      <c r="BV56" s="434">
        <f>+IFERROR((BV$4&lt;=Inputs!$E$38)*(BV54+BV48+BV53),0)</f>
        <v>431491.59093873808</v>
      </c>
      <c r="BW56" s="434">
        <f>+IFERROR((BW$4&lt;=Inputs!$E$38)*(BW54+BW48+BW53),0)</f>
        <v>432335.30443473731</v>
      </c>
      <c r="BX56" s="434">
        <f>+IFERROR((BX$4&lt;=Inputs!$E$38)*(BX54+BX48+BX53),0)</f>
        <v>433180.64699359483</v>
      </c>
      <c r="BY56" s="434">
        <f>+IFERROR((BY$4&lt;=Inputs!$E$38)*(BY54+BY48+BY53),0)</f>
        <v>434027.62170814048</v>
      </c>
      <c r="BZ56" s="434">
        <f>+IFERROR((BZ$4&lt;=Inputs!$E$38)*(BZ54+BZ48+BZ53),0)</f>
        <v>434876.23167693976</v>
      </c>
      <c r="CA56" s="434">
        <f>+IFERROR((CA$4&lt;=Inputs!$E$38)*(CA54+CA48+CA53),0)</f>
        <v>435726.48000430549</v>
      </c>
      <c r="CB56" s="434">
        <f>+IFERROR((CB$4&lt;=Inputs!$E$38)*(CB54+CB48+CB53),0)</f>
        <v>436578.36980030697</v>
      </c>
      <c r="CC56" s="434">
        <f>+IFERROR((CC$4&lt;=Inputs!$E$38)*(CC54+CC48+CC53),0)</f>
        <v>437431.90418078081</v>
      </c>
      <c r="CD56" s="434">
        <f>+IFERROR((CD$4&lt;=Inputs!$E$38)*(CD54+CD48+CD53),0)</f>
        <v>438287.08626734134</v>
      </c>
      <c r="CE56" s="434">
        <f>+IFERROR((CE$4&lt;=Inputs!$E$38)*(CE54+CE48+CE53),0)</f>
        <v>439143.91918739083</v>
      </c>
      <c r="CF56" s="434">
        <f>+IFERROR((CF$4&lt;=Inputs!$E$38)*(CF54+CF48+CF53),0)</f>
        <v>440002.40607412986</v>
      </c>
      <c r="CG56" s="434">
        <f>+IFERROR((CG$4&lt;=Inputs!$E$38)*(CG54+CG48+CG53),0)</f>
        <v>440862.55006656772</v>
      </c>
      <c r="CH56" s="434">
        <f>+IFERROR((CH$4&lt;=Inputs!$E$38)*(CH54+CH48+CH53),0)</f>
        <v>441724.35430953291</v>
      </c>
      <c r="CI56" s="434">
        <f>+IFERROR((CI$4&lt;=Inputs!$E$38)*(CI54+CI48+CI53),0)</f>
        <v>442587.82195368351</v>
      </c>
      <c r="CJ56" s="434">
        <f>+IFERROR((CJ$4&lt;=Inputs!$E$38)*(CJ54+CJ48+CJ53),0)</f>
        <v>443452.95615551702</v>
      </c>
      <c r="CK56" s="434">
        <f>+IFERROR((CK$4&lt;=Inputs!$E$38)*(CK54+CK48+CK53),0)</f>
        <v>444319.76007738221</v>
      </c>
      <c r="CL56" s="434">
        <f>+IFERROR((CL$4&lt;=Inputs!$E$38)*(CL54+CL48+CL53),0)</f>
        <v>445188.23688748846</v>
      </c>
      <c r="CM56" s="434">
        <f>+IFERROR((CM$4&lt;=Inputs!$E$38)*(CM54+CM48+CM53),0)</f>
        <v>446058.38975991646</v>
      </c>
      <c r="CN56" s="434">
        <f>+IFERROR((CN$4&lt;=Inputs!$E$38)*(CN54+CN48+CN53),0)</f>
        <v>446930.22187462886</v>
      </c>
      <c r="CO56" s="434">
        <f>+IFERROR((CO$4&lt;=Inputs!$E$38)*(CO54+CO48+CO53),0)</f>
        <v>60172782.136282839</v>
      </c>
      <c r="CP56" s="434">
        <f>+IFERROR((CP$4&lt;=Inputs!$E$38)*(CP54+CP48+CP53),0)</f>
        <v>0</v>
      </c>
      <c r="CQ56" s="434">
        <f>+IFERROR((CQ$4&lt;=Inputs!$E$38)*(CQ54+CQ48+CQ53),0)</f>
        <v>0</v>
      </c>
      <c r="CR56" s="434">
        <f>+IFERROR((CR$4&lt;=Inputs!$E$38)*(CR54+CR48+CR53),0)</f>
        <v>0</v>
      </c>
      <c r="CS56" s="434">
        <f>+IFERROR((CS$4&lt;=Inputs!$E$38)*(CS54+CS48+CS53),0)</f>
        <v>0</v>
      </c>
      <c r="CT56" s="434">
        <f>+IFERROR((CT$4&lt;=Inputs!$E$38)*(CT54+CT48+CT53),0)</f>
        <v>0</v>
      </c>
      <c r="CU56" s="434">
        <f>+IFERROR((CU$4&lt;=Inputs!$E$38)*(CU54+CU48+CU53),0)</f>
        <v>0</v>
      </c>
      <c r="CV56" s="434">
        <f>+IFERROR((CV$4&lt;=Inputs!$E$38)*(CV54+CV48+CV53),0)</f>
        <v>0</v>
      </c>
      <c r="CW56" s="434">
        <f>+IFERROR((CW$4&lt;=Inputs!$E$38)*(CW54+CW48+CW53),0)</f>
        <v>0</v>
      </c>
      <c r="CX56" s="434">
        <f>+IFERROR((CX$4&lt;=Inputs!$E$38)*(CX54+CX48+CX53),0)</f>
        <v>0</v>
      </c>
      <c r="CY56" s="434">
        <f>+IFERROR((CY$4&lt;=Inputs!$E$38)*(CY54+CY48+CY53),0)</f>
        <v>0</v>
      </c>
      <c r="CZ56" s="434">
        <f>+IFERROR((CZ$4&lt;=Inputs!$E$38)*(CZ54+CZ48+CZ53),0)</f>
        <v>0</v>
      </c>
      <c r="DA56" s="434">
        <f>+IFERROR((DA$4&lt;=Inputs!$E$38)*(DA54+DA48+DA53),0)</f>
        <v>0</v>
      </c>
      <c r="DB56" s="434">
        <f>+IFERROR((DB$4&lt;=Inputs!$E$38)*(DB54+DB48+DB53),0)</f>
        <v>0</v>
      </c>
      <c r="DC56" s="434">
        <f>+IFERROR((DC$4&lt;=Inputs!$E$38)*(DC54+DC48+DC53),0)</f>
        <v>0</v>
      </c>
      <c r="DD56" s="434">
        <f>+IFERROR((DD$4&lt;=Inputs!$E$38)*(DD54+DD48+DD53),0)</f>
        <v>0</v>
      </c>
      <c r="DE56" s="434">
        <f>+IFERROR((DE$4&lt;=Inputs!$E$38)*(DE54+DE48+DE53),0)</f>
        <v>0</v>
      </c>
      <c r="DF56" s="434">
        <f>+IFERROR((DF$4&lt;=Inputs!$E$38)*(DF54+DF48+DF53),0)</f>
        <v>0</v>
      </c>
      <c r="DG56" s="434">
        <f>+IFERROR((DG$4&lt;=Inputs!$E$38)*(DG54+DG48+DG53),0)</f>
        <v>0</v>
      </c>
      <c r="DH56" s="434">
        <f>+IFERROR((DH$4&lt;=Inputs!$E$38)*(DH54+DH48+DH53),0)</f>
        <v>0</v>
      </c>
      <c r="DI56" s="434">
        <f>+IFERROR((DI$4&lt;=Inputs!$E$38)*(DI54+DI48+DI53),0)</f>
        <v>0</v>
      </c>
      <c r="DJ56" s="434">
        <f>+IFERROR((DJ$4&lt;=Inputs!$E$38)*(DJ54+DJ48+DJ53),0)</f>
        <v>0</v>
      </c>
      <c r="DK56" s="434">
        <f>+IFERROR((DK$4&lt;=Inputs!$E$38)*(DK54+DK48+DK53),0)</f>
        <v>0</v>
      </c>
      <c r="DL56" s="434">
        <f>+IFERROR((DL$4&lt;=Inputs!$E$38)*(DL54+DL48+DL53),0)</f>
        <v>0</v>
      </c>
      <c r="DM56" s="434">
        <f>+IFERROR((DM$4&lt;=Inputs!$E$38)*(DM54+DM48+DM53),0)</f>
        <v>0</v>
      </c>
      <c r="DN56" s="434">
        <f>+IFERROR((DN$4&lt;=Inputs!$E$38)*(DN54+DN48+DN53),0)</f>
        <v>0</v>
      </c>
      <c r="DO56" s="434">
        <f>+IFERROR((DO$4&lt;=Inputs!$E$38)*(DO54+DO48+DO53),0)</f>
        <v>0</v>
      </c>
      <c r="DP56" s="434">
        <f>+IFERROR((DP$4&lt;=Inputs!$E$38)*(DP54+DP48+DP53),0)</f>
        <v>0</v>
      </c>
      <c r="DQ56" s="434">
        <f>+IFERROR((DQ$4&lt;=Inputs!$E$38)*(DQ54+DQ48+DQ53),0)</f>
        <v>0</v>
      </c>
      <c r="DR56" s="434">
        <f>+IFERROR((DR$4&lt;=Inputs!$E$38)*(DR54+DR48+DR53),0)</f>
        <v>0</v>
      </c>
      <c r="DS56" s="434">
        <f>+IFERROR((DS$4&lt;=Inputs!$E$38)*(DS54+DS48+DS53),0)</f>
        <v>0</v>
      </c>
      <c r="DT56" s="434">
        <f>+IFERROR((DT$4&lt;=Inputs!$E$38)*(DT54+DT48+DT53),0)</f>
        <v>0</v>
      </c>
      <c r="DU56" s="434">
        <f>+IFERROR((DU$4&lt;=Inputs!$E$38)*(DU54+DU48+DU53),0)</f>
        <v>0</v>
      </c>
    </row>
    <row r="57" spans="1:125" ht="15.75" customHeight="1" x14ac:dyDescent="0.25">
      <c r="A57" s="418"/>
      <c r="B57" s="112"/>
      <c r="C57" s="112"/>
      <c r="D57" s="419"/>
      <c r="E57" s="112"/>
      <c r="F57" s="420"/>
      <c r="G57" s="420"/>
      <c r="H57" s="420"/>
      <c r="I57" s="420"/>
      <c r="J57" s="421"/>
      <c r="K57" s="421"/>
      <c r="L57" s="421"/>
      <c r="M57" s="421"/>
      <c r="N57" s="421"/>
      <c r="O57" s="421"/>
      <c r="P57" s="421"/>
      <c r="Q57" s="421"/>
      <c r="R57" s="421"/>
      <c r="S57" s="421"/>
      <c r="T57" s="421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422"/>
      <c r="AG57" s="422"/>
      <c r="AH57" s="422"/>
      <c r="AI57" s="422"/>
      <c r="AJ57" s="422"/>
      <c r="AK57" s="422"/>
      <c r="AL57" s="422"/>
      <c r="AM57" s="422"/>
      <c r="AN57" s="422"/>
      <c r="AO57" s="422"/>
      <c r="AP57" s="422"/>
      <c r="AQ57" s="422"/>
      <c r="AR57" s="422"/>
      <c r="AS57" s="422"/>
      <c r="AT57" s="422"/>
      <c r="AU57" s="422"/>
      <c r="AV57" s="422"/>
      <c r="AW57" s="422"/>
      <c r="AX57" s="422"/>
      <c r="AY57" s="422"/>
      <c r="AZ57" s="422"/>
      <c r="BA57" s="422"/>
      <c r="BB57" s="422"/>
      <c r="BC57" s="422"/>
      <c r="BD57" s="422"/>
      <c r="BE57" s="422"/>
      <c r="BF57" s="422"/>
      <c r="BG57" s="422"/>
      <c r="BH57" s="422"/>
      <c r="BI57" s="422"/>
      <c r="BJ57" s="422"/>
      <c r="BK57" s="422"/>
      <c r="BL57" s="422"/>
      <c r="BM57" s="422"/>
      <c r="BN57" s="422"/>
      <c r="BO57" s="422"/>
      <c r="BP57" s="422"/>
      <c r="BQ57" s="422"/>
      <c r="BR57" s="422"/>
      <c r="BS57" s="422"/>
      <c r="BT57" s="422"/>
      <c r="BU57" s="422"/>
      <c r="BV57" s="422"/>
      <c r="BW57" s="422"/>
      <c r="BX57" s="422"/>
      <c r="BY57" s="422"/>
      <c r="BZ57" s="422"/>
      <c r="CA57" s="422"/>
      <c r="CB57" s="422"/>
      <c r="CC57" s="422"/>
      <c r="CD57" s="422"/>
      <c r="CE57" s="422"/>
      <c r="CF57" s="422"/>
      <c r="CG57" s="422"/>
      <c r="CH57" s="422"/>
      <c r="CI57" s="422"/>
      <c r="CJ57" s="422"/>
      <c r="CK57" s="422"/>
      <c r="CL57" s="422"/>
      <c r="CM57" s="422"/>
      <c r="CN57" s="422"/>
      <c r="CO57" s="422"/>
      <c r="CP57" s="422"/>
      <c r="CQ57" s="422"/>
      <c r="CR57" s="422"/>
      <c r="CS57" s="422"/>
      <c r="CT57" s="422"/>
      <c r="CU57" s="422"/>
      <c r="CV57" s="422"/>
      <c r="CW57" s="422"/>
      <c r="CX57" s="422"/>
      <c r="CY57" s="422"/>
      <c r="CZ57" s="422"/>
      <c r="DA57" s="422"/>
      <c r="DB57" s="422"/>
      <c r="DC57" s="422"/>
      <c r="DD57" s="422"/>
      <c r="DE57" s="422"/>
      <c r="DF57" s="422"/>
      <c r="DG57" s="422"/>
      <c r="DH57" s="422"/>
      <c r="DI57" s="422"/>
      <c r="DJ57" s="422"/>
      <c r="DK57" s="422"/>
      <c r="DL57" s="422"/>
      <c r="DM57" s="422"/>
      <c r="DN57" s="422"/>
      <c r="DO57" s="422"/>
      <c r="DP57" s="422"/>
      <c r="DQ57" s="422"/>
      <c r="DR57" s="422"/>
      <c r="DS57" s="422"/>
      <c r="DT57" s="422"/>
      <c r="DU57" s="422"/>
    </row>
    <row r="58" spans="1:125" ht="15.75" customHeight="1" x14ac:dyDescent="0.25">
      <c r="A58" s="385" t="s">
        <v>502</v>
      </c>
      <c r="D58" s="448">
        <f>IFERROR(SUM(F58:CM58),0)</f>
        <v>1</v>
      </c>
      <c r="F58" s="449">
        <f>IFERROR(IF(AND(F$4&gt;Construction_Start_Date,F$4&lt;=Inputs!$E$27),(NORMDIST(F$5-Inputs!$D$25,Inputs!$E$26/2,'(Z+) Dev Budget'!$D$80,TRUE())- NORMDIST(F$5-Inputs!$D$25-1,Inputs!$E$26/2,'(Z+) Dev Budget'!$D$80,TRUE()))/(1-2* NORMDIST(0,Inputs!$E$26/2,'(Z+) Dev Budget'!$D$80,TRUE())),0),0)</f>
        <v>0</v>
      </c>
      <c r="G58" s="449">
        <f>IFERROR(IF(AND(G$4&gt;Construction_Start_Date,G$4&lt;=Inputs!$E$27),(NORMDIST(G$5-Inputs!$D$25,Inputs!$E$26/2,'(Z+) Dev Budget'!$D$80,TRUE())- NORMDIST(G$5-Inputs!$D$25-1,Inputs!$E$26/2,'(Z+) Dev Budget'!$D$80,TRUE()))/(1-2* NORMDIST(0,Inputs!$E$26/2,'(Z+) Dev Budget'!$D$80,TRUE())),0),0)</f>
        <v>0</v>
      </c>
      <c r="H58" s="449">
        <f>IFERROR(IF(AND(H$4&gt;Construction_Start_Date,H$4&lt;=Inputs!$E$27),(NORMDIST(H$5-Inputs!$D$25,Inputs!$E$26/2,'(Z+) Dev Budget'!$D$80,TRUE())- NORMDIST(H$5-Inputs!$D$25-1,Inputs!$E$26/2,'(Z+) Dev Budget'!$D$80,TRUE()))/(1-2* NORMDIST(0,Inputs!$E$26/2,'(Z+) Dev Budget'!$D$80,TRUE())),0),0)</f>
        <v>0</v>
      </c>
      <c r="I58" s="449">
        <f>IFERROR(IF(AND(I$4&gt;Construction_Start_Date,I$4&lt;=Inputs!$E$27),(NORMDIST(I$5-Inputs!$D$25,Inputs!$E$26/2,'(Z+) Dev Budget'!$D$80,TRUE())- NORMDIST(I$5-Inputs!$D$25-1,Inputs!$E$26/2,'(Z+) Dev Budget'!$D$80,TRUE()))/(1-2* NORMDIST(0,Inputs!$E$26/2,'(Z+) Dev Budget'!$D$80,TRUE())),0),0)</f>
        <v>0</v>
      </c>
      <c r="J58" s="450">
        <f>IFERROR(IF(AND(J$4&gt;Construction_Start_Date,J$4&lt;=Inputs!$E$27),(NORMDIST(J$5-Inputs!$D$25,Inputs!$E$26/2,'(Z+) Dev Budget'!$D$80,TRUE())- NORMDIST(J$5-Inputs!$D$25-1,Inputs!$E$26/2,'(Z+) Dev Budget'!$D$80,TRUE()))/(1-2* NORMDIST(0,Inputs!$E$26/2,'(Z+) Dev Budget'!$D$80,TRUE())),0),0)</f>
        <v>0</v>
      </c>
      <c r="K58" s="450">
        <f>IFERROR(IF(AND(K$4&gt;Construction_Start_Date,K$4&lt;=Inputs!$E$27),(NORMDIST(K$5-Inputs!$D$25,Inputs!$E$26/2,'(Z+) Dev Budget'!$D$80,TRUE())- NORMDIST(K$5-Inputs!$D$25-1,Inputs!$E$26/2,'(Z+) Dev Budget'!$D$80,TRUE()))/(1-2* NORMDIST(0,Inputs!$E$26/2,'(Z+) Dev Budget'!$D$80,TRUE())),0),0)</f>
        <v>0</v>
      </c>
      <c r="L58" s="450">
        <f>IFERROR(IF(AND(L$4&gt;Construction_Start_Date,L$4&lt;=Inputs!$E$27),(NORMDIST(L$5-Inputs!$D$25,Inputs!$E$26/2,'(Z+) Dev Budget'!$D$80,TRUE())- NORMDIST(L$5-Inputs!$D$25-1,Inputs!$E$26/2,'(Z+) Dev Budget'!$D$80,TRUE()))/(1-2* NORMDIST(0,Inputs!$E$26/2,'(Z+) Dev Budget'!$D$80,TRUE())),0),0)</f>
        <v>0</v>
      </c>
      <c r="M58" s="450">
        <f>IFERROR(IF(AND(M$4&gt;Construction_Start_Date,M$4&lt;=Inputs!$E$27),(NORMDIST(M$5-Inputs!$D$25,Inputs!$E$26/2,'(Z+) Dev Budget'!$D$80,TRUE())- NORMDIST(M$5-Inputs!$D$25-1,Inputs!$E$26/2,'(Z+) Dev Budget'!$D$80,TRUE()))/(1-2* NORMDIST(0,Inputs!$E$26/2,'(Z+) Dev Budget'!$D$80,TRUE())),0),0)</f>
        <v>0</v>
      </c>
      <c r="N58" s="450">
        <f>IFERROR(IF(AND(N$4&gt;Construction_Start_Date,N$4&lt;=Inputs!$E$27),(NORMDIST(N$5-Inputs!$D$25,Inputs!$E$26/2,'(Z+) Dev Budget'!$D$80,TRUE())- NORMDIST(N$5-Inputs!$D$25-1,Inputs!$E$26/2,'(Z+) Dev Budget'!$D$80,TRUE()))/(1-2* NORMDIST(0,Inputs!$E$26/2,'(Z+) Dev Budget'!$D$80,TRUE())),0),0)</f>
        <v>0</v>
      </c>
      <c r="O58" s="450">
        <f>IFERROR(IF(AND(O$4&gt;Construction_Start_Date,O$4&lt;=Inputs!$E$27),(NORMDIST(O$5-Inputs!$D$25,Inputs!$E$26/2,'(Z+) Dev Budget'!$D$80,TRUE())- NORMDIST(O$5-Inputs!$D$25-1,Inputs!$E$26/2,'(Z+) Dev Budget'!$D$80,TRUE()))/(1-2* NORMDIST(0,Inputs!$E$26/2,'(Z+) Dev Budget'!$D$80,TRUE())),0),0)</f>
        <v>0</v>
      </c>
      <c r="P58" s="450">
        <f>IFERROR(IF(AND(P$4&gt;Construction_Start_Date,P$4&lt;=Inputs!$E$27),(NORMDIST(P$5-Inputs!$D$25,Inputs!$E$26/2,'(Z+) Dev Budget'!$D$80,TRUE())- NORMDIST(P$5-Inputs!$D$25-1,Inputs!$E$26/2,'(Z+) Dev Budget'!$D$80,TRUE()))/(1-2* NORMDIST(0,Inputs!$E$26/2,'(Z+) Dev Budget'!$D$80,TRUE())),0),0)</f>
        <v>6.6414433590902613E-2</v>
      </c>
      <c r="Q58" s="450">
        <f>IFERROR(IF(AND(Q$4&gt;Construction_Start_Date,Q$4&lt;=Inputs!$E$27),(NORMDIST(Q$5-Inputs!$D$25,Inputs!$E$26/2,'(Z+) Dev Budget'!$D$80,TRUE())- NORMDIST(Q$5-Inputs!$D$25-1,Inputs!$E$26/2,'(Z+) Dev Budget'!$D$80,TRUE()))/(1-2* NORMDIST(0,Inputs!$E$26/2,'(Z+) Dev Budget'!$D$80,TRUE())),0),0)</f>
        <v>7.9464909344874518E-2</v>
      </c>
      <c r="R58" s="450">
        <f>IFERROR(IF(AND(R$4&gt;Construction_Start_Date,R$4&lt;=Inputs!$E$27),(NORMDIST(R$5-Inputs!$D$25,Inputs!$E$26/2,'(Z+) Dev Budget'!$D$80,TRUE())- NORMDIST(R$5-Inputs!$D$25-1,Inputs!$E$26/2,'(Z+) Dev Budget'!$D$80,TRUE()))/(1-2* NORMDIST(0,Inputs!$E$26/2,'(Z+) Dev Budget'!$D$80,TRUE())),0),0)</f>
        <v>9.1363827750777477E-2</v>
      </c>
      <c r="S58" s="450">
        <f>IFERROR(IF(AND(S$4&gt;Construction_Start_Date,S$4&lt;=Inputs!$E$27),(NORMDIST(S$5-Inputs!$D$25,Inputs!$E$26/2,'(Z+) Dev Budget'!$D$80,TRUE())- NORMDIST(S$5-Inputs!$D$25-1,Inputs!$E$26/2,'(Z+) Dev Budget'!$D$80,TRUE()))/(1-2* NORMDIST(0,Inputs!$E$26/2,'(Z+) Dev Budget'!$D$80,TRUE())),0),0)</f>
        <v>0.10093904410348699</v>
      </c>
      <c r="T58" s="450">
        <f>IFERROR(IF(AND(T$4&gt;Construction_Start_Date,T$4&lt;=Inputs!$E$27),(NORMDIST(T$5-Inputs!$D$25,Inputs!$E$26/2,'(Z+) Dev Budget'!$D$80,TRUE())- NORMDIST(T$5-Inputs!$D$25-1,Inputs!$E$26/2,'(Z+) Dev Budget'!$D$80,TRUE()))/(1-2* NORMDIST(0,Inputs!$E$26/2,'(Z+) Dev Budget'!$D$80,TRUE())),0),0)</f>
        <v>0.10715936197812262</v>
      </c>
      <c r="U58" s="451">
        <f>IFERROR(IF(AND(U$4&gt;Construction_Start_Date,U$4&lt;=Inputs!$E$27),(NORMDIST(U$5-Inputs!$D$25,Inputs!$E$26/2,'(Z+) Dev Budget'!$D$80,TRUE())- NORMDIST(U$5-Inputs!$D$25-1,Inputs!$E$26/2,'(Z+) Dev Budget'!$D$80,TRUE()))/(1-2* NORMDIST(0,Inputs!$E$26/2,'(Z+) Dev Budget'!$D$80,TRUE())),0),0)</f>
        <v>0.10931684646367164</v>
      </c>
      <c r="V58" s="451">
        <f>IFERROR(IF(AND(V$4&gt;Construction_Start_Date,V$4&lt;=Inputs!$E$27),(NORMDIST(V$5-Inputs!$D$25,Inputs!$E$26/2,'(Z+) Dev Budget'!$D$80,TRUE())- NORMDIST(V$5-Inputs!$D$25-1,Inputs!$E$26/2,'(Z+) Dev Budget'!$D$80,TRUE()))/(1-2* NORMDIST(0,Inputs!$E$26/2,'(Z+) Dev Budget'!$D$80,TRUE())),0),0)</f>
        <v>0.10715936197812262</v>
      </c>
      <c r="W58" s="451">
        <f>IFERROR(IF(AND(W$4&gt;Construction_Start_Date,W$4&lt;=Inputs!$E$27),(NORMDIST(W$5-Inputs!$D$25,Inputs!$E$26/2,'(Z+) Dev Budget'!$D$80,TRUE())- NORMDIST(W$5-Inputs!$D$25-1,Inputs!$E$26/2,'(Z+) Dev Budget'!$D$80,TRUE()))/(1-2* NORMDIST(0,Inputs!$E$26/2,'(Z+) Dev Budget'!$D$80,TRUE())),0),0)</f>
        <v>0.10093904410348699</v>
      </c>
      <c r="X58" s="451">
        <f>IFERROR(IF(AND(X$4&gt;Construction_Start_Date,X$4&lt;=Inputs!$E$27),(NORMDIST(X$5-Inputs!$D$25,Inputs!$E$26/2,'(Z+) Dev Budget'!$D$80,TRUE())- NORMDIST(X$5-Inputs!$D$25-1,Inputs!$E$26/2,'(Z+) Dev Budget'!$D$80,TRUE()))/(1-2* NORMDIST(0,Inputs!$E$26/2,'(Z+) Dev Budget'!$D$80,TRUE())),0),0)</f>
        <v>9.1363827750777393E-2</v>
      </c>
      <c r="Y58" s="451">
        <f>IFERROR(IF(AND(Y$4&gt;Construction_Start_Date,Y$4&lt;=Inputs!$E$27),(NORMDIST(Y$5-Inputs!$D$25,Inputs!$E$26/2,'(Z+) Dev Budget'!$D$80,TRUE())- NORMDIST(Y$5-Inputs!$D$25-1,Inputs!$E$26/2,'(Z+) Dev Budget'!$D$80,TRUE()))/(1-2* NORMDIST(0,Inputs!$E$26/2,'(Z+) Dev Budget'!$D$80,TRUE())),0),0)</f>
        <v>7.946490934487456E-2</v>
      </c>
      <c r="Z58" s="451">
        <f>IFERROR(IF(AND(Z$4&gt;Construction_Start_Date,Z$4&lt;=Inputs!$E$27),(NORMDIST(Z$5-Inputs!$D$25,Inputs!$E$26/2,'(Z+) Dev Budget'!$D$80,TRUE())- NORMDIST(Z$5-Inputs!$D$25-1,Inputs!$E$26/2,'(Z+) Dev Budget'!$D$80,TRUE()))/(1-2* NORMDIST(0,Inputs!$E$26/2,'(Z+) Dev Budget'!$D$80,TRUE())),0),0)</f>
        <v>6.6414433590902613E-2</v>
      </c>
      <c r="AA58" s="451">
        <f>IFERROR(IF(AND(AA$4&gt;Construction_Start_Date,AA$4&lt;=Inputs!$E$27),(NORMDIST(AA$5-Inputs!$D$25,Inputs!$E$26/2,'(Z+) Dev Budget'!$D$80,TRUE())- NORMDIST(AA$5-Inputs!$D$25-1,Inputs!$E$26/2,'(Z+) Dev Budget'!$D$80,TRUE()))/(1-2* NORMDIST(0,Inputs!$E$26/2,'(Z+) Dev Budget'!$D$80,TRUE())),0),0)</f>
        <v>0</v>
      </c>
      <c r="AB58" s="451">
        <f>IFERROR(IF(AND(AB$4&gt;Construction_Start_Date,AB$4&lt;=Inputs!$E$27),(NORMDIST(AB$5-Inputs!$D$25,Inputs!$E$26/2,'(Z+) Dev Budget'!$D$80,TRUE())- NORMDIST(AB$5-Inputs!$D$25-1,Inputs!$E$26/2,'(Z+) Dev Budget'!$D$80,TRUE()))/(1-2* NORMDIST(0,Inputs!$E$26/2,'(Z+) Dev Budget'!$D$80,TRUE())),0),0)</f>
        <v>0</v>
      </c>
      <c r="AC58" s="451">
        <f>IFERROR(IF(AND(AC$4&gt;Construction_Start_Date,AC$4&lt;=Inputs!$E$27),(NORMDIST(AC$5-Inputs!$D$25,Inputs!$E$26/2,'(Z+) Dev Budget'!$D$80,TRUE())- NORMDIST(AC$5-Inputs!$D$25-1,Inputs!$E$26/2,'(Z+) Dev Budget'!$D$80,TRUE()))/(1-2* NORMDIST(0,Inputs!$E$26/2,'(Z+) Dev Budget'!$D$80,TRUE())),0),0)</f>
        <v>0</v>
      </c>
      <c r="AD58" s="451">
        <f>IFERROR(IF(AND(AD$4&gt;Construction_Start_Date,AD$4&lt;=Inputs!$E$27),(NORMDIST(AD$5-Inputs!$D$25,Inputs!$E$26/2,'(Z+) Dev Budget'!$D$80,TRUE())- NORMDIST(AD$5-Inputs!$D$25-1,Inputs!$E$26/2,'(Z+) Dev Budget'!$D$80,TRUE()))/(1-2* NORMDIST(0,Inputs!$E$26/2,'(Z+) Dev Budget'!$D$80,TRUE())),0),0)</f>
        <v>0</v>
      </c>
      <c r="AE58" s="451">
        <f>IFERROR(IF(AND(AE$4&gt;Construction_Start_Date,AE$4&lt;=Inputs!$E$27),(NORMDIST(AE$5-Inputs!$D$25,Inputs!$E$26/2,'(Z+) Dev Budget'!$D$80,TRUE())- NORMDIST(AE$5-Inputs!$D$25-1,Inputs!$E$26/2,'(Z+) Dev Budget'!$D$80,TRUE()))/(1-2* NORMDIST(0,Inputs!$E$26/2,'(Z+) Dev Budget'!$D$80,TRUE())),0),0)</f>
        <v>0</v>
      </c>
      <c r="AF58" s="451">
        <f>IFERROR(IF(AND(AF$4&gt;Construction_Start_Date,AF$4&lt;=Inputs!$E$27),(NORMDIST(AF$5-Inputs!$D$25,Inputs!$E$26/2,'(Z+) Dev Budget'!$D$80,TRUE())- NORMDIST(AF$5-Inputs!$D$25-1,Inputs!$E$26/2,'(Z+) Dev Budget'!$D$80,TRUE()))/(1-2* NORMDIST(0,Inputs!$E$26/2,'(Z+) Dev Budget'!$D$80,TRUE())),0),0)</f>
        <v>0</v>
      </c>
      <c r="AG58" s="451">
        <f>IFERROR(IF(AND(AG$4&gt;Construction_Start_Date,AG$4&lt;=Inputs!$E$27),(NORMDIST(AG$5-Inputs!$D$25,Inputs!$E$26/2,'(Z+) Dev Budget'!$D$80,TRUE())- NORMDIST(AG$5-Inputs!$D$25-1,Inputs!$E$26/2,'(Z+) Dev Budget'!$D$80,TRUE()))/(1-2* NORMDIST(0,Inputs!$E$26/2,'(Z+) Dev Budget'!$D$80,TRUE())),0),0)</f>
        <v>0</v>
      </c>
      <c r="AH58" s="451">
        <f>IFERROR(IF(AND(AH$4&gt;Construction_Start_Date,AH$4&lt;=Inputs!$E$27),(NORMDIST(AH$5-Inputs!$D$25,Inputs!$E$26/2,'(Z+) Dev Budget'!$D$80,TRUE())- NORMDIST(AH$5-Inputs!$D$25-1,Inputs!$E$26/2,'(Z+) Dev Budget'!$D$80,TRUE()))/(1-2* NORMDIST(0,Inputs!$E$26/2,'(Z+) Dev Budget'!$D$80,TRUE())),0),0)</f>
        <v>0</v>
      </c>
      <c r="AI58" s="451">
        <f>IFERROR(IF(AND(AI$4&gt;Construction_Start_Date,AI$4&lt;=Inputs!$E$27),(NORMDIST(AI$5-Inputs!$D$25,Inputs!$E$26/2,'(Z+) Dev Budget'!$D$80,TRUE())- NORMDIST(AI$5-Inputs!$D$25-1,Inputs!$E$26/2,'(Z+) Dev Budget'!$D$80,TRUE()))/(1-2* NORMDIST(0,Inputs!$E$26/2,'(Z+) Dev Budget'!$D$80,TRUE())),0),0)</f>
        <v>0</v>
      </c>
      <c r="AJ58" s="451">
        <f>IFERROR(IF(AND(AJ$4&gt;Construction_Start_Date,AJ$4&lt;=Inputs!$E$27),(NORMDIST(AJ$5-Inputs!$D$25,Inputs!$E$26/2,'(Z+) Dev Budget'!$D$80,TRUE())- NORMDIST(AJ$5-Inputs!$D$25-1,Inputs!$E$26/2,'(Z+) Dev Budget'!$D$80,TRUE()))/(1-2* NORMDIST(0,Inputs!$E$26/2,'(Z+) Dev Budget'!$D$80,TRUE())),0),0)</f>
        <v>0</v>
      </c>
      <c r="AK58" s="451">
        <f>IFERROR(IF(AND(AK$4&gt;Construction_Start_Date,AK$4&lt;=Inputs!$E$27),(NORMDIST(AK$5-Inputs!$D$25,Inputs!$E$26/2,'(Z+) Dev Budget'!$D$80,TRUE())- NORMDIST(AK$5-Inputs!$D$25-1,Inputs!$E$26/2,'(Z+) Dev Budget'!$D$80,TRUE()))/(1-2* NORMDIST(0,Inputs!$E$26/2,'(Z+) Dev Budget'!$D$80,TRUE())),0),0)</f>
        <v>0</v>
      </c>
      <c r="AL58" s="451">
        <f>IFERROR(IF(AND(AL$4&gt;Construction_Start_Date,AL$4&lt;=Inputs!$E$27),(NORMDIST(AL$5-Inputs!$D$25,Inputs!$E$26/2,'(Z+) Dev Budget'!$D$80,TRUE())- NORMDIST(AL$5-Inputs!$D$25-1,Inputs!$E$26/2,'(Z+) Dev Budget'!$D$80,TRUE()))/(1-2* NORMDIST(0,Inputs!$E$26/2,'(Z+) Dev Budget'!$D$80,TRUE())),0),0)</f>
        <v>0</v>
      </c>
      <c r="AM58" s="451">
        <f>IFERROR(IF(AND(AM$4&gt;Construction_Start_Date,AM$4&lt;=Inputs!$E$27),(NORMDIST(AM$5-Inputs!$D$25,Inputs!$E$26/2,'(Z+) Dev Budget'!$D$80,TRUE())- NORMDIST(AM$5-Inputs!$D$25-1,Inputs!$E$26/2,'(Z+) Dev Budget'!$D$80,TRUE()))/(1-2* NORMDIST(0,Inputs!$E$26/2,'(Z+) Dev Budget'!$D$80,TRUE())),0),0)</f>
        <v>0</v>
      </c>
      <c r="AN58" s="451">
        <f>IFERROR(IF(AND(AN$4&gt;Construction_Start_Date,AN$4&lt;=Inputs!$E$27),(NORMDIST(AN$5-Inputs!$D$25,Inputs!$E$26/2,'(Z+) Dev Budget'!$D$80,TRUE())- NORMDIST(AN$5-Inputs!$D$25-1,Inputs!$E$26/2,'(Z+) Dev Budget'!$D$80,TRUE()))/(1-2* NORMDIST(0,Inputs!$E$26/2,'(Z+) Dev Budget'!$D$80,TRUE())),0),0)</f>
        <v>0</v>
      </c>
      <c r="AO58" s="451">
        <f>IFERROR(IF(AND(AO$4&gt;Construction_Start_Date,AO$4&lt;=Inputs!$E$27),(NORMDIST(AO$5-Inputs!$D$25,Inputs!$E$26/2,'(Z+) Dev Budget'!$D$80,TRUE())- NORMDIST(AO$5-Inputs!$D$25-1,Inputs!$E$26/2,'(Z+) Dev Budget'!$D$80,TRUE()))/(1-2* NORMDIST(0,Inputs!$E$26/2,'(Z+) Dev Budget'!$D$80,TRUE())),0),0)</f>
        <v>0</v>
      </c>
      <c r="AP58" s="451">
        <f>IFERROR(IF(AND(AP$4&gt;Construction_Start_Date,AP$4&lt;=Inputs!$E$27),(NORMDIST(AP$5-Inputs!$D$25,Inputs!$E$26/2,'(Z+) Dev Budget'!$D$80,TRUE())- NORMDIST(AP$5-Inputs!$D$25-1,Inputs!$E$26/2,'(Z+) Dev Budget'!$D$80,TRUE()))/(1-2* NORMDIST(0,Inputs!$E$26/2,'(Z+) Dev Budget'!$D$80,TRUE())),0),0)</f>
        <v>0</v>
      </c>
      <c r="AQ58" s="451">
        <f>IFERROR(IF(AND(AQ$4&gt;Construction_Start_Date,AQ$4&lt;=Inputs!$E$27),(NORMDIST(AQ$5-Inputs!$D$25,Inputs!$E$26/2,'(Z+) Dev Budget'!$D$80,TRUE())- NORMDIST(AQ$5-Inputs!$D$25-1,Inputs!$E$26/2,'(Z+) Dev Budget'!$D$80,TRUE()))/(1-2* NORMDIST(0,Inputs!$E$26/2,'(Z+) Dev Budget'!$D$80,TRUE())),0),0)</f>
        <v>0</v>
      </c>
      <c r="AR58" s="451">
        <f>IFERROR(IF(AND(AR$4&gt;Construction_Start_Date,AR$4&lt;=Inputs!$E$27),(NORMDIST(AR$5-Inputs!$D$25,Inputs!$E$26/2,'(Z+) Dev Budget'!$D$80,TRUE())- NORMDIST(AR$5-Inputs!$D$25-1,Inputs!$E$26/2,'(Z+) Dev Budget'!$D$80,TRUE()))/(1-2* NORMDIST(0,Inputs!$E$26/2,'(Z+) Dev Budget'!$D$80,TRUE())),0),0)</f>
        <v>0</v>
      </c>
      <c r="AS58" s="451">
        <f>IFERROR(IF(AND(AS$4&gt;Construction_Start_Date,AS$4&lt;=Inputs!$E$27),(NORMDIST(AS$5-Inputs!$D$25,Inputs!$E$26/2,'(Z+) Dev Budget'!$D$80,TRUE())- NORMDIST(AS$5-Inputs!$D$25-1,Inputs!$E$26/2,'(Z+) Dev Budget'!$D$80,TRUE()))/(1-2* NORMDIST(0,Inputs!$E$26/2,'(Z+) Dev Budget'!$D$80,TRUE())),0),0)</f>
        <v>0</v>
      </c>
      <c r="AT58" s="451">
        <f>IFERROR(IF(AND(AT$4&gt;Construction_Start_Date,AT$4&lt;=Inputs!$E$27),(NORMDIST(AT$5-Inputs!$D$25,Inputs!$E$26/2,'(Z+) Dev Budget'!$D$80,TRUE())- NORMDIST(AT$5-Inputs!$D$25-1,Inputs!$E$26/2,'(Z+) Dev Budget'!$D$80,TRUE()))/(1-2* NORMDIST(0,Inputs!$E$26/2,'(Z+) Dev Budget'!$D$80,TRUE())),0),0)</f>
        <v>0</v>
      </c>
      <c r="AU58" s="451">
        <f>IFERROR(IF(AND(AU$4&gt;Construction_Start_Date,AU$4&lt;=Inputs!$E$27),(NORMDIST(AU$5-Inputs!$D$25,Inputs!$E$26/2,'(Z+) Dev Budget'!$D$80,TRUE())- NORMDIST(AU$5-Inputs!$D$25-1,Inputs!$E$26/2,'(Z+) Dev Budget'!$D$80,TRUE()))/(1-2* NORMDIST(0,Inputs!$E$26/2,'(Z+) Dev Budget'!$D$80,TRUE())),0),0)</f>
        <v>0</v>
      </c>
      <c r="AV58" s="451">
        <f>IFERROR(IF(AND(AV$4&gt;Construction_Start_Date,AV$4&lt;=Inputs!$E$27),(NORMDIST(AV$5-Inputs!$D$25,Inputs!$E$26/2,'(Z+) Dev Budget'!$D$80,TRUE())- NORMDIST(AV$5-Inputs!$D$25-1,Inputs!$E$26/2,'(Z+) Dev Budget'!$D$80,TRUE()))/(1-2* NORMDIST(0,Inputs!$E$26/2,'(Z+) Dev Budget'!$D$80,TRUE())),0),0)</f>
        <v>0</v>
      </c>
      <c r="AW58" s="451">
        <f>IFERROR(IF(AND(AW$4&gt;Construction_Start_Date,AW$4&lt;=Inputs!$E$27),(NORMDIST(AW$5-Inputs!$D$25,Inputs!$E$26/2,'(Z+) Dev Budget'!$D$80,TRUE())- NORMDIST(AW$5-Inputs!$D$25-1,Inputs!$E$26/2,'(Z+) Dev Budget'!$D$80,TRUE()))/(1-2* NORMDIST(0,Inputs!$E$26/2,'(Z+) Dev Budget'!$D$80,TRUE())),0),0)</f>
        <v>0</v>
      </c>
      <c r="AX58" s="451">
        <f>IFERROR(IF(AND(AX$4&gt;Construction_Start_Date,AX$4&lt;=Inputs!$E$27),(NORMDIST(AX$5-Inputs!$D$25,Inputs!$E$26/2,'(Z+) Dev Budget'!$D$80,TRUE())- NORMDIST(AX$5-Inputs!$D$25-1,Inputs!$E$26/2,'(Z+) Dev Budget'!$D$80,TRUE()))/(1-2* NORMDIST(0,Inputs!$E$26/2,'(Z+) Dev Budget'!$D$80,TRUE())),0),0)</f>
        <v>0</v>
      </c>
      <c r="AY58" s="451">
        <f>IFERROR(IF(AND(AY$4&gt;Construction_Start_Date,AY$4&lt;=Inputs!$E$27),(NORMDIST(AY$5-Inputs!$D$25,Inputs!$E$26/2,'(Z+) Dev Budget'!$D$80,TRUE())- NORMDIST(AY$5-Inputs!$D$25-1,Inputs!$E$26/2,'(Z+) Dev Budget'!$D$80,TRUE()))/(1-2* NORMDIST(0,Inputs!$E$26/2,'(Z+) Dev Budget'!$D$80,TRUE())),0),0)</f>
        <v>0</v>
      </c>
      <c r="AZ58" s="451">
        <f>IFERROR(IF(AND(AZ$4&gt;Construction_Start_Date,AZ$4&lt;=Inputs!$E$27),(NORMDIST(AZ$5-Inputs!$D$25,Inputs!$E$26/2,'(Z+) Dev Budget'!$D$80,TRUE())- NORMDIST(AZ$5-Inputs!$D$25-1,Inputs!$E$26/2,'(Z+) Dev Budget'!$D$80,TRUE()))/(1-2* NORMDIST(0,Inputs!$E$26/2,'(Z+) Dev Budget'!$D$80,TRUE())),0),0)</f>
        <v>0</v>
      </c>
      <c r="BA58" s="451">
        <f>IFERROR(IF(AND(BA$4&gt;Construction_Start_Date,BA$4&lt;=Inputs!$E$27),(NORMDIST(BA$5-Inputs!$D$25,Inputs!$E$26/2,'(Z+) Dev Budget'!$D$80,TRUE())- NORMDIST(BA$5-Inputs!$D$25-1,Inputs!$E$26/2,'(Z+) Dev Budget'!$D$80,TRUE()))/(1-2* NORMDIST(0,Inputs!$E$26/2,'(Z+) Dev Budget'!$D$80,TRUE())),0),0)</f>
        <v>0</v>
      </c>
      <c r="BB58" s="451">
        <f>IFERROR(IF(AND(BB$4&gt;Construction_Start_Date,BB$4&lt;=Inputs!$E$27),(NORMDIST(BB$5-Inputs!$D$25,Inputs!$E$26/2,'(Z+) Dev Budget'!$D$80,TRUE())- NORMDIST(BB$5-Inputs!$D$25-1,Inputs!$E$26/2,'(Z+) Dev Budget'!$D$80,TRUE()))/(1-2* NORMDIST(0,Inputs!$E$26/2,'(Z+) Dev Budget'!$D$80,TRUE())),0),0)</f>
        <v>0</v>
      </c>
      <c r="BC58" s="451">
        <f>IFERROR(IF(AND(BC$4&gt;Construction_Start_Date,BC$4&lt;=Inputs!$E$27),(NORMDIST(BC$5-Inputs!$D$25,Inputs!$E$26/2,'(Z+) Dev Budget'!$D$80,TRUE())- NORMDIST(BC$5-Inputs!$D$25-1,Inputs!$E$26/2,'(Z+) Dev Budget'!$D$80,TRUE()))/(1-2* NORMDIST(0,Inputs!$E$26/2,'(Z+) Dev Budget'!$D$80,TRUE())),0),0)</f>
        <v>0</v>
      </c>
      <c r="BD58" s="451">
        <f>IFERROR(IF(AND(BD$4&gt;Construction_Start_Date,BD$4&lt;=Inputs!$E$27),(NORMDIST(BD$5-Inputs!$D$25,Inputs!$E$26/2,'(Z+) Dev Budget'!$D$80,TRUE())- NORMDIST(BD$5-Inputs!$D$25-1,Inputs!$E$26/2,'(Z+) Dev Budget'!$D$80,TRUE()))/(1-2* NORMDIST(0,Inputs!$E$26/2,'(Z+) Dev Budget'!$D$80,TRUE())),0),0)</f>
        <v>0</v>
      </c>
      <c r="BE58" s="451">
        <f>IFERROR(IF(AND(BE$4&gt;Construction_Start_Date,BE$4&lt;=Inputs!$E$27),(NORMDIST(BE$5-Inputs!$D$25,Inputs!$E$26/2,'(Z+) Dev Budget'!$D$80,TRUE())- NORMDIST(BE$5-Inputs!$D$25-1,Inputs!$E$26/2,'(Z+) Dev Budget'!$D$80,TRUE()))/(1-2* NORMDIST(0,Inputs!$E$26/2,'(Z+) Dev Budget'!$D$80,TRUE())),0),0)</f>
        <v>0</v>
      </c>
      <c r="BF58" s="451">
        <f>IFERROR(IF(AND(BF$4&gt;Construction_Start_Date,BF$4&lt;=Inputs!$E$27),(NORMDIST(BF$5-Inputs!$D$25,Inputs!$E$26/2,'(Z+) Dev Budget'!$D$80,TRUE())- NORMDIST(BF$5-Inputs!$D$25-1,Inputs!$E$26/2,'(Z+) Dev Budget'!$D$80,TRUE()))/(1-2* NORMDIST(0,Inputs!$E$26/2,'(Z+) Dev Budget'!$D$80,TRUE())),0),0)</f>
        <v>0</v>
      </c>
      <c r="BG58" s="451">
        <f>IFERROR(IF(AND(BG$4&gt;Construction_Start_Date,BG$4&lt;=Inputs!$E$27),(NORMDIST(BG$5-Inputs!$D$25,Inputs!$E$26/2,'(Z+) Dev Budget'!$D$80,TRUE())- NORMDIST(BG$5-Inputs!$D$25-1,Inputs!$E$26/2,'(Z+) Dev Budget'!$D$80,TRUE()))/(1-2* NORMDIST(0,Inputs!$E$26/2,'(Z+) Dev Budget'!$D$80,TRUE())),0),0)</f>
        <v>0</v>
      </c>
      <c r="BH58" s="451">
        <f>IFERROR(IF(AND(BH$4&gt;Construction_Start_Date,BH$4&lt;=Inputs!$E$27),(NORMDIST(BH$5-Inputs!$D$25,Inputs!$E$26/2,'(Z+) Dev Budget'!$D$80,TRUE())- NORMDIST(BH$5-Inputs!$D$25-1,Inputs!$E$26/2,'(Z+) Dev Budget'!$D$80,TRUE()))/(1-2* NORMDIST(0,Inputs!$E$26/2,'(Z+) Dev Budget'!$D$80,TRUE())),0),0)</f>
        <v>0</v>
      </c>
      <c r="BI58" s="451">
        <f>IFERROR(IF(AND(BI$4&gt;Construction_Start_Date,BI$4&lt;=Inputs!$E$27),(NORMDIST(BI$5-Inputs!$D$25,Inputs!$E$26/2,'(Z+) Dev Budget'!$D$80,TRUE())- NORMDIST(BI$5-Inputs!$D$25-1,Inputs!$E$26/2,'(Z+) Dev Budget'!$D$80,TRUE()))/(1-2* NORMDIST(0,Inputs!$E$26/2,'(Z+) Dev Budget'!$D$80,TRUE())),0),0)</f>
        <v>0</v>
      </c>
      <c r="BJ58" s="451">
        <f>IFERROR(IF(AND(BJ$4&gt;Construction_Start_Date,BJ$4&lt;=Inputs!$E$27),(NORMDIST(BJ$5-Inputs!$D$25,Inputs!$E$26/2,'(Z+) Dev Budget'!$D$80,TRUE())- NORMDIST(BJ$5-Inputs!$D$25-1,Inputs!$E$26/2,'(Z+) Dev Budget'!$D$80,TRUE()))/(1-2* NORMDIST(0,Inputs!$E$26/2,'(Z+) Dev Budget'!$D$80,TRUE())),0),0)</f>
        <v>0</v>
      </c>
      <c r="BK58" s="451">
        <f>IFERROR(IF(AND(BK$4&gt;Construction_Start_Date,BK$4&lt;=Inputs!$E$27),(NORMDIST(BK$5-Inputs!$D$25,Inputs!$E$26/2,'(Z+) Dev Budget'!$D$80,TRUE())- NORMDIST(BK$5-Inputs!$D$25-1,Inputs!$E$26/2,'(Z+) Dev Budget'!$D$80,TRUE()))/(1-2* NORMDIST(0,Inputs!$E$26/2,'(Z+) Dev Budget'!$D$80,TRUE())),0),0)</f>
        <v>0</v>
      </c>
      <c r="BL58" s="451">
        <f>IFERROR(IF(AND(BL$4&gt;Construction_Start_Date,BL$4&lt;=Inputs!$E$27),(NORMDIST(BL$5-Inputs!$D$25,Inputs!$E$26/2,'(Z+) Dev Budget'!$D$80,TRUE())- NORMDIST(BL$5-Inputs!$D$25-1,Inputs!$E$26/2,'(Z+) Dev Budget'!$D$80,TRUE()))/(1-2* NORMDIST(0,Inputs!$E$26/2,'(Z+) Dev Budget'!$D$80,TRUE())),0),0)</f>
        <v>0</v>
      </c>
      <c r="BM58" s="451">
        <f>IFERROR(IF(AND(BM$4&gt;Construction_Start_Date,BM$4&lt;=Inputs!$E$27),(NORMDIST(BM$5-Inputs!$D$25,Inputs!$E$26/2,'(Z+) Dev Budget'!$D$80,TRUE())- NORMDIST(BM$5-Inputs!$D$25-1,Inputs!$E$26/2,'(Z+) Dev Budget'!$D$80,TRUE()))/(1-2* NORMDIST(0,Inputs!$E$26/2,'(Z+) Dev Budget'!$D$80,TRUE())),0),0)</f>
        <v>0</v>
      </c>
      <c r="BN58" s="451">
        <f>IFERROR(IF(AND(BN$4&gt;Construction_Start_Date,BN$4&lt;=Inputs!$E$27),(NORMDIST(BN$5-Inputs!$D$25,Inputs!$E$26/2,'(Z+) Dev Budget'!$D$80,TRUE())- NORMDIST(BN$5-Inputs!$D$25-1,Inputs!$E$26/2,'(Z+) Dev Budget'!$D$80,TRUE()))/(1-2* NORMDIST(0,Inputs!$E$26/2,'(Z+) Dev Budget'!$D$80,TRUE())),0),0)</f>
        <v>0</v>
      </c>
      <c r="BO58" s="451">
        <f>IFERROR(IF(AND(BO$4&gt;Construction_Start_Date,BO$4&lt;=Inputs!$E$27),(NORMDIST(BO$5-Inputs!$D$25,Inputs!$E$26/2,'(Z+) Dev Budget'!$D$80,TRUE())- NORMDIST(BO$5-Inputs!$D$25-1,Inputs!$E$26/2,'(Z+) Dev Budget'!$D$80,TRUE()))/(1-2* NORMDIST(0,Inputs!$E$26/2,'(Z+) Dev Budget'!$D$80,TRUE())),0),0)</f>
        <v>0</v>
      </c>
      <c r="BP58" s="451">
        <f>IFERROR(IF(AND(BP$4&gt;Construction_Start_Date,BP$4&lt;=Inputs!$E$27),(NORMDIST(BP$5-Inputs!$D$25,Inputs!$E$26/2,'(Z+) Dev Budget'!$D$80,TRUE())- NORMDIST(BP$5-Inputs!$D$25-1,Inputs!$E$26/2,'(Z+) Dev Budget'!$D$80,TRUE()))/(1-2* NORMDIST(0,Inputs!$E$26/2,'(Z+) Dev Budget'!$D$80,TRUE())),0),0)</f>
        <v>0</v>
      </c>
      <c r="BQ58" s="451">
        <f>IFERROR(IF(AND(BQ$4&gt;Construction_Start_Date,BQ$4&lt;=Inputs!$E$27),(NORMDIST(BQ$5-Inputs!$D$25,Inputs!$E$26/2,'(Z+) Dev Budget'!$D$80,TRUE())- NORMDIST(BQ$5-Inputs!$D$25-1,Inputs!$E$26/2,'(Z+) Dev Budget'!$D$80,TRUE()))/(1-2* NORMDIST(0,Inputs!$E$26/2,'(Z+) Dev Budget'!$D$80,TRUE())),0),0)</f>
        <v>0</v>
      </c>
      <c r="BR58" s="451">
        <f>IFERROR(IF(AND(BR$4&gt;Construction_Start_Date,BR$4&lt;=Inputs!$E$27),(NORMDIST(BR$5-Inputs!$D$25,Inputs!$E$26/2,'(Z+) Dev Budget'!$D$80,TRUE())- NORMDIST(BR$5-Inputs!$D$25-1,Inputs!$E$26/2,'(Z+) Dev Budget'!$D$80,TRUE()))/(1-2* NORMDIST(0,Inputs!$E$26/2,'(Z+) Dev Budget'!$D$80,TRUE())),0),0)</f>
        <v>0</v>
      </c>
      <c r="BS58" s="451">
        <f>IFERROR(IF(AND(BS$4&gt;Construction_Start_Date,BS$4&lt;=Inputs!$E$27),(NORMDIST(BS$5-Inputs!$D$25,Inputs!$E$26/2,'(Z+) Dev Budget'!$D$80,TRUE())- NORMDIST(BS$5-Inputs!$D$25-1,Inputs!$E$26/2,'(Z+) Dev Budget'!$D$80,TRUE()))/(1-2* NORMDIST(0,Inputs!$E$26/2,'(Z+) Dev Budget'!$D$80,TRUE())),0),0)</f>
        <v>0</v>
      </c>
      <c r="BT58" s="451">
        <f>IFERROR(IF(AND(BT$4&gt;Construction_Start_Date,BT$4&lt;=Inputs!$E$27),(NORMDIST(BT$5-Inputs!$D$25,Inputs!$E$26/2,'(Z+) Dev Budget'!$D$80,TRUE())- NORMDIST(BT$5-Inputs!$D$25-1,Inputs!$E$26/2,'(Z+) Dev Budget'!$D$80,TRUE()))/(1-2* NORMDIST(0,Inputs!$E$26/2,'(Z+) Dev Budget'!$D$80,TRUE())),0),0)</f>
        <v>0</v>
      </c>
      <c r="BU58" s="451">
        <f>IFERROR(IF(AND(BU$4&gt;Construction_Start_Date,BU$4&lt;=Inputs!$E$27),(NORMDIST(BU$5-Inputs!$D$25,Inputs!$E$26/2,'(Z+) Dev Budget'!$D$80,TRUE())- NORMDIST(BU$5-Inputs!$D$25-1,Inputs!$E$26/2,'(Z+) Dev Budget'!$D$80,TRUE()))/(1-2* NORMDIST(0,Inputs!$E$26/2,'(Z+) Dev Budget'!$D$80,TRUE())),0),0)</f>
        <v>0</v>
      </c>
      <c r="BV58" s="451">
        <f>IFERROR(IF(AND(BV$4&gt;Construction_Start_Date,BV$4&lt;=Inputs!$E$27),(NORMDIST(BV$5-Inputs!$D$25,Inputs!$E$26/2,'(Z+) Dev Budget'!$D$80,TRUE())- NORMDIST(BV$5-Inputs!$D$25-1,Inputs!$E$26/2,'(Z+) Dev Budget'!$D$80,TRUE()))/(1-2* NORMDIST(0,Inputs!$E$26/2,'(Z+) Dev Budget'!$D$80,TRUE())),0),0)</f>
        <v>0</v>
      </c>
      <c r="BW58" s="451">
        <f>IFERROR(IF(AND(BW$4&gt;Construction_Start_Date,BW$4&lt;=Inputs!$E$27),(NORMDIST(BW$5-Inputs!$D$25,Inputs!$E$26/2,'(Z+) Dev Budget'!$D$80,TRUE())- NORMDIST(BW$5-Inputs!$D$25-1,Inputs!$E$26/2,'(Z+) Dev Budget'!$D$80,TRUE()))/(1-2* NORMDIST(0,Inputs!$E$26/2,'(Z+) Dev Budget'!$D$80,TRUE())),0),0)</f>
        <v>0</v>
      </c>
      <c r="BX58" s="451">
        <f>IFERROR(IF(AND(BX$4&gt;Construction_Start_Date,BX$4&lt;=Inputs!$E$27),(NORMDIST(BX$5-Inputs!$D$25,Inputs!$E$26/2,'(Z+) Dev Budget'!$D$80,TRUE())- NORMDIST(BX$5-Inputs!$D$25-1,Inputs!$E$26/2,'(Z+) Dev Budget'!$D$80,TRUE()))/(1-2* NORMDIST(0,Inputs!$E$26/2,'(Z+) Dev Budget'!$D$80,TRUE())),0),0)</f>
        <v>0</v>
      </c>
      <c r="BY58" s="451">
        <f>IFERROR(IF(AND(BY$4&gt;Construction_Start_Date,BY$4&lt;=Inputs!$E$27),(NORMDIST(BY$5-Inputs!$D$25,Inputs!$E$26/2,'(Z+) Dev Budget'!$D$80,TRUE())- NORMDIST(BY$5-Inputs!$D$25-1,Inputs!$E$26/2,'(Z+) Dev Budget'!$D$80,TRUE()))/(1-2* NORMDIST(0,Inputs!$E$26/2,'(Z+) Dev Budget'!$D$80,TRUE())),0),0)</f>
        <v>0</v>
      </c>
      <c r="BZ58" s="451">
        <f>IFERROR(IF(AND(BZ$4&gt;Construction_Start_Date,BZ$4&lt;=Inputs!$E$27),(NORMDIST(BZ$5-Inputs!$D$25,Inputs!$E$26/2,'(Z+) Dev Budget'!$D$80,TRUE())- NORMDIST(BZ$5-Inputs!$D$25-1,Inputs!$E$26/2,'(Z+) Dev Budget'!$D$80,TRUE()))/(1-2* NORMDIST(0,Inputs!$E$26/2,'(Z+) Dev Budget'!$D$80,TRUE())),0),0)</f>
        <v>0</v>
      </c>
      <c r="CA58" s="451">
        <f>IFERROR(IF(AND(CA$4&gt;Construction_Start_Date,CA$4&lt;=Inputs!$E$27),(NORMDIST(CA$5-Inputs!$D$25,Inputs!$E$26/2,'(Z+) Dev Budget'!$D$80,TRUE())- NORMDIST(CA$5-Inputs!$D$25-1,Inputs!$E$26/2,'(Z+) Dev Budget'!$D$80,TRUE()))/(1-2* NORMDIST(0,Inputs!$E$26/2,'(Z+) Dev Budget'!$D$80,TRUE())),0),0)</f>
        <v>0</v>
      </c>
      <c r="CB58" s="451">
        <f>IFERROR(IF(AND(CB$4&gt;Construction_Start_Date,CB$4&lt;=Inputs!$E$27),(NORMDIST(CB$5-Inputs!$D$25,Inputs!$E$26/2,'(Z+) Dev Budget'!$D$80,TRUE())- NORMDIST(CB$5-Inputs!$D$25-1,Inputs!$E$26/2,'(Z+) Dev Budget'!$D$80,TRUE()))/(1-2* NORMDIST(0,Inputs!$E$26/2,'(Z+) Dev Budget'!$D$80,TRUE())),0),0)</f>
        <v>0</v>
      </c>
      <c r="CC58" s="451">
        <f>IFERROR(IF(AND(CC$4&gt;Construction_Start_Date,CC$4&lt;=Inputs!$E$27),(NORMDIST(CC$5-Inputs!$D$25,Inputs!$E$26/2,'(Z+) Dev Budget'!$D$80,TRUE())- NORMDIST(CC$5-Inputs!$D$25-1,Inputs!$E$26/2,'(Z+) Dev Budget'!$D$80,TRUE()))/(1-2* NORMDIST(0,Inputs!$E$26/2,'(Z+) Dev Budget'!$D$80,TRUE())),0),0)</f>
        <v>0</v>
      </c>
      <c r="CD58" s="451">
        <f>IFERROR(IF(AND(CD$4&gt;Construction_Start_Date,CD$4&lt;=Inputs!$E$27),(NORMDIST(CD$5-Inputs!$D$25,Inputs!$E$26/2,'(Z+) Dev Budget'!$D$80,TRUE())- NORMDIST(CD$5-Inputs!$D$25-1,Inputs!$E$26/2,'(Z+) Dev Budget'!$D$80,TRUE()))/(1-2* NORMDIST(0,Inputs!$E$26/2,'(Z+) Dev Budget'!$D$80,TRUE())),0),0)</f>
        <v>0</v>
      </c>
      <c r="CE58" s="451">
        <f>IFERROR(IF(AND(CE$4&gt;Construction_Start_Date,CE$4&lt;=Inputs!$E$27),(NORMDIST(CE$5-Inputs!$D$25,Inputs!$E$26/2,'(Z+) Dev Budget'!$D$80,TRUE())- NORMDIST(CE$5-Inputs!$D$25-1,Inputs!$E$26/2,'(Z+) Dev Budget'!$D$80,TRUE()))/(1-2* NORMDIST(0,Inputs!$E$26/2,'(Z+) Dev Budget'!$D$80,TRUE())),0),0)</f>
        <v>0</v>
      </c>
      <c r="CF58" s="451">
        <f>IFERROR(IF(AND(CF$4&gt;Construction_Start_Date,CF$4&lt;=Inputs!$E$27),(NORMDIST(CF$5-Inputs!$D$25,Inputs!$E$26/2,'(Z+) Dev Budget'!$D$80,TRUE())- NORMDIST(CF$5-Inputs!$D$25-1,Inputs!$E$26/2,'(Z+) Dev Budget'!$D$80,TRUE()))/(1-2* NORMDIST(0,Inputs!$E$26/2,'(Z+) Dev Budget'!$D$80,TRUE())),0),0)</f>
        <v>0</v>
      </c>
      <c r="CG58" s="451">
        <f>IFERROR(IF(AND(CG$4&gt;Construction_Start_Date,CG$4&lt;=Inputs!$E$27),(NORMDIST(CG$5-Inputs!$D$25,Inputs!$E$26/2,'(Z+) Dev Budget'!$D$80,TRUE())- NORMDIST(CG$5-Inputs!$D$25-1,Inputs!$E$26/2,'(Z+) Dev Budget'!$D$80,TRUE()))/(1-2* NORMDIST(0,Inputs!$E$26/2,'(Z+) Dev Budget'!$D$80,TRUE())),0),0)</f>
        <v>0</v>
      </c>
      <c r="CH58" s="451">
        <f>IFERROR(IF(AND(CH$4&gt;Construction_Start_Date,CH$4&lt;=Inputs!$E$27),(NORMDIST(CH$5-Inputs!$D$25,Inputs!$E$26/2,'(Z+) Dev Budget'!$D$80,TRUE())- NORMDIST(CH$5-Inputs!$D$25-1,Inputs!$E$26/2,'(Z+) Dev Budget'!$D$80,TRUE()))/(1-2* NORMDIST(0,Inputs!$E$26/2,'(Z+) Dev Budget'!$D$80,TRUE())),0),0)</f>
        <v>0</v>
      </c>
      <c r="CI58" s="451">
        <f>IFERROR(IF(AND(CI$4&gt;Construction_Start_Date,CI$4&lt;=Inputs!$E$27),(NORMDIST(CI$5-Inputs!$D$25,Inputs!$E$26/2,'(Z+) Dev Budget'!$D$80,TRUE())- NORMDIST(CI$5-Inputs!$D$25-1,Inputs!$E$26/2,'(Z+) Dev Budget'!$D$80,TRUE()))/(1-2* NORMDIST(0,Inputs!$E$26/2,'(Z+) Dev Budget'!$D$80,TRUE())),0),0)</f>
        <v>0</v>
      </c>
      <c r="CJ58" s="451">
        <f>IFERROR(IF(AND(CJ$4&gt;Construction_Start_Date,CJ$4&lt;=Inputs!$E$27),(NORMDIST(CJ$5-Inputs!$D$25,Inputs!$E$26/2,'(Z+) Dev Budget'!$D$80,TRUE())- NORMDIST(CJ$5-Inputs!$D$25-1,Inputs!$E$26/2,'(Z+) Dev Budget'!$D$80,TRUE()))/(1-2* NORMDIST(0,Inputs!$E$26/2,'(Z+) Dev Budget'!$D$80,TRUE())),0),0)</f>
        <v>0</v>
      </c>
      <c r="CK58" s="451">
        <f>IFERROR(IF(AND(CK$4&gt;Construction_Start_Date,CK$4&lt;=Inputs!$E$27),(NORMDIST(CK$5-Inputs!$D$25,Inputs!$E$26/2,'(Z+) Dev Budget'!$D$80,TRUE())- NORMDIST(CK$5-Inputs!$D$25-1,Inputs!$E$26/2,'(Z+) Dev Budget'!$D$80,TRUE()))/(1-2* NORMDIST(0,Inputs!$E$26/2,'(Z+) Dev Budget'!$D$80,TRUE())),0),0)</f>
        <v>0</v>
      </c>
      <c r="CL58" s="451">
        <f>IFERROR(IF(AND(CL$4&gt;Construction_Start_Date,CL$4&lt;=Inputs!$E$27),(NORMDIST(CL$5-Inputs!$D$25,Inputs!$E$26/2,'(Z+) Dev Budget'!$D$80,TRUE())- NORMDIST(CL$5-Inputs!$D$25-1,Inputs!$E$26/2,'(Z+) Dev Budget'!$D$80,TRUE()))/(1-2* NORMDIST(0,Inputs!$E$26/2,'(Z+) Dev Budget'!$D$80,TRUE())),0),0)</f>
        <v>0</v>
      </c>
      <c r="CM58" s="451">
        <f>IFERROR(IF(AND(CM$4&gt;Construction_Start_Date,CM$4&lt;=Inputs!$E$27),(NORMDIST(CM$5-Inputs!$D$25,Inputs!$E$26/2,'(Z+) Dev Budget'!$D$80,TRUE())- NORMDIST(CM$5-Inputs!$D$25-1,Inputs!$E$26/2,'(Z+) Dev Budget'!$D$80,TRUE()))/(1-2* NORMDIST(0,Inputs!$E$26/2,'(Z+) Dev Budget'!$D$80,TRUE())),0),0)</f>
        <v>0</v>
      </c>
      <c r="CN58" s="451">
        <f>IFERROR(IF(AND(CN$4&gt;Construction_Start_Date,CN$4&lt;=Inputs!$E$27),(NORMDIST(CN$5-Inputs!$D$25,Inputs!$E$26/2,'(Z+) Dev Budget'!$D$80,TRUE())- NORMDIST(CN$5-Inputs!$D$25-1,Inputs!$E$26/2,'(Z+) Dev Budget'!$D$80,TRUE()))/(1-2* NORMDIST(0,Inputs!$E$26/2,'(Z+) Dev Budget'!$D$80,TRUE())),0),0)</f>
        <v>0</v>
      </c>
      <c r="CO58" s="451">
        <f>IFERROR(IF(AND(CO$4&gt;Construction_Start_Date,CO$4&lt;=Inputs!$E$27),(NORMDIST(CO$5-Inputs!$D$25,Inputs!$E$26/2,'(Z+) Dev Budget'!$D$80,TRUE())- NORMDIST(CO$5-Inputs!$D$25-1,Inputs!$E$26/2,'(Z+) Dev Budget'!$D$80,TRUE()))/(1-2* NORMDIST(0,Inputs!$E$26/2,'(Z+) Dev Budget'!$D$80,TRUE())),0),0)</f>
        <v>0</v>
      </c>
      <c r="CP58" s="451">
        <f>IFERROR(IF(AND(CP$4&gt;Construction_Start_Date,CP$4&lt;=Inputs!$E$27),(NORMDIST(CP$5-Inputs!$D$25,Inputs!$E$26/2,'(Z+) Dev Budget'!$D$80,TRUE())- NORMDIST(CP$5-Inputs!$D$25-1,Inputs!$E$26/2,'(Z+) Dev Budget'!$D$80,TRUE()))/(1-2* NORMDIST(0,Inputs!$E$26/2,'(Z+) Dev Budget'!$D$80,TRUE())),0),0)</f>
        <v>0</v>
      </c>
      <c r="CQ58" s="451">
        <f>IFERROR(IF(AND(CQ$4&gt;Construction_Start_Date,CQ$4&lt;=Inputs!$E$27),(NORMDIST(CQ$5-Inputs!$D$25,Inputs!$E$26/2,'(Z+) Dev Budget'!$D$80,TRUE())- NORMDIST(CQ$5-Inputs!$D$25-1,Inputs!$E$26/2,'(Z+) Dev Budget'!$D$80,TRUE()))/(1-2* NORMDIST(0,Inputs!$E$26/2,'(Z+) Dev Budget'!$D$80,TRUE())),0),0)</f>
        <v>0</v>
      </c>
      <c r="CR58" s="451">
        <f>IFERROR(IF(AND(CR$4&gt;Construction_Start_Date,CR$4&lt;=Inputs!$E$27),(NORMDIST(CR$5-Inputs!$D$25,Inputs!$E$26/2,'(Z+) Dev Budget'!$D$80,TRUE())- NORMDIST(CR$5-Inputs!$D$25-1,Inputs!$E$26/2,'(Z+) Dev Budget'!$D$80,TRUE()))/(1-2* NORMDIST(0,Inputs!$E$26/2,'(Z+) Dev Budget'!$D$80,TRUE())),0),0)</f>
        <v>0</v>
      </c>
      <c r="CS58" s="451">
        <f>IFERROR(IF(AND(CS$4&gt;Construction_Start_Date,CS$4&lt;=Inputs!$E$27),(NORMDIST(CS$5-Inputs!$D$25,Inputs!$E$26/2,'(Z+) Dev Budget'!$D$80,TRUE())- NORMDIST(CS$5-Inputs!$D$25-1,Inputs!$E$26/2,'(Z+) Dev Budget'!$D$80,TRUE()))/(1-2* NORMDIST(0,Inputs!$E$26/2,'(Z+) Dev Budget'!$D$80,TRUE())),0),0)</f>
        <v>0</v>
      </c>
      <c r="CT58" s="451">
        <f>IFERROR(IF(AND(CT$4&gt;Construction_Start_Date,CT$4&lt;=Inputs!$E$27),(NORMDIST(CT$5-Inputs!$D$25,Inputs!$E$26/2,'(Z+) Dev Budget'!$D$80,TRUE())- NORMDIST(CT$5-Inputs!$D$25-1,Inputs!$E$26/2,'(Z+) Dev Budget'!$D$80,TRUE()))/(1-2* NORMDIST(0,Inputs!$E$26/2,'(Z+) Dev Budget'!$D$80,TRUE())),0),0)</f>
        <v>0</v>
      </c>
      <c r="CU58" s="451">
        <f>IFERROR(IF(AND(CU$4&gt;Construction_Start_Date,CU$4&lt;=Inputs!$E$27),(NORMDIST(CU$5-Inputs!$D$25,Inputs!$E$26/2,'(Z+) Dev Budget'!$D$80,TRUE())- NORMDIST(CU$5-Inputs!$D$25-1,Inputs!$E$26/2,'(Z+) Dev Budget'!$D$80,TRUE()))/(1-2* NORMDIST(0,Inputs!$E$26/2,'(Z+) Dev Budget'!$D$80,TRUE())),0),0)</f>
        <v>0</v>
      </c>
      <c r="CV58" s="451">
        <f>IFERROR(IF(AND(CV$4&gt;Construction_Start_Date,CV$4&lt;=Inputs!$E$27),(NORMDIST(CV$5-Inputs!$D$25,Inputs!$E$26/2,'(Z+) Dev Budget'!$D$80,TRUE())- NORMDIST(CV$5-Inputs!$D$25-1,Inputs!$E$26/2,'(Z+) Dev Budget'!$D$80,TRUE()))/(1-2* NORMDIST(0,Inputs!$E$26/2,'(Z+) Dev Budget'!$D$80,TRUE())),0),0)</f>
        <v>0</v>
      </c>
      <c r="CW58" s="451">
        <f>IFERROR(IF(AND(CW$4&gt;Construction_Start_Date,CW$4&lt;=Inputs!$E$27),(NORMDIST(CW$5-Inputs!$D$25,Inputs!$E$26/2,'(Z+) Dev Budget'!$D$80,TRUE())- NORMDIST(CW$5-Inputs!$D$25-1,Inputs!$E$26/2,'(Z+) Dev Budget'!$D$80,TRUE()))/(1-2* NORMDIST(0,Inputs!$E$26/2,'(Z+) Dev Budget'!$D$80,TRUE())),0),0)</f>
        <v>0</v>
      </c>
      <c r="CX58" s="451">
        <f>IFERROR(IF(AND(CX$4&gt;Construction_Start_Date,CX$4&lt;=Inputs!$E$27),(NORMDIST(CX$5-Inputs!$D$25,Inputs!$E$26/2,'(Z+) Dev Budget'!$D$80,TRUE())- NORMDIST(CX$5-Inputs!$D$25-1,Inputs!$E$26/2,'(Z+) Dev Budget'!$D$80,TRUE()))/(1-2* NORMDIST(0,Inputs!$E$26/2,'(Z+) Dev Budget'!$D$80,TRUE())),0),0)</f>
        <v>0</v>
      </c>
      <c r="CY58" s="451">
        <f>IFERROR(IF(AND(CY$4&gt;Construction_Start_Date,CY$4&lt;=Inputs!$E$27),(NORMDIST(CY$5-Inputs!$D$25,Inputs!$E$26/2,'(Z+) Dev Budget'!$D$80,TRUE())- NORMDIST(CY$5-Inputs!$D$25-1,Inputs!$E$26/2,'(Z+) Dev Budget'!$D$80,TRUE()))/(1-2* NORMDIST(0,Inputs!$E$26/2,'(Z+) Dev Budget'!$D$80,TRUE())),0),0)</f>
        <v>0</v>
      </c>
      <c r="CZ58" s="451">
        <f>IFERROR(IF(AND(CZ$4&gt;Construction_Start_Date,CZ$4&lt;=Inputs!$E$27),(NORMDIST(CZ$5-Inputs!$D$25,Inputs!$E$26/2,'(Z+) Dev Budget'!$D$80,TRUE())- NORMDIST(CZ$5-Inputs!$D$25-1,Inputs!$E$26/2,'(Z+) Dev Budget'!$D$80,TRUE()))/(1-2* NORMDIST(0,Inputs!$E$26/2,'(Z+) Dev Budget'!$D$80,TRUE())),0),0)</f>
        <v>0</v>
      </c>
      <c r="DA58" s="451">
        <f>IFERROR(IF(AND(DA$4&gt;Construction_Start_Date,DA$4&lt;=Inputs!$E$27),(NORMDIST(DA$5-Inputs!$D$25,Inputs!$E$26/2,'(Z+) Dev Budget'!$D$80,TRUE())- NORMDIST(DA$5-Inputs!$D$25-1,Inputs!$E$26/2,'(Z+) Dev Budget'!$D$80,TRUE()))/(1-2* NORMDIST(0,Inputs!$E$26/2,'(Z+) Dev Budget'!$D$80,TRUE())),0),0)</f>
        <v>0</v>
      </c>
      <c r="DB58" s="451">
        <f>IFERROR(IF(AND(DB$4&gt;Construction_Start_Date,DB$4&lt;=Inputs!$E$27),(NORMDIST(DB$5-Inputs!$D$25,Inputs!$E$26/2,'(Z+) Dev Budget'!$D$80,TRUE())- NORMDIST(DB$5-Inputs!$D$25-1,Inputs!$E$26/2,'(Z+) Dev Budget'!$D$80,TRUE()))/(1-2* NORMDIST(0,Inputs!$E$26/2,'(Z+) Dev Budget'!$D$80,TRUE())),0),0)</f>
        <v>0</v>
      </c>
      <c r="DC58" s="451">
        <f>IFERROR(IF(AND(DC$4&gt;Construction_Start_Date,DC$4&lt;=Inputs!$E$27),(NORMDIST(DC$5-Inputs!$D$25,Inputs!$E$26/2,'(Z+) Dev Budget'!$D$80,TRUE())- NORMDIST(DC$5-Inputs!$D$25-1,Inputs!$E$26/2,'(Z+) Dev Budget'!$D$80,TRUE()))/(1-2* NORMDIST(0,Inputs!$E$26/2,'(Z+) Dev Budget'!$D$80,TRUE())),0),0)</f>
        <v>0</v>
      </c>
      <c r="DD58" s="451">
        <f>IFERROR(IF(AND(DD$4&gt;Construction_Start_Date,DD$4&lt;=Inputs!$E$27),(NORMDIST(DD$5-Inputs!$D$25,Inputs!$E$26/2,'(Z+) Dev Budget'!$D$80,TRUE())- NORMDIST(DD$5-Inputs!$D$25-1,Inputs!$E$26/2,'(Z+) Dev Budget'!$D$80,TRUE()))/(1-2* NORMDIST(0,Inputs!$E$26/2,'(Z+) Dev Budget'!$D$80,TRUE())),0),0)</f>
        <v>0</v>
      </c>
      <c r="DE58" s="451">
        <f>IFERROR(IF(AND(DE$4&gt;Construction_Start_Date,DE$4&lt;=Inputs!$E$27),(NORMDIST(DE$5-Inputs!$D$25,Inputs!$E$26/2,'(Z+) Dev Budget'!$D$80,TRUE())- NORMDIST(DE$5-Inputs!$D$25-1,Inputs!$E$26/2,'(Z+) Dev Budget'!$D$80,TRUE()))/(1-2* NORMDIST(0,Inputs!$E$26/2,'(Z+) Dev Budget'!$D$80,TRUE())),0),0)</f>
        <v>0</v>
      </c>
      <c r="DF58" s="451">
        <f>IFERROR(IF(AND(DF$4&gt;Construction_Start_Date,DF$4&lt;=Inputs!$E$27),(NORMDIST(DF$5-Inputs!$D$25,Inputs!$E$26/2,'(Z+) Dev Budget'!$D$80,TRUE())- NORMDIST(DF$5-Inputs!$D$25-1,Inputs!$E$26/2,'(Z+) Dev Budget'!$D$80,TRUE()))/(1-2* NORMDIST(0,Inputs!$E$26/2,'(Z+) Dev Budget'!$D$80,TRUE())),0),0)</f>
        <v>0</v>
      </c>
      <c r="DG58" s="451">
        <f>IFERROR(IF(AND(DG$4&gt;Construction_Start_Date,DG$4&lt;=Inputs!$E$27),(NORMDIST(DG$5-Inputs!$D$25,Inputs!$E$26/2,'(Z+) Dev Budget'!$D$80,TRUE())- NORMDIST(DG$5-Inputs!$D$25-1,Inputs!$E$26/2,'(Z+) Dev Budget'!$D$80,TRUE()))/(1-2* NORMDIST(0,Inputs!$E$26/2,'(Z+) Dev Budget'!$D$80,TRUE())),0),0)</f>
        <v>0</v>
      </c>
      <c r="DH58" s="451">
        <f>IFERROR(IF(AND(DH$4&gt;Construction_Start_Date,DH$4&lt;=Inputs!$E$27),(NORMDIST(DH$5-Inputs!$D$25,Inputs!$E$26/2,'(Z+) Dev Budget'!$D$80,TRUE())- NORMDIST(DH$5-Inputs!$D$25-1,Inputs!$E$26/2,'(Z+) Dev Budget'!$D$80,TRUE()))/(1-2* NORMDIST(0,Inputs!$E$26/2,'(Z+) Dev Budget'!$D$80,TRUE())),0),0)</f>
        <v>0</v>
      </c>
      <c r="DI58" s="451">
        <f>IFERROR(IF(AND(DI$4&gt;Construction_Start_Date,DI$4&lt;=Inputs!$E$27),(NORMDIST(DI$5-Inputs!$D$25,Inputs!$E$26/2,'(Z+) Dev Budget'!$D$80,TRUE())- NORMDIST(DI$5-Inputs!$D$25-1,Inputs!$E$26/2,'(Z+) Dev Budget'!$D$80,TRUE()))/(1-2* NORMDIST(0,Inputs!$E$26/2,'(Z+) Dev Budget'!$D$80,TRUE())),0),0)</f>
        <v>0</v>
      </c>
      <c r="DJ58" s="451">
        <f>IFERROR(IF(AND(DJ$4&gt;Construction_Start_Date,DJ$4&lt;=Inputs!$E$27),(NORMDIST(DJ$5-Inputs!$D$25,Inputs!$E$26/2,'(Z+) Dev Budget'!$D$80,TRUE())- NORMDIST(DJ$5-Inputs!$D$25-1,Inputs!$E$26/2,'(Z+) Dev Budget'!$D$80,TRUE()))/(1-2* NORMDIST(0,Inputs!$E$26/2,'(Z+) Dev Budget'!$D$80,TRUE())),0),0)</f>
        <v>0</v>
      </c>
      <c r="DK58" s="451">
        <f>IFERROR(IF(AND(DK$4&gt;Construction_Start_Date,DK$4&lt;=Inputs!$E$27),(NORMDIST(DK$5-Inputs!$D$25,Inputs!$E$26/2,'(Z+) Dev Budget'!$D$80,TRUE())- NORMDIST(DK$5-Inputs!$D$25-1,Inputs!$E$26/2,'(Z+) Dev Budget'!$D$80,TRUE()))/(1-2* NORMDIST(0,Inputs!$E$26/2,'(Z+) Dev Budget'!$D$80,TRUE())),0),0)</f>
        <v>0</v>
      </c>
      <c r="DL58" s="451">
        <f>IFERROR(IF(AND(DL$4&gt;Construction_Start_Date,DL$4&lt;=Inputs!$E$27),(NORMDIST(DL$5-Inputs!$D$25,Inputs!$E$26/2,'(Z+) Dev Budget'!$D$80,TRUE())- NORMDIST(DL$5-Inputs!$D$25-1,Inputs!$E$26/2,'(Z+) Dev Budget'!$D$80,TRUE()))/(1-2* NORMDIST(0,Inputs!$E$26/2,'(Z+) Dev Budget'!$D$80,TRUE())),0),0)</f>
        <v>0</v>
      </c>
      <c r="DM58" s="451">
        <f>IFERROR(IF(AND(DM$4&gt;Construction_Start_Date,DM$4&lt;=Inputs!$E$27),(NORMDIST(DM$5-Inputs!$D$25,Inputs!$E$26/2,'(Z+) Dev Budget'!$D$80,TRUE())- NORMDIST(DM$5-Inputs!$D$25-1,Inputs!$E$26/2,'(Z+) Dev Budget'!$D$80,TRUE()))/(1-2* NORMDIST(0,Inputs!$E$26/2,'(Z+) Dev Budget'!$D$80,TRUE())),0),0)</f>
        <v>0</v>
      </c>
      <c r="DN58" s="451">
        <f>IFERROR(IF(AND(DN$4&gt;Construction_Start_Date,DN$4&lt;=Inputs!$E$27),(NORMDIST(DN$5-Inputs!$D$25,Inputs!$E$26/2,'(Z+) Dev Budget'!$D$80,TRUE())- NORMDIST(DN$5-Inputs!$D$25-1,Inputs!$E$26/2,'(Z+) Dev Budget'!$D$80,TRUE()))/(1-2* NORMDIST(0,Inputs!$E$26/2,'(Z+) Dev Budget'!$D$80,TRUE())),0),0)</f>
        <v>0</v>
      </c>
      <c r="DO58" s="451">
        <f>IFERROR(IF(AND(DO$4&gt;Construction_Start_Date,DO$4&lt;=Inputs!$E$27),(NORMDIST(DO$5-Inputs!$D$25,Inputs!$E$26/2,'(Z+) Dev Budget'!$D$80,TRUE())- NORMDIST(DO$5-Inputs!$D$25-1,Inputs!$E$26/2,'(Z+) Dev Budget'!$D$80,TRUE()))/(1-2* NORMDIST(0,Inputs!$E$26/2,'(Z+) Dev Budget'!$D$80,TRUE())),0),0)</f>
        <v>0</v>
      </c>
      <c r="DP58" s="451">
        <f>IFERROR(IF(AND(DP$4&gt;Construction_Start_Date,DP$4&lt;=Inputs!$E$27),(NORMDIST(DP$5-Inputs!$D$25,Inputs!$E$26/2,'(Z+) Dev Budget'!$D$80,TRUE())- NORMDIST(DP$5-Inputs!$D$25-1,Inputs!$E$26/2,'(Z+) Dev Budget'!$D$80,TRUE()))/(1-2* NORMDIST(0,Inputs!$E$26/2,'(Z+) Dev Budget'!$D$80,TRUE())),0),0)</f>
        <v>0</v>
      </c>
      <c r="DQ58" s="451">
        <f>IFERROR(IF(AND(DQ$4&gt;Construction_Start_Date,DQ$4&lt;=Inputs!$E$27),(NORMDIST(DQ$5-Inputs!$D$25,Inputs!$E$26/2,'(Z+) Dev Budget'!$D$80,TRUE())- NORMDIST(DQ$5-Inputs!$D$25-1,Inputs!$E$26/2,'(Z+) Dev Budget'!$D$80,TRUE()))/(1-2* NORMDIST(0,Inputs!$E$26/2,'(Z+) Dev Budget'!$D$80,TRUE())),0),0)</f>
        <v>0</v>
      </c>
      <c r="DR58" s="451">
        <f>IFERROR(IF(AND(DR$4&gt;Construction_Start_Date,DR$4&lt;=Inputs!$E$27),(NORMDIST(DR$5-Inputs!$D$25,Inputs!$E$26/2,'(Z+) Dev Budget'!$D$80,TRUE())- NORMDIST(DR$5-Inputs!$D$25-1,Inputs!$E$26/2,'(Z+) Dev Budget'!$D$80,TRUE()))/(1-2* NORMDIST(0,Inputs!$E$26/2,'(Z+) Dev Budget'!$D$80,TRUE())),0),0)</f>
        <v>0</v>
      </c>
      <c r="DS58" s="451">
        <f>IFERROR(IF(AND(DS$4&gt;Construction_Start_Date,DS$4&lt;=Inputs!$E$27),(NORMDIST(DS$5-Inputs!$D$25,Inputs!$E$26/2,'(Z+) Dev Budget'!$D$80,TRUE())- NORMDIST(DS$5-Inputs!$D$25-1,Inputs!$E$26/2,'(Z+) Dev Budget'!$D$80,TRUE()))/(1-2* NORMDIST(0,Inputs!$E$26/2,'(Z+) Dev Budget'!$D$80,TRUE())),0),0)</f>
        <v>0</v>
      </c>
      <c r="DT58" s="451">
        <f>IFERROR(IF(AND(DT$4&gt;Construction_Start_Date,DT$4&lt;=Inputs!$E$27),(NORMDIST(DT$5-Inputs!$D$25,Inputs!$E$26/2,'(Z+) Dev Budget'!$D$80,TRUE())- NORMDIST(DT$5-Inputs!$D$25-1,Inputs!$E$26/2,'(Z+) Dev Budget'!$D$80,TRUE()))/(1-2* NORMDIST(0,Inputs!$E$26/2,'(Z+) Dev Budget'!$D$80,TRUE())),0),0)</f>
        <v>0</v>
      </c>
      <c r="DU58" s="451">
        <f>IFERROR(IF(AND(DU$4&gt;Construction_Start_Date,DU$4&lt;=Inputs!$E$27),(NORMDIST(DU$5-Inputs!$D$25,Inputs!$E$26/2,'(Z+) Dev Budget'!$D$80,TRUE())- NORMDIST(DU$5-Inputs!$D$25-1,Inputs!$E$26/2,'(Z+) Dev Budget'!$D$80,TRUE()))/(1-2* NORMDIST(0,Inputs!$E$26/2,'(Z+) Dev Budget'!$D$80,TRUE())),0),0)</f>
        <v>0</v>
      </c>
    </row>
    <row r="59" spans="1:125" x14ac:dyDescent="0.25">
      <c r="A59" s="427" t="s">
        <v>503</v>
      </c>
      <c r="B59" s="394"/>
      <c r="C59" s="394"/>
      <c r="D59" s="452">
        <f>IFERROR(SUM(F59:HB59),0)</f>
        <v>1</v>
      </c>
      <c r="E59" s="394"/>
      <c r="F59" s="453">
        <f>IFERROR(IF(AND(F$4&gt;Greenlight_Date,F$4&lt;=Construction_Start_Date),(NORMDIST(F$5-Greenlight_Mo,(Inputs!$D$25-Greenlight_Mo)/2,'(Z+) Dev Budget'!$D$80,TRUE())-NORMDIST(F$5-Greenlight_Mo-1,(Inputs!$D$25-Greenlight_Mo)/2,'(Z+) Dev Budget'!$D$80,TRUE()))/(1-2*NORMDIST(0,(Inputs!$D$25-Greenlight_Mo)/2,'(Z+) Dev Budget'!$D$80,TRUE())),0),0)</f>
        <v>0</v>
      </c>
      <c r="G59" s="453">
        <f>IFERROR(IF(AND(G$4&gt;Greenlight_Date,G$4&lt;=Construction_Start_Date),(NORMDIST(G$5-Greenlight_Mo,(Inputs!$D$25-Greenlight_Mo)/2,'(Z+) Dev Budget'!$D$80,TRUE())-NORMDIST(G$5-Greenlight_Mo-1,(Inputs!$D$25-Greenlight_Mo)/2,'(Z+) Dev Budget'!$D$80,TRUE()))/(1-2*NORMDIST(0,(Inputs!$D$25-Greenlight_Mo)/2,'(Z+) Dev Budget'!$D$80,TRUE())),0),0)</f>
        <v>0</v>
      </c>
      <c r="H59" s="453">
        <f>IFERROR(IF(AND(H$4&gt;Greenlight_Date,H$4&lt;=Construction_Start_Date),(NORMDIST(H$5-Greenlight_Mo,(Inputs!$D$25-Greenlight_Mo)/2,'(Z+) Dev Budget'!$D$80,TRUE())-NORMDIST(H$5-Greenlight_Mo-1,(Inputs!$D$25-Greenlight_Mo)/2,'(Z+) Dev Budget'!$D$80,TRUE()))/(1-2*NORMDIST(0,(Inputs!$D$25-Greenlight_Mo)/2,'(Z+) Dev Budget'!$D$80,TRUE())),0),0)</f>
        <v>0</v>
      </c>
      <c r="I59" s="453">
        <f>IFERROR(IF(AND(I$4&gt;Greenlight_Date,I$4&lt;=Construction_Start_Date),(NORMDIST(I$5-Greenlight_Mo,(Inputs!$D$25-Greenlight_Mo)/2,'(Z+) Dev Budget'!$D$80,TRUE())-NORMDIST(I$5-Greenlight_Mo-1,(Inputs!$D$25-Greenlight_Mo)/2,'(Z+) Dev Budget'!$D$80,TRUE()))/(1-2*NORMDIST(0,(Inputs!$D$25-Greenlight_Mo)/2,'(Z+) Dev Budget'!$D$80,TRUE())),0),0)</f>
        <v>0</v>
      </c>
      <c r="J59" s="454">
        <f>IFERROR(IF(AND(J$4&gt;Greenlight_Date,J$4&lt;=Construction_Start_Date),(NORMDIST(J$5-Greenlight_Mo,(Inputs!$D$25-Greenlight_Mo)/2,'(Z+) Dev Budget'!$D$80,TRUE())-NORMDIST(J$5-Greenlight_Mo-1,(Inputs!$D$25-Greenlight_Mo)/2,'(Z+) Dev Budget'!$D$80,TRUE()))/(1-2*NORMDIST(0,(Inputs!$D$25-Greenlight_Mo)/2,'(Z+) Dev Budget'!$D$80,TRUE())),0),0)</f>
        <v>0.15576104515530939</v>
      </c>
      <c r="K59" s="454">
        <f>IFERROR(IF(AND(K$4&gt;Greenlight_Date,K$4&lt;=Construction_Start_Date),(NORMDIST(K$5-Greenlight_Mo,(Inputs!$D$25-Greenlight_Mo)/2,'(Z+) Dev Budget'!$D$80,TRUE())-NORMDIST(K$5-Greenlight_Mo-1,(Inputs!$D$25-Greenlight_Mo)/2,'(Z+) Dev Budget'!$D$80,TRUE()))/(1-2*NORMDIST(0,(Inputs!$D$25-Greenlight_Mo)/2,'(Z+) Dev Budget'!$D$80,TRUE())),0),0)</f>
        <v>0.16868900117721561</v>
      </c>
      <c r="L59" s="454">
        <f>IFERROR(IF(AND(L$4&gt;Greenlight_Date,L$4&lt;=Construction_Start_Date),(NORMDIST(L$5-Greenlight_Mo,(Inputs!$D$25-Greenlight_Mo)/2,'(Z+) Dev Budget'!$D$80,TRUE())-NORMDIST(L$5-Greenlight_Mo-1,(Inputs!$D$25-Greenlight_Mo)/2,'(Z+) Dev Budget'!$D$80,TRUE()))/(1-2*NORMDIST(0,(Inputs!$D$25-Greenlight_Mo)/2,'(Z+) Dev Budget'!$D$80,TRUE())),0),0)</f>
        <v>0.175549953667475</v>
      </c>
      <c r="M59" s="454">
        <f>IFERROR(IF(AND(M$4&gt;Greenlight_Date,M$4&lt;=Construction_Start_Date),(NORMDIST(M$5-Greenlight_Mo,(Inputs!$D$25-Greenlight_Mo)/2,'(Z+) Dev Budget'!$D$80,TRUE())-NORMDIST(M$5-Greenlight_Mo-1,(Inputs!$D$25-Greenlight_Mo)/2,'(Z+) Dev Budget'!$D$80,TRUE()))/(1-2*NORMDIST(0,(Inputs!$D$25-Greenlight_Mo)/2,'(Z+) Dev Budget'!$D$80,TRUE())),0),0)</f>
        <v>0.17554995366747486</v>
      </c>
      <c r="N59" s="454">
        <f>IFERROR(IF(AND(N$4&gt;Greenlight_Date,N$4&lt;=Construction_Start_Date),(NORMDIST(N$5-Greenlight_Mo,(Inputs!$D$25-Greenlight_Mo)/2,'(Z+) Dev Budget'!$D$80,TRUE())-NORMDIST(N$5-Greenlight_Mo-1,(Inputs!$D$25-Greenlight_Mo)/2,'(Z+) Dev Budget'!$D$80,TRUE()))/(1-2*NORMDIST(0,(Inputs!$D$25-Greenlight_Mo)/2,'(Z+) Dev Budget'!$D$80,TRUE())),0),0)</f>
        <v>0.16868900117721586</v>
      </c>
      <c r="O59" s="454">
        <f>IFERROR(IF(AND(O$4&gt;Greenlight_Date,O$4&lt;=Construction_Start_Date),(NORMDIST(O$5-Greenlight_Mo,(Inputs!$D$25-Greenlight_Mo)/2,'(Z+) Dev Budget'!$D$80,TRUE())-NORMDIST(O$5-Greenlight_Mo-1,(Inputs!$D$25-Greenlight_Mo)/2,'(Z+) Dev Budget'!$D$80,TRUE()))/(1-2*NORMDIST(0,(Inputs!$D$25-Greenlight_Mo)/2,'(Z+) Dev Budget'!$D$80,TRUE())),0),0)</f>
        <v>0.15576104515530928</v>
      </c>
      <c r="P59" s="454">
        <f>IFERROR(IF(AND(P$4&gt;Greenlight_Date,P$4&lt;=Construction_Start_Date),(NORMDIST(P$5-Greenlight_Mo,(Inputs!$D$25-Greenlight_Mo)/2,'(Z+) Dev Budget'!$D$80,TRUE())-NORMDIST(P$5-Greenlight_Mo-1,(Inputs!$D$25-Greenlight_Mo)/2,'(Z+) Dev Budget'!$D$80,TRUE()))/(1-2*NORMDIST(0,(Inputs!$D$25-Greenlight_Mo)/2,'(Z+) Dev Budget'!$D$80,TRUE())),0),0)</f>
        <v>0</v>
      </c>
      <c r="Q59" s="454">
        <f>IFERROR(IF(AND(Q$4&gt;Greenlight_Date,Q$4&lt;=Construction_Start_Date),(NORMDIST(Q$5-Greenlight_Mo,(Inputs!$D$25-Greenlight_Mo)/2,'(Z+) Dev Budget'!$D$80,TRUE())-NORMDIST(Q$5-Greenlight_Mo-1,(Inputs!$D$25-Greenlight_Mo)/2,'(Z+) Dev Budget'!$D$80,TRUE()))/(1-2*NORMDIST(0,(Inputs!$D$25-Greenlight_Mo)/2,'(Z+) Dev Budget'!$D$80,TRUE())),0),0)</f>
        <v>0</v>
      </c>
      <c r="R59" s="454">
        <f>IFERROR(IF(AND(R$4&gt;Greenlight_Date,R$4&lt;=Construction_Start_Date),(NORMDIST(R$5-Greenlight_Mo,(Inputs!$D$25-Greenlight_Mo)/2,'(Z+) Dev Budget'!$D$80,TRUE())-NORMDIST(R$5-Greenlight_Mo-1,(Inputs!$D$25-Greenlight_Mo)/2,'(Z+) Dev Budget'!$D$80,TRUE()))/(1-2*NORMDIST(0,(Inputs!$D$25-Greenlight_Mo)/2,'(Z+) Dev Budget'!$D$80,TRUE())),0),0)</f>
        <v>0</v>
      </c>
      <c r="S59" s="454">
        <f>IFERROR(IF(AND(S$4&gt;Greenlight_Date,S$4&lt;=Construction_Start_Date),(NORMDIST(S$5-Greenlight_Mo,(Inputs!$D$25-Greenlight_Mo)/2,'(Z+) Dev Budget'!$D$80,TRUE())-NORMDIST(S$5-Greenlight_Mo-1,(Inputs!$D$25-Greenlight_Mo)/2,'(Z+) Dev Budget'!$D$80,TRUE()))/(1-2*NORMDIST(0,(Inputs!$D$25-Greenlight_Mo)/2,'(Z+) Dev Budget'!$D$80,TRUE())),0),0)</f>
        <v>0</v>
      </c>
      <c r="T59" s="454">
        <f>IFERROR(IF(AND(T$4&gt;Greenlight_Date,T$4&lt;=Construction_Start_Date),(NORMDIST(T$5-Greenlight_Mo,(Inputs!$D$25-Greenlight_Mo)/2,'(Z+) Dev Budget'!$D$80,TRUE())-NORMDIST(T$5-Greenlight_Mo-1,(Inputs!$D$25-Greenlight_Mo)/2,'(Z+) Dev Budget'!$D$80,TRUE()))/(1-2*NORMDIST(0,(Inputs!$D$25-Greenlight_Mo)/2,'(Z+) Dev Budget'!$D$80,TRUE())),0),0)</f>
        <v>0</v>
      </c>
      <c r="U59" s="455">
        <f>IFERROR(IF(AND(U$4&gt;Greenlight_Date,U$4&lt;=Construction_Start_Date),(NORMDIST(U$5-Greenlight_Mo,(Inputs!$D$25-Greenlight_Mo)/2,'(Z+) Dev Budget'!$D$80,TRUE())-NORMDIST(U$5-Greenlight_Mo-1,(Inputs!$D$25-Greenlight_Mo)/2,'(Z+) Dev Budget'!$D$80,TRUE()))/(1-2*NORMDIST(0,(Inputs!$D$25-Greenlight_Mo)/2,'(Z+) Dev Budget'!$D$80,TRUE())),0),0)</f>
        <v>0</v>
      </c>
      <c r="V59" s="455">
        <f>IFERROR(IF(AND(V$4&gt;Greenlight_Date,V$4&lt;=Construction_Start_Date),(NORMDIST(V$5-Greenlight_Mo,(Inputs!$D$25-Greenlight_Mo)/2,'(Z+) Dev Budget'!$D$80,TRUE())-NORMDIST(V$5-Greenlight_Mo-1,(Inputs!$D$25-Greenlight_Mo)/2,'(Z+) Dev Budget'!$D$80,TRUE()))/(1-2*NORMDIST(0,(Inputs!$D$25-Greenlight_Mo)/2,'(Z+) Dev Budget'!$D$80,TRUE())),0),0)</f>
        <v>0</v>
      </c>
      <c r="W59" s="455">
        <f>IFERROR(IF(AND(W$4&gt;Greenlight_Date,W$4&lt;=Construction_Start_Date),(NORMDIST(W$5-Greenlight_Mo,(Inputs!$D$25-Greenlight_Mo)/2,'(Z+) Dev Budget'!$D$80,TRUE())-NORMDIST(W$5-Greenlight_Mo-1,(Inputs!$D$25-Greenlight_Mo)/2,'(Z+) Dev Budget'!$D$80,TRUE()))/(1-2*NORMDIST(0,(Inputs!$D$25-Greenlight_Mo)/2,'(Z+) Dev Budget'!$D$80,TRUE())),0),0)</f>
        <v>0</v>
      </c>
      <c r="X59" s="455">
        <f>IFERROR(IF(AND(X$4&gt;Greenlight_Date,X$4&lt;=Construction_Start_Date),(NORMDIST(X$5-Greenlight_Mo,(Inputs!$D$25-Greenlight_Mo)/2,'(Z+) Dev Budget'!$D$80,TRUE())-NORMDIST(X$5-Greenlight_Mo-1,(Inputs!$D$25-Greenlight_Mo)/2,'(Z+) Dev Budget'!$D$80,TRUE()))/(1-2*NORMDIST(0,(Inputs!$D$25-Greenlight_Mo)/2,'(Z+) Dev Budget'!$D$80,TRUE())),0),0)</f>
        <v>0</v>
      </c>
      <c r="Y59" s="455">
        <f>IFERROR(IF(AND(Y$4&gt;Greenlight_Date,Y$4&lt;=Construction_Start_Date),(NORMDIST(Y$5-Greenlight_Mo,(Inputs!$D$25-Greenlight_Mo)/2,'(Z+) Dev Budget'!$D$80,TRUE())-NORMDIST(Y$5-Greenlight_Mo-1,(Inputs!$D$25-Greenlight_Mo)/2,'(Z+) Dev Budget'!$D$80,TRUE()))/(1-2*NORMDIST(0,(Inputs!$D$25-Greenlight_Mo)/2,'(Z+) Dev Budget'!$D$80,TRUE())),0),0)</f>
        <v>0</v>
      </c>
      <c r="Z59" s="455">
        <f>IFERROR(IF(AND(Z$4&gt;Greenlight_Date,Z$4&lt;=Construction_Start_Date),(NORMDIST(Z$5-Greenlight_Mo,(Inputs!$D$25-Greenlight_Mo)/2,'(Z+) Dev Budget'!$D$80,TRUE())-NORMDIST(Z$5-Greenlight_Mo-1,(Inputs!$D$25-Greenlight_Mo)/2,'(Z+) Dev Budget'!$D$80,TRUE()))/(1-2*NORMDIST(0,(Inputs!$D$25-Greenlight_Mo)/2,'(Z+) Dev Budget'!$D$80,TRUE())),0),0)</f>
        <v>0</v>
      </c>
      <c r="AA59" s="455">
        <f>IFERROR(IF(AND(AA$4&gt;Greenlight_Date,AA$4&lt;=Construction_Start_Date),(NORMDIST(AA$5-Greenlight_Mo,(Inputs!$D$25-Greenlight_Mo)/2,'(Z+) Dev Budget'!$D$80,TRUE())-NORMDIST(AA$5-Greenlight_Mo-1,(Inputs!$D$25-Greenlight_Mo)/2,'(Z+) Dev Budget'!$D$80,TRUE()))/(1-2*NORMDIST(0,(Inputs!$D$25-Greenlight_Mo)/2,'(Z+) Dev Budget'!$D$80,TRUE())),0),0)</f>
        <v>0</v>
      </c>
      <c r="AB59" s="455">
        <f>IFERROR(IF(AND(AB$4&gt;Greenlight_Date,AB$4&lt;=Construction_Start_Date),(NORMDIST(AB$5-Greenlight_Mo,(Inputs!$D$25-Greenlight_Mo)/2,'(Z+) Dev Budget'!$D$80,TRUE())-NORMDIST(AB$5-Greenlight_Mo-1,(Inputs!$D$25-Greenlight_Mo)/2,'(Z+) Dev Budget'!$D$80,TRUE()))/(1-2*NORMDIST(0,(Inputs!$D$25-Greenlight_Mo)/2,'(Z+) Dev Budget'!$D$80,TRUE())),0),0)</f>
        <v>0</v>
      </c>
      <c r="AC59" s="455">
        <f>IFERROR(IF(AND(AC$4&gt;Greenlight_Date,AC$4&lt;=Construction_Start_Date),(NORMDIST(AC$5-Greenlight_Mo,(Inputs!$D$25-Greenlight_Mo)/2,'(Z+) Dev Budget'!$D$80,TRUE())-NORMDIST(AC$5-Greenlight_Mo-1,(Inputs!$D$25-Greenlight_Mo)/2,'(Z+) Dev Budget'!$D$80,TRUE()))/(1-2*NORMDIST(0,(Inputs!$D$25-Greenlight_Mo)/2,'(Z+) Dev Budget'!$D$80,TRUE())),0),0)</f>
        <v>0</v>
      </c>
      <c r="AD59" s="455">
        <f>IFERROR(IF(AND(AD$4&gt;Greenlight_Date,AD$4&lt;=Construction_Start_Date),(NORMDIST(AD$5-Greenlight_Mo,(Inputs!$D$25-Greenlight_Mo)/2,'(Z+) Dev Budget'!$D$80,TRUE())-NORMDIST(AD$5-Greenlight_Mo-1,(Inputs!$D$25-Greenlight_Mo)/2,'(Z+) Dev Budget'!$D$80,TRUE()))/(1-2*NORMDIST(0,(Inputs!$D$25-Greenlight_Mo)/2,'(Z+) Dev Budget'!$D$80,TRUE())),0),0)</f>
        <v>0</v>
      </c>
      <c r="AE59" s="455">
        <f>IFERROR(IF(AND(AE$4&gt;Greenlight_Date,AE$4&lt;=Construction_Start_Date),(NORMDIST(AE$5-Greenlight_Mo,(Inputs!$D$25-Greenlight_Mo)/2,'(Z+) Dev Budget'!$D$80,TRUE())-NORMDIST(AE$5-Greenlight_Mo-1,(Inputs!$D$25-Greenlight_Mo)/2,'(Z+) Dev Budget'!$D$80,TRUE()))/(1-2*NORMDIST(0,(Inputs!$D$25-Greenlight_Mo)/2,'(Z+) Dev Budget'!$D$80,TRUE())),0),0)</f>
        <v>0</v>
      </c>
      <c r="AF59" s="455">
        <f>IFERROR(IF(AND(AF$4&gt;Greenlight_Date,AF$4&lt;=Construction_Start_Date),(NORMDIST(AF$5-Greenlight_Mo,(Inputs!$D$25-Greenlight_Mo)/2,'(Z+) Dev Budget'!$D$80,TRUE())-NORMDIST(AF$5-Greenlight_Mo-1,(Inputs!$D$25-Greenlight_Mo)/2,'(Z+) Dev Budget'!$D$80,TRUE()))/(1-2*NORMDIST(0,(Inputs!$D$25-Greenlight_Mo)/2,'(Z+) Dev Budget'!$D$80,TRUE())),0),0)</f>
        <v>0</v>
      </c>
      <c r="AG59" s="455">
        <f>IFERROR(IF(AND(AG$4&gt;Greenlight_Date,AG$4&lt;=Construction_Start_Date),(NORMDIST(AG$5-Greenlight_Mo,(Inputs!$D$25-Greenlight_Mo)/2,'(Z+) Dev Budget'!$D$80,TRUE())-NORMDIST(AG$5-Greenlight_Mo-1,(Inputs!$D$25-Greenlight_Mo)/2,'(Z+) Dev Budget'!$D$80,TRUE()))/(1-2*NORMDIST(0,(Inputs!$D$25-Greenlight_Mo)/2,'(Z+) Dev Budget'!$D$80,TRUE())),0),0)</f>
        <v>0</v>
      </c>
      <c r="AH59" s="455">
        <f>IFERROR(IF(AND(AH$4&gt;Greenlight_Date,AH$4&lt;=Construction_Start_Date),(NORMDIST(AH$5-Greenlight_Mo,(Inputs!$D$25-Greenlight_Mo)/2,'(Z+) Dev Budget'!$D$80,TRUE())-NORMDIST(AH$5-Greenlight_Mo-1,(Inputs!$D$25-Greenlight_Mo)/2,'(Z+) Dev Budget'!$D$80,TRUE()))/(1-2*NORMDIST(0,(Inputs!$D$25-Greenlight_Mo)/2,'(Z+) Dev Budget'!$D$80,TRUE())),0),0)</f>
        <v>0</v>
      </c>
      <c r="AI59" s="455">
        <f>IFERROR(IF(AND(AI$4&gt;Greenlight_Date,AI$4&lt;=Construction_Start_Date),(NORMDIST(AI$5-Greenlight_Mo,(Inputs!$D$25-Greenlight_Mo)/2,'(Z+) Dev Budget'!$D$80,TRUE())-NORMDIST(AI$5-Greenlight_Mo-1,(Inputs!$D$25-Greenlight_Mo)/2,'(Z+) Dev Budget'!$D$80,TRUE()))/(1-2*NORMDIST(0,(Inputs!$D$25-Greenlight_Mo)/2,'(Z+) Dev Budget'!$D$80,TRUE())),0),0)</f>
        <v>0</v>
      </c>
      <c r="AJ59" s="455">
        <f>IFERROR(IF(AND(AJ$4&gt;Greenlight_Date,AJ$4&lt;=Construction_Start_Date),(NORMDIST(AJ$5-Greenlight_Mo,(Inputs!$D$25-Greenlight_Mo)/2,'(Z+) Dev Budget'!$D$80,TRUE())-NORMDIST(AJ$5-Greenlight_Mo-1,(Inputs!$D$25-Greenlight_Mo)/2,'(Z+) Dev Budget'!$D$80,TRUE()))/(1-2*NORMDIST(0,(Inputs!$D$25-Greenlight_Mo)/2,'(Z+) Dev Budget'!$D$80,TRUE())),0),0)</f>
        <v>0</v>
      </c>
      <c r="AK59" s="455">
        <f>IFERROR(IF(AND(AK$4&gt;Greenlight_Date,AK$4&lt;=Construction_Start_Date),(NORMDIST(AK$5-Greenlight_Mo,(Inputs!$D$25-Greenlight_Mo)/2,'(Z+) Dev Budget'!$D$80,TRUE())-NORMDIST(AK$5-Greenlight_Mo-1,(Inputs!$D$25-Greenlight_Mo)/2,'(Z+) Dev Budget'!$D$80,TRUE()))/(1-2*NORMDIST(0,(Inputs!$D$25-Greenlight_Mo)/2,'(Z+) Dev Budget'!$D$80,TRUE())),0),0)</f>
        <v>0</v>
      </c>
      <c r="AL59" s="455">
        <f>IFERROR(IF(AND(AL$4&gt;Greenlight_Date,AL$4&lt;=Construction_Start_Date),(NORMDIST(AL$5-Greenlight_Mo,(Inputs!$D$25-Greenlight_Mo)/2,'(Z+) Dev Budget'!$D$80,TRUE())-NORMDIST(AL$5-Greenlight_Mo-1,(Inputs!$D$25-Greenlight_Mo)/2,'(Z+) Dev Budget'!$D$80,TRUE()))/(1-2*NORMDIST(0,(Inputs!$D$25-Greenlight_Mo)/2,'(Z+) Dev Budget'!$D$80,TRUE())),0),0)</f>
        <v>0</v>
      </c>
      <c r="AM59" s="455">
        <f>IFERROR(IF(AND(AM$4&gt;Greenlight_Date,AM$4&lt;=Construction_Start_Date),(NORMDIST(AM$5-Greenlight_Mo,(Inputs!$D$25-Greenlight_Mo)/2,'(Z+) Dev Budget'!$D$80,TRUE())-NORMDIST(AM$5-Greenlight_Mo-1,(Inputs!$D$25-Greenlight_Mo)/2,'(Z+) Dev Budget'!$D$80,TRUE()))/(1-2*NORMDIST(0,(Inputs!$D$25-Greenlight_Mo)/2,'(Z+) Dev Budget'!$D$80,TRUE())),0),0)</f>
        <v>0</v>
      </c>
      <c r="AN59" s="455">
        <f>IFERROR(IF(AND(AN$4&gt;Greenlight_Date,AN$4&lt;=Construction_Start_Date),(NORMDIST(AN$5-Greenlight_Mo,(Inputs!$D$25-Greenlight_Mo)/2,'(Z+) Dev Budget'!$D$80,TRUE())-NORMDIST(AN$5-Greenlight_Mo-1,(Inputs!$D$25-Greenlight_Mo)/2,'(Z+) Dev Budget'!$D$80,TRUE()))/(1-2*NORMDIST(0,(Inputs!$D$25-Greenlight_Mo)/2,'(Z+) Dev Budget'!$D$80,TRUE())),0),0)</f>
        <v>0</v>
      </c>
      <c r="AO59" s="455">
        <f>IFERROR(IF(AND(AO$4&gt;Greenlight_Date,AO$4&lt;=Construction_Start_Date),(NORMDIST(AO$5-Greenlight_Mo,(Inputs!$D$25-Greenlight_Mo)/2,'(Z+) Dev Budget'!$D$80,TRUE())-NORMDIST(AO$5-Greenlight_Mo-1,(Inputs!$D$25-Greenlight_Mo)/2,'(Z+) Dev Budget'!$D$80,TRUE()))/(1-2*NORMDIST(0,(Inputs!$D$25-Greenlight_Mo)/2,'(Z+) Dev Budget'!$D$80,TRUE())),0),0)</f>
        <v>0</v>
      </c>
      <c r="AP59" s="455">
        <f>IFERROR(IF(AND(AP$4&gt;Greenlight_Date,AP$4&lt;=Construction_Start_Date),(NORMDIST(AP$5-Greenlight_Mo,(Inputs!$D$25-Greenlight_Mo)/2,'(Z+) Dev Budget'!$D$80,TRUE())-NORMDIST(AP$5-Greenlight_Mo-1,(Inputs!$D$25-Greenlight_Mo)/2,'(Z+) Dev Budget'!$D$80,TRUE()))/(1-2*NORMDIST(0,(Inputs!$D$25-Greenlight_Mo)/2,'(Z+) Dev Budget'!$D$80,TRUE())),0),0)</f>
        <v>0</v>
      </c>
      <c r="AQ59" s="455">
        <f>IFERROR(IF(AND(AQ$4&gt;Greenlight_Date,AQ$4&lt;=Construction_Start_Date),(NORMDIST(AQ$5-Greenlight_Mo,(Inputs!$D$25-Greenlight_Mo)/2,'(Z+) Dev Budget'!$D$80,TRUE())-NORMDIST(AQ$5-Greenlight_Mo-1,(Inputs!$D$25-Greenlight_Mo)/2,'(Z+) Dev Budget'!$D$80,TRUE()))/(1-2*NORMDIST(0,(Inputs!$D$25-Greenlight_Mo)/2,'(Z+) Dev Budget'!$D$80,TRUE())),0),0)</f>
        <v>0</v>
      </c>
      <c r="AR59" s="455">
        <f>IFERROR(IF(AND(AR$4&gt;Greenlight_Date,AR$4&lt;=Construction_Start_Date),(NORMDIST(AR$5-Greenlight_Mo,(Inputs!$D$25-Greenlight_Mo)/2,'(Z+) Dev Budget'!$D$80,TRUE())-NORMDIST(AR$5-Greenlight_Mo-1,(Inputs!$D$25-Greenlight_Mo)/2,'(Z+) Dev Budget'!$D$80,TRUE()))/(1-2*NORMDIST(0,(Inputs!$D$25-Greenlight_Mo)/2,'(Z+) Dev Budget'!$D$80,TRUE())),0),0)</f>
        <v>0</v>
      </c>
      <c r="AS59" s="455">
        <f>IFERROR(IF(AND(AS$4&gt;Greenlight_Date,AS$4&lt;=Construction_Start_Date),(NORMDIST(AS$5-Greenlight_Mo,(Inputs!$D$25-Greenlight_Mo)/2,'(Z+) Dev Budget'!$D$80,TRUE())-NORMDIST(AS$5-Greenlight_Mo-1,(Inputs!$D$25-Greenlight_Mo)/2,'(Z+) Dev Budget'!$D$80,TRUE()))/(1-2*NORMDIST(0,(Inputs!$D$25-Greenlight_Mo)/2,'(Z+) Dev Budget'!$D$80,TRUE())),0),0)</f>
        <v>0</v>
      </c>
      <c r="AT59" s="455">
        <f>IFERROR(IF(AND(AT$4&gt;Greenlight_Date,AT$4&lt;=Construction_Start_Date),(NORMDIST(AT$5-Greenlight_Mo,(Inputs!$D$25-Greenlight_Mo)/2,'(Z+) Dev Budget'!$D$80,TRUE())-NORMDIST(AT$5-Greenlight_Mo-1,(Inputs!$D$25-Greenlight_Mo)/2,'(Z+) Dev Budget'!$D$80,TRUE()))/(1-2*NORMDIST(0,(Inputs!$D$25-Greenlight_Mo)/2,'(Z+) Dev Budget'!$D$80,TRUE())),0),0)</f>
        <v>0</v>
      </c>
      <c r="AU59" s="455">
        <f>IFERROR(IF(AND(AU$4&gt;Greenlight_Date,AU$4&lt;=Construction_Start_Date),(NORMDIST(AU$5-Greenlight_Mo,(Inputs!$D$25-Greenlight_Mo)/2,'(Z+) Dev Budget'!$D$80,TRUE())-NORMDIST(AU$5-Greenlight_Mo-1,(Inputs!$D$25-Greenlight_Mo)/2,'(Z+) Dev Budget'!$D$80,TRUE()))/(1-2*NORMDIST(0,(Inputs!$D$25-Greenlight_Mo)/2,'(Z+) Dev Budget'!$D$80,TRUE())),0),0)</f>
        <v>0</v>
      </c>
      <c r="AV59" s="455">
        <f>IFERROR(IF(AND(AV$4&gt;Greenlight_Date,AV$4&lt;=Construction_Start_Date),(NORMDIST(AV$5-Greenlight_Mo,(Inputs!$D$25-Greenlight_Mo)/2,'(Z+) Dev Budget'!$D$80,TRUE())-NORMDIST(AV$5-Greenlight_Mo-1,(Inputs!$D$25-Greenlight_Mo)/2,'(Z+) Dev Budget'!$D$80,TRUE()))/(1-2*NORMDIST(0,(Inputs!$D$25-Greenlight_Mo)/2,'(Z+) Dev Budget'!$D$80,TRUE())),0),0)</f>
        <v>0</v>
      </c>
      <c r="AW59" s="455">
        <f>IFERROR(IF(AND(AW$4&gt;Greenlight_Date,AW$4&lt;=Construction_Start_Date),(NORMDIST(AW$5-Greenlight_Mo,(Inputs!$D$25-Greenlight_Mo)/2,'(Z+) Dev Budget'!$D$80,TRUE())-NORMDIST(AW$5-Greenlight_Mo-1,(Inputs!$D$25-Greenlight_Mo)/2,'(Z+) Dev Budget'!$D$80,TRUE()))/(1-2*NORMDIST(0,(Inputs!$D$25-Greenlight_Mo)/2,'(Z+) Dev Budget'!$D$80,TRUE())),0),0)</f>
        <v>0</v>
      </c>
      <c r="AX59" s="455">
        <f>IFERROR(IF(AND(AX$4&gt;Greenlight_Date,AX$4&lt;=Construction_Start_Date),(NORMDIST(AX$5-Greenlight_Mo,(Inputs!$D$25-Greenlight_Mo)/2,'(Z+) Dev Budget'!$D$80,TRUE())-NORMDIST(AX$5-Greenlight_Mo-1,(Inputs!$D$25-Greenlight_Mo)/2,'(Z+) Dev Budget'!$D$80,TRUE()))/(1-2*NORMDIST(0,(Inputs!$D$25-Greenlight_Mo)/2,'(Z+) Dev Budget'!$D$80,TRUE())),0),0)</f>
        <v>0</v>
      </c>
      <c r="AY59" s="455">
        <f>IFERROR(IF(AND(AY$4&gt;Greenlight_Date,AY$4&lt;=Construction_Start_Date),(NORMDIST(AY$5-Greenlight_Mo,(Inputs!$D$25-Greenlight_Mo)/2,'(Z+) Dev Budget'!$D$80,TRUE())-NORMDIST(AY$5-Greenlight_Mo-1,(Inputs!$D$25-Greenlight_Mo)/2,'(Z+) Dev Budget'!$D$80,TRUE()))/(1-2*NORMDIST(0,(Inputs!$D$25-Greenlight_Mo)/2,'(Z+) Dev Budget'!$D$80,TRUE())),0),0)</f>
        <v>0</v>
      </c>
      <c r="AZ59" s="455">
        <f>IFERROR(IF(AND(AZ$4&gt;Greenlight_Date,AZ$4&lt;=Construction_Start_Date),(NORMDIST(AZ$5-Greenlight_Mo,(Inputs!$D$25-Greenlight_Mo)/2,'(Z+) Dev Budget'!$D$80,TRUE())-NORMDIST(AZ$5-Greenlight_Mo-1,(Inputs!$D$25-Greenlight_Mo)/2,'(Z+) Dev Budget'!$D$80,TRUE()))/(1-2*NORMDIST(0,(Inputs!$D$25-Greenlight_Mo)/2,'(Z+) Dev Budget'!$D$80,TRUE())),0),0)</f>
        <v>0</v>
      </c>
      <c r="BA59" s="455">
        <f>IFERROR(IF(AND(BA$4&gt;Greenlight_Date,BA$4&lt;=Construction_Start_Date),(NORMDIST(BA$5-Greenlight_Mo,(Inputs!$D$25-Greenlight_Mo)/2,'(Z+) Dev Budget'!$D$80,TRUE())-NORMDIST(BA$5-Greenlight_Mo-1,(Inputs!$D$25-Greenlight_Mo)/2,'(Z+) Dev Budget'!$D$80,TRUE()))/(1-2*NORMDIST(0,(Inputs!$D$25-Greenlight_Mo)/2,'(Z+) Dev Budget'!$D$80,TRUE())),0),0)</f>
        <v>0</v>
      </c>
      <c r="BB59" s="455">
        <f>IFERROR(IF(AND(BB$4&gt;Greenlight_Date,BB$4&lt;=Construction_Start_Date),(NORMDIST(BB$5-Greenlight_Mo,(Inputs!$D$25-Greenlight_Mo)/2,'(Z+) Dev Budget'!$D$80,TRUE())-NORMDIST(BB$5-Greenlight_Mo-1,(Inputs!$D$25-Greenlight_Mo)/2,'(Z+) Dev Budget'!$D$80,TRUE()))/(1-2*NORMDIST(0,(Inputs!$D$25-Greenlight_Mo)/2,'(Z+) Dev Budget'!$D$80,TRUE())),0),0)</f>
        <v>0</v>
      </c>
      <c r="BC59" s="455">
        <f>IFERROR(IF(AND(BC$4&gt;Greenlight_Date,BC$4&lt;=Construction_Start_Date),(NORMDIST(BC$5-Greenlight_Mo,(Inputs!$D$25-Greenlight_Mo)/2,'(Z+) Dev Budget'!$D$80,TRUE())-NORMDIST(BC$5-Greenlight_Mo-1,(Inputs!$D$25-Greenlight_Mo)/2,'(Z+) Dev Budget'!$D$80,TRUE()))/(1-2*NORMDIST(0,(Inputs!$D$25-Greenlight_Mo)/2,'(Z+) Dev Budget'!$D$80,TRUE())),0),0)</f>
        <v>0</v>
      </c>
      <c r="BD59" s="455">
        <f>IFERROR(IF(AND(BD$4&gt;Greenlight_Date,BD$4&lt;=Construction_Start_Date),(NORMDIST(BD$5-Greenlight_Mo,(Inputs!$D$25-Greenlight_Mo)/2,'(Z+) Dev Budget'!$D$80,TRUE())-NORMDIST(BD$5-Greenlight_Mo-1,(Inputs!$D$25-Greenlight_Mo)/2,'(Z+) Dev Budget'!$D$80,TRUE()))/(1-2*NORMDIST(0,(Inputs!$D$25-Greenlight_Mo)/2,'(Z+) Dev Budget'!$D$80,TRUE())),0),0)</f>
        <v>0</v>
      </c>
      <c r="BE59" s="455">
        <f>IFERROR(IF(AND(BE$4&gt;Greenlight_Date,BE$4&lt;=Construction_Start_Date),(NORMDIST(BE$5-Greenlight_Mo,(Inputs!$D$25-Greenlight_Mo)/2,'(Z+) Dev Budget'!$D$80,TRUE())-NORMDIST(BE$5-Greenlight_Mo-1,(Inputs!$D$25-Greenlight_Mo)/2,'(Z+) Dev Budget'!$D$80,TRUE()))/(1-2*NORMDIST(0,(Inputs!$D$25-Greenlight_Mo)/2,'(Z+) Dev Budget'!$D$80,TRUE())),0),0)</f>
        <v>0</v>
      </c>
      <c r="BF59" s="455">
        <f>IFERROR(IF(AND(BF$4&gt;Greenlight_Date,BF$4&lt;=Construction_Start_Date),(NORMDIST(BF$5-Greenlight_Mo,(Inputs!$D$25-Greenlight_Mo)/2,'(Z+) Dev Budget'!$D$80,TRUE())-NORMDIST(BF$5-Greenlight_Mo-1,(Inputs!$D$25-Greenlight_Mo)/2,'(Z+) Dev Budget'!$D$80,TRUE()))/(1-2*NORMDIST(0,(Inputs!$D$25-Greenlight_Mo)/2,'(Z+) Dev Budget'!$D$80,TRUE())),0),0)</f>
        <v>0</v>
      </c>
      <c r="BG59" s="455">
        <f>IFERROR(IF(AND(BG$4&gt;Greenlight_Date,BG$4&lt;=Construction_Start_Date),(NORMDIST(BG$5-Greenlight_Mo,(Inputs!$D$25-Greenlight_Mo)/2,'(Z+) Dev Budget'!$D$80,TRUE())-NORMDIST(BG$5-Greenlight_Mo-1,(Inputs!$D$25-Greenlight_Mo)/2,'(Z+) Dev Budget'!$D$80,TRUE()))/(1-2*NORMDIST(0,(Inputs!$D$25-Greenlight_Mo)/2,'(Z+) Dev Budget'!$D$80,TRUE())),0),0)</f>
        <v>0</v>
      </c>
      <c r="BH59" s="455">
        <f>IFERROR(IF(AND(BH$4&gt;Greenlight_Date,BH$4&lt;=Construction_Start_Date),(NORMDIST(BH$5-Greenlight_Mo,(Inputs!$D$25-Greenlight_Mo)/2,'(Z+) Dev Budget'!$D$80,TRUE())-NORMDIST(BH$5-Greenlight_Mo-1,(Inputs!$D$25-Greenlight_Mo)/2,'(Z+) Dev Budget'!$D$80,TRUE()))/(1-2*NORMDIST(0,(Inputs!$D$25-Greenlight_Mo)/2,'(Z+) Dev Budget'!$D$80,TRUE())),0),0)</f>
        <v>0</v>
      </c>
      <c r="BI59" s="455">
        <f>IFERROR(IF(AND(BI$4&gt;Greenlight_Date,BI$4&lt;=Construction_Start_Date),(NORMDIST(BI$5-Greenlight_Mo,(Inputs!$D$25-Greenlight_Mo)/2,'(Z+) Dev Budget'!$D$80,TRUE())-NORMDIST(BI$5-Greenlight_Mo-1,(Inputs!$D$25-Greenlight_Mo)/2,'(Z+) Dev Budget'!$D$80,TRUE()))/(1-2*NORMDIST(0,(Inputs!$D$25-Greenlight_Mo)/2,'(Z+) Dev Budget'!$D$80,TRUE())),0),0)</f>
        <v>0</v>
      </c>
      <c r="BJ59" s="455">
        <f>IFERROR(IF(AND(BJ$4&gt;Greenlight_Date,BJ$4&lt;=Construction_Start_Date),(NORMDIST(BJ$5-Greenlight_Mo,(Inputs!$D$25-Greenlight_Mo)/2,'(Z+) Dev Budget'!$D$80,TRUE())-NORMDIST(BJ$5-Greenlight_Mo-1,(Inputs!$D$25-Greenlight_Mo)/2,'(Z+) Dev Budget'!$D$80,TRUE()))/(1-2*NORMDIST(0,(Inputs!$D$25-Greenlight_Mo)/2,'(Z+) Dev Budget'!$D$80,TRUE())),0),0)</f>
        <v>0</v>
      </c>
      <c r="BK59" s="455">
        <f>IFERROR(IF(AND(BK$4&gt;Greenlight_Date,BK$4&lt;=Construction_Start_Date),(NORMDIST(BK$5-Greenlight_Mo,(Inputs!$D$25-Greenlight_Mo)/2,'(Z+) Dev Budget'!$D$80,TRUE())-NORMDIST(BK$5-Greenlight_Mo-1,(Inputs!$D$25-Greenlight_Mo)/2,'(Z+) Dev Budget'!$D$80,TRUE()))/(1-2*NORMDIST(0,(Inputs!$D$25-Greenlight_Mo)/2,'(Z+) Dev Budget'!$D$80,TRUE())),0),0)</f>
        <v>0</v>
      </c>
      <c r="BL59" s="455">
        <f>IFERROR(IF(AND(BL$4&gt;Greenlight_Date,BL$4&lt;=Construction_Start_Date),(NORMDIST(BL$5-Greenlight_Mo,(Inputs!$D$25-Greenlight_Mo)/2,'(Z+) Dev Budget'!$D$80,TRUE())-NORMDIST(BL$5-Greenlight_Mo-1,(Inputs!$D$25-Greenlight_Mo)/2,'(Z+) Dev Budget'!$D$80,TRUE()))/(1-2*NORMDIST(0,(Inputs!$D$25-Greenlight_Mo)/2,'(Z+) Dev Budget'!$D$80,TRUE())),0),0)</f>
        <v>0</v>
      </c>
      <c r="BM59" s="455">
        <f>IFERROR(IF(AND(BM$4&gt;Greenlight_Date,BM$4&lt;=Construction_Start_Date),(NORMDIST(BM$5-Greenlight_Mo,(Inputs!$D$25-Greenlight_Mo)/2,'(Z+) Dev Budget'!$D$80,TRUE())-NORMDIST(BM$5-Greenlight_Mo-1,(Inputs!$D$25-Greenlight_Mo)/2,'(Z+) Dev Budget'!$D$80,TRUE()))/(1-2*NORMDIST(0,(Inputs!$D$25-Greenlight_Mo)/2,'(Z+) Dev Budget'!$D$80,TRUE())),0),0)</f>
        <v>0</v>
      </c>
      <c r="BN59" s="455">
        <f>IFERROR(IF(AND(BN$4&gt;Greenlight_Date,BN$4&lt;=Construction_Start_Date),(NORMDIST(BN$5-Greenlight_Mo,(Inputs!$D$25-Greenlight_Mo)/2,'(Z+) Dev Budget'!$D$80,TRUE())-NORMDIST(BN$5-Greenlight_Mo-1,(Inputs!$D$25-Greenlight_Mo)/2,'(Z+) Dev Budget'!$D$80,TRUE()))/(1-2*NORMDIST(0,(Inputs!$D$25-Greenlight_Mo)/2,'(Z+) Dev Budget'!$D$80,TRUE())),0),0)</f>
        <v>0</v>
      </c>
      <c r="BO59" s="455">
        <f>IFERROR(IF(AND(BO$4&gt;Greenlight_Date,BO$4&lt;=Construction_Start_Date),(NORMDIST(BO$5-Greenlight_Mo,(Inputs!$D$25-Greenlight_Mo)/2,'(Z+) Dev Budget'!$D$80,TRUE())-NORMDIST(BO$5-Greenlight_Mo-1,(Inputs!$D$25-Greenlight_Mo)/2,'(Z+) Dev Budget'!$D$80,TRUE()))/(1-2*NORMDIST(0,(Inputs!$D$25-Greenlight_Mo)/2,'(Z+) Dev Budget'!$D$80,TRUE())),0),0)</f>
        <v>0</v>
      </c>
      <c r="BP59" s="455">
        <f>IFERROR(IF(AND(BP$4&gt;Greenlight_Date,BP$4&lt;=Construction_Start_Date),(NORMDIST(BP$5-Greenlight_Mo,(Inputs!$D$25-Greenlight_Mo)/2,'(Z+) Dev Budget'!$D$80,TRUE())-NORMDIST(BP$5-Greenlight_Mo-1,(Inputs!$D$25-Greenlight_Mo)/2,'(Z+) Dev Budget'!$D$80,TRUE()))/(1-2*NORMDIST(0,(Inputs!$D$25-Greenlight_Mo)/2,'(Z+) Dev Budget'!$D$80,TRUE())),0),0)</f>
        <v>0</v>
      </c>
      <c r="BQ59" s="455">
        <f>IFERROR(IF(AND(BQ$4&gt;Greenlight_Date,BQ$4&lt;=Construction_Start_Date),(NORMDIST(BQ$5-Greenlight_Mo,(Inputs!$D$25-Greenlight_Mo)/2,'(Z+) Dev Budget'!$D$80,TRUE())-NORMDIST(BQ$5-Greenlight_Mo-1,(Inputs!$D$25-Greenlight_Mo)/2,'(Z+) Dev Budget'!$D$80,TRUE()))/(1-2*NORMDIST(0,(Inputs!$D$25-Greenlight_Mo)/2,'(Z+) Dev Budget'!$D$80,TRUE())),0),0)</f>
        <v>0</v>
      </c>
      <c r="BR59" s="455">
        <f>IFERROR(IF(AND(BR$4&gt;Greenlight_Date,BR$4&lt;=Construction_Start_Date),(NORMDIST(BR$5-Greenlight_Mo,(Inputs!$D$25-Greenlight_Mo)/2,'(Z+) Dev Budget'!$D$80,TRUE())-NORMDIST(BR$5-Greenlight_Mo-1,(Inputs!$D$25-Greenlight_Mo)/2,'(Z+) Dev Budget'!$D$80,TRUE()))/(1-2*NORMDIST(0,(Inputs!$D$25-Greenlight_Mo)/2,'(Z+) Dev Budget'!$D$80,TRUE())),0),0)</f>
        <v>0</v>
      </c>
      <c r="BS59" s="455">
        <f>IFERROR(IF(AND(BS$4&gt;Greenlight_Date,BS$4&lt;=Construction_Start_Date),(NORMDIST(BS$5-Greenlight_Mo,(Inputs!$D$25-Greenlight_Mo)/2,'(Z+) Dev Budget'!$D$80,TRUE())-NORMDIST(BS$5-Greenlight_Mo-1,(Inputs!$D$25-Greenlight_Mo)/2,'(Z+) Dev Budget'!$D$80,TRUE()))/(1-2*NORMDIST(0,(Inputs!$D$25-Greenlight_Mo)/2,'(Z+) Dev Budget'!$D$80,TRUE())),0),0)</f>
        <v>0</v>
      </c>
      <c r="BT59" s="455">
        <f>IFERROR(IF(AND(BT$4&gt;Greenlight_Date,BT$4&lt;=Construction_Start_Date),(NORMDIST(BT$5-Greenlight_Mo,(Inputs!$D$25-Greenlight_Mo)/2,'(Z+) Dev Budget'!$D$80,TRUE())-NORMDIST(BT$5-Greenlight_Mo-1,(Inputs!$D$25-Greenlight_Mo)/2,'(Z+) Dev Budget'!$D$80,TRUE()))/(1-2*NORMDIST(0,(Inputs!$D$25-Greenlight_Mo)/2,'(Z+) Dev Budget'!$D$80,TRUE())),0),0)</f>
        <v>0</v>
      </c>
      <c r="BU59" s="455">
        <f>IFERROR(IF(AND(BU$4&gt;Greenlight_Date,BU$4&lt;=Construction_Start_Date),(NORMDIST(BU$5-Greenlight_Mo,(Inputs!$D$25-Greenlight_Mo)/2,'(Z+) Dev Budget'!$D$80,TRUE())-NORMDIST(BU$5-Greenlight_Mo-1,(Inputs!$D$25-Greenlight_Mo)/2,'(Z+) Dev Budget'!$D$80,TRUE()))/(1-2*NORMDIST(0,(Inputs!$D$25-Greenlight_Mo)/2,'(Z+) Dev Budget'!$D$80,TRUE())),0),0)</f>
        <v>0</v>
      </c>
      <c r="BV59" s="455">
        <f>IFERROR(IF(AND(BV$4&gt;Greenlight_Date,BV$4&lt;=Construction_Start_Date),(NORMDIST(BV$5-Greenlight_Mo,(Inputs!$D$25-Greenlight_Mo)/2,'(Z+) Dev Budget'!$D$80,TRUE())-NORMDIST(BV$5-Greenlight_Mo-1,(Inputs!$D$25-Greenlight_Mo)/2,'(Z+) Dev Budget'!$D$80,TRUE()))/(1-2*NORMDIST(0,(Inputs!$D$25-Greenlight_Mo)/2,'(Z+) Dev Budget'!$D$80,TRUE())),0),0)</f>
        <v>0</v>
      </c>
      <c r="BW59" s="455">
        <f>IFERROR(IF(AND(BW$4&gt;Greenlight_Date,BW$4&lt;=Construction_Start_Date),(NORMDIST(BW$5-Greenlight_Mo,(Inputs!$D$25-Greenlight_Mo)/2,'(Z+) Dev Budget'!$D$80,TRUE())-NORMDIST(BW$5-Greenlight_Mo-1,(Inputs!$D$25-Greenlight_Mo)/2,'(Z+) Dev Budget'!$D$80,TRUE()))/(1-2*NORMDIST(0,(Inputs!$D$25-Greenlight_Mo)/2,'(Z+) Dev Budget'!$D$80,TRUE())),0),0)</f>
        <v>0</v>
      </c>
      <c r="BX59" s="455">
        <f>IFERROR(IF(AND(BX$4&gt;Greenlight_Date,BX$4&lt;=Construction_Start_Date),(NORMDIST(BX$5-Greenlight_Mo,(Inputs!$D$25-Greenlight_Mo)/2,'(Z+) Dev Budget'!$D$80,TRUE())-NORMDIST(BX$5-Greenlight_Mo-1,(Inputs!$D$25-Greenlight_Mo)/2,'(Z+) Dev Budget'!$D$80,TRUE()))/(1-2*NORMDIST(0,(Inputs!$D$25-Greenlight_Mo)/2,'(Z+) Dev Budget'!$D$80,TRUE())),0),0)</f>
        <v>0</v>
      </c>
      <c r="BY59" s="455">
        <f>IFERROR(IF(AND(BY$4&gt;Greenlight_Date,BY$4&lt;=Construction_Start_Date),(NORMDIST(BY$5-Greenlight_Mo,(Inputs!$D$25-Greenlight_Mo)/2,'(Z+) Dev Budget'!$D$80,TRUE())-NORMDIST(BY$5-Greenlight_Mo-1,(Inputs!$D$25-Greenlight_Mo)/2,'(Z+) Dev Budget'!$D$80,TRUE()))/(1-2*NORMDIST(0,(Inputs!$D$25-Greenlight_Mo)/2,'(Z+) Dev Budget'!$D$80,TRUE())),0),0)</f>
        <v>0</v>
      </c>
      <c r="BZ59" s="455">
        <f>IFERROR(IF(AND(BZ$4&gt;Greenlight_Date,BZ$4&lt;=Construction_Start_Date),(NORMDIST(BZ$5-Greenlight_Mo,(Inputs!$D$25-Greenlight_Mo)/2,'(Z+) Dev Budget'!$D$80,TRUE())-NORMDIST(BZ$5-Greenlight_Mo-1,(Inputs!$D$25-Greenlight_Mo)/2,'(Z+) Dev Budget'!$D$80,TRUE()))/(1-2*NORMDIST(0,(Inputs!$D$25-Greenlight_Mo)/2,'(Z+) Dev Budget'!$D$80,TRUE())),0),0)</f>
        <v>0</v>
      </c>
      <c r="CA59" s="455">
        <f>IFERROR(IF(AND(CA$4&gt;Greenlight_Date,CA$4&lt;=Construction_Start_Date),(NORMDIST(CA$5-Greenlight_Mo,(Inputs!$D$25-Greenlight_Mo)/2,'(Z+) Dev Budget'!$D$80,TRUE())-NORMDIST(CA$5-Greenlight_Mo-1,(Inputs!$D$25-Greenlight_Mo)/2,'(Z+) Dev Budget'!$D$80,TRUE()))/(1-2*NORMDIST(0,(Inputs!$D$25-Greenlight_Mo)/2,'(Z+) Dev Budget'!$D$80,TRUE())),0),0)</f>
        <v>0</v>
      </c>
      <c r="CB59" s="455">
        <f>IFERROR(IF(AND(CB$4&gt;Greenlight_Date,CB$4&lt;=Construction_Start_Date),(NORMDIST(CB$5-Greenlight_Mo,(Inputs!$D$25-Greenlight_Mo)/2,'(Z+) Dev Budget'!$D$80,TRUE())-NORMDIST(CB$5-Greenlight_Mo-1,(Inputs!$D$25-Greenlight_Mo)/2,'(Z+) Dev Budget'!$D$80,TRUE()))/(1-2*NORMDIST(0,(Inputs!$D$25-Greenlight_Mo)/2,'(Z+) Dev Budget'!$D$80,TRUE())),0),0)</f>
        <v>0</v>
      </c>
      <c r="CC59" s="455">
        <f>IFERROR(IF(AND(CC$4&gt;Greenlight_Date,CC$4&lt;=Construction_Start_Date),(NORMDIST(CC$5-Greenlight_Mo,(Inputs!$D$25-Greenlight_Mo)/2,'(Z+) Dev Budget'!$D$80,TRUE())-NORMDIST(CC$5-Greenlight_Mo-1,(Inputs!$D$25-Greenlight_Mo)/2,'(Z+) Dev Budget'!$D$80,TRUE()))/(1-2*NORMDIST(0,(Inputs!$D$25-Greenlight_Mo)/2,'(Z+) Dev Budget'!$D$80,TRUE())),0),0)</f>
        <v>0</v>
      </c>
      <c r="CD59" s="455">
        <f>IFERROR(IF(AND(CD$4&gt;Greenlight_Date,CD$4&lt;=Construction_Start_Date),(NORMDIST(CD$5-Greenlight_Mo,(Inputs!$D$25-Greenlight_Mo)/2,'(Z+) Dev Budget'!$D$80,TRUE())-NORMDIST(CD$5-Greenlight_Mo-1,(Inputs!$D$25-Greenlight_Mo)/2,'(Z+) Dev Budget'!$D$80,TRUE()))/(1-2*NORMDIST(0,(Inputs!$D$25-Greenlight_Mo)/2,'(Z+) Dev Budget'!$D$80,TRUE())),0),0)</f>
        <v>0</v>
      </c>
      <c r="CE59" s="455">
        <f>IFERROR(IF(AND(CE$4&gt;Greenlight_Date,CE$4&lt;=Construction_Start_Date),(NORMDIST(CE$5-Greenlight_Mo,(Inputs!$D$25-Greenlight_Mo)/2,'(Z+) Dev Budget'!$D$80,TRUE())-NORMDIST(CE$5-Greenlight_Mo-1,(Inputs!$D$25-Greenlight_Mo)/2,'(Z+) Dev Budget'!$D$80,TRUE()))/(1-2*NORMDIST(0,(Inputs!$D$25-Greenlight_Mo)/2,'(Z+) Dev Budget'!$D$80,TRUE())),0),0)</f>
        <v>0</v>
      </c>
      <c r="CF59" s="455">
        <f>IFERROR(IF(AND(CF$4&gt;Greenlight_Date,CF$4&lt;=Construction_Start_Date),(NORMDIST(CF$5-Greenlight_Mo,(Inputs!$D$25-Greenlight_Mo)/2,'(Z+) Dev Budget'!$D$80,TRUE())-NORMDIST(CF$5-Greenlight_Mo-1,(Inputs!$D$25-Greenlight_Mo)/2,'(Z+) Dev Budget'!$D$80,TRUE()))/(1-2*NORMDIST(0,(Inputs!$D$25-Greenlight_Mo)/2,'(Z+) Dev Budget'!$D$80,TRUE())),0),0)</f>
        <v>0</v>
      </c>
      <c r="CG59" s="455">
        <f>IFERROR(IF(AND(CG$4&gt;Greenlight_Date,CG$4&lt;=Construction_Start_Date),(NORMDIST(CG$5-Greenlight_Mo,(Inputs!$D$25-Greenlight_Mo)/2,'(Z+) Dev Budget'!$D$80,TRUE())-NORMDIST(CG$5-Greenlight_Mo-1,(Inputs!$D$25-Greenlight_Mo)/2,'(Z+) Dev Budget'!$D$80,TRUE()))/(1-2*NORMDIST(0,(Inputs!$D$25-Greenlight_Mo)/2,'(Z+) Dev Budget'!$D$80,TRUE())),0),0)</f>
        <v>0</v>
      </c>
      <c r="CH59" s="455">
        <f>IFERROR(IF(AND(CH$4&gt;Greenlight_Date,CH$4&lt;=Construction_Start_Date),(NORMDIST(CH$5-Greenlight_Mo,(Inputs!$D$25-Greenlight_Mo)/2,'(Z+) Dev Budget'!$D$80,TRUE())-NORMDIST(CH$5-Greenlight_Mo-1,(Inputs!$D$25-Greenlight_Mo)/2,'(Z+) Dev Budget'!$D$80,TRUE()))/(1-2*NORMDIST(0,(Inputs!$D$25-Greenlight_Mo)/2,'(Z+) Dev Budget'!$D$80,TRUE())),0),0)</f>
        <v>0</v>
      </c>
      <c r="CI59" s="455">
        <f>IFERROR(IF(AND(CI$4&gt;Greenlight_Date,CI$4&lt;=Construction_Start_Date),(NORMDIST(CI$5-Greenlight_Mo,(Inputs!$D$25-Greenlight_Mo)/2,'(Z+) Dev Budget'!$D$80,TRUE())-NORMDIST(CI$5-Greenlight_Mo-1,(Inputs!$D$25-Greenlight_Mo)/2,'(Z+) Dev Budget'!$D$80,TRUE()))/(1-2*NORMDIST(0,(Inputs!$D$25-Greenlight_Mo)/2,'(Z+) Dev Budget'!$D$80,TRUE())),0),0)</f>
        <v>0</v>
      </c>
      <c r="CJ59" s="455">
        <f>IFERROR(IF(AND(CJ$4&gt;Greenlight_Date,CJ$4&lt;=Construction_Start_Date),(NORMDIST(CJ$5-Greenlight_Mo,(Inputs!$D$25-Greenlight_Mo)/2,'(Z+) Dev Budget'!$D$80,TRUE())-NORMDIST(CJ$5-Greenlight_Mo-1,(Inputs!$D$25-Greenlight_Mo)/2,'(Z+) Dev Budget'!$D$80,TRUE()))/(1-2*NORMDIST(0,(Inputs!$D$25-Greenlight_Mo)/2,'(Z+) Dev Budget'!$D$80,TRUE())),0),0)</f>
        <v>0</v>
      </c>
      <c r="CK59" s="455">
        <f>IFERROR(IF(AND(CK$4&gt;Greenlight_Date,CK$4&lt;=Construction_Start_Date),(NORMDIST(CK$5-Greenlight_Mo,(Inputs!$D$25-Greenlight_Mo)/2,'(Z+) Dev Budget'!$D$80,TRUE())-NORMDIST(CK$5-Greenlight_Mo-1,(Inputs!$D$25-Greenlight_Mo)/2,'(Z+) Dev Budget'!$D$80,TRUE()))/(1-2*NORMDIST(0,(Inputs!$D$25-Greenlight_Mo)/2,'(Z+) Dev Budget'!$D$80,TRUE())),0),0)</f>
        <v>0</v>
      </c>
      <c r="CL59" s="455">
        <f>IFERROR(IF(AND(CL$4&gt;Greenlight_Date,CL$4&lt;=Construction_Start_Date),(NORMDIST(CL$5-Greenlight_Mo,(Inputs!$D$25-Greenlight_Mo)/2,'(Z+) Dev Budget'!$D$80,TRUE())-NORMDIST(CL$5-Greenlight_Mo-1,(Inputs!$D$25-Greenlight_Mo)/2,'(Z+) Dev Budget'!$D$80,TRUE()))/(1-2*NORMDIST(0,(Inputs!$D$25-Greenlight_Mo)/2,'(Z+) Dev Budget'!$D$80,TRUE())),0),0)</f>
        <v>0</v>
      </c>
      <c r="CM59" s="455">
        <f>IFERROR(IF(AND(CM$4&gt;Greenlight_Date,CM$4&lt;=Construction_Start_Date),(NORMDIST(CM$5-Greenlight_Mo,(Inputs!$D$25-Greenlight_Mo)/2,'(Z+) Dev Budget'!$D$80,TRUE())-NORMDIST(CM$5-Greenlight_Mo-1,(Inputs!$D$25-Greenlight_Mo)/2,'(Z+) Dev Budget'!$D$80,TRUE()))/(1-2*NORMDIST(0,(Inputs!$D$25-Greenlight_Mo)/2,'(Z+) Dev Budget'!$D$80,TRUE())),0),0)</f>
        <v>0</v>
      </c>
      <c r="CN59" s="455">
        <f>IFERROR(IF(AND(CN$4&gt;Greenlight_Date,CN$4&lt;=Construction_Start_Date),(NORMDIST(CN$5-Greenlight_Mo,(Inputs!$D$25-Greenlight_Mo)/2,'(Z+) Dev Budget'!$D$80,TRUE())-NORMDIST(CN$5-Greenlight_Mo-1,(Inputs!$D$25-Greenlight_Mo)/2,'(Z+) Dev Budget'!$D$80,TRUE()))/(1-2*NORMDIST(0,(Inputs!$D$25-Greenlight_Mo)/2,'(Z+) Dev Budget'!$D$80,TRUE())),0),0)</f>
        <v>0</v>
      </c>
      <c r="CO59" s="455">
        <f>IFERROR(IF(AND(CO$4&gt;Greenlight_Date,CO$4&lt;=Construction_Start_Date),(NORMDIST(CO$5-Greenlight_Mo,(Inputs!$D$25-Greenlight_Mo)/2,'(Z+) Dev Budget'!$D$80,TRUE())-NORMDIST(CO$5-Greenlight_Mo-1,(Inputs!$D$25-Greenlight_Mo)/2,'(Z+) Dev Budget'!$D$80,TRUE()))/(1-2*NORMDIST(0,(Inputs!$D$25-Greenlight_Mo)/2,'(Z+) Dev Budget'!$D$80,TRUE())),0),0)</f>
        <v>0</v>
      </c>
      <c r="CP59" s="455">
        <f>IFERROR(IF(AND(CP$4&gt;Greenlight_Date,CP$4&lt;=Construction_Start_Date),(NORMDIST(CP$5-Greenlight_Mo,(Inputs!$D$25-Greenlight_Mo)/2,'(Z+) Dev Budget'!$D$80,TRUE())-NORMDIST(CP$5-Greenlight_Mo-1,(Inputs!$D$25-Greenlight_Mo)/2,'(Z+) Dev Budget'!$D$80,TRUE()))/(1-2*NORMDIST(0,(Inputs!$D$25-Greenlight_Mo)/2,'(Z+) Dev Budget'!$D$80,TRUE())),0),0)</f>
        <v>0</v>
      </c>
      <c r="CQ59" s="455">
        <f>IFERROR(IF(AND(CQ$4&gt;Greenlight_Date,CQ$4&lt;=Construction_Start_Date),(NORMDIST(CQ$5-Greenlight_Mo,(Inputs!$D$25-Greenlight_Mo)/2,'(Z+) Dev Budget'!$D$80,TRUE())-NORMDIST(CQ$5-Greenlight_Mo-1,(Inputs!$D$25-Greenlight_Mo)/2,'(Z+) Dev Budget'!$D$80,TRUE()))/(1-2*NORMDIST(0,(Inputs!$D$25-Greenlight_Mo)/2,'(Z+) Dev Budget'!$D$80,TRUE())),0),0)</f>
        <v>0</v>
      </c>
      <c r="CR59" s="455">
        <f>IFERROR(IF(AND(CR$4&gt;Greenlight_Date,CR$4&lt;=Construction_Start_Date),(NORMDIST(CR$5-Greenlight_Mo,(Inputs!$D$25-Greenlight_Mo)/2,'(Z+) Dev Budget'!$D$80,TRUE())-NORMDIST(CR$5-Greenlight_Mo-1,(Inputs!$D$25-Greenlight_Mo)/2,'(Z+) Dev Budget'!$D$80,TRUE()))/(1-2*NORMDIST(0,(Inputs!$D$25-Greenlight_Mo)/2,'(Z+) Dev Budget'!$D$80,TRUE())),0),0)</f>
        <v>0</v>
      </c>
      <c r="CS59" s="455">
        <f>IFERROR(IF(AND(CS$4&gt;Greenlight_Date,CS$4&lt;=Construction_Start_Date),(NORMDIST(CS$5-Greenlight_Mo,(Inputs!$D$25-Greenlight_Mo)/2,'(Z+) Dev Budget'!$D$80,TRUE())-NORMDIST(CS$5-Greenlight_Mo-1,(Inputs!$D$25-Greenlight_Mo)/2,'(Z+) Dev Budget'!$D$80,TRUE()))/(1-2*NORMDIST(0,(Inputs!$D$25-Greenlight_Mo)/2,'(Z+) Dev Budget'!$D$80,TRUE())),0),0)</f>
        <v>0</v>
      </c>
      <c r="CT59" s="455">
        <f>IFERROR(IF(AND(CT$4&gt;Greenlight_Date,CT$4&lt;=Construction_Start_Date),(NORMDIST(CT$5-Greenlight_Mo,(Inputs!$D$25-Greenlight_Mo)/2,'(Z+) Dev Budget'!$D$80,TRUE())-NORMDIST(CT$5-Greenlight_Mo-1,(Inputs!$D$25-Greenlight_Mo)/2,'(Z+) Dev Budget'!$D$80,TRUE()))/(1-2*NORMDIST(0,(Inputs!$D$25-Greenlight_Mo)/2,'(Z+) Dev Budget'!$D$80,TRUE())),0),0)</f>
        <v>0</v>
      </c>
      <c r="CU59" s="455">
        <f>IFERROR(IF(AND(CU$4&gt;Greenlight_Date,CU$4&lt;=Construction_Start_Date),(NORMDIST(CU$5-Greenlight_Mo,(Inputs!$D$25-Greenlight_Mo)/2,'(Z+) Dev Budget'!$D$80,TRUE())-NORMDIST(CU$5-Greenlight_Mo-1,(Inputs!$D$25-Greenlight_Mo)/2,'(Z+) Dev Budget'!$D$80,TRUE()))/(1-2*NORMDIST(0,(Inputs!$D$25-Greenlight_Mo)/2,'(Z+) Dev Budget'!$D$80,TRUE())),0),0)</f>
        <v>0</v>
      </c>
      <c r="CV59" s="455">
        <f>IFERROR(IF(AND(CV$4&gt;Greenlight_Date,CV$4&lt;=Construction_Start_Date),(NORMDIST(CV$5-Greenlight_Mo,(Inputs!$D$25-Greenlight_Mo)/2,'(Z+) Dev Budget'!$D$80,TRUE())-NORMDIST(CV$5-Greenlight_Mo-1,(Inputs!$D$25-Greenlight_Mo)/2,'(Z+) Dev Budget'!$D$80,TRUE()))/(1-2*NORMDIST(0,(Inputs!$D$25-Greenlight_Mo)/2,'(Z+) Dev Budget'!$D$80,TRUE())),0),0)</f>
        <v>0</v>
      </c>
      <c r="CW59" s="455">
        <f>IFERROR(IF(AND(CW$4&gt;Greenlight_Date,CW$4&lt;=Construction_Start_Date),(NORMDIST(CW$5-Greenlight_Mo,(Inputs!$D$25-Greenlight_Mo)/2,'(Z+) Dev Budget'!$D$80,TRUE())-NORMDIST(CW$5-Greenlight_Mo-1,(Inputs!$D$25-Greenlight_Mo)/2,'(Z+) Dev Budget'!$D$80,TRUE()))/(1-2*NORMDIST(0,(Inputs!$D$25-Greenlight_Mo)/2,'(Z+) Dev Budget'!$D$80,TRUE())),0),0)</f>
        <v>0</v>
      </c>
      <c r="CX59" s="455">
        <f>IFERROR(IF(AND(CX$4&gt;Greenlight_Date,CX$4&lt;=Construction_Start_Date),(NORMDIST(CX$5-Greenlight_Mo,(Inputs!$D$25-Greenlight_Mo)/2,'(Z+) Dev Budget'!$D$80,TRUE())-NORMDIST(CX$5-Greenlight_Mo-1,(Inputs!$D$25-Greenlight_Mo)/2,'(Z+) Dev Budget'!$D$80,TRUE()))/(1-2*NORMDIST(0,(Inputs!$D$25-Greenlight_Mo)/2,'(Z+) Dev Budget'!$D$80,TRUE())),0),0)</f>
        <v>0</v>
      </c>
      <c r="CY59" s="455">
        <f>IFERROR(IF(AND(CY$4&gt;Greenlight_Date,CY$4&lt;=Construction_Start_Date),(NORMDIST(CY$5-Greenlight_Mo,(Inputs!$D$25-Greenlight_Mo)/2,'(Z+) Dev Budget'!$D$80,TRUE())-NORMDIST(CY$5-Greenlight_Mo-1,(Inputs!$D$25-Greenlight_Mo)/2,'(Z+) Dev Budget'!$D$80,TRUE()))/(1-2*NORMDIST(0,(Inputs!$D$25-Greenlight_Mo)/2,'(Z+) Dev Budget'!$D$80,TRUE())),0),0)</f>
        <v>0</v>
      </c>
      <c r="CZ59" s="455">
        <f>IFERROR(IF(AND(CZ$4&gt;Greenlight_Date,CZ$4&lt;=Construction_Start_Date),(NORMDIST(CZ$5-Greenlight_Mo,(Inputs!$D$25-Greenlight_Mo)/2,'(Z+) Dev Budget'!$D$80,TRUE())-NORMDIST(CZ$5-Greenlight_Mo-1,(Inputs!$D$25-Greenlight_Mo)/2,'(Z+) Dev Budget'!$D$80,TRUE()))/(1-2*NORMDIST(0,(Inputs!$D$25-Greenlight_Mo)/2,'(Z+) Dev Budget'!$D$80,TRUE())),0),0)</f>
        <v>0</v>
      </c>
      <c r="DA59" s="455">
        <f>IFERROR(IF(AND(DA$4&gt;Greenlight_Date,DA$4&lt;=Construction_Start_Date),(NORMDIST(DA$5-Greenlight_Mo,(Inputs!$D$25-Greenlight_Mo)/2,'(Z+) Dev Budget'!$D$80,TRUE())-NORMDIST(DA$5-Greenlight_Mo-1,(Inputs!$D$25-Greenlight_Mo)/2,'(Z+) Dev Budget'!$D$80,TRUE()))/(1-2*NORMDIST(0,(Inputs!$D$25-Greenlight_Mo)/2,'(Z+) Dev Budget'!$D$80,TRUE())),0),0)</f>
        <v>0</v>
      </c>
      <c r="DB59" s="455">
        <f>IFERROR(IF(AND(DB$4&gt;Greenlight_Date,DB$4&lt;=Construction_Start_Date),(NORMDIST(DB$5-Greenlight_Mo,(Inputs!$D$25-Greenlight_Mo)/2,'(Z+) Dev Budget'!$D$80,TRUE())-NORMDIST(DB$5-Greenlight_Mo-1,(Inputs!$D$25-Greenlight_Mo)/2,'(Z+) Dev Budget'!$D$80,TRUE()))/(1-2*NORMDIST(0,(Inputs!$D$25-Greenlight_Mo)/2,'(Z+) Dev Budget'!$D$80,TRUE())),0),0)</f>
        <v>0</v>
      </c>
      <c r="DC59" s="455">
        <f>IFERROR(IF(AND(DC$4&gt;Greenlight_Date,DC$4&lt;=Construction_Start_Date),(NORMDIST(DC$5-Greenlight_Mo,(Inputs!$D$25-Greenlight_Mo)/2,'(Z+) Dev Budget'!$D$80,TRUE())-NORMDIST(DC$5-Greenlight_Mo-1,(Inputs!$D$25-Greenlight_Mo)/2,'(Z+) Dev Budget'!$D$80,TRUE()))/(1-2*NORMDIST(0,(Inputs!$D$25-Greenlight_Mo)/2,'(Z+) Dev Budget'!$D$80,TRUE())),0),0)</f>
        <v>0</v>
      </c>
      <c r="DD59" s="455">
        <f>IFERROR(IF(AND(DD$4&gt;Greenlight_Date,DD$4&lt;=Construction_Start_Date),(NORMDIST(DD$5-Greenlight_Mo,(Inputs!$D$25-Greenlight_Mo)/2,'(Z+) Dev Budget'!$D$80,TRUE())-NORMDIST(DD$5-Greenlight_Mo-1,(Inputs!$D$25-Greenlight_Mo)/2,'(Z+) Dev Budget'!$D$80,TRUE()))/(1-2*NORMDIST(0,(Inputs!$D$25-Greenlight_Mo)/2,'(Z+) Dev Budget'!$D$80,TRUE())),0),0)</f>
        <v>0</v>
      </c>
      <c r="DE59" s="455">
        <f>IFERROR(IF(AND(DE$4&gt;Greenlight_Date,DE$4&lt;=Construction_Start_Date),(NORMDIST(DE$5-Greenlight_Mo,(Inputs!$D$25-Greenlight_Mo)/2,'(Z+) Dev Budget'!$D$80,TRUE())-NORMDIST(DE$5-Greenlight_Mo-1,(Inputs!$D$25-Greenlight_Mo)/2,'(Z+) Dev Budget'!$D$80,TRUE()))/(1-2*NORMDIST(0,(Inputs!$D$25-Greenlight_Mo)/2,'(Z+) Dev Budget'!$D$80,TRUE())),0),0)</f>
        <v>0</v>
      </c>
      <c r="DF59" s="455">
        <f>IFERROR(IF(AND(DF$4&gt;Greenlight_Date,DF$4&lt;=Construction_Start_Date),(NORMDIST(DF$5-Greenlight_Mo,(Inputs!$D$25-Greenlight_Mo)/2,'(Z+) Dev Budget'!$D$80,TRUE())-NORMDIST(DF$5-Greenlight_Mo-1,(Inputs!$D$25-Greenlight_Mo)/2,'(Z+) Dev Budget'!$D$80,TRUE()))/(1-2*NORMDIST(0,(Inputs!$D$25-Greenlight_Mo)/2,'(Z+) Dev Budget'!$D$80,TRUE())),0),0)</f>
        <v>0</v>
      </c>
      <c r="DG59" s="455">
        <f>IFERROR(IF(AND(DG$4&gt;Greenlight_Date,DG$4&lt;=Construction_Start_Date),(NORMDIST(DG$5-Greenlight_Mo,(Inputs!$D$25-Greenlight_Mo)/2,'(Z+) Dev Budget'!$D$80,TRUE())-NORMDIST(DG$5-Greenlight_Mo-1,(Inputs!$D$25-Greenlight_Mo)/2,'(Z+) Dev Budget'!$D$80,TRUE()))/(1-2*NORMDIST(0,(Inputs!$D$25-Greenlight_Mo)/2,'(Z+) Dev Budget'!$D$80,TRUE())),0),0)</f>
        <v>0</v>
      </c>
      <c r="DH59" s="455">
        <f>IFERROR(IF(AND(DH$4&gt;Greenlight_Date,DH$4&lt;=Construction_Start_Date),(NORMDIST(DH$5-Greenlight_Mo,(Inputs!$D$25-Greenlight_Mo)/2,'(Z+) Dev Budget'!$D$80,TRUE())-NORMDIST(DH$5-Greenlight_Mo-1,(Inputs!$D$25-Greenlight_Mo)/2,'(Z+) Dev Budget'!$D$80,TRUE()))/(1-2*NORMDIST(0,(Inputs!$D$25-Greenlight_Mo)/2,'(Z+) Dev Budget'!$D$80,TRUE())),0),0)</f>
        <v>0</v>
      </c>
      <c r="DI59" s="455">
        <f>IFERROR(IF(AND(DI$4&gt;Greenlight_Date,DI$4&lt;=Construction_Start_Date),(NORMDIST(DI$5-Greenlight_Mo,(Inputs!$D$25-Greenlight_Mo)/2,'(Z+) Dev Budget'!$D$80,TRUE())-NORMDIST(DI$5-Greenlight_Mo-1,(Inputs!$D$25-Greenlight_Mo)/2,'(Z+) Dev Budget'!$D$80,TRUE()))/(1-2*NORMDIST(0,(Inputs!$D$25-Greenlight_Mo)/2,'(Z+) Dev Budget'!$D$80,TRUE())),0),0)</f>
        <v>0</v>
      </c>
      <c r="DJ59" s="455">
        <f>IFERROR(IF(AND(DJ$4&gt;Greenlight_Date,DJ$4&lt;=Construction_Start_Date),(NORMDIST(DJ$5-Greenlight_Mo,(Inputs!$D$25-Greenlight_Mo)/2,'(Z+) Dev Budget'!$D$80,TRUE())-NORMDIST(DJ$5-Greenlight_Mo-1,(Inputs!$D$25-Greenlight_Mo)/2,'(Z+) Dev Budget'!$D$80,TRUE()))/(1-2*NORMDIST(0,(Inputs!$D$25-Greenlight_Mo)/2,'(Z+) Dev Budget'!$D$80,TRUE())),0),0)</f>
        <v>0</v>
      </c>
      <c r="DK59" s="455">
        <f>IFERROR(IF(AND(DK$4&gt;Greenlight_Date,DK$4&lt;=Construction_Start_Date),(NORMDIST(DK$5-Greenlight_Mo,(Inputs!$D$25-Greenlight_Mo)/2,'(Z+) Dev Budget'!$D$80,TRUE())-NORMDIST(DK$5-Greenlight_Mo-1,(Inputs!$D$25-Greenlight_Mo)/2,'(Z+) Dev Budget'!$D$80,TRUE()))/(1-2*NORMDIST(0,(Inputs!$D$25-Greenlight_Mo)/2,'(Z+) Dev Budget'!$D$80,TRUE())),0),0)</f>
        <v>0</v>
      </c>
      <c r="DL59" s="455">
        <f>IFERROR(IF(AND(DL$4&gt;Greenlight_Date,DL$4&lt;=Construction_Start_Date),(NORMDIST(DL$5-Greenlight_Mo,(Inputs!$D$25-Greenlight_Mo)/2,'(Z+) Dev Budget'!$D$80,TRUE())-NORMDIST(DL$5-Greenlight_Mo-1,(Inputs!$D$25-Greenlight_Mo)/2,'(Z+) Dev Budget'!$D$80,TRUE()))/(1-2*NORMDIST(0,(Inputs!$D$25-Greenlight_Mo)/2,'(Z+) Dev Budget'!$D$80,TRUE())),0),0)</f>
        <v>0</v>
      </c>
      <c r="DM59" s="455">
        <f>IFERROR(IF(AND(DM$4&gt;Greenlight_Date,DM$4&lt;=Construction_Start_Date),(NORMDIST(DM$5-Greenlight_Mo,(Inputs!$D$25-Greenlight_Mo)/2,'(Z+) Dev Budget'!$D$80,TRUE())-NORMDIST(DM$5-Greenlight_Mo-1,(Inputs!$D$25-Greenlight_Mo)/2,'(Z+) Dev Budget'!$D$80,TRUE()))/(1-2*NORMDIST(0,(Inputs!$D$25-Greenlight_Mo)/2,'(Z+) Dev Budget'!$D$80,TRUE())),0),0)</f>
        <v>0</v>
      </c>
      <c r="DN59" s="455">
        <f>IFERROR(IF(AND(DN$4&gt;Greenlight_Date,DN$4&lt;=Construction_Start_Date),(NORMDIST(DN$5-Greenlight_Mo,(Inputs!$D$25-Greenlight_Mo)/2,'(Z+) Dev Budget'!$D$80,TRUE())-NORMDIST(DN$5-Greenlight_Mo-1,(Inputs!$D$25-Greenlight_Mo)/2,'(Z+) Dev Budget'!$D$80,TRUE()))/(1-2*NORMDIST(0,(Inputs!$D$25-Greenlight_Mo)/2,'(Z+) Dev Budget'!$D$80,TRUE())),0),0)</f>
        <v>0</v>
      </c>
      <c r="DO59" s="455">
        <f>IFERROR(IF(AND(DO$4&gt;Greenlight_Date,DO$4&lt;=Construction_Start_Date),(NORMDIST(DO$5-Greenlight_Mo,(Inputs!$D$25-Greenlight_Mo)/2,'(Z+) Dev Budget'!$D$80,TRUE())-NORMDIST(DO$5-Greenlight_Mo-1,(Inputs!$D$25-Greenlight_Mo)/2,'(Z+) Dev Budget'!$D$80,TRUE()))/(1-2*NORMDIST(0,(Inputs!$D$25-Greenlight_Mo)/2,'(Z+) Dev Budget'!$D$80,TRUE())),0),0)</f>
        <v>0</v>
      </c>
      <c r="DP59" s="455">
        <f>IFERROR(IF(AND(DP$4&gt;Greenlight_Date,DP$4&lt;=Construction_Start_Date),(NORMDIST(DP$5-Greenlight_Mo,(Inputs!$D$25-Greenlight_Mo)/2,'(Z+) Dev Budget'!$D$80,TRUE())-NORMDIST(DP$5-Greenlight_Mo-1,(Inputs!$D$25-Greenlight_Mo)/2,'(Z+) Dev Budget'!$D$80,TRUE()))/(1-2*NORMDIST(0,(Inputs!$D$25-Greenlight_Mo)/2,'(Z+) Dev Budget'!$D$80,TRUE())),0),0)</f>
        <v>0</v>
      </c>
      <c r="DQ59" s="455">
        <f>IFERROR(IF(AND(DQ$4&gt;Greenlight_Date,DQ$4&lt;=Construction_Start_Date),(NORMDIST(DQ$5-Greenlight_Mo,(Inputs!$D$25-Greenlight_Mo)/2,'(Z+) Dev Budget'!$D$80,TRUE())-NORMDIST(DQ$5-Greenlight_Mo-1,(Inputs!$D$25-Greenlight_Mo)/2,'(Z+) Dev Budget'!$D$80,TRUE()))/(1-2*NORMDIST(0,(Inputs!$D$25-Greenlight_Mo)/2,'(Z+) Dev Budget'!$D$80,TRUE())),0),0)</f>
        <v>0</v>
      </c>
      <c r="DR59" s="455">
        <f>IFERROR(IF(AND(DR$4&gt;Greenlight_Date,DR$4&lt;=Construction_Start_Date),(NORMDIST(DR$5-Greenlight_Mo,(Inputs!$D$25-Greenlight_Mo)/2,'(Z+) Dev Budget'!$D$80,TRUE())-NORMDIST(DR$5-Greenlight_Mo-1,(Inputs!$D$25-Greenlight_Mo)/2,'(Z+) Dev Budget'!$D$80,TRUE()))/(1-2*NORMDIST(0,(Inputs!$D$25-Greenlight_Mo)/2,'(Z+) Dev Budget'!$D$80,TRUE())),0),0)</f>
        <v>0</v>
      </c>
      <c r="DS59" s="455">
        <f>IFERROR(IF(AND(DS$4&gt;Greenlight_Date,DS$4&lt;=Construction_Start_Date),(NORMDIST(DS$5-Greenlight_Mo,(Inputs!$D$25-Greenlight_Mo)/2,'(Z+) Dev Budget'!$D$80,TRUE())-NORMDIST(DS$5-Greenlight_Mo-1,(Inputs!$D$25-Greenlight_Mo)/2,'(Z+) Dev Budget'!$D$80,TRUE()))/(1-2*NORMDIST(0,(Inputs!$D$25-Greenlight_Mo)/2,'(Z+) Dev Budget'!$D$80,TRUE())),0),0)</f>
        <v>0</v>
      </c>
      <c r="DT59" s="455">
        <f>IFERROR(IF(AND(DT$4&gt;Greenlight_Date,DT$4&lt;=Construction_Start_Date),(NORMDIST(DT$5-Greenlight_Mo,(Inputs!$D$25-Greenlight_Mo)/2,'(Z+) Dev Budget'!$D$80,TRUE())-NORMDIST(DT$5-Greenlight_Mo-1,(Inputs!$D$25-Greenlight_Mo)/2,'(Z+) Dev Budget'!$D$80,TRUE()))/(1-2*NORMDIST(0,(Inputs!$D$25-Greenlight_Mo)/2,'(Z+) Dev Budget'!$D$80,TRUE())),0),0)</f>
        <v>0</v>
      </c>
      <c r="DU59" s="455">
        <f>IFERROR(IF(AND(DU$4&gt;Greenlight_Date,DU$4&lt;=Construction_Start_Date),(NORMDIST(DU$5-Greenlight_Mo,(Inputs!$D$25-Greenlight_Mo)/2,'(Z+) Dev Budget'!$D$80,TRUE())-NORMDIST(DU$5-Greenlight_Mo-1,(Inputs!$D$25-Greenlight_Mo)/2,'(Z+) Dev Budget'!$D$80,TRUE()))/(1-2*NORMDIST(0,(Inputs!$D$25-Greenlight_Mo)/2,'(Z+) Dev Budget'!$D$80,TRUE())),0),0)</f>
        <v>0</v>
      </c>
    </row>
    <row r="60" spans="1:125" ht="15.75" customHeight="1" x14ac:dyDescent="0.25">
      <c r="A60" s="456" t="s">
        <v>504</v>
      </c>
      <c r="B60" s="457"/>
      <c r="C60" s="457"/>
      <c r="D60" s="458">
        <f>IFERROR(SUM(F60:HB60),0)</f>
        <v>1.0000000000000002</v>
      </c>
      <c r="E60" s="457"/>
      <c r="F60" s="459">
        <f>IFERROR(IF(AND(F4&lt;=Inputs!$E$27,F4&gt;Construction_Start_Date),1/Inputs!$E$26,0),0)</f>
        <v>0</v>
      </c>
      <c r="G60" s="459">
        <f>IFERROR(IF(AND(G4&lt;=Inputs!$E$27,G4&gt;Construction_Start_Date),1/Inputs!$E$26,0),0)</f>
        <v>0</v>
      </c>
      <c r="H60" s="459">
        <f>IFERROR(IF(AND(H4&lt;=Inputs!$E$27,H4&gt;Construction_Start_Date),1/Inputs!$E$26,0),0)</f>
        <v>0</v>
      </c>
      <c r="I60" s="459">
        <f>IFERROR(IF(AND(I4&lt;=Inputs!$E$27,I4&gt;Construction_Start_Date),1/Inputs!$E$26,0),0)</f>
        <v>0</v>
      </c>
      <c r="J60" s="460">
        <f>IFERROR(IF(AND(J4&lt;=Inputs!$E$27,J4&gt;Construction_Start_Date),1/Inputs!$E$26,0),0)</f>
        <v>0</v>
      </c>
      <c r="K60" s="460">
        <f>IFERROR(IF(AND(K4&lt;=Inputs!$E$27,K4&gt;Construction_Start_Date),1/Inputs!$E$26,0),0)</f>
        <v>0</v>
      </c>
      <c r="L60" s="460">
        <f>IFERROR(IF(AND(L4&lt;=Inputs!$E$27,L4&gt;Construction_Start_Date),1/Inputs!$E$26,0),0)</f>
        <v>0</v>
      </c>
      <c r="M60" s="460">
        <f>IFERROR(IF(AND(M4&lt;=Inputs!$E$27,M4&gt;Construction_Start_Date),1/Inputs!$E$26,0),0)</f>
        <v>0</v>
      </c>
      <c r="N60" s="460">
        <f>IFERROR(IF(AND(N4&lt;=Inputs!$E$27,N4&gt;Construction_Start_Date),1/Inputs!$E$26,0),0)</f>
        <v>0</v>
      </c>
      <c r="O60" s="460">
        <f>IFERROR(IF(AND(O4&lt;=Inputs!$E$27,O4&gt;Construction_Start_Date),1/Inputs!$E$26,0),0)</f>
        <v>0</v>
      </c>
      <c r="P60" s="460">
        <f>IFERROR(IF(AND(P4&lt;=Inputs!$E$27,P4&gt;Construction_Start_Date),1/Inputs!$E$26,0),0)</f>
        <v>9.0909090909090912E-2</v>
      </c>
      <c r="Q60" s="460">
        <f>IFERROR(IF(AND(Q4&lt;=Inputs!$E$27,Q4&gt;Construction_Start_Date),1/Inputs!$E$26,0),0)</f>
        <v>9.0909090909090912E-2</v>
      </c>
      <c r="R60" s="460">
        <f>IFERROR(IF(AND(R4&lt;=Inputs!$E$27,R4&gt;Construction_Start_Date),1/Inputs!$E$26,0),0)</f>
        <v>9.0909090909090912E-2</v>
      </c>
      <c r="S60" s="460">
        <f>IFERROR(IF(AND(S4&lt;=Inputs!$E$27,S4&gt;Construction_Start_Date),1/Inputs!$E$26,0),0)</f>
        <v>9.0909090909090912E-2</v>
      </c>
      <c r="T60" s="460">
        <f>IFERROR(IF(AND(T4&lt;=Inputs!$E$27,T4&gt;Construction_Start_Date),1/Inputs!$E$26,0),0)</f>
        <v>9.0909090909090912E-2</v>
      </c>
      <c r="U60" s="461">
        <f>IFERROR(IF(AND(U4&lt;=Inputs!$E$27,U4&gt;Construction_Start_Date),1/Inputs!$E$26,0),0)</f>
        <v>9.0909090909090912E-2</v>
      </c>
      <c r="V60" s="461">
        <f>IFERROR(IF(AND(V4&lt;=Inputs!$E$27,V4&gt;Construction_Start_Date),1/Inputs!$E$26,0),0)</f>
        <v>9.0909090909090912E-2</v>
      </c>
      <c r="W60" s="461">
        <f>IFERROR(IF(AND(W4&lt;=Inputs!$E$27,W4&gt;Construction_Start_Date),1/Inputs!$E$26,0),0)</f>
        <v>9.0909090909090912E-2</v>
      </c>
      <c r="X60" s="461">
        <f>IFERROR(IF(AND(X4&lt;=Inputs!$E$27,X4&gt;Construction_Start_Date),1/Inputs!$E$26,0),0)</f>
        <v>9.0909090909090912E-2</v>
      </c>
      <c r="Y60" s="461">
        <f>IFERROR(IF(AND(Y4&lt;=Inputs!$E$27,Y4&gt;Construction_Start_Date),1/Inputs!$E$26,0),0)</f>
        <v>9.0909090909090912E-2</v>
      </c>
      <c r="Z60" s="461">
        <f>IFERROR(IF(AND(Z4&lt;=Inputs!$E$27,Z4&gt;Construction_Start_Date),1/Inputs!$E$26,0),0)</f>
        <v>9.0909090909090912E-2</v>
      </c>
      <c r="AA60" s="461">
        <f>IFERROR(IF(AND(AA4&lt;=Inputs!$E$27,AA4&gt;Construction_Start_Date),1/Inputs!$E$26,0),0)</f>
        <v>0</v>
      </c>
      <c r="AB60" s="461">
        <f>IFERROR(IF(AND(AB4&lt;=Inputs!$E$27,AB4&gt;Construction_Start_Date),1/Inputs!$E$26,0),0)</f>
        <v>0</v>
      </c>
      <c r="AC60" s="461">
        <f>IFERROR(IF(AND(AC4&lt;=Inputs!$E$27,AC4&gt;Construction_Start_Date),1/Inputs!$E$26,0),0)</f>
        <v>0</v>
      </c>
      <c r="AD60" s="461">
        <f>IFERROR(IF(AND(AD4&lt;=Inputs!$E$27,AD4&gt;Construction_Start_Date),1/Inputs!$E$26,0),0)</f>
        <v>0</v>
      </c>
      <c r="AE60" s="461">
        <f>IFERROR(IF(AND(AE4&lt;=Inputs!$E$27,AE4&gt;Construction_Start_Date),1/Inputs!$E$26,0),0)</f>
        <v>0</v>
      </c>
      <c r="AF60" s="461">
        <f>IFERROR(IF(AND(AF4&lt;=Inputs!$E$27,AF4&gt;Construction_Start_Date),1/Inputs!$E$26,0),0)</f>
        <v>0</v>
      </c>
      <c r="AG60" s="461">
        <f>IFERROR(IF(AND(AG4&lt;=Inputs!$E$27,AG4&gt;Construction_Start_Date),1/Inputs!$E$26,0),0)</f>
        <v>0</v>
      </c>
      <c r="AH60" s="461">
        <f>IFERROR(IF(AND(AH4&lt;=Inputs!$E$27,AH4&gt;Construction_Start_Date),1/Inputs!$E$26,0),0)</f>
        <v>0</v>
      </c>
      <c r="AI60" s="461">
        <f>IFERROR(IF(AND(AI4&lt;=Inputs!$E$27,AI4&gt;Construction_Start_Date),1/Inputs!$E$26,0),0)</f>
        <v>0</v>
      </c>
      <c r="AJ60" s="461">
        <f>IFERROR(IF(AND(AJ4&lt;=Inputs!$E$27,AJ4&gt;Construction_Start_Date),1/Inputs!$E$26,0),0)</f>
        <v>0</v>
      </c>
      <c r="AK60" s="461">
        <f>IFERROR(IF(AND(AK4&lt;=Inputs!$E$27,AK4&gt;Construction_Start_Date),1/Inputs!$E$26,0),0)</f>
        <v>0</v>
      </c>
      <c r="AL60" s="461">
        <f>IFERROR(IF(AND(AL4&lt;=Inputs!$E$27,AL4&gt;Construction_Start_Date),1/Inputs!$E$26,0),0)</f>
        <v>0</v>
      </c>
      <c r="AM60" s="461">
        <f>IFERROR(IF(AND(AM4&lt;=Inputs!$E$27,AM4&gt;Construction_Start_Date),1/Inputs!$E$26,0),0)</f>
        <v>0</v>
      </c>
      <c r="AN60" s="461">
        <f>IFERROR(IF(AND(AN4&lt;=Inputs!$E$27,AN4&gt;Construction_Start_Date),1/Inputs!$E$26,0),0)</f>
        <v>0</v>
      </c>
      <c r="AO60" s="461">
        <f>IFERROR(IF(AND(AO4&lt;=Inputs!$E$27,AO4&gt;Construction_Start_Date),1/Inputs!$E$26,0),0)</f>
        <v>0</v>
      </c>
      <c r="AP60" s="461">
        <f>IFERROR(IF(AND(AP4&lt;=Inputs!$E$27,AP4&gt;Construction_Start_Date),1/Inputs!$E$26,0),0)</f>
        <v>0</v>
      </c>
      <c r="AQ60" s="461">
        <f>IFERROR(IF(AND(AQ4&lt;=Inputs!$E$27,AQ4&gt;Construction_Start_Date),1/Inputs!$E$26,0),0)</f>
        <v>0</v>
      </c>
      <c r="AR60" s="461">
        <f>IFERROR(IF(AND(AR4&lt;=Inputs!$E$27,AR4&gt;Construction_Start_Date),1/Inputs!$E$26,0),0)</f>
        <v>0</v>
      </c>
      <c r="AS60" s="461">
        <f>IFERROR(IF(AND(AS4&lt;=Inputs!$E$27,AS4&gt;Construction_Start_Date),1/Inputs!$E$26,0),0)</f>
        <v>0</v>
      </c>
      <c r="AT60" s="461">
        <f>IFERROR(IF(AND(AT4&lt;=Inputs!$E$27,AT4&gt;Construction_Start_Date),1/Inputs!$E$26,0),0)</f>
        <v>0</v>
      </c>
      <c r="AU60" s="461">
        <f>IFERROR(IF(AND(AU4&lt;=Inputs!$E$27,AU4&gt;Construction_Start_Date),1/Inputs!$E$26,0),0)</f>
        <v>0</v>
      </c>
      <c r="AV60" s="461">
        <f>IFERROR(IF(AND(AV4&lt;=Inputs!$E$27,AV4&gt;Construction_Start_Date),1/Inputs!$E$26,0),0)</f>
        <v>0</v>
      </c>
      <c r="AW60" s="461">
        <f>IFERROR(IF(AND(AW4&lt;=Inputs!$E$27,AW4&gt;Construction_Start_Date),1/Inputs!$E$26,0),0)</f>
        <v>0</v>
      </c>
      <c r="AX60" s="461">
        <f>IFERROR(IF(AND(AX4&lt;=Inputs!$E$27,AX4&gt;Construction_Start_Date),1/Inputs!$E$26,0),0)</f>
        <v>0</v>
      </c>
      <c r="AY60" s="461">
        <f>IFERROR(IF(AND(AY4&lt;=Inputs!$E$27,AY4&gt;Construction_Start_Date),1/Inputs!$E$26,0),0)</f>
        <v>0</v>
      </c>
      <c r="AZ60" s="461">
        <f>IFERROR(IF(AND(AZ4&lt;=Inputs!$E$27,AZ4&gt;Construction_Start_Date),1/Inputs!$E$26,0),0)</f>
        <v>0</v>
      </c>
      <c r="BA60" s="461">
        <f>IFERROR(IF(AND(BA4&lt;=Inputs!$E$27,BA4&gt;Construction_Start_Date),1/Inputs!$E$26,0),0)</f>
        <v>0</v>
      </c>
      <c r="BB60" s="461">
        <f>IFERROR(IF(AND(BB4&lt;=Inputs!$E$27,BB4&gt;Construction_Start_Date),1/Inputs!$E$26,0),0)</f>
        <v>0</v>
      </c>
      <c r="BC60" s="461">
        <f>IFERROR(IF(AND(BC4&lt;=Inputs!$E$27,BC4&gt;Construction_Start_Date),1/Inputs!$E$26,0),0)</f>
        <v>0</v>
      </c>
      <c r="BD60" s="461">
        <f>IFERROR(IF(AND(BD4&lt;=Inputs!$E$27,BD4&gt;Construction_Start_Date),1/Inputs!$E$26,0),0)</f>
        <v>0</v>
      </c>
      <c r="BE60" s="461">
        <f>IFERROR(IF(AND(BE4&lt;=Inputs!$E$27,BE4&gt;Construction_Start_Date),1/Inputs!$E$26,0),0)</f>
        <v>0</v>
      </c>
      <c r="BF60" s="461">
        <f>IFERROR(IF(AND(BF4&lt;=Inputs!$E$27,BF4&gt;Construction_Start_Date),1/Inputs!$E$26,0),0)</f>
        <v>0</v>
      </c>
      <c r="BG60" s="461">
        <f>IFERROR(IF(AND(BG4&lt;=Inputs!$E$27,BG4&gt;Construction_Start_Date),1/Inputs!$E$26,0),0)</f>
        <v>0</v>
      </c>
      <c r="BH60" s="461">
        <f>IFERROR(IF(AND(BH4&lt;=Inputs!$E$27,BH4&gt;Construction_Start_Date),1/Inputs!$E$26,0),0)</f>
        <v>0</v>
      </c>
      <c r="BI60" s="461">
        <f>IFERROR(IF(AND(BI4&lt;=Inputs!$E$27,BI4&gt;Construction_Start_Date),1/Inputs!$E$26,0),0)</f>
        <v>0</v>
      </c>
      <c r="BJ60" s="461">
        <f>IFERROR(IF(AND(BJ4&lt;=Inputs!$E$27,BJ4&gt;Construction_Start_Date),1/Inputs!$E$26,0),0)</f>
        <v>0</v>
      </c>
      <c r="BK60" s="461">
        <f>IFERROR(IF(AND(BK4&lt;=Inputs!$E$27,BK4&gt;Construction_Start_Date),1/Inputs!$E$26,0),0)</f>
        <v>0</v>
      </c>
      <c r="BL60" s="461">
        <f>IFERROR(IF(AND(BL4&lt;=Inputs!$E$27,BL4&gt;Construction_Start_Date),1/Inputs!$E$26,0),0)</f>
        <v>0</v>
      </c>
      <c r="BM60" s="461">
        <f>IFERROR(IF(AND(BM4&lt;=Inputs!$E$27,BM4&gt;Construction_Start_Date),1/Inputs!$E$26,0),0)</f>
        <v>0</v>
      </c>
      <c r="BN60" s="461">
        <f>IFERROR(IF(AND(BN4&lt;=Inputs!$E$27,BN4&gt;Construction_Start_Date),1/Inputs!$E$26,0),0)</f>
        <v>0</v>
      </c>
      <c r="BO60" s="461">
        <f>IFERROR(IF(AND(BO4&lt;=Inputs!$E$27,BO4&gt;Construction_Start_Date),1/Inputs!$E$26,0),0)</f>
        <v>0</v>
      </c>
      <c r="BP60" s="461">
        <f>IFERROR(IF(AND(BP4&lt;=Inputs!$E$27,BP4&gt;Construction_Start_Date),1/Inputs!$E$26,0),0)</f>
        <v>0</v>
      </c>
      <c r="BQ60" s="461">
        <f>IFERROR(IF(AND(BQ4&lt;=Inputs!$E$27,BQ4&gt;Construction_Start_Date),1/Inputs!$E$26,0),0)</f>
        <v>0</v>
      </c>
      <c r="BR60" s="461">
        <f>IFERROR(IF(AND(BR4&lt;=Inputs!$E$27,BR4&gt;Construction_Start_Date),1/Inputs!$E$26,0),0)</f>
        <v>0</v>
      </c>
      <c r="BS60" s="461">
        <f>IFERROR(IF(AND(BS4&lt;=Inputs!$E$27,BS4&gt;Construction_Start_Date),1/Inputs!$E$26,0),0)</f>
        <v>0</v>
      </c>
      <c r="BT60" s="461">
        <f>IFERROR(IF(AND(BT4&lt;=Inputs!$E$27,BT4&gt;Construction_Start_Date),1/Inputs!$E$26,0),0)</f>
        <v>0</v>
      </c>
      <c r="BU60" s="461">
        <f>IFERROR(IF(AND(BU4&lt;=Inputs!$E$27,BU4&gt;Construction_Start_Date),1/Inputs!$E$26,0),0)</f>
        <v>0</v>
      </c>
      <c r="BV60" s="461">
        <f>IFERROR(IF(AND(BV4&lt;=Inputs!$E$27,BV4&gt;Construction_Start_Date),1/Inputs!$E$26,0),0)</f>
        <v>0</v>
      </c>
      <c r="BW60" s="461">
        <f>IFERROR(IF(AND(BW4&lt;=Inputs!$E$27,BW4&gt;Construction_Start_Date),1/Inputs!$E$26,0),0)</f>
        <v>0</v>
      </c>
      <c r="BX60" s="461">
        <f>IFERROR(IF(AND(BX4&lt;=Inputs!$E$27,BX4&gt;Construction_Start_Date),1/Inputs!$E$26,0),0)</f>
        <v>0</v>
      </c>
      <c r="BY60" s="461">
        <f>IFERROR(IF(AND(BY4&lt;=Inputs!$E$27,BY4&gt;Construction_Start_Date),1/Inputs!$E$26,0),0)</f>
        <v>0</v>
      </c>
      <c r="BZ60" s="461">
        <f>IFERROR(IF(AND(BZ4&lt;=Inputs!$E$27,BZ4&gt;Construction_Start_Date),1/Inputs!$E$26,0),0)</f>
        <v>0</v>
      </c>
      <c r="CA60" s="461">
        <f>IFERROR(IF(AND(CA4&lt;=Inputs!$E$27,CA4&gt;Construction_Start_Date),1/Inputs!$E$26,0),0)</f>
        <v>0</v>
      </c>
      <c r="CB60" s="461">
        <f>IFERROR(IF(AND(CB4&lt;=Inputs!$E$27,CB4&gt;Construction_Start_Date),1/Inputs!$E$26,0),0)</f>
        <v>0</v>
      </c>
      <c r="CC60" s="461">
        <f>IFERROR(IF(AND(CC4&lt;=Inputs!$E$27,CC4&gt;Construction_Start_Date),1/Inputs!$E$26,0),0)</f>
        <v>0</v>
      </c>
      <c r="CD60" s="461">
        <f>IFERROR(IF(AND(CD4&lt;=Inputs!$E$27,CD4&gt;Construction_Start_Date),1/Inputs!$E$26,0),0)</f>
        <v>0</v>
      </c>
      <c r="CE60" s="461">
        <f>IFERROR(IF(AND(CE4&lt;=Inputs!$E$27,CE4&gt;Construction_Start_Date),1/Inputs!$E$26,0),0)</f>
        <v>0</v>
      </c>
      <c r="CF60" s="461">
        <f>IFERROR(IF(AND(CF4&lt;=Inputs!$E$27,CF4&gt;Construction_Start_Date),1/Inputs!$E$26,0),0)</f>
        <v>0</v>
      </c>
      <c r="CG60" s="461">
        <f>IFERROR(IF(AND(CG4&lt;=Inputs!$E$27,CG4&gt;Construction_Start_Date),1/Inputs!$E$26,0),0)</f>
        <v>0</v>
      </c>
      <c r="CH60" s="461">
        <f>IFERROR(IF(AND(CH4&lt;=Inputs!$E$27,CH4&gt;Construction_Start_Date),1/Inputs!$E$26,0),0)</f>
        <v>0</v>
      </c>
      <c r="CI60" s="461">
        <f>IFERROR(IF(AND(CI4&lt;=Inputs!$E$27,CI4&gt;Construction_Start_Date),1/Inputs!$E$26,0),0)</f>
        <v>0</v>
      </c>
      <c r="CJ60" s="461">
        <f>IFERROR(IF(AND(CJ4&lt;=Inputs!$E$27,CJ4&gt;Construction_Start_Date),1/Inputs!$E$26,0),0)</f>
        <v>0</v>
      </c>
      <c r="CK60" s="461">
        <f>IFERROR(IF(AND(CK4&lt;=Inputs!$E$27,CK4&gt;Construction_Start_Date),1/Inputs!$E$26,0),0)</f>
        <v>0</v>
      </c>
      <c r="CL60" s="461">
        <f>IFERROR(IF(AND(CL4&lt;=Inputs!$E$27,CL4&gt;Construction_Start_Date),1/Inputs!$E$26,0),0)</f>
        <v>0</v>
      </c>
      <c r="CM60" s="461">
        <f>IFERROR(IF(AND(CM4&lt;=Inputs!$E$27,CM4&gt;Construction_Start_Date),1/Inputs!$E$26,0),0)</f>
        <v>0</v>
      </c>
      <c r="CN60" s="461">
        <f>IFERROR(IF(AND(CN4&lt;=Inputs!$E$27,CN4&gt;Construction_Start_Date),1/Inputs!$E$26,0),0)</f>
        <v>0</v>
      </c>
      <c r="CO60" s="461">
        <f>IFERROR(IF(AND(CO4&lt;=Inputs!$E$27,CO4&gt;Construction_Start_Date),1/Inputs!$E$26,0),0)</f>
        <v>0</v>
      </c>
      <c r="CP60" s="461">
        <f>IFERROR(IF(AND(CP4&lt;=Inputs!$E$27,CP4&gt;Construction_Start_Date),1/Inputs!$E$26,0),0)</f>
        <v>0</v>
      </c>
      <c r="CQ60" s="461">
        <f>IFERROR(IF(AND(CQ4&lt;=Inputs!$E$27,CQ4&gt;Construction_Start_Date),1/Inputs!$E$26,0),0)</f>
        <v>0</v>
      </c>
      <c r="CR60" s="461">
        <f>IFERROR(IF(AND(CR4&lt;=Inputs!$E$27,CR4&gt;Construction_Start_Date),1/Inputs!$E$26,0),0)</f>
        <v>0</v>
      </c>
      <c r="CS60" s="461">
        <f>IFERROR(IF(AND(CS4&lt;=Inputs!$E$27,CS4&gt;Construction_Start_Date),1/Inputs!$E$26,0),0)</f>
        <v>0</v>
      </c>
      <c r="CT60" s="461">
        <f>IFERROR(IF(AND(CT4&lt;=Inputs!$E$27,CT4&gt;Construction_Start_Date),1/Inputs!$E$26,0),0)</f>
        <v>0</v>
      </c>
      <c r="CU60" s="461">
        <f>IFERROR(IF(AND(CU4&lt;=Inputs!$E$27,CU4&gt;Construction_Start_Date),1/Inputs!$E$26,0),0)</f>
        <v>0</v>
      </c>
      <c r="CV60" s="461">
        <f>IFERROR(IF(AND(CV4&lt;=Inputs!$E$27,CV4&gt;Construction_Start_Date),1/Inputs!$E$26,0),0)</f>
        <v>0</v>
      </c>
      <c r="CW60" s="461">
        <f>IFERROR(IF(AND(CW4&lt;=Inputs!$E$27,CW4&gt;Construction_Start_Date),1/Inputs!$E$26,0),0)</f>
        <v>0</v>
      </c>
      <c r="CX60" s="461">
        <f>IFERROR(IF(AND(CX4&lt;=Inputs!$E$27,CX4&gt;Construction_Start_Date),1/Inputs!$E$26,0),0)</f>
        <v>0</v>
      </c>
      <c r="CY60" s="461">
        <f>IFERROR(IF(AND(CY4&lt;=Inputs!$E$27,CY4&gt;Construction_Start_Date),1/Inputs!$E$26,0),0)</f>
        <v>0</v>
      </c>
      <c r="CZ60" s="461">
        <f>IFERROR(IF(AND(CZ4&lt;=Inputs!$E$27,CZ4&gt;Construction_Start_Date),1/Inputs!$E$26,0),0)</f>
        <v>0</v>
      </c>
      <c r="DA60" s="461">
        <f>IFERROR(IF(AND(DA4&lt;=Inputs!$E$27,DA4&gt;Construction_Start_Date),1/Inputs!$E$26,0),0)</f>
        <v>0</v>
      </c>
      <c r="DB60" s="461">
        <f>IFERROR(IF(AND(DB4&lt;=Inputs!$E$27,DB4&gt;Construction_Start_Date),1/Inputs!$E$26,0),0)</f>
        <v>0</v>
      </c>
      <c r="DC60" s="461">
        <f>IFERROR(IF(AND(DC4&lt;=Inputs!$E$27,DC4&gt;Construction_Start_Date),1/Inputs!$E$26,0),0)</f>
        <v>0</v>
      </c>
      <c r="DD60" s="461">
        <f>IFERROR(IF(AND(DD4&lt;=Inputs!$E$27,DD4&gt;Construction_Start_Date),1/Inputs!$E$26,0),0)</f>
        <v>0</v>
      </c>
      <c r="DE60" s="461">
        <f>IFERROR(IF(AND(DE4&lt;=Inputs!$E$27,DE4&gt;Construction_Start_Date),1/Inputs!$E$26,0),0)</f>
        <v>0</v>
      </c>
      <c r="DF60" s="461">
        <f>IFERROR(IF(AND(DF4&lt;=Inputs!$E$27,DF4&gt;Construction_Start_Date),1/Inputs!$E$26,0),0)</f>
        <v>0</v>
      </c>
      <c r="DG60" s="461">
        <f>IFERROR(IF(AND(DG4&lt;=Inputs!$E$27,DG4&gt;Construction_Start_Date),1/Inputs!$E$26,0),0)</f>
        <v>0</v>
      </c>
      <c r="DH60" s="461">
        <f>IFERROR(IF(AND(DH4&lt;=Inputs!$E$27,DH4&gt;Construction_Start_Date),1/Inputs!$E$26,0),0)</f>
        <v>0</v>
      </c>
      <c r="DI60" s="461">
        <f>IFERROR(IF(AND(DI4&lt;=Inputs!$E$27,DI4&gt;Construction_Start_Date),1/Inputs!$E$26,0),0)</f>
        <v>0</v>
      </c>
      <c r="DJ60" s="461">
        <f>IFERROR(IF(AND(DJ4&lt;=Inputs!$E$27,DJ4&gt;Construction_Start_Date),1/Inputs!$E$26,0),0)</f>
        <v>0</v>
      </c>
      <c r="DK60" s="461">
        <f>IFERROR(IF(AND(DK4&lt;=Inputs!$E$27,DK4&gt;Construction_Start_Date),1/Inputs!$E$26,0),0)</f>
        <v>0</v>
      </c>
      <c r="DL60" s="461">
        <f>IFERROR(IF(AND(DL4&lt;=Inputs!$E$27,DL4&gt;Construction_Start_Date),1/Inputs!$E$26,0),0)</f>
        <v>0</v>
      </c>
      <c r="DM60" s="461">
        <f>IFERROR(IF(AND(DM4&lt;=Inputs!$E$27,DM4&gt;Construction_Start_Date),1/Inputs!$E$26,0),0)</f>
        <v>0</v>
      </c>
      <c r="DN60" s="461">
        <f>IFERROR(IF(AND(DN4&lt;=Inputs!$E$27,DN4&gt;Construction_Start_Date),1/Inputs!$E$26,0),0)</f>
        <v>0</v>
      </c>
      <c r="DO60" s="461">
        <f>IFERROR(IF(AND(DO4&lt;=Inputs!$E$27,DO4&gt;Construction_Start_Date),1/Inputs!$E$26,0),0)</f>
        <v>0</v>
      </c>
      <c r="DP60" s="461">
        <f>IFERROR(IF(AND(DP4&lt;=Inputs!$E$27,DP4&gt;Construction_Start_Date),1/Inputs!$E$26,0),0)</f>
        <v>0</v>
      </c>
      <c r="DQ60" s="461">
        <f>IFERROR(IF(AND(DQ4&lt;=Inputs!$E$27,DQ4&gt;Construction_Start_Date),1/Inputs!$E$26,0),0)</f>
        <v>0</v>
      </c>
      <c r="DR60" s="461">
        <f>IFERROR(IF(AND(DR4&lt;=Inputs!$E$27,DR4&gt;Construction_Start_Date),1/Inputs!$E$26,0),0)</f>
        <v>0</v>
      </c>
      <c r="DS60" s="461">
        <f>IFERROR(IF(AND(DS4&lt;=Inputs!$E$27,DS4&gt;Construction_Start_Date),1/Inputs!$E$26,0),0)</f>
        <v>0</v>
      </c>
      <c r="DT60" s="461">
        <f>IFERROR(IF(AND(DT4&lt;=Inputs!$E$27,DT4&gt;Construction_Start_Date),1/Inputs!$E$26,0),0)</f>
        <v>0</v>
      </c>
      <c r="DU60" s="461">
        <f>IFERROR(IF(AND(DU4&lt;=Inputs!$E$27,DU4&gt;Construction_Start_Date),1/Inputs!$E$26,0),0)</f>
        <v>0</v>
      </c>
    </row>
    <row r="61" spans="1:125" ht="15.75" customHeight="1" x14ac:dyDescent="0.25">
      <c r="D61" s="387"/>
      <c r="F61" s="388"/>
      <c r="G61" s="388"/>
      <c r="H61" s="388"/>
      <c r="I61" s="388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90"/>
      <c r="V61" s="390"/>
      <c r="W61" s="390"/>
      <c r="X61" s="390"/>
      <c r="Y61" s="390"/>
      <c r="Z61" s="390"/>
      <c r="AA61" s="390"/>
      <c r="AB61" s="390"/>
      <c r="AC61" s="390"/>
      <c r="AD61" s="390"/>
      <c r="AE61" s="390"/>
      <c r="AF61" s="390"/>
      <c r="AG61" s="390"/>
      <c r="AH61" s="390"/>
      <c r="AI61" s="390"/>
      <c r="AJ61" s="390"/>
      <c r="AK61" s="390"/>
      <c r="AL61" s="390"/>
      <c r="AM61" s="390"/>
      <c r="AN61" s="390"/>
      <c r="AO61" s="390"/>
      <c r="AP61" s="390"/>
      <c r="AQ61" s="390"/>
      <c r="AR61" s="390"/>
      <c r="AS61" s="390"/>
      <c r="AT61" s="390"/>
      <c r="AU61" s="390"/>
      <c r="AV61" s="390"/>
      <c r="AW61" s="390"/>
      <c r="AX61" s="390"/>
      <c r="AY61" s="390"/>
      <c r="AZ61" s="390"/>
      <c r="BA61" s="390"/>
      <c r="BB61" s="390"/>
      <c r="BC61" s="390"/>
      <c r="BD61" s="390"/>
      <c r="BE61" s="390"/>
      <c r="BF61" s="390"/>
      <c r="BG61" s="390"/>
      <c r="BH61" s="390"/>
      <c r="BI61" s="390"/>
      <c r="BJ61" s="390"/>
      <c r="BK61" s="390"/>
      <c r="BL61" s="390"/>
      <c r="BM61" s="390"/>
      <c r="BN61" s="390"/>
      <c r="BO61" s="390"/>
      <c r="BP61" s="390"/>
      <c r="BQ61" s="390"/>
      <c r="BR61" s="390"/>
      <c r="BS61" s="390"/>
      <c r="BT61" s="390"/>
      <c r="BU61" s="390"/>
      <c r="BV61" s="390"/>
      <c r="BW61" s="390"/>
      <c r="BX61" s="390"/>
      <c r="BY61" s="390"/>
      <c r="BZ61" s="390"/>
      <c r="CA61" s="390"/>
      <c r="CB61" s="390"/>
      <c r="CC61" s="390"/>
      <c r="CD61" s="390"/>
      <c r="CE61" s="390"/>
      <c r="CF61" s="390"/>
      <c r="CG61" s="390"/>
      <c r="CH61" s="390"/>
      <c r="CI61" s="390"/>
      <c r="CJ61" s="390"/>
      <c r="CK61" s="390"/>
      <c r="CL61" s="390"/>
      <c r="CM61" s="390"/>
      <c r="CN61" s="390"/>
      <c r="CO61" s="390"/>
      <c r="CP61" s="390"/>
      <c r="CQ61" s="390"/>
      <c r="CR61" s="390"/>
      <c r="CS61" s="390"/>
      <c r="CT61" s="390"/>
      <c r="CU61" s="390"/>
      <c r="CV61" s="390"/>
      <c r="CW61" s="390"/>
      <c r="CX61" s="390"/>
      <c r="CY61" s="390"/>
      <c r="CZ61" s="390"/>
      <c r="DA61" s="390"/>
      <c r="DB61" s="390"/>
      <c r="DC61" s="390"/>
      <c r="DD61" s="390"/>
      <c r="DE61" s="390"/>
      <c r="DF61" s="390"/>
      <c r="DG61" s="390"/>
      <c r="DH61" s="390"/>
      <c r="DI61" s="390"/>
      <c r="DJ61" s="390"/>
      <c r="DK61" s="390"/>
      <c r="DL61" s="390"/>
      <c r="DM61" s="390"/>
      <c r="DN61" s="390"/>
      <c r="DO61" s="390"/>
      <c r="DP61" s="390"/>
      <c r="DQ61" s="390"/>
      <c r="DR61" s="390"/>
      <c r="DS61" s="390"/>
      <c r="DT61" s="390"/>
      <c r="DU61" s="390"/>
    </row>
    <row r="62" spans="1:125" x14ac:dyDescent="0.25">
      <c r="A62" s="385" t="s">
        <v>505</v>
      </c>
      <c r="D62" s="462">
        <f>SUM(F62:HB62)</f>
        <v>-1601600</v>
      </c>
      <c r="F62" s="441">
        <f>IFERROR(IF(Inputs!$E$22='(Z+) Monthly CF'!F4,-'(Z+) Dev Budget'!$G$10,0),0)</f>
        <v>0</v>
      </c>
      <c r="G62" s="441">
        <f>IFERROR(IF(Inputs!$E$22='(Z+) Monthly CF'!G4,-'(Z+) Dev Budget'!$G$10,0),0)</f>
        <v>0</v>
      </c>
      <c r="H62" s="441">
        <f>IFERROR(IF(Inputs!$E$22='(Z+) Monthly CF'!H4,-'(Z+) Dev Budget'!$G$10,0),0)</f>
        <v>0</v>
      </c>
      <c r="I62" s="441">
        <f>IFERROR(IF(Inputs!$E$22='(Z+) Monthly CF'!I4,-'(Z+) Dev Budget'!$G$10,0),0)</f>
        <v>-1601600</v>
      </c>
      <c r="J62" s="442">
        <f>IFERROR(IF(Inputs!$E$22='(Z+) Monthly CF'!J4,-'(Z+) Dev Budget'!$G$10,0),0)</f>
        <v>0</v>
      </c>
      <c r="K62" s="442">
        <f>IFERROR(IF(Inputs!$E$22='(Z+) Monthly CF'!K4,-'(Z+) Dev Budget'!$G$10,0),0)</f>
        <v>0</v>
      </c>
      <c r="L62" s="442">
        <f>IFERROR(IF(Inputs!$E$22='(Z+) Monthly CF'!L4,-'(Z+) Dev Budget'!$G$10,0),0)</f>
        <v>0</v>
      </c>
      <c r="M62" s="442">
        <f>IFERROR(IF(Inputs!$E$22='(Z+) Monthly CF'!M4,-'(Z+) Dev Budget'!$G$10,0),0)</f>
        <v>0</v>
      </c>
      <c r="N62" s="442">
        <f>IFERROR(IF(Inputs!$E$22='(Z+) Monthly CF'!N4,-'(Z+) Dev Budget'!$G$10,0),0)</f>
        <v>0</v>
      </c>
      <c r="O62" s="442">
        <f>IFERROR(IF(Inputs!$E$22='(Z+) Monthly CF'!O4,-'(Z+) Dev Budget'!$G$10,0),0)</f>
        <v>0</v>
      </c>
      <c r="P62" s="442">
        <f>IFERROR(IF(Inputs!$E$22='(Z+) Monthly CF'!P4,-'(Z+) Dev Budget'!$G$10,0),0)</f>
        <v>0</v>
      </c>
      <c r="Q62" s="442">
        <f>IFERROR(IF(Inputs!$E$22='(Z+) Monthly CF'!Q4,-'(Z+) Dev Budget'!$G$10,0),0)</f>
        <v>0</v>
      </c>
      <c r="R62" s="442">
        <f>IFERROR(IF(Inputs!$E$22='(Z+) Monthly CF'!R4,-'(Z+) Dev Budget'!$G$10,0),0)</f>
        <v>0</v>
      </c>
      <c r="S62" s="442">
        <f>IFERROR(IF(Inputs!$E$22='(Z+) Monthly CF'!S4,-'(Z+) Dev Budget'!$G$10,0),0)</f>
        <v>0</v>
      </c>
      <c r="T62" s="442">
        <f>IFERROR(IF(Inputs!$E$22='(Z+) Monthly CF'!T4,-'(Z+) Dev Budget'!$G$10,0),0)</f>
        <v>0</v>
      </c>
      <c r="U62" s="443">
        <f>IFERROR(IF(Inputs!$E$22='(Z+) Monthly CF'!U4,-'(Z+) Dev Budget'!$G$10,0),0)</f>
        <v>0</v>
      </c>
      <c r="V62" s="443">
        <f>IFERROR(IF(Inputs!$E$22='(Z+) Monthly CF'!V4,-'(Z+) Dev Budget'!$G$10,0),0)</f>
        <v>0</v>
      </c>
      <c r="W62" s="443">
        <f>IFERROR(IF(Inputs!$E$22='(Z+) Monthly CF'!W4,-'(Z+) Dev Budget'!$G$10,0),0)</f>
        <v>0</v>
      </c>
      <c r="X62" s="443">
        <f>IFERROR(IF(Inputs!$E$22='(Z+) Monthly CF'!X4,-'(Z+) Dev Budget'!$G$10,0),0)</f>
        <v>0</v>
      </c>
      <c r="Y62" s="443">
        <f>IFERROR(IF(Inputs!$E$22='(Z+) Monthly CF'!Y4,-'(Z+) Dev Budget'!$G$10,0),0)</f>
        <v>0</v>
      </c>
      <c r="Z62" s="443">
        <f>IFERROR(IF(Inputs!$E$22='(Z+) Monthly CF'!Z4,-'(Z+) Dev Budget'!$G$10,0),0)</f>
        <v>0</v>
      </c>
      <c r="AA62" s="443">
        <f>IFERROR(IF(Inputs!$E$22='(Z+) Monthly CF'!AA4,-'(Z+) Dev Budget'!$G$10,0),0)</f>
        <v>0</v>
      </c>
      <c r="AB62" s="443">
        <f>IFERROR(IF(Inputs!$E$22='(Z+) Monthly CF'!AB4,-'(Z+) Dev Budget'!$G$10,0),0)</f>
        <v>0</v>
      </c>
      <c r="AC62" s="443">
        <f>IFERROR(IF(Inputs!$E$22='(Z+) Monthly CF'!AC4,-'(Z+) Dev Budget'!$G$10,0),0)</f>
        <v>0</v>
      </c>
      <c r="AD62" s="443">
        <f>IFERROR(IF(Inputs!$E$22='(Z+) Monthly CF'!AD4,-'(Z+) Dev Budget'!$G$10,0),0)</f>
        <v>0</v>
      </c>
      <c r="AE62" s="443">
        <f>IFERROR(IF(Inputs!$E$22='(Z+) Monthly CF'!AE4,-'(Z+) Dev Budget'!$G$10,0),0)</f>
        <v>0</v>
      </c>
      <c r="AF62" s="443">
        <f>IFERROR(IF(Inputs!$E$22='(Z+) Monthly CF'!AF4,-'(Z+) Dev Budget'!$G$10,0),0)</f>
        <v>0</v>
      </c>
      <c r="AG62" s="443">
        <f>IFERROR(IF(Inputs!$E$22='(Z+) Monthly CF'!AG4,-'(Z+) Dev Budget'!$G$10,0),0)</f>
        <v>0</v>
      </c>
      <c r="AH62" s="443">
        <f>IFERROR(IF(Inputs!$E$22='(Z+) Monthly CF'!AH4,-'(Z+) Dev Budget'!$G$10,0),0)</f>
        <v>0</v>
      </c>
      <c r="AI62" s="443">
        <f>IFERROR(IF(Inputs!$E$22='(Z+) Monthly CF'!AI4,-'(Z+) Dev Budget'!$G$10,0),0)</f>
        <v>0</v>
      </c>
      <c r="AJ62" s="443">
        <f>IFERROR(IF(Inputs!$E$22='(Z+) Monthly CF'!AJ4,-'(Z+) Dev Budget'!$G$10,0),0)</f>
        <v>0</v>
      </c>
      <c r="AK62" s="443">
        <f>IFERROR(IF(Inputs!$E$22='(Z+) Monthly CF'!AK4,-'(Z+) Dev Budget'!$G$10,0),0)</f>
        <v>0</v>
      </c>
      <c r="AL62" s="443">
        <f>IFERROR(IF(Inputs!$E$22='(Z+) Monthly CF'!AL4,-'(Z+) Dev Budget'!$G$10,0),0)</f>
        <v>0</v>
      </c>
      <c r="AM62" s="443">
        <f>IFERROR(IF(Inputs!$E$22='(Z+) Monthly CF'!AM4,-'(Z+) Dev Budget'!$G$10,0),0)</f>
        <v>0</v>
      </c>
      <c r="AN62" s="443">
        <f>IFERROR(IF(Inputs!$E$22='(Z+) Monthly CF'!AN4,-'(Z+) Dev Budget'!$G$10,0),0)</f>
        <v>0</v>
      </c>
      <c r="AO62" s="443">
        <f>IFERROR(IF(Inputs!$E$22='(Z+) Monthly CF'!AO4,-'(Z+) Dev Budget'!$G$10,0),0)</f>
        <v>0</v>
      </c>
      <c r="AP62" s="443">
        <f>IFERROR(IF(Inputs!$E$22='(Z+) Monthly CF'!AP4,-'(Z+) Dev Budget'!$G$10,0),0)</f>
        <v>0</v>
      </c>
      <c r="AQ62" s="443">
        <f>IFERROR(IF(Inputs!$E$22='(Z+) Monthly CF'!AQ4,-'(Z+) Dev Budget'!$G$10,0),0)</f>
        <v>0</v>
      </c>
      <c r="AR62" s="443">
        <f>IFERROR(IF(Inputs!$E$22='(Z+) Monthly CF'!AR4,-'(Z+) Dev Budget'!$G$10,0),0)</f>
        <v>0</v>
      </c>
      <c r="AS62" s="443">
        <f>IFERROR(IF(Inputs!$E$22='(Z+) Monthly CF'!AS4,-'(Z+) Dev Budget'!$G$10,0),0)</f>
        <v>0</v>
      </c>
      <c r="AT62" s="443">
        <f>IFERROR(IF(Inputs!$E$22='(Z+) Monthly CF'!AT4,-'(Z+) Dev Budget'!$G$10,0),0)</f>
        <v>0</v>
      </c>
      <c r="AU62" s="443">
        <f>IFERROR(IF(Inputs!$E$22='(Z+) Monthly CF'!AU4,-'(Z+) Dev Budget'!$G$10,0),0)</f>
        <v>0</v>
      </c>
      <c r="AV62" s="443">
        <f>IFERROR(IF(Inputs!$E$22='(Z+) Monthly CF'!AV4,-'(Z+) Dev Budget'!$G$10,0),0)</f>
        <v>0</v>
      </c>
      <c r="AW62" s="443">
        <f>IFERROR(IF(Inputs!$E$22='(Z+) Monthly CF'!AW4,-'(Z+) Dev Budget'!$G$10,0),0)</f>
        <v>0</v>
      </c>
      <c r="AX62" s="443">
        <f>IFERROR(IF(Inputs!$E$22='(Z+) Monthly CF'!AX4,-'(Z+) Dev Budget'!$G$10,0),0)</f>
        <v>0</v>
      </c>
      <c r="AY62" s="443">
        <f>IFERROR(IF(Inputs!$E$22='(Z+) Monthly CF'!AY4,-'(Z+) Dev Budget'!$G$10,0),0)</f>
        <v>0</v>
      </c>
      <c r="AZ62" s="443">
        <f>IFERROR(IF(Inputs!$E$22='(Z+) Monthly CF'!AZ4,-'(Z+) Dev Budget'!$G$10,0),0)</f>
        <v>0</v>
      </c>
      <c r="BA62" s="443">
        <f>IFERROR(IF(Inputs!$E$22='(Z+) Monthly CF'!BA4,-'(Z+) Dev Budget'!$G$10,0),0)</f>
        <v>0</v>
      </c>
      <c r="BB62" s="443">
        <f>IFERROR(IF(Inputs!$E$22='(Z+) Monthly CF'!BB4,-'(Z+) Dev Budget'!$G$10,0),0)</f>
        <v>0</v>
      </c>
      <c r="BC62" s="443">
        <f>IFERROR(IF(Inputs!$E$22='(Z+) Monthly CF'!BC4,-'(Z+) Dev Budget'!$G$10,0),0)</f>
        <v>0</v>
      </c>
      <c r="BD62" s="443">
        <f>IFERROR(IF(Inputs!$E$22='(Z+) Monthly CF'!BD4,-'(Z+) Dev Budget'!$G$10,0),0)</f>
        <v>0</v>
      </c>
      <c r="BE62" s="443">
        <f>IFERROR(IF(Inputs!$E$22='(Z+) Monthly CF'!BE4,-'(Z+) Dev Budget'!$G$10,0),0)</f>
        <v>0</v>
      </c>
      <c r="BF62" s="443">
        <f>IFERROR(IF(Inputs!$E$22='(Z+) Monthly CF'!BF4,-'(Z+) Dev Budget'!$G$10,0),0)</f>
        <v>0</v>
      </c>
      <c r="BG62" s="443">
        <f>IFERROR(IF(Inputs!$E$22='(Z+) Monthly CF'!BG4,-'(Z+) Dev Budget'!$G$10,0),0)</f>
        <v>0</v>
      </c>
      <c r="BH62" s="443">
        <f>IFERROR(IF(Inputs!$E$22='(Z+) Monthly CF'!BH4,-'(Z+) Dev Budget'!$G$10,0),0)</f>
        <v>0</v>
      </c>
      <c r="BI62" s="443">
        <f>IFERROR(IF(Inputs!$E$22='(Z+) Monthly CF'!BI4,-'(Z+) Dev Budget'!$G$10,0),0)</f>
        <v>0</v>
      </c>
      <c r="BJ62" s="443">
        <f>IFERROR(IF(Inputs!$E$22='(Z+) Monthly CF'!BJ4,-'(Z+) Dev Budget'!$G$10,0),0)</f>
        <v>0</v>
      </c>
      <c r="BK62" s="443">
        <f>IFERROR(IF(Inputs!$E$22='(Z+) Monthly CF'!BK4,-'(Z+) Dev Budget'!$G$10,0),0)</f>
        <v>0</v>
      </c>
      <c r="BL62" s="443">
        <f>IFERROR(IF(Inputs!$E$22='(Z+) Monthly CF'!BL4,-'(Z+) Dev Budget'!$G$10,0),0)</f>
        <v>0</v>
      </c>
      <c r="BM62" s="443">
        <f>IFERROR(IF(Inputs!$E$22='(Z+) Monthly CF'!BM4,-'(Z+) Dev Budget'!$G$10,0),0)</f>
        <v>0</v>
      </c>
      <c r="BN62" s="443">
        <f>IFERROR(IF(Inputs!$E$22='(Z+) Monthly CF'!BN4,-'(Z+) Dev Budget'!$G$10,0),0)</f>
        <v>0</v>
      </c>
      <c r="BO62" s="443">
        <f>IFERROR(IF(Inputs!$E$22='(Z+) Monthly CF'!BO4,-'(Z+) Dev Budget'!$G$10,0),0)</f>
        <v>0</v>
      </c>
      <c r="BP62" s="443">
        <f>IFERROR(IF(Inputs!$E$22='(Z+) Monthly CF'!BP4,-'(Z+) Dev Budget'!$G$10,0),0)</f>
        <v>0</v>
      </c>
      <c r="BQ62" s="443">
        <f>IFERROR(IF(Inputs!$E$22='(Z+) Monthly CF'!BQ4,-'(Z+) Dev Budget'!$G$10,0),0)</f>
        <v>0</v>
      </c>
      <c r="BR62" s="443">
        <f>IFERROR(IF(Inputs!$E$22='(Z+) Monthly CF'!BR4,-'(Z+) Dev Budget'!$G$10,0),0)</f>
        <v>0</v>
      </c>
      <c r="BS62" s="443">
        <f>IFERROR(IF(Inputs!$E$22='(Z+) Monthly CF'!BS4,-'(Z+) Dev Budget'!$G$10,0),0)</f>
        <v>0</v>
      </c>
      <c r="BT62" s="443">
        <f>IFERROR(IF(Inputs!$E$22='(Z+) Monthly CF'!BT4,-'(Z+) Dev Budget'!$G$10,0),0)</f>
        <v>0</v>
      </c>
      <c r="BU62" s="443">
        <f>IFERROR(IF(Inputs!$E$22='(Z+) Monthly CF'!BU4,-'(Z+) Dev Budget'!$G$10,0),0)</f>
        <v>0</v>
      </c>
      <c r="BV62" s="443">
        <f>IFERROR(IF(Inputs!$E$22='(Z+) Monthly CF'!BV4,-'(Z+) Dev Budget'!$G$10,0),0)</f>
        <v>0</v>
      </c>
      <c r="BW62" s="443">
        <f>IFERROR(IF(Inputs!$E$22='(Z+) Monthly CF'!BW4,-'(Z+) Dev Budget'!$G$10,0),0)</f>
        <v>0</v>
      </c>
      <c r="BX62" s="443">
        <f>IFERROR(IF(Inputs!$E$22='(Z+) Monthly CF'!BX4,-'(Z+) Dev Budget'!$G$10,0),0)</f>
        <v>0</v>
      </c>
      <c r="BY62" s="443">
        <f>IFERROR(IF(Inputs!$E$22='(Z+) Monthly CF'!BY4,-'(Z+) Dev Budget'!$G$10,0),0)</f>
        <v>0</v>
      </c>
      <c r="BZ62" s="443">
        <f>IFERROR(IF(Inputs!$E$22='(Z+) Monthly CF'!BZ4,-'(Z+) Dev Budget'!$G$10,0),0)</f>
        <v>0</v>
      </c>
      <c r="CA62" s="443">
        <f>IFERROR(IF(Inputs!$E$22='(Z+) Monthly CF'!CA4,-'(Z+) Dev Budget'!$G$10,0),0)</f>
        <v>0</v>
      </c>
      <c r="CB62" s="443">
        <f>IFERROR(IF(Inputs!$E$22='(Z+) Monthly CF'!CB4,-'(Z+) Dev Budget'!$G$10,0),0)</f>
        <v>0</v>
      </c>
      <c r="CC62" s="443">
        <f>IFERROR(IF(Inputs!$E$22='(Z+) Monthly CF'!CC4,-'(Z+) Dev Budget'!$G$10,0),0)</f>
        <v>0</v>
      </c>
      <c r="CD62" s="443">
        <f>IFERROR(IF(Inputs!$E$22='(Z+) Monthly CF'!CD4,-'(Z+) Dev Budget'!$G$10,0),0)</f>
        <v>0</v>
      </c>
      <c r="CE62" s="443">
        <f>IFERROR(IF(Inputs!$E$22='(Z+) Monthly CF'!CE4,-'(Z+) Dev Budget'!$G$10,0),0)</f>
        <v>0</v>
      </c>
      <c r="CF62" s="443">
        <f>IFERROR(IF(Inputs!$E$22='(Z+) Monthly CF'!CF4,-'(Z+) Dev Budget'!$G$10,0),0)</f>
        <v>0</v>
      </c>
      <c r="CG62" s="443">
        <f>IFERROR(IF(Inputs!$E$22='(Z+) Monthly CF'!CG4,-'(Z+) Dev Budget'!$G$10,0),0)</f>
        <v>0</v>
      </c>
      <c r="CH62" s="443">
        <f>IFERROR(IF(Inputs!$E$22='(Z+) Monthly CF'!CH4,-'(Z+) Dev Budget'!$G$10,0),0)</f>
        <v>0</v>
      </c>
      <c r="CI62" s="443">
        <f>IFERROR(IF(Inputs!$E$22='(Z+) Monthly CF'!CI4,-'(Z+) Dev Budget'!$G$10,0),0)</f>
        <v>0</v>
      </c>
      <c r="CJ62" s="443">
        <f>IFERROR(IF(Inputs!$E$22='(Z+) Monthly CF'!CJ4,-'(Z+) Dev Budget'!$G$10,0),0)</f>
        <v>0</v>
      </c>
      <c r="CK62" s="443">
        <f>IFERROR(IF(Inputs!$E$22='(Z+) Monthly CF'!CK4,-'(Z+) Dev Budget'!$G$10,0),0)</f>
        <v>0</v>
      </c>
      <c r="CL62" s="443">
        <f>IFERROR(IF(Inputs!$E$22='(Z+) Monthly CF'!CL4,-'(Z+) Dev Budget'!$G$10,0),0)</f>
        <v>0</v>
      </c>
      <c r="CM62" s="443">
        <f>IFERROR(IF(Inputs!$E$22='(Z+) Monthly CF'!CM4,-'(Z+) Dev Budget'!$G$10,0),0)</f>
        <v>0</v>
      </c>
      <c r="CN62" s="443">
        <f>IFERROR(IF(Inputs!$E$22='(Z+) Monthly CF'!CN4,-'(Z+) Dev Budget'!$G$10,0),0)</f>
        <v>0</v>
      </c>
      <c r="CO62" s="443">
        <f>IFERROR(IF(Inputs!$E$22='(Z+) Monthly CF'!CO4,-'(Z+) Dev Budget'!$G$10,0),0)</f>
        <v>0</v>
      </c>
      <c r="CP62" s="443">
        <f>IFERROR(IF(Inputs!$E$22='(Z+) Monthly CF'!CP4,-'(Z+) Dev Budget'!$G$10,0),0)</f>
        <v>0</v>
      </c>
      <c r="CQ62" s="443">
        <f>IFERROR(IF(Inputs!$E$22='(Z+) Monthly CF'!CQ4,-'(Z+) Dev Budget'!$G$10,0),0)</f>
        <v>0</v>
      </c>
      <c r="CR62" s="443">
        <f>IFERROR(IF(Inputs!$E$22='(Z+) Monthly CF'!CR4,-'(Z+) Dev Budget'!$G$10,0),0)</f>
        <v>0</v>
      </c>
      <c r="CS62" s="443">
        <f>IFERROR(IF(Inputs!$E$22='(Z+) Monthly CF'!CS4,-'(Z+) Dev Budget'!$G$10,0),0)</f>
        <v>0</v>
      </c>
      <c r="CT62" s="443">
        <f>IFERROR(IF(Inputs!$E$22='(Z+) Monthly CF'!CT4,-'(Z+) Dev Budget'!$G$10,0),0)</f>
        <v>0</v>
      </c>
      <c r="CU62" s="443">
        <f>IFERROR(IF(Inputs!$E$22='(Z+) Monthly CF'!CU4,-'(Z+) Dev Budget'!$G$10,0),0)</f>
        <v>0</v>
      </c>
      <c r="CV62" s="443">
        <f>IFERROR(IF(Inputs!$E$22='(Z+) Monthly CF'!CV4,-'(Z+) Dev Budget'!$G$10,0),0)</f>
        <v>0</v>
      </c>
      <c r="CW62" s="443">
        <f>IFERROR(IF(Inputs!$E$22='(Z+) Monthly CF'!CW4,-'(Z+) Dev Budget'!$G$10,0),0)</f>
        <v>0</v>
      </c>
      <c r="CX62" s="443">
        <f>IFERROR(IF(Inputs!$E$22='(Z+) Monthly CF'!CX4,-'(Z+) Dev Budget'!$G$10,0),0)</f>
        <v>0</v>
      </c>
      <c r="CY62" s="443">
        <f>IFERROR(IF(Inputs!$E$22='(Z+) Monthly CF'!CY4,-'(Z+) Dev Budget'!$G$10,0),0)</f>
        <v>0</v>
      </c>
      <c r="CZ62" s="443">
        <f>IFERROR(IF(Inputs!$E$22='(Z+) Monthly CF'!CZ4,-'(Z+) Dev Budget'!$G$10,0),0)</f>
        <v>0</v>
      </c>
      <c r="DA62" s="443">
        <f>IFERROR(IF(Inputs!$E$22='(Z+) Monthly CF'!DA4,-'(Z+) Dev Budget'!$G$10,0),0)</f>
        <v>0</v>
      </c>
      <c r="DB62" s="443">
        <f>IFERROR(IF(Inputs!$E$22='(Z+) Monthly CF'!DB4,-'(Z+) Dev Budget'!$G$10,0),0)</f>
        <v>0</v>
      </c>
      <c r="DC62" s="443">
        <f>IFERROR(IF(Inputs!$E$22='(Z+) Monthly CF'!DC4,-'(Z+) Dev Budget'!$G$10,0),0)</f>
        <v>0</v>
      </c>
      <c r="DD62" s="443">
        <f>IFERROR(IF(Inputs!$E$22='(Z+) Monthly CF'!DD4,-'(Z+) Dev Budget'!$G$10,0),0)</f>
        <v>0</v>
      </c>
      <c r="DE62" s="443">
        <f>IFERROR(IF(Inputs!$E$22='(Z+) Monthly CF'!DE4,-'(Z+) Dev Budget'!$G$10,0),0)</f>
        <v>0</v>
      </c>
      <c r="DF62" s="443">
        <f>IFERROR(IF(Inputs!$E$22='(Z+) Monthly CF'!DF4,-'(Z+) Dev Budget'!$G$10,0),0)</f>
        <v>0</v>
      </c>
      <c r="DG62" s="443">
        <f>IFERROR(IF(Inputs!$E$22='(Z+) Monthly CF'!DG4,-'(Z+) Dev Budget'!$G$10,0),0)</f>
        <v>0</v>
      </c>
      <c r="DH62" s="443">
        <f>IFERROR(IF(Inputs!$E$22='(Z+) Monthly CF'!DH4,-'(Z+) Dev Budget'!$G$10,0),0)</f>
        <v>0</v>
      </c>
      <c r="DI62" s="443">
        <f>IFERROR(IF(Inputs!$E$22='(Z+) Monthly CF'!DI4,-'(Z+) Dev Budget'!$G$10,0),0)</f>
        <v>0</v>
      </c>
      <c r="DJ62" s="443">
        <f>IFERROR(IF(Inputs!$E$22='(Z+) Monthly CF'!DJ4,-'(Z+) Dev Budget'!$G$10,0),0)</f>
        <v>0</v>
      </c>
      <c r="DK62" s="443">
        <f>IFERROR(IF(Inputs!$E$22='(Z+) Monthly CF'!DK4,-'(Z+) Dev Budget'!$G$10,0),0)</f>
        <v>0</v>
      </c>
      <c r="DL62" s="443">
        <f>IFERROR(IF(Inputs!$E$22='(Z+) Monthly CF'!DL4,-'(Z+) Dev Budget'!$G$10,0),0)</f>
        <v>0</v>
      </c>
      <c r="DM62" s="443">
        <f>IFERROR(IF(Inputs!$E$22='(Z+) Monthly CF'!DM4,-'(Z+) Dev Budget'!$G$10,0),0)</f>
        <v>0</v>
      </c>
      <c r="DN62" s="443">
        <f>IFERROR(IF(Inputs!$E$22='(Z+) Monthly CF'!DN4,-'(Z+) Dev Budget'!$G$10,0),0)</f>
        <v>0</v>
      </c>
      <c r="DO62" s="443">
        <f>IFERROR(IF(Inputs!$E$22='(Z+) Monthly CF'!DO4,-'(Z+) Dev Budget'!$G$10,0),0)</f>
        <v>0</v>
      </c>
      <c r="DP62" s="443">
        <f>IFERROR(IF(Inputs!$E$22='(Z+) Monthly CF'!DP4,-'(Z+) Dev Budget'!$G$10,0),0)</f>
        <v>0</v>
      </c>
      <c r="DQ62" s="443">
        <f>IFERROR(IF(Inputs!$E$22='(Z+) Monthly CF'!DQ4,-'(Z+) Dev Budget'!$G$10,0),0)</f>
        <v>0</v>
      </c>
      <c r="DR62" s="443">
        <f>IFERROR(IF(Inputs!$E$22='(Z+) Monthly CF'!DR4,-'(Z+) Dev Budget'!$G$10,0),0)</f>
        <v>0</v>
      </c>
      <c r="DS62" s="443">
        <f>IFERROR(IF(Inputs!$E$22='(Z+) Monthly CF'!DS4,-'(Z+) Dev Budget'!$G$10,0),0)</f>
        <v>0</v>
      </c>
      <c r="DT62" s="443">
        <f>IFERROR(IF(Inputs!$E$22='(Z+) Monthly CF'!DT4,-'(Z+) Dev Budget'!$G$10,0),0)</f>
        <v>0</v>
      </c>
      <c r="DU62" s="443">
        <f>IFERROR(IF(Inputs!$E$22='(Z+) Monthly CF'!DU4,-'(Z+) Dev Budget'!$G$10,0),0)</f>
        <v>0</v>
      </c>
    </row>
    <row r="63" spans="1:125" x14ac:dyDescent="0.25">
      <c r="A63" s="385" t="s">
        <v>12</v>
      </c>
      <c r="D63" s="462">
        <f>IFERROR(SUM(F63:HC63),0)</f>
        <v>-23567339.915230382</v>
      </c>
      <c r="F63" s="441">
        <f>-IFERROR(('(Z+) Dev Budget'!$G$30-'(Z+) Dev Budget'!$G$14-'(Z+) Dev Budget'!$G$21)*F58,0)</f>
        <v>0</v>
      </c>
      <c r="G63" s="441">
        <f>-IFERROR(('(Z+) Dev Budget'!$G$30-'(Z+) Dev Budget'!$G$14-'(Z+) Dev Budget'!$G$21)*G58,0)</f>
        <v>0</v>
      </c>
      <c r="H63" s="441">
        <f>-IFERROR(('(Z+) Dev Budget'!$G$30-'(Z+) Dev Budget'!$G$14-'(Z+) Dev Budget'!$G$21)*H58,0)</f>
        <v>0</v>
      </c>
      <c r="I63" s="441">
        <f>-IFERROR(('(Z+) Dev Budget'!$G$30-'(Z+) Dev Budget'!$G$14-'(Z+) Dev Budget'!$G$21)*I58,0)</f>
        <v>0</v>
      </c>
      <c r="J63" s="442">
        <f>-IFERROR(('(Z+) Dev Budget'!$G$30-'(Z+) Dev Budget'!$G$14-'(Z+) Dev Budget'!$G$21)*J58,0)</f>
        <v>0</v>
      </c>
      <c r="K63" s="442">
        <f>-IFERROR(('(Z+) Dev Budget'!$G$30-'(Z+) Dev Budget'!$G$14-'(Z+) Dev Budget'!$G$21)*K58,0)</f>
        <v>0</v>
      </c>
      <c r="L63" s="442">
        <f>-IFERROR(('(Z+) Dev Budget'!$G$30-'(Z+) Dev Budget'!$G$14-'(Z+) Dev Budget'!$G$21)*L58,0)</f>
        <v>0</v>
      </c>
      <c r="M63" s="442">
        <f>-IFERROR(('(Z+) Dev Budget'!$G$30-'(Z+) Dev Budget'!$G$14-'(Z+) Dev Budget'!$G$21)*M58,0)</f>
        <v>0</v>
      </c>
      <c r="N63" s="442">
        <f>-IFERROR(('(Z+) Dev Budget'!$G$30-'(Z+) Dev Budget'!$G$14-'(Z+) Dev Budget'!$G$21)*N58,0)</f>
        <v>0</v>
      </c>
      <c r="O63" s="442">
        <f>-IFERROR(('(Z+) Dev Budget'!$G$30-'(Z+) Dev Budget'!$G$14-'(Z+) Dev Budget'!$G$21)*O58,0)</f>
        <v>0</v>
      </c>
      <c r="P63" s="442">
        <f>-IFERROR(('(Z+) Dev Budget'!$G$30-'(Z+) Dev Budget'!$G$14-'(Z+) Dev Budget'!$G$21)*P58,0)</f>
        <v>-1565211.5317142964</v>
      </c>
      <c r="Q63" s="442">
        <f>-IFERROR(('(Z+) Dev Budget'!$G$30-'(Z+) Dev Budget'!$G$14-'(Z+) Dev Budget'!$G$21)*Q58,0)</f>
        <v>-1872776.5298636248</v>
      </c>
      <c r="R63" s="442">
        <f>-IFERROR(('(Z+) Dev Budget'!$G$30-'(Z+) Dev Budget'!$G$14-'(Z+) Dev Budget'!$G$21)*R58,0)</f>
        <v>-2153202.3845591308</v>
      </c>
      <c r="S63" s="442">
        <f>-IFERROR(('(Z+) Dev Budget'!$G$30-'(Z+) Dev Budget'!$G$14-'(Z+) Dev Budget'!$G$21)*S58,0)</f>
        <v>-2378864.7631053086</v>
      </c>
      <c r="T63" s="442">
        <f>-IFERROR(('(Z+) Dev Budget'!$G$30-'(Z+) Dev Budget'!$G$14-'(Z+) Dev Budget'!$G$21)*T58,0)</f>
        <v>-2525461.1088376297</v>
      </c>
      <c r="U63" s="443">
        <f>-IFERROR(('(Z+) Dev Budget'!$G$30-'(Z+) Dev Budget'!$G$14-'(Z+) Dev Budget'!$G$21)*U58,0)</f>
        <v>-2576307.2790703992</v>
      </c>
      <c r="V63" s="443">
        <f>-IFERROR(('(Z+) Dev Budget'!$G$30-'(Z+) Dev Budget'!$G$14-'(Z+) Dev Budget'!$G$21)*V58,0)</f>
        <v>-2525461.1088376297</v>
      </c>
      <c r="W63" s="443">
        <f>-IFERROR(('(Z+) Dev Budget'!$G$30-'(Z+) Dev Budget'!$G$14-'(Z+) Dev Budget'!$G$21)*W58,0)</f>
        <v>-2378864.7631053086</v>
      </c>
      <c r="X63" s="443">
        <f>-IFERROR(('(Z+) Dev Budget'!$G$30-'(Z+) Dev Budget'!$G$14-'(Z+) Dev Budget'!$G$21)*X58,0)</f>
        <v>-2153202.3845591289</v>
      </c>
      <c r="Y63" s="443">
        <f>-IFERROR(('(Z+) Dev Budget'!$G$30-'(Z+) Dev Budget'!$G$14-'(Z+) Dev Budget'!$G$21)*Y58,0)</f>
        <v>-1872776.5298636258</v>
      </c>
      <c r="Z63" s="443">
        <f>-IFERROR(('(Z+) Dev Budget'!$G$30-'(Z+) Dev Budget'!$G$14-'(Z+) Dev Budget'!$G$21)*Z58,0)</f>
        <v>-1565211.5317142964</v>
      </c>
      <c r="AA63" s="443">
        <f>-IFERROR(('(Z+) Dev Budget'!$G$30-'(Z+) Dev Budget'!$G$14-'(Z+) Dev Budget'!$G$21)*AA58,0)</f>
        <v>0</v>
      </c>
      <c r="AB63" s="443">
        <f>-IFERROR(('(Z+) Dev Budget'!$G$30-'(Z+) Dev Budget'!$G$14-'(Z+) Dev Budget'!$G$21)*AB58,0)</f>
        <v>0</v>
      </c>
      <c r="AC63" s="443">
        <f>-IFERROR(('(Z+) Dev Budget'!$G$30-'(Z+) Dev Budget'!$G$14-'(Z+) Dev Budget'!$G$21)*AC58,0)</f>
        <v>0</v>
      </c>
      <c r="AD63" s="443">
        <f>-IFERROR(('(Z+) Dev Budget'!$G$30-'(Z+) Dev Budget'!$G$14-'(Z+) Dev Budget'!$G$21)*AD58,0)</f>
        <v>0</v>
      </c>
      <c r="AE63" s="443">
        <f>-IFERROR(('(Z+) Dev Budget'!$G$30-'(Z+) Dev Budget'!$G$14-'(Z+) Dev Budget'!$G$21)*AE58,0)</f>
        <v>0</v>
      </c>
      <c r="AF63" s="443">
        <f>-IFERROR(('(Z+) Dev Budget'!$G$30-'(Z+) Dev Budget'!$G$14-'(Z+) Dev Budget'!$G$21)*AF58,0)</f>
        <v>0</v>
      </c>
      <c r="AG63" s="443">
        <f>-IFERROR(('(Z+) Dev Budget'!$G$30-'(Z+) Dev Budget'!$G$14-'(Z+) Dev Budget'!$G$21)*AG58,0)</f>
        <v>0</v>
      </c>
      <c r="AH63" s="443">
        <f>-IFERROR(('(Z+) Dev Budget'!$G$30-'(Z+) Dev Budget'!$G$14-'(Z+) Dev Budget'!$G$21)*AH58,0)</f>
        <v>0</v>
      </c>
      <c r="AI63" s="443">
        <f>-IFERROR(('(Z+) Dev Budget'!$G$30-'(Z+) Dev Budget'!$G$14-'(Z+) Dev Budget'!$G$21)*AI58,0)</f>
        <v>0</v>
      </c>
      <c r="AJ63" s="443">
        <f>-IFERROR(('(Z+) Dev Budget'!$G$30-'(Z+) Dev Budget'!$G$14-'(Z+) Dev Budget'!$G$21)*AJ58,0)</f>
        <v>0</v>
      </c>
      <c r="AK63" s="443">
        <f>-IFERROR(('(Z+) Dev Budget'!$G$30-'(Z+) Dev Budget'!$G$14-'(Z+) Dev Budget'!$G$21)*AK58,0)</f>
        <v>0</v>
      </c>
      <c r="AL63" s="443">
        <f>-IFERROR(('(Z+) Dev Budget'!$G$30-'(Z+) Dev Budget'!$G$14-'(Z+) Dev Budget'!$G$21)*AL58,0)</f>
        <v>0</v>
      </c>
      <c r="AM63" s="443">
        <f>-IFERROR(('(Z+) Dev Budget'!$G$30-'(Z+) Dev Budget'!$G$14-'(Z+) Dev Budget'!$G$21)*AM58,0)</f>
        <v>0</v>
      </c>
      <c r="AN63" s="443">
        <f>-IFERROR(('(Z+) Dev Budget'!$G$30-'(Z+) Dev Budget'!$G$14-'(Z+) Dev Budget'!$G$21)*AN58,0)</f>
        <v>0</v>
      </c>
      <c r="AO63" s="443">
        <f>-IFERROR(('(Z+) Dev Budget'!$G$30-'(Z+) Dev Budget'!$G$14-'(Z+) Dev Budget'!$G$21)*AO58,0)</f>
        <v>0</v>
      </c>
      <c r="AP63" s="443">
        <f>-IFERROR(('(Z+) Dev Budget'!$G$30-'(Z+) Dev Budget'!$G$14-'(Z+) Dev Budget'!$G$21)*AP58,0)</f>
        <v>0</v>
      </c>
      <c r="AQ63" s="443">
        <f>-IFERROR(('(Z+) Dev Budget'!$G$30-'(Z+) Dev Budget'!$G$14-'(Z+) Dev Budget'!$G$21)*AQ58,0)</f>
        <v>0</v>
      </c>
      <c r="AR63" s="443">
        <f>-IFERROR(('(Z+) Dev Budget'!$G$30-'(Z+) Dev Budget'!$G$14-'(Z+) Dev Budget'!$G$21)*AR58,0)</f>
        <v>0</v>
      </c>
      <c r="AS63" s="443">
        <f>-IFERROR(('(Z+) Dev Budget'!$G$30-'(Z+) Dev Budget'!$G$14-'(Z+) Dev Budget'!$G$21)*AS58,0)</f>
        <v>0</v>
      </c>
      <c r="AT63" s="443">
        <f>-IFERROR(('(Z+) Dev Budget'!$G$30-'(Z+) Dev Budget'!$G$14-'(Z+) Dev Budget'!$G$21)*AT58,0)</f>
        <v>0</v>
      </c>
      <c r="AU63" s="443">
        <f>-IFERROR(('(Z+) Dev Budget'!$G$30-'(Z+) Dev Budget'!$G$14-'(Z+) Dev Budget'!$G$21)*AU58,0)</f>
        <v>0</v>
      </c>
      <c r="AV63" s="443">
        <f>-IFERROR(('(Z+) Dev Budget'!$G$30-'(Z+) Dev Budget'!$G$14-'(Z+) Dev Budget'!$G$21)*AV58,0)</f>
        <v>0</v>
      </c>
      <c r="AW63" s="443">
        <f>-IFERROR(('(Z+) Dev Budget'!$G$30-'(Z+) Dev Budget'!$G$14-'(Z+) Dev Budget'!$G$21)*AW58,0)</f>
        <v>0</v>
      </c>
      <c r="AX63" s="443">
        <f>-IFERROR(('(Z+) Dev Budget'!$G$30-'(Z+) Dev Budget'!$G$14-'(Z+) Dev Budget'!$G$21)*AX58,0)</f>
        <v>0</v>
      </c>
      <c r="AY63" s="443">
        <f>-IFERROR(('(Z+) Dev Budget'!$G$30-'(Z+) Dev Budget'!$G$14-'(Z+) Dev Budget'!$G$21)*AY58,0)</f>
        <v>0</v>
      </c>
      <c r="AZ63" s="443">
        <f>-IFERROR(('(Z+) Dev Budget'!$G$30-'(Z+) Dev Budget'!$G$14-'(Z+) Dev Budget'!$G$21)*AZ58,0)</f>
        <v>0</v>
      </c>
      <c r="BA63" s="443">
        <f>-IFERROR(('(Z+) Dev Budget'!$G$30-'(Z+) Dev Budget'!$G$14-'(Z+) Dev Budget'!$G$21)*BA58,0)</f>
        <v>0</v>
      </c>
      <c r="BB63" s="443">
        <f>-IFERROR(('(Z+) Dev Budget'!$G$30-'(Z+) Dev Budget'!$G$14-'(Z+) Dev Budget'!$G$21)*BB58,0)</f>
        <v>0</v>
      </c>
      <c r="BC63" s="443">
        <f>-IFERROR(('(Z+) Dev Budget'!$G$30-'(Z+) Dev Budget'!$G$14-'(Z+) Dev Budget'!$G$21)*BC58,0)</f>
        <v>0</v>
      </c>
      <c r="BD63" s="443">
        <f>-IFERROR(('(Z+) Dev Budget'!$G$30-'(Z+) Dev Budget'!$G$14-'(Z+) Dev Budget'!$G$21)*BD58,0)</f>
        <v>0</v>
      </c>
      <c r="BE63" s="443">
        <f>-IFERROR(('(Z+) Dev Budget'!$G$30-'(Z+) Dev Budget'!$G$14-'(Z+) Dev Budget'!$G$21)*BE58,0)</f>
        <v>0</v>
      </c>
      <c r="BF63" s="443">
        <f>-IFERROR(('(Z+) Dev Budget'!$G$30-'(Z+) Dev Budget'!$G$14-'(Z+) Dev Budget'!$G$21)*BF58,0)</f>
        <v>0</v>
      </c>
      <c r="BG63" s="443">
        <f>-IFERROR(('(Z+) Dev Budget'!$G$30-'(Z+) Dev Budget'!$G$14-'(Z+) Dev Budget'!$G$21)*BG58,0)</f>
        <v>0</v>
      </c>
      <c r="BH63" s="443">
        <f>-IFERROR(('(Z+) Dev Budget'!$G$30-'(Z+) Dev Budget'!$G$14-'(Z+) Dev Budget'!$G$21)*BH58,0)</f>
        <v>0</v>
      </c>
      <c r="BI63" s="443">
        <f>-IFERROR(('(Z+) Dev Budget'!$G$30-'(Z+) Dev Budget'!$G$14-'(Z+) Dev Budget'!$G$21)*BI58,0)</f>
        <v>0</v>
      </c>
      <c r="BJ63" s="443">
        <f>-IFERROR(('(Z+) Dev Budget'!$G$30-'(Z+) Dev Budget'!$G$14-'(Z+) Dev Budget'!$G$21)*BJ58,0)</f>
        <v>0</v>
      </c>
      <c r="BK63" s="443">
        <f>-IFERROR(('(Z+) Dev Budget'!$G$30-'(Z+) Dev Budget'!$G$14-'(Z+) Dev Budget'!$G$21)*BK58,0)</f>
        <v>0</v>
      </c>
      <c r="BL63" s="443">
        <f>-IFERROR(('(Z+) Dev Budget'!$G$30-'(Z+) Dev Budget'!$G$14-'(Z+) Dev Budget'!$G$21)*BL58,0)</f>
        <v>0</v>
      </c>
      <c r="BM63" s="443">
        <f>-IFERROR(('(Z+) Dev Budget'!$G$30-'(Z+) Dev Budget'!$G$14-'(Z+) Dev Budget'!$G$21)*BM58,0)</f>
        <v>0</v>
      </c>
      <c r="BN63" s="443">
        <f>-IFERROR(('(Z+) Dev Budget'!$G$30-'(Z+) Dev Budget'!$G$14-'(Z+) Dev Budget'!$G$21)*BN58,0)</f>
        <v>0</v>
      </c>
      <c r="BO63" s="443">
        <f>-IFERROR(('(Z+) Dev Budget'!$G$30-'(Z+) Dev Budget'!$G$14-'(Z+) Dev Budget'!$G$21)*BO58,0)</f>
        <v>0</v>
      </c>
      <c r="BP63" s="443">
        <f>-IFERROR(('(Z+) Dev Budget'!$G$30-'(Z+) Dev Budget'!$G$14-'(Z+) Dev Budget'!$G$21)*BP58,0)</f>
        <v>0</v>
      </c>
      <c r="BQ63" s="443">
        <f>-IFERROR(('(Z+) Dev Budget'!$G$30-'(Z+) Dev Budget'!$G$14-'(Z+) Dev Budget'!$G$21)*BQ58,0)</f>
        <v>0</v>
      </c>
      <c r="BR63" s="443">
        <f>-IFERROR(('(Z+) Dev Budget'!$G$30-'(Z+) Dev Budget'!$G$14-'(Z+) Dev Budget'!$G$21)*BR58,0)</f>
        <v>0</v>
      </c>
      <c r="BS63" s="443">
        <f>-IFERROR(('(Z+) Dev Budget'!$G$30-'(Z+) Dev Budget'!$G$14-'(Z+) Dev Budget'!$G$21)*BS58,0)</f>
        <v>0</v>
      </c>
      <c r="BT63" s="443">
        <f>-IFERROR(('(Z+) Dev Budget'!$G$30-'(Z+) Dev Budget'!$G$14-'(Z+) Dev Budget'!$G$21)*BT58,0)</f>
        <v>0</v>
      </c>
      <c r="BU63" s="443">
        <f>-IFERROR(('(Z+) Dev Budget'!$G$30-'(Z+) Dev Budget'!$G$14-'(Z+) Dev Budget'!$G$21)*BU58,0)</f>
        <v>0</v>
      </c>
      <c r="BV63" s="443">
        <f>-IFERROR(('(Z+) Dev Budget'!$G$30-'(Z+) Dev Budget'!$G$14-'(Z+) Dev Budget'!$G$21)*BV58,0)</f>
        <v>0</v>
      </c>
      <c r="BW63" s="443">
        <f>-IFERROR(('(Z+) Dev Budget'!$G$30-'(Z+) Dev Budget'!$G$14-'(Z+) Dev Budget'!$G$21)*BW58,0)</f>
        <v>0</v>
      </c>
      <c r="BX63" s="443">
        <f>-IFERROR(('(Z+) Dev Budget'!$G$30-'(Z+) Dev Budget'!$G$14-'(Z+) Dev Budget'!$G$21)*BX58,0)</f>
        <v>0</v>
      </c>
      <c r="BY63" s="443">
        <f>-IFERROR(('(Z+) Dev Budget'!$G$30-'(Z+) Dev Budget'!$G$14-'(Z+) Dev Budget'!$G$21)*BY58,0)</f>
        <v>0</v>
      </c>
      <c r="BZ63" s="443">
        <f>-IFERROR(('(Z+) Dev Budget'!$G$30-'(Z+) Dev Budget'!$G$14-'(Z+) Dev Budget'!$G$21)*BZ58,0)</f>
        <v>0</v>
      </c>
      <c r="CA63" s="443">
        <f>-IFERROR(('(Z+) Dev Budget'!$G$30-'(Z+) Dev Budget'!$G$14-'(Z+) Dev Budget'!$G$21)*CA58,0)</f>
        <v>0</v>
      </c>
      <c r="CB63" s="443">
        <f>-IFERROR(('(Z+) Dev Budget'!$G$30-'(Z+) Dev Budget'!$G$14-'(Z+) Dev Budget'!$G$21)*CB58,0)</f>
        <v>0</v>
      </c>
      <c r="CC63" s="443">
        <f>-IFERROR(('(Z+) Dev Budget'!$G$30-'(Z+) Dev Budget'!$G$14-'(Z+) Dev Budget'!$G$21)*CC58,0)</f>
        <v>0</v>
      </c>
      <c r="CD63" s="443">
        <f>-IFERROR(('(Z+) Dev Budget'!$G$30-'(Z+) Dev Budget'!$G$14-'(Z+) Dev Budget'!$G$21)*CD58,0)</f>
        <v>0</v>
      </c>
      <c r="CE63" s="443">
        <f>-IFERROR(('(Z+) Dev Budget'!$G$30-'(Z+) Dev Budget'!$G$14-'(Z+) Dev Budget'!$G$21)*CE58,0)</f>
        <v>0</v>
      </c>
      <c r="CF63" s="443">
        <f>-IFERROR(('(Z+) Dev Budget'!$G$30-'(Z+) Dev Budget'!$G$14-'(Z+) Dev Budget'!$G$21)*CF58,0)</f>
        <v>0</v>
      </c>
      <c r="CG63" s="443">
        <f>-IFERROR(('(Z+) Dev Budget'!$G$30-'(Z+) Dev Budget'!$G$14-'(Z+) Dev Budget'!$G$21)*CG58,0)</f>
        <v>0</v>
      </c>
      <c r="CH63" s="443">
        <f>-IFERROR(('(Z+) Dev Budget'!$G$30-'(Z+) Dev Budget'!$G$14-'(Z+) Dev Budget'!$G$21)*CH58,0)</f>
        <v>0</v>
      </c>
      <c r="CI63" s="443">
        <f>-IFERROR(('(Z+) Dev Budget'!$G$30-'(Z+) Dev Budget'!$G$14-'(Z+) Dev Budget'!$G$21)*CI58,0)</f>
        <v>0</v>
      </c>
      <c r="CJ63" s="443">
        <f>-IFERROR(('(Z+) Dev Budget'!$G$30-'(Z+) Dev Budget'!$G$14-'(Z+) Dev Budget'!$G$21)*CJ58,0)</f>
        <v>0</v>
      </c>
      <c r="CK63" s="443">
        <f>-IFERROR(('(Z+) Dev Budget'!$G$30-'(Z+) Dev Budget'!$G$14-'(Z+) Dev Budget'!$G$21)*CK58,0)</f>
        <v>0</v>
      </c>
      <c r="CL63" s="443">
        <f>-IFERROR(('(Z+) Dev Budget'!$G$30-'(Z+) Dev Budget'!$G$14-'(Z+) Dev Budget'!$G$21)*CL58,0)</f>
        <v>0</v>
      </c>
      <c r="CM63" s="443">
        <f>-IFERROR(('(Z+) Dev Budget'!$G$30-'(Z+) Dev Budget'!$G$14-'(Z+) Dev Budget'!$G$21)*CM58,0)</f>
        <v>0</v>
      </c>
      <c r="CN63" s="443">
        <f>-IFERROR(('(Z+) Dev Budget'!$G$30-'(Z+) Dev Budget'!$G$14-'(Z+) Dev Budget'!$G$21)*CN58,0)</f>
        <v>0</v>
      </c>
      <c r="CO63" s="443">
        <f>-IFERROR(('(Z+) Dev Budget'!$G$30-'(Z+) Dev Budget'!$G$14-'(Z+) Dev Budget'!$G$21)*CO58,0)</f>
        <v>0</v>
      </c>
      <c r="CP63" s="443">
        <f>-IFERROR(('(Z+) Dev Budget'!$G$30-'(Z+) Dev Budget'!$G$14-'(Z+) Dev Budget'!$G$21)*CP58,0)</f>
        <v>0</v>
      </c>
      <c r="CQ63" s="443">
        <f>-IFERROR(('(Z+) Dev Budget'!$G$30-'(Z+) Dev Budget'!$G$14-'(Z+) Dev Budget'!$G$21)*CQ58,0)</f>
        <v>0</v>
      </c>
      <c r="CR63" s="443">
        <f>-IFERROR(('(Z+) Dev Budget'!$G$30-'(Z+) Dev Budget'!$G$14-'(Z+) Dev Budget'!$G$21)*CR58,0)</f>
        <v>0</v>
      </c>
      <c r="CS63" s="443">
        <f>-IFERROR(('(Z+) Dev Budget'!$G$30-'(Z+) Dev Budget'!$G$14-'(Z+) Dev Budget'!$G$21)*CS58,0)</f>
        <v>0</v>
      </c>
      <c r="CT63" s="443">
        <f>-IFERROR(('(Z+) Dev Budget'!$G$30-'(Z+) Dev Budget'!$G$14-'(Z+) Dev Budget'!$G$21)*CT58,0)</f>
        <v>0</v>
      </c>
      <c r="CU63" s="443">
        <f>-IFERROR(('(Z+) Dev Budget'!$G$30-'(Z+) Dev Budget'!$G$14-'(Z+) Dev Budget'!$G$21)*CU58,0)</f>
        <v>0</v>
      </c>
      <c r="CV63" s="443">
        <f>-IFERROR(('(Z+) Dev Budget'!$G$30-'(Z+) Dev Budget'!$G$14-'(Z+) Dev Budget'!$G$21)*CV58,0)</f>
        <v>0</v>
      </c>
      <c r="CW63" s="443">
        <f>-IFERROR(('(Z+) Dev Budget'!$G$30-'(Z+) Dev Budget'!$G$14-'(Z+) Dev Budget'!$G$21)*CW58,0)</f>
        <v>0</v>
      </c>
      <c r="CX63" s="443">
        <f>-IFERROR(('(Z+) Dev Budget'!$G$30-'(Z+) Dev Budget'!$G$14-'(Z+) Dev Budget'!$G$21)*CX58,0)</f>
        <v>0</v>
      </c>
      <c r="CY63" s="443">
        <f>-IFERROR(('(Z+) Dev Budget'!$G$30-'(Z+) Dev Budget'!$G$14-'(Z+) Dev Budget'!$G$21)*CY58,0)</f>
        <v>0</v>
      </c>
      <c r="CZ63" s="443">
        <f>-IFERROR(('(Z+) Dev Budget'!$G$30-'(Z+) Dev Budget'!$G$14-'(Z+) Dev Budget'!$G$21)*CZ58,0)</f>
        <v>0</v>
      </c>
      <c r="DA63" s="443">
        <f>-IFERROR(('(Z+) Dev Budget'!$G$30-'(Z+) Dev Budget'!$G$14-'(Z+) Dev Budget'!$G$21)*DA58,0)</f>
        <v>0</v>
      </c>
      <c r="DB63" s="443">
        <f>-IFERROR(('(Z+) Dev Budget'!$G$30-'(Z+) Dev Budget'!$G$14-'(Z+) Dev Budget'!$G$21)*DB58,0)</f>
        <v>0</v>
      </c>
      <c r="DC63" s="443">
        <f>-IFERROR(('(Z+) Dev Budget'!$G$30-'(Z+) Dev Budget'!$G$14-'(Z+) Dev Budget'!$G$21)*DC58,0)</f>
        <v>0</v>
      </c>
      <c r="DD63" s="443">
        <f>-IFERROR(('(Z+) Dev Budget'!$G$30-'(Z+) Dev Budget'!$G$14-'(Z+) Dev Budget'!$G$21)*DD58,0)</f>
        <v>0</v>
      </c>
      <c r="DE63" s="443">
        <f>-IFERROR(('(Z+) Dev Budget'!$G$30-'(Z+) Dev Budget'!$G$14-'(Z+) Dev Budget'!$G$21)*DE58,0)</f>
        <v>0</v>
      </c>
      <c r="DF63" s="443">
        <f>-IFERROR(('(Z+) Dev Budget'!$G$30-'(Z+) Dev Budget'!$G$14-'(Z+) Dev Budget'!$G$21)*DF58,0)</f>
        <v>0</v>
      </c>
      <c r="DG63" s="443">
        <f>-IFERROR(('(Z+) Dev Budget'!$G$30-'(Z+) Dev Budget'!$G$14-'(Z+) Dev Budget'!$G$21)*DG58,0)</f>
        <v>0</v>
      </c>
      <c r="DH63" s="443">
        <f>-IFERROR(('(Z+) Dev Budget'!$G$30-'(Z+) Dev Budget'!$G$14-'(Z+) Dev Budget'!$G$21)*DH58,0)</f>
        <v>0</v>
      </c>
      <c r="DI63" s="443">
        <f>-IFERROR(('(Z+) Dev Budget'!$G$30-'(Z+) Dev Budget'!$G$14-'(Z+) Dev Budget'!$G$21)*DI58,0)</f>
        <v>0</v>
      </c>
      <c r="DJ63" s="443">
        <f>-IFERROR(('(Z+) Dev Budget'!$G$30-'(Z+) Dev Budget'!$G$14-'(Z+) Dev Budget'!$G$21)*DJ58,0)</f>
        <v>0</v>
      </c>
      <c r="DK63" s="443">
        <f>-IFERROR(('(Z+) Dev Budget'!$G$30-'(Z+) Dev Budget'!$G$14-'(Z+) Dev Budget'!$G$21)*DK58,0)</f>
        <v>0</v>
      </c>
      <c r="DL63" s="443">
        <f>-IFERROR(('(Z+) Dev Budget'!$G$30-'(Z+) Dev Budget'!$G$14-'(Z+) Dev Budget'!$G$21)*DL58,0)</f>
        <v>0</v>
      </c>
      <c r="DM63" s="443">
        <f>-IFERROR(('(Z+) Dev Budget'!$G$30-'(Z+) Dev Budget'!$G$14-'(Z+) Dev Budget'!$G$21)*DM58,0)</f>
        <v>0</v>
      </c>
      <c r="DN63" s="443">
        <f>-IFERROR(('(Z+) Dev Budget'!$G$30-'(Z+) Dev Budget'!$G$14-'(Z+) Dev Budget'!$G$21)*DN58,0)</f>
        <v>0</v>
      </c>
      <c r="DO63" s="443">
        <f>-IFERROR(('(Z+) Dev Budget'!$G$30-'(Z+) Dev Budget'!$G$14-'(Z+) Dev Budget'!$G$21)*DO58,0)</f>
        <v>0</v>
      </c>
      <c r="DP63" s="443">
        <f>-IFERROR(('(Z+) Dev Budget'!$G$30-'(Z+) Dev Budget'!$G$14-'(Z+) Dev Budget'!$G$21)*DP58,0)</f>
        <v>0</v>
      </c>
      <c r="DQ63" s="443">
        <f>-IFERROR(('(Z+) Dev Budget'!$G$30-'(Z+) Dev Budget'!$G$14-'(Z+) Dev Budget'!$G$21)*DQ58,0)</f>
        <v>0</v>
      </c>
      <c r="DR63" s="443">
        <f>-IFERROR(('(Z+) Dev Budget'!$G$30-'(Z+) Dev Budget'!$G$14-'(Z+) Dev Budget'!$G$21)*DR58,0)</f>
        <v>0</v>
      </c>
      <c r="DS63" s="443">
        <f>-IFERROR(('(Z+) Dev Budget'!$G$30-'(Z+) Dev Budget'!$G$14-'(Z+) Dev Budget'!$G$21)*DS58,0)</f>
        <v>0</v>
      </c>
      <c r="DT63" s="443">
        <f>-IFERROR(('(Z+) Dev Budget'!$G$30-'(Z+) Dev Budget'!$G$14-'(Z+) Dev Budget'!$G$21)*DT58,0)</f>
        <v>0</v>
      </c>
      <c r="DU63" s="443">
        <f>-IFERROR(('(Z+) Dev Budget'!$G$30-'(Z+) Dev Budget'!$G$14-'(Z+) Dev Budget'!$G$21)*DU58,0)</f>
        <v>0</v>
      </c>
    </row>
    <row r="64" spans="1:125" x14ac:dyDescent="0.25">
      <c r="A64" s="385" t="s">
        <v>506</v>
      </c>
      <c r="D64" s="463">
        <f>'(Z+) Dev Budget'!G14</f>
        <v>20160000</v>
      </c>
      <c r="F64" s="441">
        <f t="shared" ref="F64:AK64" si="65">-IF(OR(F5=(const_start+2),F5=(const_start+3)), mod_costs*0.1, IF(F5=(const_start-2),mod_costs*0.5,IF(F5=const_start+1, mod_costs*0.3, 0)))</f>
        <v>0</v>
      </c>
      <c r="G64" s="441">
        <f t="shared" si="65"/>
        <v>0</v>
      </c>
      <c r="H64" s="441">
        <f t="shared" si="65"/>
        <v>0</v>
      </c>
      <c r="I64" s="441">
        <f t="shared" si="65"/>
        <v>0</v>
      </c>
      <c r="J64" s="442">
        <f t="shared" si="65"/>
        <v>0</v>
      </c>
      <c r="K64" s="442">
        <f t="shared" si="65"/>
        <v>0</v>
      </c>
      <c r="L64" s="442">
        <f t="shared" si="65"/>
        <v>0</v>
      </c>
      <c r="M64" s="442">
        <f t="shared" si="65"/>
        <v>-10080000</v>
      </c>
      <c r="N64" s="442">
        <f t="shared" si="65"/>
        <v>0</v>
      </c>
      <c r="O64" s="442">
        <f t="shared" si="65"/>
        <v>0</v>
      </c>
      <c r="P64" s="442">
        <f t="shared" si="65"/>
        <v>-6048000</v>
      </c>
      <c r="Q64" s="442">
        <f t="shared" si="65"/>
        <v>-2016000</v>
      </c>
      <c r="R64" s="442">
        <f t="shared" si="65"/>
        <v>-2016000</v>
      </c>
      <c r="S64" s="442">
        <f t="shared" si="65"/>
        <v>0</v>
      </c>
      <c r="T64" s="442">
        <f t="shared" si="65"/>
        <v>0</v>
      </c>
      <c r="U64" s="443">
        <f t="shared" si="65"/>
        <v>0</v>
      </c>
      <c r="V64" s="443">
        <f t="shared" si="65"/>
        <v>0</v>
      </c>
      <c r="W64" s="443">
        <f t="shared" si="65"/>
        <v>0</v>
      </c>
      <c r="X64" s="443">
        <f t="shared" si="65"/>
        <v>0</v>
      </c>
      <c r="Y64" s="443">
        <f t="shared" si="65"/>
        <v>0</v>
      </c>
      <c r="Z64" s="443">
        <f t="shared" si="65"/>
        <v>0</v>
      </c>
      <c r="AA64" s="443">
        <f t="shared" si="65"/>
        <v>0</v>
      </c>
      <c r="AB64" s="443">
        <f t="shared" si="65"/>
        <v>0</v>
      </c>
      <c r="AC64" s="443">
        <f t="shared" si="65"/>
        <v>0</v>
      </c>
      <c r="AD64" s="443">
        <f t="shared" si="65"/>
        <v>0</v>
      </c>
      <c r="AE64" s="443">
        <f t="shared" si="65"/>
        <v>0</v>
      </c>
      <c r="AF64" s="443">
        <f t="shared" si="65"/>
        <v>0</v>
      </c>
      <c r="AG64" s="443">
        <f t="shared" si="65"/>
        <v>0</v>
      </c>
      <c r="AH64" s="443">
        <f t="shared" si="65"/>
        <v>0</v>
      </c>
      <c r="AI64" s="443">
        <f t="shared" si="65"/>
        <v>0</v>
      </c>
      <c r="AJ64" s="443">
        <f t="shared" si="65"/>
        <v>0</v>
      </c>
      <c r="AK64" s="443">
        <f t="shared" si="65"/>
        <v>0</v>
      </c>
      <c r="AL64" s="443">
        <f t="shared" ref="AL64:BQ64" si="66">-IF(OR(AL5=(const_start+2),AL5=(const_start+3)), mod_costs*0.1, IF(AL5=(const_start-2),mod_costs*0.5,IF(AL5=const_start+1, mod_costs*0.3, 0)))</f>
        <v>0</v>
      </c>
      <c r="AM64" s="443">
        <f t="shared" si="66"/>
        <v>0</v>
      </c>
      <c r="AN64" s="443">
        <f t="shared" si="66"/>
        <v>0</v>
      </c>
      <c r="AO64" s="443">
        <f t="shared" si="66"/>
        <v>0</v>
      </c>
      <c r="AP64" s="443">
        <f t="shared" si="66"/>
        <v>0</v>
      </c>
      <c r="AQ64" s="443">
        <f t="shared" si="66"/>
        <v>0</v>
      </c>
      <c r="AR64" s="443">
        <f t="shared" si="66"/>
        <v>0</v>
      </c>
      <c r="AS64" s="443">
        <f t="shared" si="66"/>
        <v>0</v>
      </c>
      <c r="AT64" s="443">
        <f t="shared" si="66"/>
        <v>0</v>
      </c>
      <c r="AU64" s="443">
        <f t="shared" si="66"/>
        <v>0</v>
      </c>
      <c r="AV64" s="443">
        <f t="shared" si="66"/>
        <v>0</v>
      </c>
      <c r="AW64" s="443">
        <f t="shared" si="66"/>
        <v>0</v>
      </c>
      <c r="AX64" s="443">
        <f t="shared" si="66"/>
        <v>0</v>
      </c>
      <c r="AY64" s="443">
        <f t="shared" si="66"/>
        <v>0</v>
      </c>
      <c r="AZ64" s="443">
        <f t="shared" si="66"/>
        <v>0</v>
      </c>
      <c r="BA64" s="443">
        <f t="shared" si="66"/>
        <v>0</v>
      </c>
      <c r="BB64" s="443">
        <f t="shared" si="66"/>
        <v>0</v>
      </c>
      <c r="BC64" s="443">
        <f t="shared" si="66"/>
        <v>0</v>
      </c>
      <c r="BD64" s="443">
        <f t="shared" si="66"/>
        <v>0</v>
      </c>
      <c r="BE64" s="443">
        <f t="shared" si="66"/>
        <v>0</v>
      </c>
      <c r="BF64" s="443">
        <f t="shared" si="66"/>
        <v>0</v>
      </c>
      <c r="BG64" s="443">
        <f t="shared" si="66"/>
        <v>0</v>
      </c>
      <c r="BH64" s="443">
        <f t="shared" si="66"/>
        <v>0</v>
      </c>
      <c r="BI64" s="443">
        <f t="shared" si="66"/>
        <v>0</v>
      </c>
      <c r="BJ64" s="443">
        <f t="shared" si="66"/>
        <v>0</v>
      </c>
      <c r="BK64" s="443">
        <f t="shared" si="66"/>
        <v>0</v>
      </c>
      <c r="BL64" s="443">
        <f t="shared" si="66"/>
        <v>0</v>
      </c>
      <c r="BM64" s="443">
        <f t="shared" si="66"/>
        <v>0</v>
      </c>
      <c r="BN64" s="443">
        <f t="shared" si="66"/>
        <v>0</v>
      </c>
      <c r="BO64" s="443">
        <f t="shared" si="66"/>
        <v>0</v>
      </c>
      <c r="BP64" s="443">
        <f t="shared" si="66"/>
        <v>0</v>
      </c>
      <c r="BQ64" s="443">
        <f t="shared" si="66"/>
        <v>0</v>
      </c>
      <c r="BR64" s="443">
        <f t="shared" ref="BR64:CW64" si="67">-IF(OR(BR5=(const_start+2),BR5=(const_start+3)), mod_costs*0.1, IF(BR5=(const_start-2),mod_costs*0.5,IF(BR5=const_start+1, mod_costs*0.3, 0)))</f>
        <v>0</v>
      </c>
      <c r="BS64" s="443">
        <f t="shared" si="67"/>
        <v>0</v>
      </c>
      <c r="BT64" s="443">
        <f t="shared" si="67"/>
        <v>0</v>
      </c>
      <c r="BU64" s="443">
        <f t="shared" si="67"/>
        <v>0</v>
      </c>
      <c r="BV64" s="443">
        <f t="shared" si="67"/>
        <v>0</v>
      </c>
      <c r="BW64" s="443">
        <f t="shared" si="67"/>
        <v>0</v>
      </c>
      <c r="BX64" s="443">
        <f t="shared" si="67"/>
        <v>0</v>
      </c>
      <c r="BY64" s="443">
        <f t="shared" si="67"/>
        <v>0</v>
      </c>
      <c r="BZ64" s="443">
        <f t="shared" si="67"/>
        <v>0</v>
      </c>
      <c r="CA64" s="443">
        <f t="shared" si="67"/>
        <v>0</v>
      </c>
      <c r="CB64" s="443">
        <f t="shared" si="67"/>
        <v>0</v>
      </c>
      <c r="CC64" s="443">
        <f t="shared" si="67"/>
        <v>0</v>
      </c>
      <c r="CD64" s="443">
        <f t="shared" si="67"/>
        <v>0</v>
      </c>
      <c r="CE64" s="443">
        <f t="shared" si="67"/>
        <v>0</v>
      </c>
      <c r="CF64" s="443">
        <f t="shared" si="67"/>
        <v>0</v>
      </c>
      <c r="CG64" s="443">
        <f t="shared" si="67"/>
        <v>0</v>
      </c>
      <c r="CH64" s="443">
        <f t="shared" si="67"/>
        <v>0</v>
      </c>
      <c r="CI64" s="443">
        <f t="shared" si="67"/>
        <v>0</v>
      </c>
      <c r="CJ64" s="443">
        <f t="shared" si="67"/>
        <v>0</v>
      </c>
      <c r="CK64" s="443">
        <f t="shared" si="67"/>
        <v>0</v>
      </c>
      <c r="CL64" s="443">
        <f t="shared" si="67"/>
        <v>0</v>
      </c>
      <c r="CM64" s="443">
        <f t="shared" si="67"/>
        <v>0</v>
      </c>
      <c r="CN64" s="443">
        <f t="shared" si="67"/>
        <v>0</v>
      </c>
      <c r="CO64" s="443">
        <f t="shared" si="67"/>
        <v>0</v>
      </c>
      <c r="CP64" s="443">
        <f t="shared" si="67"/>
        <v>0</v>
      </c>
      <c r="CQ64" s="443">
        <f t="shared" si="67"/>
        <v>0</v>
      </c>
      <c r="CR64" s="443">
        <f t="shared" si="67"/>
        <v>0</v>
      </c>
      <c r="CS64" s="443">
        <f t="shared" si="67"/>
        <v>0</v>
      </c>
      <c r="CT64" s="443">
        <f t="shared" si="67"/>
        <v>0</v>
      </c>
      <c r="CU64" s="443">
        <f t="shared" si="67"/>
        <v>0</v>
      </c>
      <c r="CV64" s="443">
        <f t="shared" si="67"/>
        <v>0</v>
      </c>
      <c r="CW64" s="443">
        <f t="shared" si="67"/>
        <v>0</v>
      </c>
      <c r="CX64" s="443">
        <f t="shared" ref="CX64:DU64" si="68">-IF(OR(CX5=(const_start+2),CX5=(const_start+3)), mod_costs*0.1, IF(CX5=(const_start-2),mod_costs*0.5,IF(CX5=const_start+1, mod_costs*0.3, 0)))</f>
        <v>0</v>
      </c>
      <c r="CY64" s="443">
        <f t="shared" si="68"/>
        <v>0</v>
      </c>
      <c r="CZ64" s="443">
        <f t="shared" si="68"/>
        <v>0</v>
      </c>
      <c r="DA64" s="443">
        <f t="shared" si="68"/>
        <v>0</v>
      </c>
      <c r="DB64" s="443">
        <f t="shared" si="68"/>
        <v>0</v>
      </c>
      <c r="DC64" s="443">
        <f t="shared" si="68"/>
        <v>0</v>
      </c>
      <c r="DD64" s="443">
        <f t="shared" si="68"/>
        <v>0</v>
      </c>
      <c r="DE64" s="443">
        <f t="shared" si="68"/>
        <v>0</v>
      </c>
      <c r="DF64" s="443">
        <f t="shared" si="68"/>
        <v>0</v>
      </c>
      <c r="DG64" s="443">
        <f t="shared" si="68"/>
        <v>0</v>
      </c>
      <c r="DH64" s="443">
        <f t="shared" si="68"/>
        <v>0</v>
      </c>
      <c r="DI64" s="443">
        <f t="shared" si="68"/>
        <v>0</v>
      </c>
      <c r="DJ64" s="443">
        <f t="shared" si="68"/>
        <v>0</v>
      </c>
      <c r="DK64" s="443">
        <f t="shared" si="68"/>
        <v>0</v>
      </c>
      <c r="DL64" s="443">
        <f t="shared" si="68"/>
        <v>0</v>
      </c>
      <c r="DM64" s="443">
        <f t="shared" si="68"/>
        <v>0</v>
      </c>
      <c r="DN64" s="443">
        <f t="shared" si="68"/>
        <v>0</v>
      </c>
      <c r="DO64" s="443">
        <f t="shared" si="68"/>
        <v>0</v>
      </c>
      <c r="DP64" s="443">
        <f t="shared" si="68"/>
        <v>0</v>
      </c>
      <c r="DQ64" s="443">
        <f t="shared" si="68"/>
        <v>0</v>
      </c>
      <c r="DR64" s="443">
        <f t="shared" si="68"/>
        <v>0</v>
      </c>
      <c r="DS64" s="443">
        <f t="shared" si="68"/>
        <v>0</v>
      </c>
      <c r="DT64" s="443">
        <f t="shared" si="68"/>
        <v>0</v>
      </c>
      <c r="DU64" s="443">
        <f t="shared" si="68"/>
        <v>0</v>
      </c>
    </row>
    <row r="65" spans="1:125" x14ac:dyDescent="0.25">
      <c r="A65" s="427" t="s">
        <v>507</v>
      </c>
      <c r="B65" s="394"/>
      <c r="C65" s="394"/>
      <c r="D65" s="447">
        <f>'(Z+) Dev Budget'!G21</f>
        <v>336000</v>
      </c>
      <c r="E65" s="394"/>
      <c r="F65" s="432">
        <f t="shared" ref="F65:AK65" si="69">-IF(OR((const_start+1)=F5, F5=(const_start+2), F5=(const_start+3)),logistics_cost*0.28,IF(OR((const_start+4)=F5,(const_start+5)=F5,(const_start+6)=F5),logistics_cost*0.06,0))</f>
        <v>0</v>
      </c>
      <c r="G65" s="432">
        <f t="shared" si="69"/>
        <v>0</v>
      </c>
      <c r="H65" s="432">
        <f t="shared" si="69"/>
        <v>0</v>
      </c>
      <c r="I65" s="432">
        <f t="shared" si="69"/>
        <v>0</v>
      </c>
      <c r="J65" s="433">
        <f t="shared" si="69"/>
        <v>0</v>
      </c>
      <c r="K65" s="433">
        <f t="shared" si="69"/>
        <v>0</v>
      </c>
      <c r="L65" s="433">
        <f t="shared" si="69"/>
        <v>0</v>
      </c>
      <c r="M65" s="433">
        <f t="shared" si="69"/>
        <v>0</v>
      </c>
      <c r="N65" s="433">
        <f t="shared" si="69"/>
        <v>0</v>
      </c>
      <c r="O65" s="433">
        <f t="shared" si="69"/>
        <v>0</v>
      </c>
      <c r="P65" s="433">
        <f t="shared" si="69"/>
        <v>-94080.000000000015</v>
      </c>
      <c r="Q65" s="433">
        <f t="shared" si="69"/>
        <v>-94080.000000000015</v>
      </c>
      <c r="R65" s="433">
        <f t="shared" si="69"/>
        <v>-94080.000000000015</v>
      </c>
      <c r="S65" s="433">
        <f t="shared" si="69"/>
        <v>-20160</v>
      </c>
      <c r="T65" s="433">
        <f t="shared" si="69"/>
        <v>-20160</v>
      </c>
      <c r="U65" s="434">
        <f t="shared" si="69"/>
        <v>-20160</v>
      </c>
      <c r="V65" s="434">
        <f t="shared" si="69"/>
        <v>0</v>
      </c>
      <c r="W65" s="434">
        <f t="shared" si="69"/>
        <v>0</v>
      </c>
      <c r="X65" s="434">
        <f t="shared" si="69"/>
        <v>0</v>
      </c>
      <c r="Y65" s="434">
        <f t="shared" si="69"/>
        <v>0</v>
      </c>
      <c r="Z65" s="434">
        <f t="shared" si="69"/>
        <v>0</v>
      </c>
      <c r="AA65" s="434">
        <f t="shared" si="69"/>
        <v>0</v>
      </c>
      <c r="AB65" s="434">
        <f t="shared" si="69"/>
        <v>0</v>
      </c>
      <c r="AC65" s="434">
        <f t="shared" si="69"/>
        <v>0</v>
      </c>
      <c r="AD65" s="434">
        <f t="shared" si="69"/>
        <v>0</v>
      </c>
      <c r="AE65" s="434">
        <f t="shared" si="69"/>
        <v>0</v>
      </c>
      <c r="AF65" s="434">
        <f t="shared" si="69"/>
        <v>0</v>
      </c>
      <c r="AG65" s="434">
        <f t="shared" si="69"/>
        <v>0</v>
      </c>
      <c r="AH65" s="434">
        <f t="shared" si="69"/>
        <v>0</v>
      </c>
      <c r="AI65" s="434">
        <f t="shared" si="69"/>
        <v>0</v>
      </c>
      <c r="AJ65" s="434">
        <f t="shared" si="69"/>
        <v>0</v>
      </c>
      <c r="AK65" s="434">
        <f t="shared" si="69"/>
        <v>0</v>
      </c>
      <c r="AL65" s="434">
        <f t="shared" ref="AL65:BQ65" si="70">-IF(OR((const_start+1)=AL5, AL5=(const_start+2), AL5=(const_start+3)),logistics_cost*0.28,IF(OR((const_start+4)=AL5,(const_start+5)=AL5,(const_start+6)=AL5),logistics_cost*0.06,0))</f>
        <v>0</v>
      </c>
      <c r="AM65" s="434">
        <f t="shared" si="70"/>
        <v>0</v>
      </c>
      <c r="AN65" s="434">
        <f t="shared" si="70"/>
        <v>0</v>
      </c>
      <c r="AO65" s="434">
        <f t="shared" si="70"/>
        <v>0</v>
      </c>
      <c r="AP65" s="434">
        <f t="shared" si="70"/>
        <v>0</v>
      </c>
      <c r="AQ65" s="434">
        <f t="shared" si="70"/>
        <v>0</v>
      </c>
      <c r="AR65" s="434">
        <f t="shared" si="70"/>
        <v>0</v>
      </c>
      <c r="AS65" s="434">
        <f t="shared" si="70"/>
        <v>0</v>
      </c>
      <c r="AT65" s="434">
        <f t="shared" si="70"/>
        <v>0</v>
      </c>
      <c r="AU65" s="434">
        <f t="shared" si="70"/>
        <v>0</v>
      </c>
      <c r="AV65" s="434">
        <f t="shared" si="70"/>
        <v>0</v>
      </c>
      <c r="AW65" s="434">
        <f t="shared" si="70"/>
        <v>0</v>
      </c>
      <c r="AX65" s="434">
        <f t="shared" si="70"/>
        <v>0</v>
      </c>
      <c r="AY65" s="434">
        <f t="shared" si="70"/>
        <v>0</v>
      </c>
      <c r="AZ65" s="434">
        <f t="shared" si="70"/>
        <v>0</v>
      </c>
      <c r="BA65" s="434">
        <f t="shared" si="70"/>
        <v>0</v>
      </c>
      <c r="BB65" s="434">
        <f t="shared" si="70"/>
        <v>0</v>
      </c>
      <c r="BC65" s="434">
        <f t="shared" si="70"/>
        <v>0</v>
      </c>
      <c r="BD65" s="434">
        <f t="shared" si="70"/>
        <v>0</v>
      </c>
      <c r="BE65" s="434">
        <f t="shared" si="70"/>
        <v>0</v>
      </c>
      <c r="BF65" s="434">
        <f t="shared" si="70"/>
        <v>0</v>
      </c>
      <c r="BG65" s="434">
        <f t="shared" si="70"/>
        <v>0</v>
      </c>
      <c r="BH65" s="434">
        <f t="shared" si="70"/>
        <v>0</v>
      </c>
      <c r="BI65" s="434">
        <f t="shared" si="70"/>
        <v>0</v>
      </c>
      <c r="BJ65" s="434">
        <f t="shared" si="70"/>
        <v>0</v>
      </c>
      <c r="BK65" s="434">
        <f t="shared" si="70"/>
        <v>0</v>
      </c>
      <c r="BL65" s="434">
        <f t="shared" si="70"/>
        <v>0</v>
      </c>
      <c r="BM65" s="434">
        <f t="shared" si="70"/>
        <v>0</v>
      </c>
      <c r="BN65" s="434">
        <f t="shared" si="70"/>
        <v>0</v>
      </c>
      <c r="BO65" s="434">
        <f t="shared" si="70"/>
        <v>0</v>
      </c>
      <c r="BP65" s="434">
        <f t="shared" si="70"/>
        <v>0</v>
      </c>
      <c r="BQ65" s="434">
        <f t="shared" si="70"/>
        <v>0</v>
      </c>
      <c r="BR65" s="434">
        <f t="shared" ref="BR65:CW65" si="71">-IF(OR((const_start+1)=BR5, BR5=(const_start+2), BR5=(const_start+3)),logistics_cost*0.28,IF(OR((const_start+4)=BR5,(const_start+5)=BR5,(const_start+6)=BR5),logistics_cost*0.06,0))</f>
        <v>0</v>
      </c>
      <c r="BS65" s="434">
        <f t="shared" si="71"/>
        <v>0</v>
      </c>
      <c r="BT65" s="434">
        <f t="shared" si="71"/>
        <v>0</v>
      </c>
      <c r="BU65" s="434">
        <f t="shared" si="71"/>
        <v>0</v>
      </c>
      <c r="BV65" s="434">
        <f t="shared" si="71"/>
        <v>0</v>
      </c>
      <c r="BW65" s="434">
        <f t="shared" si="71"/>
        <v>0</v>
      </c>
      <c r="BX65" s="434">
        <f t="shared" si="71"/>
        <v>0</v>
      </c>
      <c r="BY65" s="434">
        <f t="shared" si="71"/>
        <v>0</v>
      </c>
      <c r="BZ65" s="434">
        <f t="shared" si="71"/>
        <v>0</v>
      </c>
      <c r="CA65" s="434">
        <f t="shared" si="71"/>
        <v>0</v>
      </c>
      <c r="CB65" s="434">
        <f t="shared" si="71"/>
        <v>0</v>
      </c>
      <c r="CC65" s="434">
        <f t="shared" si="71"/>
        <v>0</v>
      </c>
      <c r="CD65" s="434">
        <f t="shared" si="71"/>
        <v>0</v>
      </c>
      <c r="CE65" s="434">
        <f t="shared" si="71"/>
        <v>0</v>
      </c>
      <c r="CF65" s="434">
        <f t="shared" si="71"/>
        <v>0</v>
      </c>
      <c r="CG65" s="434">
        <f t="shared" si="71"/>
        <v>0</v>
      </c>
      <c r="CH65" s="434">
        <f t="shared" si="71"/>
        <v>0</v>
      </c>
      <c r="CI65" s="434">
        <f t="shared" si="71"/>
        <v>0</v>
      </c>
      <c r="CJ65" s="434">
        <f t="shared" si="71"/>
        <v>0</v>
      </c>
      <c r="CK65" s="434">
        <f t="shared" si="71"/>
        <v>0</v>
      </c>
      <c r="CL65" s="434">
        <f t="shared" si="71"/>
        <v>0</v>
      </c>
      <c r="CM65" s="434">
        <f t="shared" si="71"/>
        <v>0</v>
      </c>
      <c r="CN65" s="434">
        <f t="shared" si="71"/>
        <v>0</v>
      </c>
      <c r="CO65" s="434">
        <f t="shared" si="71"/>
        <v>0</v>
      </c>
      <c r="CP65" s="434">
        <f t="shared" si="71"/>
        <v>0</v>
      </c>
      <c r="CQ65" s="434">
        <f t="shared" si="71"/>
        <v>0</v>
      </c>
      <c r="CR65" s="434">
        <f t="shared" si="71"/>
        <v>0</v>
      </c>
      <c r="CS65" s="434">
        <f t="shared" si="71"/>
        <v>0</v>
      </c>
      <c r="CT65" s="434">
        <f t="shared" si="71"/>
        <v>0</v>
      </c>
      <c r="CU65" s="434">
        <f t="shared" si="71"/>
        <v>0</v>
      </c>
      <c r="CV65" s="434">
        <f t="shared" si="71"/>
        <v>0</v>
      </c>
      <c r="CW65" s="434">
        <f t="shared" si="71"/>
        <v>0</v>
      </c>
      <c r="CX65" s="434">
        <f t="shared" ref="CX65:DU65" si="72">-IF(OR((const_start+1)=CX5, CX5=(const_start+2), CX5=(const_start+3)),logistics_cost*0.28,IF(OR((const_start+4)=CX5,(const_start+5)=CX5,(const_start+6)=CX5),logistics_cost*0.06,0))</f>
        <v>0</v>
      </c>
      <c r="CY65" s="434">
        <f t="shared" si="72"/>
        <v>0</v>
      </c>
      <c r="CZ65" s="434">
        <f t="shared" si="72"/>
        <v>0</v>
      </c>
      <c r="DA65" s="434">
        <f t="shared" si="72"/>
        <v>0</v>
      </c>
      <c r="DB65" s="434">
        <f t="shared" si="72"/>
        <v>0</v>
      </c>
      <c r="DC65" s="434">
        <f t="shared" si="72"/>
        <v>0</v>
      </c>
      <c r="DD65" s="434">
        <f t="shared" si="72"/>
        <v>0</v>
      </c>
      <c r="DE65" s="434">
        <f t="shared" si="72"/>
        <v>0</v>
      </c>
      <c r="DF65" s="434">
        <f t="shared" si="72"/>
        <v>0</v>
      </c>
      <c r="DG65" s="434">
        <f t="shared" si="72"/>
        <v>0</v>
      </c>
      <c r="DH65" s="434">
        <f t="shared" si="72"/>
        <v>0</v>
      </c>
      <c r="DI65" s="434">
        <f t="shared" si="72"/>
        <v>0</v>
      </c>
      <c r="DJ65" s="434">
        <f t="shared" si="72"/>
        <v>0</v>
      </c>
      <c r="DK65" s="434">
        <f t="shared" si="72"/>
        <v>0</v>
      </c>
      <c r="DL65" s="434">
        <f t="shared" si="72"/>
        <v>0</v>
      </c>
      <c r="DM65" s="434">
        <f t="shared" si="72"/>
        <v>0</v>
      </c>
      <c r="DN65" s="434">
        <f t="shared" si="72"/>
        <v>0</v>
      </c>
      <c r="DO65" s="434">
        <f t="shared" si="72"/>
        <v>0</v>
      </c>
      <c r="DP65" s="434">
        <f t="shared" si="72"/>
        <v>0</v>
      </c>
      <c r="DQ65" s="434">
        <f t="shared" si="72"/>
        <v>0</v>
      </c>
      <c r="DR65" s="434">
        <f t="shared" si="72"/>
        <v>0</v>
      </c>
      <c r="DS65" s="434">
        <f t="shared" si="72"/>
        <v>0</v>
      </c>
      <c r="DT65" s="434">
        <f t="shared" si="72"/>
        <v>0</v>
      </c>
      <c r="DU65" s="434">
        <f t="shared" si="72"/>
        <v>0</v>
      </c>
    </row>
    <row r="66" spans="1:125" ht="15.75" customHeight="1" x14ac:dyDescent="0.25">
      <c r="A66" s="418" t="s">
        <v>20</v>
      </c>
      <c r="B66" s="112"/>
      <c r="C66" s="112"/>
      <c r="D66" s="464">
        <f>IFERROR(SUM(F66:HC66),0)</f>
        <v>-2609303.2038457524</v>
      </c>
      <c r="E66" s="112"/>
      <c r="F66" s="438">
        <f>+IFERROR(('(Z+) Dev Budget'!$G$115/SUM('(Z+) Dev Budget'!$G$109,'(Z+) Dev Budget'!$G$30))*SUM(F63,F67:F69,F64,F65),0)</f>
        <v>-820.44215230652787</v>
      </c>
      <c r="G66" s="438">
        <f>+IFERROR(('(Z+) Dev Budget'!$G$115/SUM('(Z+) Dev Budget'!$G$109,'(Z+) Dev Budget'!$G$30))*SUM(G63,G67:G69,G64,G65),0)</f>
        <v>0</v>
      </c>
      <c r="H66" s="438">
        <f>+IFERROR(('(Z+) Dev Budget'!$G$115/SUM('(Z+) Dev Budget'!$G$109,'(Z+) Dev Budget'!$G$30))*SUM(H63,H67:H69,H64,H65),0)</f>
        <v>0</v>
      </c>
      <c r="I66" s="438">
        <f>+IFERROR(('(Z+) Dev Budget'!$G$115/SUM('(Z+) Dev Budget'!$G$109,'(Z+) Dev Budget'!$G$30))*SUM(I63,I67:I69,I64,I65),0)</f>
        <v>0</v>
      </c>
      <c r="J66" s="439">
        <f>+IFERROR(('(Z+) Dev Budget'!$G$115/SUM('(Z+) Dev Budget'!$G$109,'(Z+) Dev Budget'!$G$30))*SUM(J63,J67:J69,J64,J65),0)</f>
        <v>-18506.322519293037</v>
      </c>
      <c r="K66" s="439">
        <f>+IFERROR(('(Z+) Dev Budget'!$G$115/SUM('(Z+) Dev Budget'!$G$109,'(Z+) Dev Budget'!$G$30))*SUM(K63,K67:K69,K64,K65),0)</f>
        <v>-20042.322251562924</v>
      </c>
      <c r="L66" s="439">
        <f>+IFERROR(('(Z+) Dev Budget'!$G$115/SUM('(Z+) Dev Budget'!$G$109,'(Z+) Dev Budget'!$G$30))*SUM(L63,L67:L69,L64,L65),0)</f>
        <v>-20857.487554592859</v>
      </c>
      <c r="M66" s="439">
        <f>+IFERROR(('(Z+) Dev Budget'!$G$115/SUM('(Z+) Dev Budget'!$G$109,'(Z+) Dev Budget'!$G$30))*SUM(M63,M67:M69,M64,M65),0)</f>
        <v>-572194.61390457954</v>
      </c>
      <c r="N66" s="439">
        <f>+IFERROR(('(Z+) Dev Budget'!$G$115/SUM('(Z+) Dev Budget'!$G$109,'(Z+) Dev Budget'!$G$30))*SUM(N63,N67:N69,N64,N65),0)</f>
        <v>-20042.322251562953</v>
      </c>
      <c r="O66" s="439">
        <f>+IFERROR(('(Z+) Dev Budget'!$G$115/SUM('(Z+) Dev Budget'!$G$109,'(Z+) Dev Budget'!$G$30))*SUM(O63,O67:O69,O64,O65),0)</f>
        <v>-18506.322519293022</v>
      </c>
      <c r="P66" s="439">
        <f>+IFERROR(('(Z+) Dev Budget'!$G$115/SUM('(Z+) Dev Budget'!$G$109,'(Z+) Dev Budget'!$G$30))*SUM(P63,P67:P69,P64,P65),0)</f>
        <v>-428759.86682774581</v>
      </c>
      <c r="Q66" s="439">
        <f>+IFERROR(('(Z+) Dev Budget'!$G$115/SUM('(Z+) Dev Budget'!$G$109,'(Z+) Dev Budget'!$G$30))*SUM(Q63,Q67:Q69,Q64,Q65),0)</f>
        <v>-225047.635558137</v>
      </c>
      <c r="R66" s="439">
        <f>+IFERROR(('(Z+) Dev Budget'!$G$115/SUM('(Z+) Dev Budget'!$G$109,'(Z+) Dev Budget'!$G$30))*SUM(R63,R67:R69,R64,R65),0)</f>
        <v>-240385.84834405559</v>
      </c>
      <c r="S66" s="439">
        <f>+IFERROR(('(Z+) Dev Budget'!$G$115/SUM('(Z+) Dev Budget'!$G$109,'(Z+) Dev Budget'!$G$30))*SUM(S63,S67:S69,S64,S65),0)</f>
        <v>-138418.1459840941</v>
      </c>
      <c r="T66" s="439">
        <f>+IFERROR(('(Z+) Dev Budget'!$G$115/SUM('(Z+) Dev Budget'!$G$109,'(Z+) Dev Budget'!$G$30))*SUM(T63,T67:T69,T64,T65),0)</f>
        <v>-146436.40074495392</v>
      </c>
      <c r="U66" s="440">
        <f>+IFERROR(('(Z+) Dev Budget'!$G$115/SUM('(Z+) Dev Budget'!$G$109,'(Z+) Dev Budget'!$G$30))*SUM(U63,U67:U69,U64,U65),0)</f>
        <v>-149217.4901677751</v>
      </c>
      <c r="V66" s="440">
        <f>+IFERROR(('(Z+) Dev Budget'!$G$115/SUM('(Z+) Dev Budget'!$G$109,'(Z+) Dev Budget'!$G$30))*SUM(V63,V67:V69,V64,V65),0)</f>
        <v>-145333.72649225395</v>
      </c>
      <c r="W66" s="440">
        <f>+IFERROR(('(Z+) Dev Budget'!$G$115/SUM('(Z+) Dev Budget'!$G$109,'(Z+) Dev Budget'!$G$30))*SUM(W63,W67:W69,W64,W65),0)</f>
        <v>-137315.47173139412</v>
      </c>
      <c r="X66" s="440">
        <f>+IFERROR(('(Z+) Dev Budget'!$G$115/SUM('(Z+) Dev Budget'!$G$109,'(Z+) Dev Budget'!$G$30))*SUM(X63,X67:X69,X64,X65),0)</f>
        <v>-124972.60989479159</v>
      </c>
      <c r="Y66" s="440">
        <f>+IFERROR(('(Z+) Dev Budget'!$G$115/SUM('(Z+) Dev Budget'!$G$109,'(Z+) Dev Budget'!$G$30))*SUM(Y63,Y67:Y69,Y64,Y65),0)</f>
        <v>-109634.39710887318</v>
      </c>
      <c r="Z66" s="440">
        <f>+IFERROR(('(Z+) Dev Budget'!$G$115/SUM('(Z+) Dev Budget'!$G$109,'(Z+) Dev Budget'!$G$30))*SUM(Z63,Z67:Z69,Z64,Z65),0)</f>
        <v>-92811.777838487251</v>
      </c>
      <c r="AA66" s="440">
        <f>+IFERROR(('(Z+) Dev Budget'!$G$115/SUM('(Z+) Dev Budget'!$G$109,'(Z+) Dev Budget'!$G$30))*SUM(AA63,AA67:AA69,AA64,AA65),0)</f>
        <v>0</v>
      </c>
      <c r="AB66" s="440">
        <f>+IFERROR(('(Z+) Dev Budget'!$G$115/SUM('(Z+) Dev Budget'!$G$109,'(Z+) Dev Budget'!$G$30))*SUM(AB63,AB67:AB69,AB64,AB65),0)</f>
        <v>0</v>
      </c>
      <c r="AC66" s="440">
        <f>+IFERROR(('(Z+) Dev Budget'!$G$115/SUM('(Z+) Dev Budget'!$G$109,'(Z+) Dev Budget'!$G$30))*SUM(AC63,AC67:AC69,AC64,AC65),0)</f>
        <v>0</v>
      </c>
      <c r="AD66" s="440">
        <f>+IFERROR(('(Z+) Dev Budget'!$G$115/SUM('(Z+) Dev Budget'!$G$109,'(Z+) Dev Budget'!$G$30))*SUM(AD63,AD67:AD69,AD64,AD65),0)</f>
        <v>0</v>
      </c>
      <c r="AE66" s="440">
        <f>+IFERROR(('(Z+) Dev Budget'!$G$115/SUM('(Z+) Dev Budget'!$G$109,'(Z+) Dev Budget'!$G$30))*SUM(AE63,AE67:AE69,AE64,AE65),0)</f>
        <v>0</v>
      </c>
      <c r="AF66" s="440">
        <f>+IFERROR(('(Z+) Dev Budget'!$G$115/SUM('(Z+) Dev Budget'!$G$109,'(Z+) Dev Budget'!$G$30))*SUM(AF63,AF67:AF69,AF64,AF65),0)</f>
        <v>0</v>
      </c>
      <c r="AG66" s="440">
        <f>+IFERROR(('(Z+) Dev Budget'!$G$115/SUM('(Z+) Dev Budget'!$G$109,'(Z+) Dev Budget'!$G$30))*SUM(AG63,AG67:AG69,AG64,AG65),0)</f>
        <v>0</v>
      </c>
      <c r="AH66" s="440">
        <f>+IFERROR(('(Z+) Dev Budget'!$G$115/SUM('(Z+) Dev Budget'!$G$109,'(Z+) Dev Budget'!$G$30))*SUM(AH63,AH67:AH69,AH64,AH65),0)</f>
        <v>0</v>
      </c>
      <c r="AI66" s="440">
        <f>+IFERROR(('(Z+) Dev Budget'!$G$115/SUM('(Z+) Dev Budget'!$G$109,'(Z+) Dev Budget'!$G$30))*SUM(AI63,AI67:AI69,AI64,AI65),0)</f>
        <v>0</v>
      </c>
      <c r="AJ66" s="440">
        <f>+IFERROR(('(Z+) Dev Budget'!$G$115/SUM('(Z+) Dev Budget'!$G$109,'(Z+) Dev Budget'!$G$30))*SUM(AJ63,AJ67:AJ69,AJ64,AJ65),0)</f>
        <v>0</v>
      </c>
      <c r="AK66" s="440">
        <f>+IFERROR(('(Z+) Dev Budget'!$G$115/SUM('(Z+) Dev Budget'!$G$109,'(Z+) Dev Budget'!$G$30))*SUM(AK63,AK67:AK69,AK64,AK65),0)</f>
        <v>0</v>
      </c>
      <c r="AL66" s="440">
        <f>+IFERROR(('(Z+) Dev Budget'!$G$115/SUM('(Z+) Dev Budget'!$G$109,'(Z+) Dev Budget'!$G$30))*SUM(AL63,AL67:AL69,AL64,AL65),0)</f>
        <v>0</v>
      </c>
      <c r="AM66" s="440">
        <f>+IFERROR(('(Z+) Dev Budget'!$G$115/SUM('(Z+) Dev Budget'!$G$109,'(Z+) Dev Budget'!$G$30))*SUM(AM63,AM67:AM69,AM64,AM65),0)</f>
        <v>0</v>
      </c>
      <c r="AN66" s="440">
        <f>+IFERROR(('(Z+) Dev Budget'!$G$115/SUM('(Z+) Dev Budget'!$G$109,'(Z+) Dev Budget'!$G$30))*SUM(AN63,AN67:AN69,AN64,AN65),0)</f>
        <v>0</v>
      </c>
      <c r="AO66" s="440">
        <f>+IFERROR(('(Z+) Dev Budget'!$G$115/SUM('(Z+) Dev Budget'!$G$109,'(Z+) Dev Budget'!$G$30))*SUM(AO63,AO67:AO69,AO64,AO65),0)</f>
        <v>0</v>
      </c>
      <c r="AP66" s="440">
        <f>+IFERROR(('(Z+) Dev Budget'!$G$115/SUM('(Z+) Dev Budget'!$G$109,'(Z+) Dev Budget'!$G$30))*SUM(AP63,AP67:AP69,AP64,AP65),0)</f>
        <v>0</v>
      </c>
      <c r="AQ66" s="440">
        <f>+IFERROR(('(Z+) Dev Budget'!$G$115/SUM('(Z+) Dev Budget'!$G$109,'(Z+) Dev Budget'!$G$30))*SUM(AQ63,AQ67:AQ69,AQ64,AQ65),0)</f>
        <v>0</v>
      </c>
      <c r="AR66" s="440">
        <f>+IFERROR(('(Z+) Dev Budget'!$G$115/SUM('(Z+) Dev Budget'!$G$109,'(Z+) Dev Budget'!$G$30))*SUM(AR63,AR67:AR69,AR64,AR65),0)</f>
        <v>0</v>
      </c>
      <c r="AS66" s="440">
        <f>+IFERROR(('(Z+) Dev Budget'!$G$115/SUM('(Z+) Dev Budget'!$G$109,'(Z+) Dev Budget'!$G$30))*SUM(AS63,AS67:AS69,AS64,AS65),0)</f>
        <v>0</v>
      </c>
      <c r="AT66" s="440">
        <f>+IFERROR(('(Z+) Dev Budget'!$G$115/SUM('(Z+) Dev Budget'!$G$109,'(Z+) Dev Budget'!$G$30))*SUM(AT63,AT67:AT69,AT64,AT65),0)</f>
        <v>0</v>
      </c>
      <c r="AU66" s="440">
        <f>+IFERROR(('(Z+) Dev Budget'!$G$115/SUM('(Z+) Dev Budget'!$G$109,'(Z+) Dev Budget'!$G$30))*SUM(AU63,AU67:AU69,AU64,AU65),0)</f>
        <v>0</v>
      </c>
      <c r="AV66" s="440">
        <f>+IFERROR(('(Z+) Dev Budget'!$G$115/SUM('(Z+) Dev Budget'!$G$109,'(Z+) Dev Budget'!$G$30))*SUM(AV63,AV67:AV69,AV64,AV65),0)</f>
        <v>0</v>
      </c>
      <c r="AW66" s="440">
        <f>+IFERROR(('(Z+) Dev Budget'!$G$115/SUM('(Z+) Dev Budget'!$G$109,'(Z+) Dev Budget'!$G$30))*SUM(AW63,AW67:AW69,AW64,AW65),0)</f>
        <v>0</v>
      </c>
      <c r="AX66" s="440">
        <f>+IFERROR(('(Z+) Dev Budget'!$G$115/SUM('(Z+) Dev Budget'!$G$109,'(Z+) Dev Budget'!$G$30))*SUM(AX63,AX67:AX69,AX64,AX65),0)</f>
        <v>0</v>
      </c>
      <c r="AY66" s="440">
        <f>+IFERROR(('(Z+) Dev Budget'!$G$115/SUM('(Z+) Dev Budget'!$G$109,'(Z+) Dev Budget'!$G$30))*SUM(AY63,AY67:AY69,AY64,AY65),0)</f>
        <v>0</v>
      </c>
      <c r="AZ66" s="440">
        <f>+IFERROR(('(Z+) Dev Budget'!$G$115/SUM('(Z+) Dev Budget'!$G$109,'(Z+) Dev Budget'!$G$30))*SUM(AZ63,AZ67:AZ69,AZ64,AZ65),0)</f>
        <v>0</v>
      </c>
      <c r="BA66" s="440">
        <f>+IFERROR(('(Z+) Dev Budget'!$G$115/SUM('(Z+) Dev Budget'!$G$109,'(Z+) Dev Budget'!$G$30))*SUM(BA63,BA67:BA69,BA64,BA65),0)</f>
        <v>0</v>
      </c>
      <c r="BB66" s="440">
        <f>+IFERROR(('(Z+) Dev Budget'!$G$115/SUM('(Z+) Dev Budget'!$G$109,'(Z+) Dev Budget'!$G$30))*SUM(BB63,BB67:BB69,BB64,BB65),0)</f>
        <v>0</v>
      </c>
      <c r="BC66" s="440">
        <f>+IFERROR(('(Z+) Dev Budget'!$G$115/SUM('(Z+) Dev Budget'!$G$109,'(Z+) Dev Budget'!$G$30))*SUM(BC63,BC67:BC69,BC64,BC65),0)</f>
        <v>0</v>
      </c>
      <c r="BD66" s="440">
        <f>+IFERROR(('(Z+) Dev Budget'!$G$115/SUM('(Z+) Dev Budget'!$G$109,'(Z+) Dev Budget'!$G$30))*SUM(BD63,BD67:BD69,BD64,BD65),0)</f>
        <v>0</v>
      </c>
      <c r="BE66" s="440">
        <f>+IFERROR(('(Z+) Dev Budget'!$G$115/SUM('(Z+) Dev Budget'!$G$109,'(Z+) Dev Budget'!$G$30))*SUM(BE63,BE67:BE69,BE64,BE65),0)</f>
        <v>0</v>
      </c>
      <c r="BF66" s="440">
        <f>+IFERROR(('(Z+) Dev Budget'!$G$115/SUM('(Z+) Dev Budget'!$G$109,'(Z+) Dev Budget'!$G$30))*SUM(BF63,BF67:BF69,BF64,BF65),0)</f>
        <v>0</v>
      </c>
      <c r="BG66" s="440">
        <f>+IFERROR(('(Z+) Dev Budget'!$G$115/SUM('(Z+) Dev Budget'!$G$109,'(Z+) Dev Budget'!$G$30))*SUM(BG63,BG67:BG69,BG64,BG65),0)</f>
        <v>0</v>
      </c>
      <c r="BH66" s="440">
        <f>+IFERROR(('(Z+) Dev Budget'!$G$115/SUM('(Z+) Dev Budget'!$G$109,'(Z+) Dev Budget'!$G$30))*SUM(BH63,BH67:BH69,BH64,BH65),0)</f>
        <v>0</v>
      </c>
      <c r="BI66" s="440">
        <f>+IFERROR(('(Z+) Dev Budget'!$G$115/SUM('(Z+) Dev Budget'!$G$109,'(Z+) Dev Budget'!$G$30))*SUM(BI63,BI67:BI69,BI64,BI65),0)</f>
        <v>0</v>
      </c>
      <c r="BJ66" s="440">
        <f>+IFERROR(('(Z+) Dev Budget'!$G$115/SUM('(Z+) Dev Budget'!$G$109,'(Z+) Dev Budget'!$G$30))*SUM(BJ63,BJ67:BJ69,BJ64,BJ65),0)</f>
        <v>0</v>
      </c>
      <c r="BK66" s="440">
        <f>+IFERROR(('(Z+) Dev Budget'!$G$115/SUM('(Z+) Dev Budget'!$G$109,'(Z+) Dev Budget'!$G$30))*SUM(BK63,BK67:BK69,BK64,BK65),0)</f>
        <v>0</v>
      </c>
      <c r="BL66" s="440">
        <f>+IFERROR(('(Z+) Dev Budget'!$G$115/SUM('(Z+) Dev Budget'!$G$109,'(Z+) Dev Budget'!$G$30))*SUM(BL63,BL67:BL69,BL64,BL65),0)</f>
        <v>0</v>
      </c>
      <c r="BM66" s="440">
        <f>+IFERROR(('(Z+) Dev Budget'!$G$115/SUM('(Z+) Dev Budget'!$G$109,'(Z+) Dev Budget'!$G$30))*SUM(BM63,BM67:BM69,BM64,BM65),0)</f>
        <v>0</v>
      </c>
      <c r="BN66" s="440">
        <f>+IFERROR(('(Z+) Dev Budget'!$G$115/SUM('(Z+) Dev Budget'!$G$109,'(Z+) Dev Budget'!$G$30))*SUM(BN63,BN67:BN69,BN64,BN65),0)</f>
        <v>0</v>
      </c>
      <c r="BO66" s="440">
        <f>+IFERROR(('(Z+) Dev Budget'!$G$115/SUM('(Z+) Dev Budget'!$G$109,'(Z+) Dev Budget'!$G$30))*SUM(BO63,BO67:BO69,BO64,BO65),0)</f>
        <v>0</v>
      </c>
      <c r="BP66" s="440">
        <f>+IFERROR(('(Z+) Dev Budget'!$G$115/SUM('(Z+) Dev Budget'!$G$109,'(Z+) Dev Budget'!$G$30))*SUM(BP63,BP67:BP69,BP64,BP65),0)</f>
        <v>0</v>
      </c>
      <c r="BQ66" s="440">
        <f>+IFERROR(('(Z+) Dev Budget'!$G$115/SUM('(Z+) Dev Budget'!$G$109,'(Z+) Dev Budget'!$G$30))*SUM(BQ63,BQ67:BQ69,BQ64,BQ65),0)</f>
        <v>0</v>
      </c>
      <c r="BR66" s="440">
        <f>+IFERROR(('(Z+) Dev Budget'!$G$115/SUM('(Z+) Dev Budget'!$G$109,'(Z+) Dev Budget'!$G$30))*SUM(BR63,BR67:BR69,BR64,BR65),0)</f>
        <v>0</v>
      </c>
      <c r="BS66" s="440">
        <f>+IFERROR(('(Z+) Dev Budget'!$G$115/SUM('(Z+) Dev Budget'!$G$109,'(Z+) Dev Budget'!$G$30))*SUM(BS63,BS67:BS69,BS64,BS65),0)</f>
        <v>0</v>
      </c>
      <c r="BT66" s="440">
        <f>+IFERROR(('(Z+) Dev Budget'!$G$115/SUM('(Z+) Dev Budget'!$G$109,'(Z+) Dev Budget'!$G$30))*SUM(BT63,BT67:BT69,BT64,BT65),0)</f>
        <v>0</v>
      </c>
      <c r="BU66" s="440">
        <f>+IFERROR(('(Z+) Dev Budget'!$G$115/SUM('(Z+) Dev Budget'!$G$109,'(Z+) Dev Budget'!$G$30))*SUM(BU63,BU67:BU69,BU64,BU65),0)</f>
        <v>0</v>
      </c>
      <c r="BV66" s="440">
        <f>+IFERROR(('(Z+) Dev Budget'!$G$115/SUM('(Z+) Dev Budget'!$G$109,'(Z+) Dev Budget'!$G$30))*SUM(BV63,BV67:BV69,BV64,BV65),0)</f>
        <v>0</v>
      </c>
      <c r="BW66" s="440">
        <f>+IFERROR(('(Z+) Dev Budget'!$G$115/SUM('(Z+) Dev Budget'!$G$109,'(Z+) Dev Budget'!$G$30))*SUM(BW63,BW67:BW69,BW64,BW65),0)</f>
        <v>0</v>
      </c>
      <c r="BX66" s="440">
        <f>+IFERROR(('(Z+) Dev Budget'!$G$115/SUM('(Z+) Dev Budget'!$G$109,'(Z+) Dev Budget'!$G$30))*SUM(BX63,BX67:BX69,BX64,BX65),0)</f>
        <v>0</v>
      </c>
      <c r="BY66" s="440">
        <f>+IFERROR(('(Z+) Dev Budget'!$G$115/SUM('(Z+) Dev Budget'!$G$109,'(Z+) Dev Budget'!$G$30))*SUM(BY63,BY67:BY69,BY64,BY65),0)</f>
        <v>0</v>
      </c>
      <c r="BZ66" s="440">
        <f>+IFERROR(('(Z+) Dev Budget'!$G$115/SUM('(Z+) Dev Budget'!$G$109,'(Z+) Dev Budget'!$G$30))*SUM(BZ63,BZ67:BZ69,BZ64,BZ65),0)</f>
        <v>0</v>
      </c>
      <c r="CA66" s="440">
        <f>+IFERROR(('(Z+) Dev Budget'!$G$115/SUM('(Z+) Dev Budget'!$G$109,'(Z+) Dev Budget'!$G$30))*SUM(CA63,CA67:CA69,CA64,CA65),0)</f>
        <v>0</v>
      </c>
      <c r="CB66" s="440">
        <f>+IFERROR(('(Z+) Dev Budget'!$G$115/SUM('(Z+) Dev Budget'!$G$109,'(Z+) Dev Budget'!$G$30))*SUM(CB63,CB67:CB69,CB64,CB65),0)</f>
        <v>0</v>
      </c>
      <c r="CC66" s="440">
        <f>+IFERROR(('(Z+) Dev Budget'!$G$115/SUM('(Z+) Dev Budget'!$G$109,'(Z+) Dev Budget'!$G$30))*SUM(CC63,CC67:CC69,CC64,CC65),0)</f>
        <v>0</v>
      </c>
      <c r="CD66" s="440">
        <f>+IFERROR(('(Z+) Dev Budget'!$G$115/SUM('(Z+) Dev Budget'!$G$109,'(Z+) Dev Budget'!$G$30))*SUM(CD63,CD67:CD69,CD64,CD65),0)</f>
        <v>0</v>
      </c>
      <c r="CE66" s="440">
        <f>+IFERROR(('(Z+) Dev Budget'!$G$115/SUM('(Z+) Dev Budget'!$G$109,'(Z+) Dev Budget'!$G$30))*SUM(CE63,CE67:CE69,CE64,CE65),0)</f>
        <v>0</v>
      </c>
      <c r="CF66" s="440">
        <f>+IFERROR(('(Z+) Dev Budget'!$G$115/SUM('(Z+) Dev Budget'!$G$109,'(Z+) Dev Budget'!$G$30))*SUM(CF63,CF67:CF69,CF64,CF65),0)</f>
        <v>0</v>
      </c>
      <c r="CG66" s="440">
        <f>+IFERROR(('(Z+) Dev Budget'!$G$115/SUM('(Z+) Dev Budget'!$G$109,'(Z+) Dev Budget'!$G$30))*SUM(CG63,CG67:CG69,CG64,CG65),0)</f>
        <v>0</v>
      </c>
      <c r="CH66" s="440">
        <f>+IFERROR(('(Z+) Dev Budget'!$G$115/SUM('(Z+) Dev Budget'!$G$109,'(Z+) Dev Budget'!$G$30))*SUM(CH63,CH67:CH69,CH64,CH65),0)</f>
        <v>0</v>
      </c>
      <c r="CI66" s="440">
        <f>+IFERROR(('(Z+) Dev Budget'!$G$115/SUM('(Z+) Dev Budget'!$G$109,'(Z+) Dev Budget'!$G$30))*SUM(CI63,CI67:CI69,CI64,CI65),0)</f>
        <v>0</v>
      </c>
      <c r="CJ66" s="440">
        <f>+IFERROR(('(Z+) Dev Budget'!$G$115/SUM('(Z+) Dev Budget'!$G$109,'(Z+) Dev Budget'!$G$30))*SUM(CJ63,CJ67:CJ69,CJ64,CJ65),0)</f>
        <v>0</v>
      </c>
      <c r="CK66" s="440">
        <f>+IFERROR(('(Z+) Dev Budget'!$G$115/SUM('(Z+) Dev Budget'!$G$109,'(Z+) Dev Budget'!$G$30))*SUM(CK63,CK67:CK69,CK64,CK65),0)</f>
        <v>0</v>
      </c>
      <c r="CL66" s="440">
        <f>+IFERROR(('(Z+) Dev Budget'!$G$115/SUM('(Z+) Dev Budget'!$G$109,'(Z+) Dev Budget'!$G$30))*SUM(CL63,CL67:CL69,CL64,CL65),0)</f>
        <v>0</v>
      </c>
      <c r="CM66" s="440">
        <f>+IFERROR(('(Z+) Dev Budget'!$G$115/SUM('(Z+) Dev Budget'!$G$109,'(Z+) Dev Budget'!$G$30))*SUM(CM63,CM67:CM69,CM64,CM65),0)</f>
        <v>0</v>
      </c>
      <c r="CN66" s="440">
        <f>+IFERROR(('(Z+) Dev Budget'!$G$115/SUM('(Z+) Dev Budget'!$G$109,'(Z+) Dev Budget'!$G$30))*SUM(CN63,CN67:CN69,CN64,CN65),0)</f>
        <v>0</v>
      </c>
      <c r="CO66" s="440">
        <f>+IFERROR(('(Z+) Dev Budget'!$G$115/SUM('(Z+) Dev Budget'!$G$109,'(Z+) Dev Budget'!$G$30))*SUM(CO63,CO67:CO69,CO64,CO65),0)</f>
        <v>0</v>
      </c>
      <c r="CP66" s="440">
        <f>+IFERROR(('(Z+) Dev Budget'!$G$115/SUM('(Z+) Dev Budget'!$G$109,'(Z+) Dev Budget'!$G$30))*SUM(CP63,CP67:CP69,CP64,CP65),0)</f>
        <v>0</v>
      </c>
      <c r="CQ66" s="440">
        <f>+IFERROR(('(Z+) Dev Budget'!$G$115/SUM('(Z+) Dev Budget'!$G$109,'(Z+) Dev Budget'!$G$30))*SUM(CQ63,CQ67:CQ69,CQ64,CQ65),0)</f>
        <v>0</v>
      </c>
      <c r="CR66" s="440">
        <f>+IFERROR(('(Z+) Dev Budget'!$G$115/SUM('(Z+) Dev Budget'!$G$109,'(Z+) Dev Budget'!$G$30))*SUM(CR63,CR67:CR69,CR64,CR65),0)</f>
        <v>0</v>
      </c>
      <c r="CS66" s="440">
        <f>+IFERROR(('(Z+) Dev Budget'!$G$115/SUM('(Z+) Dev Budget'!$G$109,'(Z+) Dev Budget'!$G$30))*SUM(CS63,CS67:CS69,CS64,CS65),0)</f>
        <v>0</v>
      </c>
      <c r="CT66" s="440">
        <f>+IFERROR(('(Z+) Dev Budget'!$G$115/SUM('(Z+) Dev Budget'!$G$109,'(Z+) Dev Budget'!$G$30))*SUM(CT63,CT67:CT69,CT64,CT65),0)</f>
        <v>0</v>
      </c>
      <c r="CU66" s="440">
        <f>+IFERROR(('(Z+) Dev Budget'!$G$115/SUM('(Z+) Dev Budget'!$G$109,'(Z+) Dev Budget'!$G$30))*SUM(CU63,CU67:CU69,CU64,CU65),0)</f>
        <v>0</v>
      </c>
      <c r="CV66" s="440">
        <f>+IFERROR(('(Z+) Dev Budget'!$G$115/SUM('(Z+) Dev Budget'!$G$109,'(Z+) Dev Budget'!$G$30))*SUM(CV63,CV67:CV69,CV64,CV65),0)</f>
        <v>0</v>
      </c>
      <c r="CW66" s="440">
        <f>+IFERROR(('(Z+) Dev Budget'!$G$115/SUM('(Z+) Dev Budget'!$G$109,'(Z+) Dev Budget'!$G$30))*SUM(CW63,CW67:CW69,CW64,CW65),0)</f>
        <v>0</v>
      </c>
      <c r="CX66" s="440">
        <f>+IFERROR(('(Z+) Dev Budget'!$G$115/SUM('(Z+) Dev Budget'!$G$109,'(Z+) Dev Budget'!$G$30))*SUM(CX63,CX67:CX69,CX64,CX65),0)</f>
        <v>0</v>
      </c>
      <c r="CY66" s="440">
        <f>+IFERROR(('(Z+) Dev Budget'!$G$115/SUM('(Z+) Dev Budget'!$G$109,'(Z+) Dev Budget'!$G$30))*SUM(CY63,CY67:CY69,CY64,CY65),0)</f>
        <v>0</v>
      </c>
      <c r="CZ66" s="440">
        <f>+IFERROR(('(Z+) Dev Budget'!$G$115/SUM('(Z+) Dev Budget'!$G$109,'(Z+) Dev Budget'!$G$30))*SUM(CZ63,CZ67:CZ69,CZ64,CZ65),0)</f>
        <v>0</v>
      </c>
      <c r="DA66" s="440">
        <f>+IFERROR(('(Z+) Dev Budget'!$G$115/SUM('(Z+) Dev Budget'!$G$109,'(Z+) Dev Budget'!$G$30))*SUM(DA63,DA67:DA69,DA64,DA65),0)</f>
        <v>0</v>
      </c>
      <c r="DB66" s="440">
        <f>+IFERROR(('(Z+) Dev Budget'!$G$115/SUM('(Z+) Dev Budget'!$G$109,'(Z+) Dev Budget'!$G$30))*SUM(DB63,DB67:DB69,DB64,DB65),0)</f>
        <v>0</v>
      </c>
      <c r="DC66" s="440">
        <f>+IFERROR(('(Z+) Dev Budget'!$G$115/SUM('(Z+) Dev Budget'!$G$109,'(Z+) Dev Budget'!$G$30))*SUM(DC63,DC67:DC69,DC64,DC65),0)</f>
        <v>0</v>
      </c>
      <c r="DD66" s="440">
        <f>+IFERROR(('(Z+) Dev Budget'!$G$115/SUM('(Z+) Dev Budget'!$G$109,'(Z+) Dev Budget'!$G$30))*SUM(DD63,DD67:DD69,DD64,DD65),0)</f>
        <v>0</v>
      </c>
      <c r="DE66" s="440">
        <f>+IFERROR(('(Z+) Dev Budget'!$G$115/SUM('(Z+) Dev Budget'!$G$109,'(Z+) Dev Budget'!$G$30))*SUM(DE63,DE67:DE69,DE64,DE65),0)</f>
        <v>0</v>
      </c>
      <c r="DF66" s="440">
        <f>+IFERROR(('(Z+) Dev Budget'!$G$115/SUM('(Z+) Dev Budget'!$G$109,'(Z+) Dev Budget'!$G$30))*SUM(DF63,DF67:DF69,DF64,DF65),0)</f>
        <v>0</v>
      </c>
      <c r="DG66" s="440">
        <f>+IFERROR(('(Z+) Dev Budget'!$G$115/SUM('(Z+) Dev Budget'!$G$109,'(Z+) Dev Budget'!$G$30))*SUM(DG63,DG67:DG69,DG64,DG65),0)</f>
        <v>0</v>
      </c>
      <c r="DH66" s="440">
        <f>+IFERROR(('(Z+) Dev Budget'!$G$115/SUM('(Z+) Dev Budget'!$G$109,'(Z+) Dev Budget'!$G$30))*SUM(DH63,DH67:DH69,DH64,DH65),0)</f>
        <v>0</v>
      </c>
      <c r="DI66" s="440">
        <f>+IFERROR(('(Z+) Dev Budget'!$G$115/SUM('(Z+) Dev Budget'!$G$109,'(Z+) Dev Budget'!$G$30))*SUM(DI63,DI67:DI69,DI64,DI65),0)</f>
        <v>0</v>
      </c>
      <c r="DJ66" s="440">
        <f>+IFERROR(('(Z+) Dev Budget'!$G$115/SUM('(Z+) Dev Budget'!$G$109,'(Z+) Dev Budget'!$G$30))*SUM(DJ63,DJ67:DJ69,DJ64,DJ65),0)</f>
        <v>0</v>
      </c>
      <c r="DK66" s="440">
        <f>+IFERROR(('(Z+) Dev Budget'!$G$115/SUM('(Z+) Dev Budget'!$G$109,'(Z+) Dev Budget'!$G$30))*SUM(DK63,DK67:DK69,DK64,DK65),0)</f>
        <v>0</v>
      </c>
      <c r="DL66" s="440">
        <f>+IFERROR(('(Z+) Dev Budget'!$G$115/SUM('(Z+) Dev Budget'!$G$109,'(Z+) Dev Budget'!$G$30))*SUM(DL63,DL67:DL69,DL64,DL65),0)</f>
        <v>0</v>
      </c>
      <c r="DM66" s="440">
        <f>+IFERROR(('(Z+) Dev Budget'!$G$115/SUM('(Z+) Dev Budget'!$G$109,'(Z+) Dev Budget'!$G$30))*SUM(DM63,DM67:DM69,DM64,DM65),0)</f>
        <v>0</v>
      </c>
      <c r="DN66" s="440">
        <f>+IFERROR(('(Z+) Dev Budget'!$G$115/SUM('(Z+) Dev Budget'!$G$109,'(Z+) Dev Budget'!$G$30))*SUM(DN63,DN67:DN69,DN64,DN65),0)</f>
        <v>0</v>
      </c>
      <c r="DO66" s="440">
        <f>+IFERROR(('(Z+) Dev Budget'!$G$115/SUM('(Z+) Dev Budget'!$G$109,'(Z+) Dev Budget'!$G$30))*SUM(DO63,DO67:DO69,DO64,DO65),0)</f>
        <v>0</v>
      </c>
      <c r="DP66" s="440">
        <f>+IFERROR(('(Z+) Dev Budget'!$G$115/SUM('(Z+) Dev Budget'!$G$109,'(Z+) Dev Budget'!$G$30))*SUM(DP63,DP67:DP69,DP64,DP65),0)</f>
        <v>0</v>
      </c>
      <c r="DQ66" s="440">
        <f>+IFERROR(('(Z+) Dev Budget'!$G$115/SUM('(Z+) Dev Budget'!$G$109,'(Z+) Dev Budget'!$G$30))*SUM(DQ63,DQ67:DQ69,DQ64,DQ65),0)</f>
        <v>0</v>
      </c>
      <c r="DR66" s="440">
        <f>+IFERROR(('(Z+) Dev Budget'!$G$115/SUM('(Z+) Dev Budget'!$G$109,'(Z+) Dev Budget'!$G$30))*SUM(DR63,DR67:DR69,DR64,DR65),0)</f>
        <v>0</v>
      </c>
      <c r="DS66" s="440">
        <f>+IFERROR(('(Z+) Dev Budget'!$G$115/SUM('(Z+) Dev Budget'!$G$109,'(Z+) Dev Budget'!$G$30))*SUM(DS63,DS67:DS69,DS64,DS65),0)</f>
        <v>0</v>
      </c>
      <c r="DT66" s="440">
        <f>+IFERROR(('(Z+) Dev Budget'!$G$115/SUM('(Z+) Dev Budget'!$G$109,'(Z+) Dev Budget'!$G$30))*SUM(DT63,DT67:DT69,DT64,DT65),0)</f>
        <v>0</v>
      </c>
      <c r="DU66" s="440">
        <f>+IFERROR(('(Z+) Dev Budget'!$G$115/SUM('(Z+) Dev Budget'!$G$109,'(Z+) Dev Budget'!$G$30))*SUM(DU63,DU67:DU69,DU64,DU65),0)</f>
        <v>0</v>
      </c>
    </row>
    <row r="67" spans="1:125" ht="15.75" customHeight="1" x14ac:dyDescent="0.25">
      <c r="A67" s="427" t="s">
        <v>508</v>
      </c>
      <c r="B67" s="394"/>
      <c r="C67" s="394"/>
      <c r="D67" s="465">
        <f>IFERROR(SUM(F67:HC67),0)</f>
        <v>-15000</v>
      </c>
      <c r="E67" s="394"/>
      <c r="F67" s="432">
        <f>-IFERROR('(Z+) Dev Budget'!$G$46,0)</f>
        <v>-15000</v>
      </c>
      <c r="G67" s="432">
        <v>0</v>
      </c>
      <c r="H67" s="432">
        <v>0</v>
      </c>
      <c r="I67" s="432">
        <v>0</v>
      </c>
      <c r="J67" s="433">
        <v>0</v>
      </c>
      <c r="K67" s="433">
        <v>0</v>
      </c>
      <c r="L67" s="433">
        <v>0</v>
      </c>
      <c r="M67" s="433">
        <v>0</v>
      </c>
      <c r="N67" s="433">
        <v>0</v>
      </c>
      <c r="O67" s="433">
        <v>0</v>
      </c>
      <c r="P67" s="433">
        <v>0</v>
      </c>
      <c r="Q67" s="433">
        <v>0</v>
      </c>
      <c r="R67" s="433">
        <v>0</v>
      </c>
      <c r="S67" s="433">
        <v>0</v>
      </c>
      <c r="T67" s="433">
        <v>0</v>
      </c>
      <c r="U67" s="434">
        <v>0</v>
      </c>
      <c r="V67" s="434">
        <v>0</v>
      </c>
      <c r="W67" s="434">
        <v>0</v>
      </c>
      <c r="X67" s="434">
        <v>0</v>
      </c>
      <c r="Y67" s="434">
        <v>0</v>
      </c>
      <c r="Z67" s="434">
        <v>0</v>
      </c>
      <c r="AA67" s="434">
        <v>0</v>
      </c>
      <c r="AB67" s="434">
        <v>0</v>
      </c>
      <c r="AC67" s="434">
        <v>0</v>
      </c>
      <c r="AD67" s="434">
        <v>0</v>
      </c>
      <c r="AE67" s="434">
        <v>0</v>
      </c>
      <c r="AF67" s="434">
        <v>0</v>
      </c>
      <c r="AG67" s="434">
        <v>0</v>
      </c>
      <c r="AH67" s="434">
        <v>0</v>
      </c>
      <c r="AI67" s="434">
        <v>0</v>
      </c>
      <c r="AJ67" s="434">
        <v>0</v>
      </c>
      <c r="AK67" s="434">
        <v>0</v>
      </c>
      <c r="AL67" s="434">
        <v>0</v>
      </c>
      <c r="AM67" s="434">
        <v>0</v>
      </c>
      <c r="AN67" s="434">
        <v>0</v>
      </c>
      <c r="AO67" s="434">
        <v>0</v>
      </c>
      <c r="AP67" s="434">
        <v>0</v>
      </c>
      <c r="AQ67" s="434">
        <v>0</v>
      </c>
      <c r="AR67" s="434">
        <v>0</v>
      </c>
      <c r="AS67" s="434">
        <v>0</v>
      </c>
      <c r="AT67" s="434">
        <v>0</v>
      </c>
      <c r="AU67" s="434">
        <v>0</v>
      </c>
      <c r="AV67" s="434">
        <v>0</v>
      </c>
      <c r="AW67" s="434">
        <v>0</v>
      </c>
      <c r="AX67" s="434">
        <v>0</v>
      </c>
      <c r="AY67" s="434">
        <v>0</v>
      </c>
      <c r="AZ67" s="434">
        <v>0</v>
      </c>
      <c r="BA67" s="434">
        <v>0</v>
      </c>
      <c r="BB67" s="434">
        <v>0</v>
      </c>
      <c r="BC67" s="434">
        <v>0</v>
      </c>
      <c r="BD67" s="434">
        <v>0</v>
      </c>
      <c r="BE67" s="434">
        <v>0</v>
      </c>
      <c r="BF67" s="434">
        <v>0</v>
      </c>
      <c r="BG67" s="434">
        <v>0</v>
      </c>
      <c r="BH67" s="434">
        <v>0</v>
      </c>
      <c r="BI67" s="434">
        <v>0</v>
      </c>
      <c r="BJ67" s="434">
        <v>0</v>
      </c>
      <c r="BK67" s="434">
        <v>0</v>
      </c>
      <c r="BL67" s="434">
        <v>0</v>
      </c>
      <c r="BM67" s="434">
        <v>0</v>
      </c>
      <c r="BN67" s="434">
        <v>0</v>
      </c>
      <c r="BO67" s="434">
        <v>0</v>
      </c>
      <c r="BP67" s="434">
        <v>0</v>
      </c>
      <c r="BQ67" s="434">
        <v>0</v>
      </c>
      <c r="BR67" s="434">
        <v>0</v>
      </c>
      <c r="BS67" s="434">
        <v>0</v>
      </c>
      <c r="BT67" s="434">
        <v>0</v>
      </c>
      <c r="BU67" s="434">
        <v>0</v>
      </c>
      <c r="BV67" s="434">
        <v>0</v>
      </c>
      <c r="BW67" s="434">
        <v>0</v>
      </c>
      <c r="BX67" s="434">
        <v>0</v>
      </c>
      <c r="BY67" s="434">
        <v>0</v>
      </c>
      <c r="BZ67" s="434">
        <v>0</v>
      </c>
      <c r="CA67" s="434">
        <v>0</v>
      </c>
      <c r="CB67" s="434">
        <v>0</v>
      </c>
      <c r="CC67" s="434">
        <v>0</v>
      </c>
      <c r="CD67" s="434">
        <v>0</v>
      </c>
      <c r="CE67" s="434">
        <v>0</v>
      </c>
      <c r="CF67" s="434">
        <v>0</v>
      </c>
      <c r="CG67" s="434">
        <v>0</v>
      </c>
      <c r="CH67" s="434">
        <v>0</v>
      </c>
      <c r="CI67" s="434">
        <v>0</v>
      </c>
      <c r="CJ67" s="434">
        <v>0</v>
      </c>
      <c r="CK67" s="434">
        <v>0</v>
      </c>
      <c r="CL67" s="434">
        <v>0</v>
      </c>
      <c r="CM67" s="434">
        <v>0</v>
      </c>
      <c r="CN67" s="434">
        <v>0</v>
      </c>
      <c r="CO67" s="434">
        <v>0</v>
      </c>
      <c r="CP67" s="434">
        <v>0</v>
      </c>
      <c r="CQ67" s="434">
        <v>0</v>
      </c>
      <c r="CR67" s="434">
        <v>0</v>
      </c>
      <c r="CS67" s="434">
        <v>0</v>
      </c>
      <c r="CT67" s="434">
        <v>0</v>
      </c>
      <c r="CU67" s="434">
        <v>0</v>
      </c>
      <c r="CV67" s="434">
        <v>0</v>
      </c>
      <c r="CW67" s="434">
        <v>0</v>
      </c>
      <c r="CX67" s="434">
        <v>0</v>
      </c>
      <c r="CY67" s="434">
        <v>0</v>
      </c>
      <c r="CZ67" s="434">
        <v>0</v>
      </c>
      <c r="DA67" s="434">
        <v>0</v>
      </c>
      <c r="DB67" s="434">
        <v>0</v>
      </c>
      <c r="DC67" s="434">
        <v>0</v>
      </c>
      <c r="DD67" s="434">
        <v>0</v>
      </c>
      <c r="DE67" s="434">
        <v>0</v>
      </c>
      <c r="DF67" s="434">
        <v>0</v>
      </c>
      <c r="DG67" s="434">
        <v>0</v>
      </c>
      <c r="DH67" s="434">
        <v>0</v>
      </c>
      <c r="DI67" s="434">
        <v>0</v>
      </c>
      <c r="DJ67" s="434">
        <v>0</v>
      </c>
      <c r="DK67" s="434">
        <v>0</v>
      </c>
      <c r="DL67" s="434">
        <v>0</v>
      </c>
      <c r="DM67" s="434">
        <v>0</v>
      </c>
      <c r="DN67" s="434">
        <v>0</v>
      </c>
      <c r="DO67" s="434">
        <v>0</v>
      </c>
      <c r="DP67" s="434">
        <v>0</v>
      </c>
      <c r="DQ67" s="434">
        <v>0</v>
      </c>
      <c r="DR67" s="434">
        <v>0</v>
      </c>
      <c r="DS67" s="434">
        <v>0</v>
      </c>
      <c r="DT67" s="434">
        <v>0</v>
      </c>
      <c r="DU67" s="434">
        <v>0</v>
      </c>
    </row>
    <row r="68" spans="1:125" x14ac:dyDescent="0.25">
      <c r="A68" s="385" t="s">
        <v>509</v>
      </c>
      <c r="D68" s="462">
        <f>IFERROR(SUM(F68:HC68),0)</f>
        <v>-2172223.7999999998</v>
      </c>
      <c r="F68" s="441">
        <f>-IFERROR(F$59*('(Z+) Dev Budget'!$G$109-'(Z+) Dev Budget'!$G$46)*Inputs!$L$11,0)</f>
        <v>0</v>
      </c>
      <c r="G68" s="441">
        <f>-IFERROR(G$59*('(Z+) Dev Budget'!$G$109-'(Z+) Dev Budget'!$G$46)*Inputs!$L$11,0)</f>
        <v>0</v>
      </c>
      <c r="H68" s="441">
        <f>-IFERROR(H$59*('(Z+) Dev Budget'!$G$109-'(Z+) Dev Budget'!$G$46)*Inputs!$L$11,0)</f>
        <v>0</v>
      </c>
      <c r="I68" s="441">
        <f>-IFERROR(I$59*('(Z+) Dev Budget'!$G$109-'(Z+) Dev Budget'!$G$46)*Inputs!$L$11,0)</f>
        <v>0</v>
      </c>
      <c r="J68" s="442">
        <f>-IFERROR(J$59*('(Z+) Dev Budget'!$G$109-'(Z+) Dev Budget'!$G$46)*Inputs!$L$11,0)</f>
        <v>-338347.84939923772</v>
      </c>
      <c r="K68" s="442">
        <f>-IFERROR(K$59*('(Z+) Dev Budget'!$G$109-'(Z+) Dev Budget'!$G$46)*Inputs!$L$11,0)</f>
        <v>-366430.26315537572</v>
      </c>
      <c r="L68" s="442">
        <f>-IFERROR(L$59*('(Z+) Dev Budget'!$G$109-'(Z+) Dev Budget'!$G$46)*Inputs!$L$11,0)</f>
        <v>-381333.78744538646</v>
      </c>
      <c r="M68" s="442">
        <f>-IFERROR(M$59*('(Z+) Dev Budget'!$G$109-'(Z+) Dev Budget'!$G$46)*Inputs!$L$11,0)</f>
        <v>-381333.78744538617</v>
      </c>
      <c r="N68" s="442">
        <f>-IFERROR(N$59*('(Z+) Dev Budget'!$G$109-'(Z+) Dev Budget'!$G$46)*Inputs!$L$11,0)</f>
        <v>-366430.26315537631</v>
      </c>
      <c r="O68" s="442">
        <f>-IFERROR(O$59*('(Z+) Dev Budget'!$G$109-'(Z+) Dev Budget'!$G$46)*Inputs!$L$11,0)</f>
        <v>-338347.84939923749</v>
      </c>
      <c r="P68" s="442">
        <f>-IFERROR(P$59*('(Z+) Dev Budget'!$G$109-'(Z+) Dev Budget'!$G$46)*Inputs!$L$11,0)</f>
        <v>0</v>
      </c>
      <c r="Q68" s="442">
        <f>-IFERROR(Q$59*('(Z+) Dev Budget'!$G$109-'(Z+) Dev Budget'!$G$46)*Inputs!$L$11,0)</f>
        <v>0</v>
      </c>
      <c r="R68" s="442">
        <f>-IFERROR(R$59*('(Z+) Dev Budget'!$G$109-'(Z+) Dev Budget'!$G$46)*Inputs!$L$11,0)</f>
        <v>0</v>
      </c>
      <c r="S68" s="442">
        <f>-IFERROR(S$59*('(Z+) Dev Budget'!$G$109-'(Z+) Dev Budget'!$G$46)*Inputs!$L$11,0)</f>
        <v>0</v>
      </c>
      <c r="T68" s="442">
        <f>-IFERROR(T$59*('(Z+) Dev Budget'!$G$109-'(Z+) Dev Budget'!$G$46)*Inputs!$L$11,0)</f>
        <v>0</v>
      </c>
      <c r="U68" s="443">
        <f>-IFERROR(U$59*('(Z+) Dev Budget'!$G$109-'(Z+) Dev Budget'!$G$46)*Inputs!$L$11,0)</f>
        <v>0</v>
      </c>
      <c r="V68" s="443">
        <f>-IFERROR(V$59*('(Z+) Dev Budget'!$G$109-'(Z+) Dev Budget'!$G$46)*Inputs!$L$11,0)</f>
        <v>0</v>
      </c>
      <c r="W68" s="443">
        <f>-IFERROR(W$59*('(Z+) Dev Budget'!$G$109-'(Z+) Dev Budget'!$G$46)*Inputs!$L$11,0)</f>
        <v>0</v>
      </c>
      <c r="X68" s="443">
        <f>-IFERROR(X$59*('(Z+) Dev Budget'!$G$109-'(Z+) Dev Budget'!$G$46)*Inputs!$L$11,0)</f>
        <v>0</v>
      </c>
      <c r="Y68" s="443">
        <f>-IFERROR(Y$59*('(Z+) Dev Budget'!$G$109-'(Z+) Dev Budget'!$G$46)*Inputs!$L$11,0)</f>
        <v>0</v>
      </c>
      <c r="Z68" s="443">
        <f>-IFERROR(Z$59*('(Z+) Dev Budget'!$G$109-'(Z+) Dev Budget'!$G$46)*Inputs!$L$11,0)</f>
        <v>0</v>
      </c>
      <c r="AA68" s="443">
        <f>-IFERROR(AA$59*('(Z+) Dev Budget'!$G$109-'(Z+) Dev Budget'!$G$46)*Inputs!$L$11,0)</f>
        <v>0</v>
      </c>
      <c r="AB68" s="443">
        <f>-IFERROR(AB$59*('(Z+) Dev Budget'!$G$109-'(Z+) Dev Budget'!$G$46)*Inputs!$L$11,0)</f>
        <v>0</v>
      </c>
      <c r="AC68" s="443">
        <f>-IFERROR(AC$59*('(Z+) Dev Budget'!$G$109-'(Z+) Dev Budget'!$G$46)*Inputs!$L$11,0)</f>
        <v>0</v>
      </c>
      <c r="AD68" s="443">
        <f>-IFERROR(AD$59*('(Z+) Dev Budget'!$G$109-'(Z+) Dev Budget'!$G$46)*Inputs!$L$11,0)</f>
        <v>0</v>
      </c>
      <c r="AE68" s="443">
        <f>-IFERROR(AE$59*('(Z+) Dev Budget'!$G$109-'(Z+) Dev Budget'!$G$46)*Inputs!$L$11,0)</f>
        <v>0</v>
      </c>
      <c r="AF68" s="443">
        <f>-IFERROR(AF$59*('(Z+) Dev Budget'!$G$109-'(Z+) Dev Budget'!$G$46)*Inputs!$L$11,0)</f>
        <v>0</v>
      </c>
      <c r="AG68" s="443">
        <f>-IFERROR(AG$59*('(Z+) Dev Budget'!$G$109-'(Z+) Dev Budget'!$G$46)*Inputs!$L$11,0)</f>
        <v>0</v>
      </c>
      <c r="AH68" s="443">
        <f>-IFERROR(AH$59*('(Z+) Dev Budget'!$G$109-'(Z+) Dev Budget'!$G$46)*Inputs!$L$11,0)</f>
        <v>0</v>
      </c>
      <c r="AI68" s="443">
        <f>-IFERROR(AI$59*('(Z+) Dev Budget'!$G$109-'(Z+) Dev Budget'!$G$46)*Inputs!$L$11,0)</f>
        <v>0</v>
      </c>
      <c r="AJ68" s="443">
        <f>-IFERROR(AJ$59*('(Z+) Dev Budget'!$G$109-'(Z+) Dev Budget'!$G$46)*Inputs!$L$11,0)</f>
        <v>0</v>
      </c>
      <c r="AK68" s="443">
        <f>-IFERROR(AK$59*('(Z+) Dev Budget'!$G$109-'(Z+) Dev Budget'!$G$46)*Inputs!$L$11,0)</f>
        <v>0</v>
      </c>
      <c r="AL68" s="443">
        <f>-IFERROR(AL$59*('(Z+) Dev Budget'!$G$109-'(Z+) Dev Budget'!$G$46)*Inputs!$L$11,0)</f>
        <v>0</v>
      </c>
      <c r="AM68" s="443">
        <f>-IFERROR(AM$59*('(Z+) Dev Budget'!$G$109-'(Z+) Dev Budget'!$G$46)*Inputs!$L$11,0)</f>
        <v>0</v>
      </c>
      <c r="AN68" s="443">
        <f>-IFERROR(AN$59*('(Z+) Dev Budget'!$G$109-'(Z+) Dev Budget'!$G$46)*Inputs!$L$11,0)</f>
        <v>0</v>
      </c>
      <c r="AO68" s="443">
        <f>-IFERROR(AO$59*('(Z+) Dev Budget'!$G$109-'(Z+) Dev Budget'!$G$46)*Inputs!$L$11,0)</f>
        <v>0</v>
      </c>
      <c r="AP68" s="443">
        <f>-IFERROR(AP$59*('(Z+) Dev Budget'!$G$109-'(Z+) Dev Budget'!$G$46)*Inputs!$L$11,0)</f>
        <v>0</v>
      </c>
      <c r="AQ68" s="443">
        <f>-IFERROR(AQ$59*('(Z+) Dev Budget'!$G$109-'(Z+) Dev Budget'!$G$46)*Inputs!$L$11,0)</f>
        <v>0</v>
      </c>
      <c r="AR68" s="443">
        <f>-IFERROR(AR$59*('(Z+) Dev Budget'!$G$109-'(Z+) Dev Budget'!$G$46)*Inputs!$L$11,0)</f>
        <v>0</v>
      </c>
      <c r="AS68" s="443">
        <f>-IFERROR(AS$59*('(Z+) Dev Budget'!$G$109-'(Z+) Dev Budget'!$G$46)*Inputs!$L$11,0)</f>
        <v>0</v>
      </c>
      <c r="AT68" s="443">
        <f>-IFERROR(AT$59*('(Z+) Dev Budget'!$G$109-'(Z+) Dev Budget'!$G$46)*Inputs!$L$11,0)</f>
        <v>0</v>
      </c>
      <c r="AU68" s="443">
        <f>-IFERROR(AU$59*('(Z+) Dev Budget'!$G$109-'(Z+) Dev Budget'!$G$46)*Inputs!$L$11,0)</f>
        <v>0</v>
      </c>
      <c r="AV68" s="443">
        <f>-IFERROR(AV$59*('(Z+) Dev Budget'!$G$109-'(Z+) Dev Budget'!$G$46)*Inputs!$L$11,0)</f>
        <v>0</v>
      </c>
      <c r="AW68" s="443">
        <f>-IFERROR(AW$59*('(Z+) Dev Budget'!$G$109-'(Z+) Dev Budget'!$G$46)*Inputs!$L$11,0)</f>
        <v>0</v>
      </c>
      <c r="AX68" s="443">
        <f>-IFERROR(AX$59*('(Z+) Dev Budget'!$G$109-'(Z+) Dev Budget'!$G$46)*Inputs!$L$11,0)</f>
        <v>0</v>
      </c>
      <c r="AY68" s="443">
        <f>-IFERROR(AY$59*('(Z+) Dev Budget'!$G$109-'(Z+) Dev Budget'!$G$46)*Inputs!$L$11,0)</f>
        <v>0</v>
      </c>
      <c r="AZ68" s="443">
        <f>-IFERROR(AZ$59*('(Z+) Dev Budget'!$G$109-'(Z+) Dev Budget'!$G$46)*Inputs!$L$11,0)</f>
        <v>0</v>
      </c>
      <c r="BA68" s="443">
        <f>-IFERROR(BA$59*('(Z+) Dev Budget'!$G$109-'(Z+) Dev Budget'!$G$46)*Inputs!$L$11,0)</f>
        <v>0</v>
      </c>
      <c r="BB68" s="443">
        <f>-IFERROR(BB$59*('(Z+) Dev Budget'!$G$109-'(Z+) Dev Budget'!$G$46)*Inputs!$L$11,0)</f>
        <v>0</v>
      </c>
      <c r="BC68" s="443">
        <f>-IFERROR(BC$59*('(Z+) Dev Budget'!$G$109-'(Z+) Dev Budget'!$G$46)*Inputs!$L$11,0)</f>
        <v>0</v>
      </c>
      <c r="BD68" s="443">
        <f>-IFERROR(BD$59*('(Z+) Dev Budget'!$G$109-'(Z+) Dev Budget'!$G$46)*Inputs!$L$11,0)</f>
        <v>0</v>
      </c>
      <c r="BE68" s="443">
        <f>-IFERROR(BE$59*('(Z+) Dev Budget'!$G$109-'(Z+) Dev Budget'!$G$46)*Inputs!$L$11,0)</f>
        <v>0</v>
      </c>
      <c r="BF68" s="443">
        <f>-IFERROR(BF$59*('(Z+) Dev Budget'!$G$109-'(Z+) Dev Budget'!$G$46)*Inputs!$L$11,0)</f>
        <v>0</v>
      </c>
      <c r="BG68" s="443">
        <f>-IFERROR(BG$59*('(Z+) Dev Budget'!$G$109-'(Z+) Dev Budget'!$G$46)*Inputs!$L$11,0)</f>
        <v>0</v>
      </c>
      <c r="BH68" s="443">
        <f>-IFERROR(BH$59*('(Z+) Dev Budget'!$G$109-'(Z+) Dev Budget'!$G$46)*Inputs!$L$11,0)</f>
        <v>0</v>
      </c>
      <c r="BI68" s="443">
        <f>-IFERROR(BI$59*('(Z+) Dev Budget'!$G$109-'(Z+) Dev Budget'!$G$46)*Inputs!$L$11,0)</f>
        <v>0</v>
      </c>
      <c r="BJ68" s="443">
        <f>-IFERROR(BJ$59*('(Z+) Dev Budget'!$G$109-'(Z+) Dev Budget'!$G$46)*Inputs!$L$11,0)</f>
        <v>0</v>
      </c>
      <c r="BK68" s="443">
        <f>-IFERROR(BK$59*('(Z+) Dev Budget'!$G$109-'(Z+) Dev Budget'!$G$46)*Inputs!$L$11,0)</f>
        <v>0</v>
      </c>
      <c r="BL68" s="443">
        <f>-IFERROR(BL$59*('(Z+) Dev Budget'!$G$109-'(Z+) Dev Budget'!$G$46)*Inputs!$L$11,0)</f>
        <v>0</v>
      </c>
      <c r="BM68" s="443">
        <f>-IFERROR(BM$59*('(Z+) Dev Budget'!$G$109-'(Z+) Dev Budget'!$G$46)*Inputs!$L$11,0)</f>
        <v>0</v>
      </c>
      <c r="BN68" s="443">
        <f>-IFERROR(BN$59*('(Z+) Dev Budget'!$G$109-'(Z+) Dev Budget'!$G$46)*Inputs!$L$11,0)</f>
        <v>0</v>
      </c>
      <c r="BO68" s="443">
        <f>-IFERROR(BO$59*('(Z+) Dev Budget'!$G$109-'(Z+) Dev Budget'!$G$46)*Inputs!$L$11,0)</f>
        <v>0</v>
      </c>
      <c r="BP68" s="443">
        <f>-IFERROR(BP$59*('(Z+) Dev Budget'!$G$109-'(Z+) Dev Budget'!$G$46)*Inputs!$L$11,0)</f>
        <v>0</v>
      </c>
      <c r="BQ68" s="443">
        <f>-IFERROR(BQ$59*('(Z+) Dev Budget'!$G$109-'(Z+) Dev Budget'!$G$46)*Inputs!$L$11,0)</f>
        <v>0</v>
      </c>
      <c r="BR68" s="443">
        <f>-IFERROR(BR$59*('(Z+) Dev Budget'!$G$109-'(Z+) Dev Budget'!$G$46)*Inputs!$L$11,0)</f>
        <v>0</v>
      </c>
      <c r="BS68" s="443">
        <f>-IFERROR(BS$59*('(Z+) Dev Budget'!$G$109-'(Z+) Dev Budget'!$G$46)*Inputs!$L$11,0)</f>
        <v>0</v>
      </c>
      <c r="BT68" s="443">
        <f>-IFERROR(BT$59*('(Z+) Dev Budget'!$G$109-'(Z+) Dev Budget'!$G$46)*Inputs!$L$11,0)</f>
        <v>0</v>
      </c>
      <c r="BU68" s="443">
        <f>-IFERROR(BU$59*('(Z+) Dev Budget'!$G$109-'(Z+) Dev Budget'!$G$46)*Inputs!$L$11,0)</f>
        <v>0</v>
      </c>
      <c r="BV68" s="443">
        <f>-IFERROR(BV$59*('(Z+) Dev Budget'!$G$109-'(Z+) Dev Budget'!$G$46)*Inputs!$L$11,0)</f>
        <v>0</v>
      </c>
      <c r="BW68" s="443">
        <f>-IFERROR(BW$59*('(Z+) Dev Budget'!$G$109-'(Z+) Dev Budget'!$G$46)*Inputs!$L$11,0)</f>
        <v>0</v>
      </c>
      <c r="BX68" s="443">
        <f>-IFERROR(BX$59*('(Z+) Dev Budget'!$G$109-'(Z+) Dev Budget'!$G$46)*Inputs!$L$11,0)</f>
        <v>0</v>
      </c>
      <c r="BY68" s="443">
        <f>-IFERROR(BY$59*('(Z+) Dev Budget'!$G$109-'(Z+) Dev Budget'!$G$46)*Inputs!$L$11,0)</f>
        <v>0</v>
      </c>
      <c r="BZ68" s="443">
        <f>-IFERROR(BZ$59*('(Z+) Dev Budget'!$G$109-'(Z+) Dev Budget'!$G$46)*Inputs!$L$11,0)</f>
        <v>0</v>
      </c>
      <c r="CA68" s="443">
        <f>-IFERROR(CA$59*('(Z+) Dev Budget'!$G$109-'(Z+) Dev Budget'!$G$46)*Inputs!$L$11,0)</f>
        <v>0</v>
      </c>
      <c r="CB68" s="443">
        <f>-IFERROR(CB$59*('(Z+) Dev Budget'!$G$109-'(Z+) Dev Budget'!$G$46)*Inputs!$L$11,0)</f>
        <v>0</v>
      </c>
      <c r="CC68" s="443">
        <f>-IFERROR(CC$59*('(Z+) Dev Budget'!$G$109-'(Z+) Dev Budget'!$G$46)*Inputs!$L$11,0)</f>
        <v>0</v>
      </c>
      <c r="CD68" s="443">
        <f>-IFERROR(CD$59*('(Z+) Dev Budget'!$G$109-'(Z+) Dev Budget'!$G$46)*Inputs!$L$11,0)</f>
        <v>0</v>
      </c>
      <c r="CE68" s="443">
        <f>-IFERROR(CE$59*('(Z+) Dev Budget'!$G$109-'(Z+) Dev Budget'!$G$46)*Inputs!$L$11,0)</f>
        <v>0</v>
      </c>
      <c r="CF68" s="443">
        <f>-IFERROR(CF$59*('(Z+) Dev Budget'!$G$109-'(Z+) Dev Budget'!$G$46)*Inputs!$L$11,0)</f>
        <v>0</v>
      </c>
      <c r="CG68" s="443">
        <f>-IFERROR(CG$59*('(Z+) Dev Budget'!$G$109-'(Z+) Dev Budget'!$G$46)*Inputs!$L$11,0)</f>
        <v>0</v>
      </c>
      <c r="CH68" s="443">
        <f>-IFERROR(CH$59*('(Z+) Dev Budget'!$G$109-'(Z+) Dev Budget'!$G$46)*Inputs!$L$11,0)</f>
        <v>0</v>
      </c>
      <c r="CI68" s="443">
        <f>-IFERROR(CI$59*('(Z+) Dev Budget'!$G$109-'(Z+) Dev Budget'!$G$46)*Inputs!$L$11,0)</f>
        <v>0</v>
      </c>
      <c r="CJ68" s="443">
        <f>-IFERROR(CJ$59*('(Z+) Dev Budget'!$G$109-'(Z+) Dev Budget'!$G$46)*Inputs!$L$11,0)</f>
        <v>0</v>
      </c>
      <c r="CK68" s="443">
        <f>-IFERROR(CK$59*('(Z+) Dev Budget'!$G$109-'(Z+) Dev Budget'!$G$46)*Inputs!$L$11,0)</f>
        <v>0</v>
      </c>
      <c r="CL68" s="443">
        <f>-IFERROR(CL$59*('(Z+) Dev Budget'!$G$109-'(Z+) Dev Budget'!$G$46)*Inputs!$L$11,0)</f>
        <v>0</v>
      </c>
      <c r="CM68" s="443">
        <f>-IFERROR(CM$59*('(Z+) Dev Budget'!$G$109-'(Z+) Dev Budget'!$G$46)*Inputs!$L$11,0)</f>
        <v>0</v>
      </c>
      <c r="CN68" s="443">
        <f>-IFERROR(CN$59*('(Z+) Dev Budget'!$G$109-'(Z+) Dev Budget'!$G$46)*Inputs!$L$11,0)</f>
        <v>0</v>
      </c>
      <c r="CO68" s="443">
        <f>-IFERROR(CO$59*('(Z+) Dev Budget'!$G$109-'(Z+) Dev Budget'!$G$46)*Inputs!$L$11,0)</f>
        <v>0</v>
      </c>
      <c r="CP68" s="443">
        <f>-IFERROR(CP$59*('(Z+) Dev Budget'!$G$109-'(Z+) Dev Budget'!$G$46)*Inputs!$L$11,0)</f>
        <v>0</v>
      </c>
      <c r="CQ68" s="443">
        <f>-IFERROR(CQ$59*('(Z+) Dev Budget'!$G$109-'(Z+) Dev Budget'!$G$46)*Inputs!$L$11,0)</f>
        <v>0</v>
      </c>
      <c r="CR68" s="443">
        <f>-IFERROR(CR$59*('(Z+) Dev Budget'!$G$109-'(Z+) Dev Budget'!$G$46)*Inputs!$L$11,0)</f>
        <v>0</v>
      </c>
      <c r="CS68" s="443">
        <f>-IFERROR(CS$59*('(Z+) Dev Budget'!$G$109-'(Z+) Dev Budget'!$G$46)*Inputs!$L$11,0)</f>
        <v>0</v>
      </c>
      <c r="CT68" s="443">
        <f>-IFERROR(CT$59*('(Z+) Dev Budget'!$G$109-'(Z+) Dev Budget'!$G$46)*Inputs!$L$11,0)</f>
        <v>0</v>
      </c>
      <c r="CU68" s="443">
        <f>-IFERROR(CU$59*('(Z+) Dev Budget'!$G$109-'(Z+) Dev Budget'!$G$46)*Inputs!$L$11,0)</f>
        <v>0</v>
      </c>
      <c r="CV68" s="443">
        <f>-IFERROR(CV$59*('(Z+) Dev Budget'!$G$109-'(Z+) Dev Budget'!$G$46)*Inputs!$L$11,0)</f>
        <v>0</v>
      </c>
      <c r="CW68" s="443">
        <f>-IFERROR(CW$59*('(Z+) Dev Budget'!$G$109-'(Z+) Dev Budget'!$G$46)*Inputs!$L$11,0)</f>
        <v>0</v>
      </c>
      <c r="CX68" s="443">
        <f>-IFERROR(CX$59*('(Z+) Dev Budget'!$G$109-'(Z+) Dev Budget'!$G$46)*Inputs!$L$11,0)</f>
        <v>0</v>
      </c>
      <c r="CY68" s="443">
        <f>-IFERROR(CY$59*('(Z+) Dev Budget'!$G$109-'(Z+) Dev Budget'!$G$46)*Inputs!$L$11,0)</f>
        <v>0</v>
      </c>
      <c r="CZ68" s="443">
        <f>-IFERROR(CZ$59*('(Z+) Dev Budget'!$G$109-'(Z+) Dev Budget'!$G$46)*Inputs!$L$11,0)</f>
        <v>0</v>
      </c>
      <c r="DA68" s="443">
        <f>-IFERROR(DA$59*('(Z+) Dev Budget'!$G$109-'(Z+) Dev Budget'!$G$46)*Inputs!$L$11,0)</f>
        <v>0</v>
      </c>
      <c r="DB68" s="443">
        <f>-IFERROR(DB$59*('(Z+) Dev Budget'!$G$109-'(Z+) Dev Budget'!$G$46)*Inputs!$L$11,0)</f>
        <v>0</v>
      </c>
      <c r="DC68" s="443">
        <f>-IFERROR(DC$59*('(Z+) Dev Budget'!$G$109-'(Z+) Dev Budget'!$G$46)*Inputs!$L$11,0)</f>
        <v>0</v>
      </c>
      <c r="DD68" s="443">
        <f>-IFERROR(DD$59*('(Z+) Dev Budget'!$G$109-'(Z+) Dev Budget'!$G$46)*Inputs!$L$11,0)</f>
        <v>0</v>
      </c>
      <c r="DE68" s="443">
        <f>-IFERROR(DE$59*('(Z+) Dev Budget'!$G$109-'(Z+) Dev Budget'!$G$46)*Inputs!$L$11,0)</f>
        <v>0</v>
      </c>
      <c r="DF68" s="443">
        <f>-IFERROR(DF$59*('(Z+) Dev Budget'!$G$109-'(Z+) Dev Budget'!$G$46)*Inputs!$L$11,0)</f>
        <v>0</v>
      </c>
      <c r="DG68" s="443">
        <f>-IFERROR(DG$59*('(Z+) Dev Budget'!$G$109-'(Z+) Dev Budget'!$G$46)*Inputs!$L$11,0)</f>
        <v>0</v>
      </c>
      <c r="DH68" s="443">
        <f>-IFERROR(DH$59*('(Z+) Dev Budget'!$G$109-'(Z+) Dev Budget'!$G$46)*Inputs!$L$11,0)</f>
        <v>0</v>
      </c>
      <c r="DI68" s="443">
        <f>-IFERROR(DI$59*('(Z+) Dev Budget'!$G$109-'(Z+) Dev Budget'!$G$46)*Inputs!$L$11,0)</f>
        <v>0</v>
      </c>
      <c r="DJ68" s="443">
        <f>-IFERROR(DJ$59*('(Z+) Dev Budget'!$G$109-'(Z+) Dev Budget'!$G$46)*Inputs!$L$11,0)</f>
        <v>0</v>
      </c>
      <c r="DK68" s="443">
        <f>-IFERROR(DK$59*('(Z+) Dev Budget'!$G$109-'(Z+) Dev Budget'!$G$46)*Inputs!$L$11,0)</f>
        <v>0</v>
      </c>
      <c r="DL68" s="443">
        <f>-IFERROR(DL$59*('(Z+) Dev Budget'!$G$109-'(Z+) Dev Budget'!$G$46)*Inputs!$L$11,0)</f>
        <v>0</v>
      </c>
      <c r="DM68" s="443">
        <f>-IFERROR(DM$59*('(Z+) Dev Budget'!$G$109-'(Z+) Dev Budget'!$G$46)*Inputs!$L$11,0)</f>
        <v>0</v>
      </c>
      <c r="DN68" s="443">
        <f>-IFERROR(DN$59*('(Z+) Dev Budget'!$G$109-'(Z+) Dev Budget'!$G$46)*Inputs!$L$11,0)</f>
        <v>0</v>
      </c>
      <c r="DO68" s="443">
        <f>-IFERROR(DO$59*('(Z+) Dev Budget'!$G$109-'(Z+) Dev Budget'!$G$46)*Inputs!$L$11,0)</f>
        <v>0</v>
      </c>
      <c r="DP68" s="443">
        <f>-IFERROR(DP$59*('(Z+) Dev Budget'!$G$109-'(Z+) Dev Budget'!$G$46)*Inputs!$L$11,0)</f>
        <v>0</v>
      </c>
      <c r="DQ68" s="443">
        <f>-IFERROR(DQ$59*('(Z+) Dev Budget'!$G$109-'(Z+) Dev Budget'!$G$46)*Inputs!$L$11,0)</f>
        <v>0</v>
      </c>
      <c r="DR68" s="443">
        <f>-IFERROR(DR$59*('(Z+) Dev Budget'!$G$109-'(Z+) Dev Budget'!$G$46)*Inputs!$L$11,0)</f>
        <v>0</v>
      </c>
      <c r="DS68" s="443">
        <f>-IFERROR(DS$59*('(Z+) Dev Budget'!$G$109-'(Z+) Dev Budget'!$G$46)*Inputs!$L$11,0)</f>
        <v>0</v>
      </c>
      <c r="DT68" s="443">
        <f>-IFERROR(DT$59*('(Z+) Dev Budget'!$G$109-'(Z+) Dev Budget'!$G$46)*Inputs!$L$11,0)</f>
        <v>0</v>
      </c>
      <c r="DU68" s="443">
        <f>-IFERROR(DU$59*('(Z+) Dev Budget'!$G$109-'(Z+) Dev Budget'!$G$46)*Inputs!$L$11,0)</f>
        <v>0</v>
      </c>
    </row>
    <row r="69" spans="1:125" x14ac:dyDescent="0.25">
      <c r="A69" s="385" t="s">
        <v>510</v>
      </c>
      <c r="D69" s="462">
        <f>IFERROR(SUM(F69:HC69),0)</f>
        <v>-1448149.2</v>
      </c>
      <c r="F69" s="441">
        <f>-IFERROR(F$60*('(Z+) Dev Budget'!$G$109-'(Z+) Dev Budget'!$G$46)*(1-Inputs!$L$11),0)</f>
        <v>0</v>
      </c>
      <c r="G69" s="441">
        <f>-IFERROR(G$60*('(Z+) Dev Budget'!$G$109-'(Z+) Dev Budget'!$G$46)*(1-Inputs!$L$11),0)</f>
        <v>0</v>
      </c>
      <c r="H69" s="441">
        <f>-IFERROR(H$60*('(Z+) Dev Budget'!$G$109-'(Z+) Dev Budget'!$G$46)*(1-Inputs!$L$11),0)</f>
        <v>0</v>
      </c>
      <c r="I69" s="441">
        <f>-IFERROR(I$60*('(Z+) Dev Budget'!$G$109-'(Z+) Dev Budget'!$G$46)*(1-Inputs!$L$11),0)</f>
        <v>0</v>
      </c>
      <c r="J69" s="442">
        <f>-IFERROR(J$60*('(Z+) Dev Budget'!$G$109-'(Z+) Dev Budget'!$G$46)*(1-Inputs!$L$11),0)</f>
        <v>0</v>
      </c>
      <c r="K69" s="442">
        <f>-IFERROR(K$60*('(Z+) Dev Budget'!$G$109-'(Z+) Dev Budget'!$G$46)*(1-Inputs!$L$11),0)</f>
        <v>0</v>
      </c>
      <c r="L69" s="442">
        <f>-IFERROR(L$60*('(Z+) Dev Budget'!$G$109-'(Z+) Dev Budget'!$G$46)*(1-Inputs!$L$11),0)</f>
        <v>0</v>
      </c>
      <c r="M69" s="442">
        <f>-IFERROR(M$60*('(Z+) Dev Budget'!$G$109-'(Z+) Dev Budget'!$G$46)*(1-Inputs!$L$11),0)</f>
        <v>0</v>
      </c>
      <c r="N69" s="442">
        <f>-IFERROR(N$60*('(Z+) Dev Budget'!$G$109-'(Z+) Dev Budget'!$G$46)*(1-Inputs!$L$11),0)</f>
        <v>0</v>
      </c>
      <c r="O69" s="442">
        <f>-IFERROR(O$60*('(Z+) Dev Budget'!$G$109-'(Z+) Dev Budget'!$G$46)*(1-Inputs!$L$11),0)</f>
        <v>0</v>
      </c>
      <c r="P69" s="442">
        <f>-IFERROR(P$60*('(Z+) Dev Budget'!$G$109-'(Z+) Dev Budget'!$G$46)*(1-Inputs!$L$11),0)</f>
        <v>-131649.92727272728</v>
      </c>
      <c r="Q69" s="442">
        <f>-IFERROR(Q$60*('(Z+) Dev Budget'!$G$109-'(Z+) Dev Budget'!$G$46)*(1-Inputs!$L$11),0)</f>
        <v>-131649.92727272728</v>
      </c>
      <c r="R69" s="442">
        <f>-IFERROR(R$60*('(Z+) Dev Budget'!$G$109-'(Z+) Dev Budget'!$G$46)*(1-Inputs!$L$11),0)</f>
        <v>-131649.92727272728</v>
      </c>
      <c r="S69" s="442">
        <f>-IFERROR(S$60*('(Z+) Dev Budget'!$G$109-'(Z+) Dev Budget'!$G$46)*(1-Inputs!$L$11),0)</f>
        <v>-131649.92727272728</v>
      </c>
      <c r="T69" s="442">
        <f>-IFERROR(T$60*('(Z+) Dev Budget'!$G$109-'(Z+) Dev Budget'!$G$46)*(1-Inputs!$L$11),0)</f>
        <v>-131649.92727272728</v>
      </c>
      <c r="U69" s="443">
        <f>-IFERROR(U$60*('(Z+) Dev Budget'!$G$109-'(Z+) Dev Budget'!$G$46)*(1-Inputs!$L$11),0)</f>
        <v>-131649.92727272728</v>
      </c>
      <c r="V69" s="443">
        <f>-IFERROR(V$60*('(Z+) Dev Budget'!$G$109-'(Z+) Dev Budget'!$G$46)*(1-Inputs!$L$11),0)</f>
        <v>-131649.92727272728</v>
      </c>
      <c r="W69" s="443">
        <f>-IFERROR(W$60*('(Z+) Dev Budget'!$G$109-'(Z+) Dev Budget'!$G$46)*(1-Inputs!$L$11),0)</f>
        <v>-131649.92727272728</v>
      </c>
      <c r="X69" s="443">
        <f>-IFERROR(X$60*('(Z+) Dev Budget'!$G$109-'(Z+) Dev Budget'!$G$46)*(1-Inputs!$L$11),0)</f>
        <v>-131649.92727272728</v>
      </c>
      <c r="Y69" s="443">
        <f>-IFERROR(Y$60*('(Z+) Dev Budget'!$G$109-'(Z+) Dev Budget'!$G$46)*(1-Inputs!$L$11),0)</f>
        <v>-131649.92727272728</v>
      </c>
      <c r="Z69" s="443">
        <f>-IFERROR(Z$60*('(Z+) Dev Budget'!$G$109-'(Z+) Dev Budget'!$G$46)*(1-Inputs!$L$11),0)</f>
        <v>-131649.92727272728</v>
      </c>
      <c r="AA69" s="443">
        <f>-IFERROR(AA$60*('(Z+) Dev Budget'!$G$109-'(Z+) Dev Budget'!$G$46)*(1-Inputs!$L$11),0)</f>
        <v>0</v>
      </c>
      <c r="AB69" s="443">
        <f>-IFERROR(AB$60*('(Z+) Dev Budget'!$G$109-'(Z+) Dev Budget'!$G$46)*(1-Inputs!$L$11),0)</f>
        <v>0</v>
      </c>
      <c r="AC69" s="443">
        <f>-IFERROR(AC$60*('(Z+) Dev Budget'!$G$109-'(Z+) Dev Budget'!$G$46)*(1-Inputs!$L$11),0)</f>
        <v>0</v>
      </c>
      <c r="AD69" s="443">
        <f>-IFERROR(AD$60*('(Z+) Dev Budget'!$G$109-'(Z+) Dev Budget'!$G$46)*(1-Inputs!$L$11),0)</f>
        <v>0</v>
      </c>
      <c r="AE69" s="443">
        <f>-IFERROR(AE$60*('(Z+) Dev Budget'!$G$109-'(Z+) Dev Budget'!$G$46)*(1-Inputs!$L$11),0)</f>
        <v>0</v>
      </c>
      <c r="AF69" s="443">
        <f>-IFERROR(AF$60*('(Z+) Dev Budget'!$G$109-'(Z+) Dev Budget'!$G$46)*(1-Inputs!$L$11),0)</f>
        <v>0</v>
      </c>
      <c r="AG69" s="443">
        <f>-IFERROR(AG$60*('(Z+) Dev Budget'!$G$109-'(Z+) Dev Budget'!$G$46)*(1-Inputs!$L$11),0)</f>
        <v>0</v>
      </c>
      <c r="AH69" s="443">
        <f>-IFERROR(AH$60*('(Z+) Dev Budget'!$G$109-'(Z+) Dev Budget'!$G$46)*(1-Inputs!$L$11),0)</f>
        <v>0</v>
      </c>
      <c r="AI69" s="443">
        <f>-IFERROR(AI$60*('(Z+) Dev Budget'!$G$109-'(Z+) Dev Budget'!$G$46)*(1-Inputs!$L$11),0)</f>
        <v>0</v>
      </c>
      <c r="AJ69" s="443">
        <f>-IFERROR(AJ$60*('(Z+) Dev Budget'!$G$109-'(Z+) Dev Budget'!$G$46)*(1-Inputs!$L$11),0)</f>
        <v>0</v>
      </c>
      <c r="AK69" s="443">
        <f>-IFERROR(AK$60*('(Z+) Dev Budget'!$G$109-'(Z+) Dev Budget'!$G$46)*(1-Inputs!$L$11),0)</f>
        <v>0</v>
      </c>
      <c r="AL69" s="443">
        <f>-IFERROR(AL$60*('(Z+) Dev Budget'!$G$109-'(Z+) Dev Budget'!$G$46)*(1-Inputs!$L$11),0)</f>
        <v>0</v>
      </c>
      <c r="AM69" s="443">
        <f>-IFERROR(AM$60*('(Z+) Dev Budget'!$G$109-'(Z+) Dev Budget'!$G$46)*(1-Inputs!$L$11),0)</f>
        <v>0</v>
      </c>
      <c r="AN69" s="443">
        <f>-IFERROR(AN$60*('(Z+) Dev Budget'!$G$109-'(Z+) Dev Budget'!$G$46)*(1-Inputs!$L$11),0)</f>
        <v>0</v>
      </c>
      <c r="AO69" s="443">
        <f>-IFERROR(AO$60*('(Z+) Dev Budget'!$G$109-'(Z+) Dev Budget'!$G$46)*(1-Inputs!$L$11),0)</f>
        <v>0</v>
      </c>
      <c r="AP69" s="443">
        <f>-IFERROR(AP$60*('(Z+) Dev Budget'!$G$109-'(Z+) Dev Budget'!$G$46)*(1-Inputs!$L$11),0)</f>
        <v>0</v>
      </c>
      <c r="AQ69" s="443">
        <f>-IFERROR(AQ$60*('(Z+) Dev Budget'!$G$109-'(Z+) Dev Budget'!$G$46)*(1-Inputs!$L$11),0)</f>
        <v>0</v>
      </c>
      <c r="AR69" s="443">
        <f>-IFERROR(AR$60*('(Z+) Dev Budget'!$G$109-'(Z+) Dev Budget'!$G$46)*(1-Inputs!$L$11),0)</f>
        <v>0</v>
      </c>
      <c r="AS69" s="443">
        <f>-IFERROR(AS$60*('(Z+) Dev Budget'!$G$109-'(Z+) Dev Budget'!$G$46)*(1-Inputs!$L$11),0)</f>
        <v>0</v>
      </c>
      <c r="AT69" s="443">
        <f>-IFERROR(AT$60*('(Z+) Dev Budget'!$G$109-'(Z+) Dev Budget'!$G$46)*(1-Inputs!$L$11),0)</f>
        <v>0</v>
      </c>
      <c r="AU69" s="443">
        <f>-IFERROR(AU$60*('(Z+) Dev Budget'!$G$109-'(Z+) Dev Budget'!$G$46)*(1-Inputs!$L$11),0)</f>
        <v>0</v>
      </c>
      <c r="AV69" s="443">
        <f>-IFERROR(AV$60*('(Z+) Dev Budget'!$G$109-'(Z+) Dev Budget'!$G$46)*(1-Inputs!$L$11),0)</f>
        <v>0</v>
      </c>
      <c r="AW69" s="443">
        <f>-IFERROR(AW$60*('(Z+) Dev Budget'!$G$109-'(Z+) Dev Budget'!$G$46)*(1-Inputs!$L$11),0)</f>
        <v>0</v>
      </c>
      <c r="AX69" s="443">
        <f>-IFERROR(AX$60*('(Z+) Dev Budget'!$G$109-'(Z+) Dev Budget'!$G$46)*(1-Inputs!$L$11),0)</f>
        <v>0</v>
      </c>
      <c r="AY69" s="443">
        <f>-IFERROR(AY$60*('(Z+) Dev Budget'!$G$109-'(Z+) Dev Budget'!$G$46)*(1-Inputs!$L$11),0)</f>
        <v>0</v>
      </c>
      <c r="AZ69" s="443">
        <f>-IFERROR(AZ$60*('(Z+) Dev Budget'!$G$109-'(Z+) Dev Budget'!$G$46)*(1-Inputs!$L$11),0)</f>
        <v>0</v>
      </c>
      <c r="BA69" s="443">
        <f>-IFERROR(BA$60*('(Z+) Dev Budget'!$G$109-'(Z+) Dev Budget'!$G$46)*(1-Inputs!$L$11),0)</f>
        <v>0</v>
      </c>
      <c r="BB69" s="443">
        <f>-IFERROR(BB$60*('(Z+) Dev Budget'!$G$109-'(Z+) Dev Budget'!$G$46)*(1-Inputs!$L$11),0)</f>
        <v>0</v>
      </c>
      <c r="BC69" s="443">
        <f>-IFERROR(BC$60*('(Z+) Dev Budget'!$G$109-'(Z+) Dev Budget'!$G$46)*(1-Inputs!$L$11),0)</f>
        <v>0</v>
      </c>
      <c r="BD69" s="443">
        <f>-IFERROR(BD$60*('(Z+) Dev Budget'!$G$109-'(Z+) Dev Budget'!$G$46)*(1-Inputs!$L$11),0)</f>
        <v>0</v>
      </c>
      <c r="BE69" s="443">
        <f>-IFERROR(BE$60*('(Z+) Dev Budget'!$G$109-'(Z+) Dev Budget'!$G$46)*(1-Inputs!$L$11),0)</f>
        <v>0</v>
      </c>
      <c r="BF69" s="443">
        <f>-IFERROR(BF$60*('(Z+) Dev Budget'!$G$109-'(Z+) Dev Budget'!$G$46)*(1-Inputs!$L$11),0)</f>
        <v>0</v>
      </c>
      <c r="BG69" s="443">
        <f>-IFERROR(BG$60*('(Z+) Dev Budget'!$G$109-'(Z+) Dev Budget'!$G$46)*(1-Inputs!$L$11),0)</f>
        <v>0</v>
      </c>
      <c r="BH69" s="443">
        <f>-IFERROR(BH$60*('(Z+) Dev Budget'!$G$109-'(Z+) Dev Budget'!$G$46)*(1-Inputs!$L$11),0)</f>
        <v>0</v>
      </c>
      <c r="BI69" s="443">
        <f>-IFERROR(BI$60*('(Z+) Dev Budget'!$G$109-'(Z+) Dev Budget'!$G$46)*(1-Inputs!$L$11),0)</f>
        <v>0</v>
      </c>
      <c r="BJ69" s="443">
        <f>-IFERROR(BJ$60*('(Z+) Dev Budget'!$G$109-'(Z+) Dev Budget'!$G$46)*(1-Inputs!$L$11),0)</f>
        <v>0</v>
      </c>
      <c r="BK69" s="443">
        <f>-IFERROR(BK$60*('(Z+) Dev Budget'!$G$109-'(Z+) Dev Budget'!$G$46)*(1-Inputs!$L$11),0)</f>
        <v>0</v>
      </c>
      <c r="BL69" s="443">
        <f>-IFERROR(BL$60*('(Z+) Dev Budget'!$G$109-'(Z+) Dev Budget'!$G$46)*(1-Inputs!$L$11),0)</f>
        <v>0</v>
      </c>
      <c r="BM69" s="443">
        <f>-IFERROR(BM$60*('(Z+) Dev Budget'!$G$109-'(Z+) Dev Budget'!$G$46)*(1-Inputs!$L$11),0)</f>
        <v>0</v>
      </c>
      <c r="BN69" s="443">
        <f>-IFERROR(BN$60*('(Z+) Dev Budget'!$G$109-'(Z+) Dev Budget'!$G$46)*(1-Inputs!$L$11),0)</f>
        <v>0</v>
      </c>
      <c r="BO69" s="443">
        <f>-IFERROR(BO$60*('(Z+) Dev Budget'!$G$109-'(Z+) Dev Budget'!$G$46)*(1-Inputs!$L$11),0)</f>
        <v>0</v>
      </c>
      <c r="BP69" s="443">
        <f>-IFERROR(BP$60*('(Z+) Dev Budget'!$G$109-'(Z+) Dev Budget'!$G$46)*(1-Inputs!$L$11),0)</f>
        <v>0</v>
      </c>
      <c r="BQ69" s="443">
        <f>-IFERROR(BQ$60*('(Z+) Dev Budget'!$G$109-'(Z+) Dev Budget'!$G$46)*(1-Inputs!$L$11),0)</f>
        <v>0</v>
      </c>
      <c r="BR69" s="443">
        <f>-IFERROR(BR$60*('(Z+) Dev Budget'!$G$109-'(Z+) Dev Budget'!$G$46)*(1-Inputs!$L$11),0)</f>
        <v>0</v>
      </c>
      <c r="BS69" s="443">
        <f>-IFERROR(BS$60*('(Z+) Dev Budget'!$G$109-'(Z+) Dev Budget'!$G$46)*(1-Inputs!$L$11),0)</f>
        <v>0</v>
      </c>
      <c r="BT69" s="443">
        <f>-IFERROR(BT$60*('(Z+) Dev Budget'!$G$109-'(Z+) Dev Budget'!$G$46)*(1-Inputs!$L$11),0)</f>
        <v>0</v>
      </c>
      <c r="BU69" s="443">
        <f>-IFERROR(BU$60*('(Z+) Dev Budget'!$G$109-'(Z+) Dev Budget'!$G$46)*(1-Inputs!$L$11),0)</f>
        <v>0</v>
      </c>
      <c r="BV69" s="443">
        <f>-IFERROR(BV$60*('(Z+) Dev Budget'!$G$109-'(Z+) Dev Budget'!$G$46)*(1-Inputs!$L$11),0)</f>
        <v>0</v>
      </c>
      <c r="BW69" s="443">
        <f>-IFERROR(BW$60*('(Z+) Dev Budget'!$G$109-'(Z+) Dev Budget'!$G$46)*(1-Inputs!$L$11),0)</f>
        <v>0</v>
      </c>
      <c r="BX69" s="443">
        <f>-IFERROR(BX$60*('(Z+) Dev Budget'!$G$109-'(Z+) Dev Budget'!$G$46)*(1-Inputs!$L$11),0)</f>
        <v>0</v>
      </c>
      <c r="BY69" s="443">
        <f>-IFERROR(BY$60*('(Z+) Dev Budget'!$G$109-'(Z+) Dev Budget'!$G$46)*(1-Inputs!$L$11),0)</f>
        <v>0</v>
      </c>
      <c r="BZ69" s="443">
        <f>-IFERROR(BZ$60*('(Z+) Dev Budget'!$G$109-'(Z+) Dev Budget'!$G$46)*(1-Inputs!$L$11),0)</f>
        <v>0</v>
      </c>
      <c r="CA69" s="443">
        <f>-IFERROR(CA$60*('(Z+) Dev Budget'!$G$109-'(Z+) Dev Budget'!$G$46)*(1-Inputs!$L$11),0)</f>
        <v>0</v>
      </c>
      <c r="CB69" s="443">
        <f>-IFERROR(CB$60*('(Z+) Dev Budget'!$G$109-'(Z+) Dev Budget'!$G$46)*(1-Inputs!$L$11),0)</f>
        <v>0</v>
      </c>
      <c r="CC69" s="443">
        <f>-IFERROR(CC$60*('(Z+) Dev Budget'!$G$109-'(Z+) Dev Budget'!$G$46)*(1-Inputs!$L$11),0)</f>
        <v>0</v>
      </c>
      <c r="CD69" s="443">
        <f>-IFERROR(CD$60*('(Z+) Dev Budget'!$G$109-'(Z+) Dev Budget'!$G$46)*(1-Inputs!$L$11),0)</f>
        <v>0</v>
      </c>
      <c r="CE69" s="443">
        <f>-IFERROR(CE$60*('(Z+) Dev Budget'!$G$109-'(Z+) Dev Budget'!$G$46)*(1-Inputs!$L$11),0)</f>
        <v>0</v>
      </c>
      <c r="CF69" s="443">
        <f>-IFERROR(CF$60*('(Z+) Dev Budget'!$G$109-'(Z+) Dev Budget'!$G$46)*(1-Inputs!$L$11),0)</f>
        <v>0</v>
      </c>
      <c r="CG69" s="443">
        <f>-IFERROR(CG$60*('(Z+) Dev Budget'!$G$109-'(Z+) Dev Budget'!$G$46)*(1-Inputs!$L$11),0)</f>
        <v>0</v>
      </c>
      <c r="CH69" s="443">
        <f>-IFERROR(CH$60*('(Z+) Dev Budget'!$G$109-'(Z+) Dev Budget'!$G$46)*(1-Inputs!$L$11),0)</f>
        <v>0</v>
      </c>
      <c r="CI69" s="443">
        <f>-IFERROR(CI$60*('(Z+) Dev Budget'!$G$109-'(Z+) Dev Budget'!$G$46)*(1-Inputs!$L$11),0)</f>
        <v>0</v>
      </c>
      <c r="CJ69" s="443">
        <f>-IFERROR(CJ$60*('(Z+) Dev Budget'!$G$109-'(Z+) Dev Budget'!$G$46)*(1-Inputs!$L$11),0)</f>
        <v>0</v>
      </c>
      <c r="CK69" s="443">
        <f>-IFERROR(CK$60*('(Z+) Dev Budget'!$G$109-'(Z+) Dev Budget'!$G$46)*(1-Inputs!$L$11),0)</f>
        <v>0</v>
      </c>
      <c r="CL69" s="443">
        <f>-IFERROR(CL$60*('(Z+) Dev Budget'!$G$109-'(Z+) Dev Budget'!$G$46)*(1-Inputs!$L$11),0)</f>
        <v>0</v>
      </c>
      <c r="CM69" s="443">
        <f>-IFERROR(CM$60*('(Z+) Dev Budget'!$G$109-'(Z+) Dev Budget'!$G$46)*(1-Inputs!$L$11),0)</f>
        <v>0</v>
      </c>
      <c r="CN69" s="443">
        <f>-IFERROR(CN$60*('(Z+) Dev Budget'!$G$109-'(Z+) Dev Budget'!$G$46)*(1-Inputs!$L$11),0)</f>
        <v>0</v>
      </c>
      <c r="CO69" s="443">
        <f>-IFERROR(CO$60*('(Z+) Dev Budget'!$G$109-'(Z+) Dev Budget'!$G$46)*(1-Inputs!$L$11),0)</f>
        <v>0</v>
      </c>
      <c r="CP69" s="443">
        <f>-IFERROR(CP$60*('(Z+) Dev Budget'!$G$109-'(Z+) Dev Budget'!$G$46)*(1-Inputs!$L$11),0)</f>
        <v>0</v>
      </c>
      <c r="CQ69" s="443">
        <f>-IFERROR(CQ$60*('(Z+) Dev Budget'!$G$109-'(Z+) Dev Budget'!$G$46)*(1-Inputs!$L$11),0)</f>
        <v>0</v>
      </c>
      <c r="CR69" s="443">
        <f>-IFERROR(CR$60*('(Z+) Dev Budget'!$G$109-'(Z+) Dev Budget'!$G$46)*(1-Inputs!$L$11),0)</f>
        <v>0</v>
      </c>
      <c r="CS69" s="443">
        <f>-IFERROR(CS$60*('(Z+) Dev Budget'!$G$109-'(Z+) Dev Budget'!$G$46)*(1-Inputs!$L$11),0)</f>
        <v>0</v>
      </c>
      <c r="CT69" s="443">
        <f>-IFERROR(CT$60*('(Z+) Dev Budget'!$G$109-'(Z+) Dev Budget'!$G$46)*(1-Inputs!$L$11),0)</f>
        <v>0</v>
      </c>
      <c r="CU69" s="443">
        <f>-IFERROR(CU$60*('(Z+) Dev Budget'!$G$109-'(Z+) Dev Budget'!$G$46)*(1-Inputs!$L$11),0)</f>
        <v>0</v>
      </c>
      <c r="CV69" s="443">
        <f>-IFERROR(CV$60*('(Z+) Dev Budget'!$G$109-'(Z+) Dev Budget'!$G$46)*(1-Inputs!$L$11),0)</f>
        <v>0</v>
      </c>
      <c r="CW69" s="443">
        <f>-IFERROR(CW$60*('(Z+) Dev Budget'!$G$109-'(Z+) Dev Budget'!$G$46)*(1-Inputs!$L$11),0)</f>
        <v>0</v>
      </c>
      <c r="CX69" s="443">
        <f>-IFERROR(CX$60*('(Z+) Dev Budget'!$G$109-'(Z+) Dev Budget'!$G$46)*(1-Inputs!$L$11),0)</f>
        <v>0</v>
      </c>
      <c r="CY69" s="443">
        <f>-IFERROR(CY$60*('(Z+) Dev Budget'!$G$109-'(Z+) Dev Budget'!$G$46)*(1-Inputs!$L$11),0)</f>
        <v>0</v>
      </c>
      <c r="CZ69" s="443">
        <f>-IFERROR(CZ$60*('(Z+) Dev Budget'!$G$109-'(Z+) Dev Budget'!$G$46)*(1-Inputs!$L$11),0)</f>
        <v>0</v>
      </c>
      <c r="DA69" s="443">
        <f>-IFERROR(DA$60*('(Z+) Dev Budget'!$G$109-'(Z+) Dev Budget'!$G$46)*(1-Inputs!$L$11),0)</f>
        <v>0</v>
      </c>
      <c r="DB69" s="443">
        <f>-IFERROR(DB$60*('(Z+) Dev Budget'!$G$109-'(Z+) Dev Budget'!$G$46)*(1-Inputs!$L$11),0)</f>
        <v>0</v>
      </c>
      <c r="DC69" s="443">
        <f>-IFERROR(DC$60*('(Z+) Dev Budget'!$G$109-'(Z+) Dev Budget'!$G$46)*(1-Inputs!$L$11),0)</f>
        <v>0</v>
      </c>
      <c r="DD69" s="443">
        <f>-IFERROR(DD$60*('(Z+) Dev Budget'!$G$109-'(Z+) Dev Budget'!$G$46)*(1-Inputs!$L$11),0)</f>
        <v>0</v>
      </c>
      <c r="DE69" s="443">
        <f>-IFERROR(DE$60*('(Z+) Dev Budget'!$G$109-'(Z+) Dev Budget'!$G$46)*(1-Inputs!$L$11),0)</f>
        <v>0</v>
      </c>
      <c r="DF69" s="443">
        <f>-IFERROR(DF$60*('(Z+) Dev Budget'!$G$109-'(Z+) Dev Budget'!$G$46)*(1-Inputs!$L$11),0)</f>
        <v>0</v>
      </c>
      <c r="DG69" s="443">
        <f>-IFERROR(DG$60*('(Z+) Dev Budget'!$G$109-'(Z+) Dev Budget'!$G$46)*(1-Inputs!$L$11),0)</f>
        <v>0</v>
      </c>
      <c r="DH69" s="443">
        <f>-IFERROR(DH$60*('(Z+) Dev Budget'!$G$109-'(Z+) Dev Budget'!$G$46)*(1-Inputs!$L$11),0)</f>
        <v>0</v>
      </c>
      <c r="DI69" s="443">
        <f>-IFERROR(DI$60*('(Z+) Dev Budget'!$G$109-'(Z+) Dev Budget'!$G$46)*(1-Inputs!$L$11),0)</f>
        <v>0</v>
      </c>
      <c r="DJ69" s="443">
        <f>-IFERROR(DJ$60*('(Z+) Dev Budget'!$G$109-'(Z+) Dev Budget'!$G$46)*(1-Inputs!$L$11),0)</f>
        <v>0</v>
      </c>
      <c r="DK69" s="443">
        <f>-IFERROR(DK$60*('(Z+) Dev Budget'!$G$109-'(Z+) Dev Budget'!$G$46)*(1-Inputs!$L$11),0)</f>
        <v>0</v>
      </c>
      <c r="DL69" s="443">
        <f>-IFERROR(DL$60*('(Z+) Dev Budget'!$G$109-'(Z+) Dev Budget'!$G$46)*(1-Inputs!$L$11),0)</f>
        <v>0</v>
      </c>
      <c r="DM69" s="443">
        <f>-IFERROR(DM$60*('(Z+) Dev Budget'!$G$109-'(Z+) Dev Budget'!$G$46)*(1-Inputs!$L$11),0)</f>
        <v>0</v>
      </c>
      <c r="DN69" s="443">
        <f>-IFERROR(DN$60*('(Z+) Dev Budget'!$G$109-'(Z+) Dev Budget'!$G$46)*(1-Inputs!$L$11),0)</f>
        <v>0</v>
      </c>
      <c r="DO69" s="443">
        <f>-IFERROR(DO$60*('(Z+) Dev Budget'!$G$109-'(Z+) Dev Budget'!$G$46)*(1-Inputs!$L$11),0)</f>
        <v>0</v>
      </c>
      <c r="DP69" s="443">
        <f>-IFERROR(DP$60*('(Z+) Dev Budget'!$G$109-'(Z+) Dev Budget'!$G$46)*(1-Inputs!$L$11),0)</f>
        <v>0</v>
      </c>
      <c r="DQ69" s="443">
        <f>-IFERROR(DQ$60*('(Z+) Dev Budget'!$G$109-'(Z+) Dev Budget'!$G$46)*(1-Inputs!$L$11),0)</f>
        <v>0</v>
      </c>
      <c r="DR69" s="443">
        <f>-IFERROR(DR$60*('(Z+) Dev Budget'!$G$109-'(Z+) Dev Budget'!$G$46)*(1-Inputs!$L$11),0)</f>
        <v>0</v>
      </c>
      <c r="DS69" s="443">
        <f>-IFERROR(DS$60*('(Z+) Dev Budget'!$G$109-'(Z+) Dev Budget'!$G$46)*(1-Inputs!$L$11),0)</f>
        <v>0</v>
      </c>
      <c r="DT69" s="443">
        <f>-IFERROR(DT$60*('(Z+) Dev Budget'!$G$109-'(Z+) Dev Budget'!$G$46)*(1-Inputs!$L$11),0)</f>
        <v>0</v>
      </c>
      <c r="DU69" s="443">
        <f>-IFERROR(DU$60*('(Z+) Dev Budget'!$G$109-'(Z+) Dev Budget'!$G$46)*(1-Inputs!$L$11),0)</f>
        <v>0</v>
      </c>
    </row>
    <row r="70" spans="1:125" x14ac:dyDescent="0.25">
      <c r="A70" s="427" t="s">
        <v>511</v>
      </c>
      <c r="B70" s="394"/>
      <c r="C70" s="394"/>
      <c r="D70" s="465">
        <f>IFERROR(SUM(F70:HC70),0)</f>
        <v>-51916336.119076125</v>
      </c>
      <c r="E70" s="394"/>
      <c r="F70" s="432">
        <f t="shared" ref="F70:AK70" si="73">IFERROR(SUM(F62:F69),0)</f>
        <v>-15820.442152306528</v>
      </c>
      <c r="G70" s="432">
        <f t="shared" si="73"/>
        <v>0</v>
      </c>
      <c r="H70" s="432">
        <f t="shared" si="73"/>
        <v>0</v>
      </c>
      <c r="I70" s="432">
        <f t="shared" si="73"/>
        <v>-1601600</v>
      </c>
      <c r="J70" s="433">
        <f t="shared" si="73"/>
        <v>-356854.17191853077</v>
      </c>
      <c r="K70" s="433">
        <f t="shared" si="73"/>
        <v>-386472.58540693863</v>
      </c>
      <c r="L70" s="433">
        <f t="shared" si="73"/>
        <v>-402191.2749999793</v>
      </c>
      <c r="M70" s="433">
        <f t="shared" si="73"/>
        <v>-11033528.401349967</v>
      </c>
      <c r="N70" s="433">
        <f t="shared" si="73"/>
        <v>-386472.58540693927</v>
      </c>
      <c r="O70" s="433">
        <f t="shared" si="73"/>
        <v>-356854.17191853048</v>
      </c>
      <c r="P70" s="433">
        <f t="shared" si="73"/>
        <v>-8267701.3258147696</v>
      </c>
      <c r="Q70" s="433">
        <f t="shared" si="73"/>
        <v>-4339554.0926944893</v>
      </c>
      <c r="R70" s="433">
        <f t="shared" si="73"/>
        <v>-4635318.1601759149</v>
      </c>
      <c r="S70" s="433">
        <f t="shared" si="73"/>
        <v>-2669092.83636213</v>
      </c>
      <c r="T70" s="433">
        <f t="shared" si="73"/>
        <v>-2823707.436855311</v>
      </c>
      <c r="U70" s="434">
        <f t="shared" si="73"/>
        <v>-2877334.6965109017</v>
      </c>
      <c r="V70" s="434">
        <f t="shared" si="73"/>
        <v>-2802444.762602611</v>
      </c>
      <c r="W70" s="434">
        <f t="shared" si="73"/>
        <v>-2647830.1621094299</v>
      </c>
      <c r="X70" s="434">
        <f t="shared" si="73"/>
        <v>-2409824.9217266478</v>
      </c>
      <c r="Y70" s="434">
        <f t="shared" si="73"/>
        <v>-2114060.8542452264</v>
      </c>
      <c r="Z70" s="434">
        <f t="shared" si="73"/>
        <v>-1789673.2368255109</v>
      </c>
      <c r="AA70" s="434">
        <f t="shared" si="73"/>
        <v>0</v>
      </c>
      <c r="AB70" s="434">
        <f t="shared" si="73"/>
        <v>0</v>
      </c>
      <c r="AC70" s="434">
        <f t="shared" si="73"/>
        <v>0</v>
      </c>
      <c r="AD70" s="434">
        <f t="shared" si="73"/>
        <v>0</v>
      </c>
      <c r="AE70" s="434">
        <f t="shared" si="73"/>
        <v>0</v>
      </c>
      <c r="AF70" s="434">
        <f t="shared" si="73"/>
        <v>0</v>
      </c>
      <c r="AG70" s="434">
        <f t="shared" si="73"/>
        <v>0</v>
      </c>
      <c r="AH70" s="434">
        <f t="shared" si="73"/>
        <v>0</v>
      </c>
      <c r="AI70" s="434">
        <f t="shared" si="73"/>
        <v>0</v>
      </c>
      <c r="AJ70" s="434">
        <f t="shared" si="73"/>
        <v>0</v>
      </c>
      <c r="AK70" s="434">
        <f t="shared" si="73"/>
        <v>0</v>
      </c>
      <c r="AL70" s="434">
        <f t="shared" ref="AL70:BQ70" si="74">IFERROR(SUM(AL62:AL69),0)</f>
        <v>0</v>
      </c>
      <c r="AM70" s="434">
        <f t="shared" si="74"/>
        <v>0</v>
      </c>
      <c r="AN70" s="434">
        <f t="shared" si="74"/>
        <v>0</v>
      </c>
      <c r="AO70" s="434">
        <f t="shared" si="74"/>
        <v>0</v>
      </c>
      <c r="AP70" s="434">
        <f t="shared" si="74"/>
        <v>0</v>
      </c>
      <c r="AQ70" s="434">
        <f t="shared" si="74"/>
        <v>0</v>
      </c>
      <c r="AR70" s="434">
        <f t="shared" si="74"/>
        <v>0</v>
      </c>
      <c r="AS70" s="434">
        <f t="shared" si="74"/>
        <v>0</v>
      </c>
      <c r="AT70" s="434">
        <f t="shared" si="74"/>
        <v>0</v>
      </c>
      <c r="AU70" s="434">
        <f t="shared" si="74"/>
        <v>0</v>
      </c>
      <c r="AV70" s="434">
        <f t="shared" si="74"/>
        <v>0</v>
      </c>
      <c r="AW70" s="434">
        <f t="shared" si="74"/>
        <v>0</v>
      </c>
      <c r="AX70" s="434">
        <f t="shared" si="74"/>
        <v>0</v>
      </c>
      <c r="AY70" s="434">
        <f t="shared" si="74"/>
        <v>0</v>
      </c>
      <c r="AZ70" s="434">
        <f t="shared" si="74"/>
        <v>0</v>
      </c>
      <c r="BA70" s="434">
        <f t="shared" si="74"/>
        <v>0</v>
      </c>
      <c r="BB70" s="434">
        <f t="shared" si="74"/>
        <v>0</v>
      </c>
      <c r="BC70" s="434">
        <f t="shared" si="74"/>
        <v>0</v>
      </c>
      <c r="BD70" s="434">
        <f t="shared" si="74"/>
        <v>0</v>
      </c>
      <c r="BE70" s="434">
        <f t="shared" si="74"/>
        <v>0</v>
      </c>
      <c r="BF70" s="434">
        <f t="shared" si="74"/>
        <v>0</v>
      </c>
      <c r="BG70" s="434">
        <f t="shared" si="74"/>
        <v>0</v>
      </c>
      <c r="BH70" s="434">
        <f t="shared" si="74"/>
        <v>0</v>
      </c>
      <c r="BI70" s="434">
        <f t="shared" si="74"/>
        <v>0</v>
      </c>
      <c r="BJ70" s="434">
        <f t="shared" si="74"/>
        <v>0</v>
      </c>
      <c r="BK70" s="434">
        <f t="shared" si="74"/>
        <v>0</v>
      </c>
      <c r="BL70" s="434">
        <f t="shared" si="74"/>
        <v>0</v>
      </c>
      <c r="BM70" s="434">
        <f t="shared" si="74"/>
        <v>0</v>
      </c>
      <c r="BN70" s="434">
        <f t="shared" si="74"/>
        <v>0</v>
      </c>
      <c r="BO70" s="434">
        <f t="shared" si="74"/>
        <v>0</v>
      </c>
      <c r="BP70" s="434">
        <f t="shared" si="74"/>
        <v>0</v>
      </c>
      <c r="BQ70" s="434">
        <f t="shared" si="74"/>
        <v>0</v>
      </c>
      <c r="BR70" s="434">
        <f t="shared" ref="BR70:CW70" si="75">IFERROR(SUM(BR62:BR69),0)</f>
        <v>0</v>
      </c>
      <c r="BS70" s="434">
        <f t="shared" si="75"/>
        <v>0</v>
      </c>
      <c r="BT70" s="434">
        <f t="shared" si="75"/>
        <v>0</v>
      </c>
      <c r="BU70" s="434">
        <f t="shared" si="75"/>
        <v>0</v>
      </c>
      <c r="BV70" s="434">
        <f t="shared" si="75"/>
        <v>0</v>
      </c>
      <c r="BW70" s="434">
        <f t="shared" si="75"/>
        <v>0</v>
      </c>
      <c r="BX70" s="434">
        <f t="shared" si="75"/>
        <v>0</v>
      </c>
      <c r="BY70" s="434">
        <f t="shared" si="75"/>
        <v>0</v>
      </c>
      <c r="BZ70" s="434">
        <f t="shared" si="75"/>
        <v>0</v>
      </c>
      <c r="CA70" s="434">
        <f t="shared" si="75"/>
        <v>0</v>
      </c>
      <c r="CB70" s="434">
        <f t="shared" si="75"/>
        <v>0</v>
      </c>
      <c r="CC70" s="434">
        <f t="shared" si="75"/>
        <v>0</v>
      </c>
      <c r="CD70" s="434">
        <f t="shared" si="75"/>
        <v>0</v>
      </c>
      <c r="CE70" s="434">
        <f t="shared" si="75"/>
        <v>0</v>
      </c>
      <c r="CF70" s="434">
        <f t="shared" si="75"/>
        <v>0</v>
      </c>
      <c r="CG70" s="434">
        <f t="shared" si="75"/>
        <v>0</v>
      </c>
      <c r="CH70" s="434">
        <f t="shared" si="75"/>
        <v>0</v>
      </c>
      <c r="CI70" s="434">
        <f t="shared" si="75"/>
        <v>0</v>
      </c>
      <c r="CJ70" s="434">
        <f t="shared" si="75"/>
        <v>0</v>
      </c>
      <c r="CK70" s="434">
        <f t="shared" si="75"/>
        <v>0</v>
      </c>
      <c r="CL70" s="434">
        <f t="shared" si="75"/>
        <v>0</v>
      </c>
      <c r="CM70" s="434">
        <f t="shared" si="75"/>
        <v>0</v>
      </c>
      <c r="CN70" s="434">
        <f t="shared" si="75"/>
        <v>0</v>
      </c>
      <c r="CO70" s="434">
        <f t="shared" si="75"/>
        <v>0</v>
      </c>
      <c r="CP70" s="434">
        <f t="shared" si="75"/>
        <v>0</v>
      </c>
      <c r="CQ70" s="434">
        <f t="shared" si="75"/>
        <v>0</v>
      </c>
      <c r="CR70" s="434">
        <f t="shared" si="75"/>
        <v>0</v>
      </c>
      <c r="CS70" s="434">
        <f t="shared" si="75"/>
        <v>0</v>
      </c>
      <c r="CT70" s="434">
        <f t="shared" si="75"/>
        <v>0</v>
      </c>
      <c r="CU70" s="434">
        <f t="shared" si="75"/>
        <v>0</v>
      </c>
      <c r="CV70" s="434">
        <f t="shared" si="75"/>
        <v>0</v>
      </c>
      <c r="CW70" s="434">
        <f t="shared" si="75"/>
        <v>0</v>
      </c>
      <c r="CX70" s="434">
        <f t="shared" ref="CX70:EC70" si="76">IFERROR(SUM(CX62:CX69),0)</f>
        <v>0</v>
      </c>
      <c r="CY70" s="434">
        <f t="shared" si="76"/>
        <v>0</v>
      </c>
      <c r="CZ70" s="434">
        <f t="shared" si="76"/>
        <v>0</v>
      </c>
      <c r="DA70" s="434">
        <f t="shared" si="76"/>
        <v>0</v>
      </c>
      <c r="DB70" s="434">
        <f t="shared" si="76"/>
        <v>0</v>
      </c>
      <c r="DC70" s="434">
        <f t="shared" si="76"/>
        <v>0</v>
      </c>
      <c r="DD70" s="434">
        <f t="shared" si="76"/>
        <v>0</v>
      </c>
      <c r="DE70" s="434">
        <f t="shared" si="76"/>
        <v>0</v>
      </c>
      <c r="DF70" s="434">
        <f t="shared" si="76"/>
        <v>0</v>
      </c>
      <c r="DG70" s="434">
        <f t="shared" si="76"/>
        <v>0</v>
      </c>
      <c r="DH70" s="434">
        <f t="shared" si="76"/>
        <v>0</v>
      </c>
      <c r="DI70" s="434">
        <f t="shared" si="76"/>
        <v>0</v>
      </c>
      <c r="DJ70" s="434">
        <f t="shared" si="76"/>
        <v>0</v>
      </c>
      <c r="DK70" s="434">
        <f t="shared" si="76"/>
        <v>0</v>
      </c>
      <c r="DL70" s="434">
        <f t="shared" si="76"/>
        <v>0</v>
      </c>
      <c r="DM70" s="434">
        <f t="shared" si="76"/>
        <v>0</v>
      </c>
      <c r="DN70" s="434">
        <f t="shared" si="76"/>
        <v>0</v>
      </c>
      <c r="DO70" s="434">
        <f t="shared" si="76"/>
        <v>0</v>
      </c>
      <c r="DP70" s="434">
        <f t="shared" si="76"/>
        <v>0</v>
      </c>
      <c r="DQ70" s="434">
        <f t="shared" si="76"/>
        <v>0</v>
      </c>
      <c r="DR70" s="434">
        <f t="shared" si="76"/>
        <v>0</v>
      </c>
      <c r="DS70" s="434">
        <f t="shared" si="76"/>
        <v>0</v>
      </c>
      <c r="DT70" s="434">
        <f t="shared" si="76"/>
        <v>0</v>
      </c>
      <c r="DU70" s="434">
        <f t="shared" si="76"/>
        <v>0</v>
      </c>
    </row>
    <row r="71" spans="1:125" x14ac:dyDescent="0.25">
      <c r="A71" s="385" t="s">
        <v>512</v>
      </c>
      <c r="D71" s="387"/>
      <c r="F71" s="441">
        <f>IFERROR(F70,0)</f>
        <v>-15820.442152306528</v>
      </c>
      <c r="G71" s="441">
        <f t="shared" ref="G71:AL71" si="77">F71-G70</f>
        <v>-15820.442152306528</v>
      </c>
      <c r="H71" s="441">
        <f t="shared" si="77"/>
        <v>-15820.442152306528</v>
      </c>
      <c r="I71" s="441">
        <f t="shared" si="77"/>
        <v>1585779.5578476936</v>
      </c>
      <c r="J71" s="442">
        <f t="shared" si="77"/>
        <v>1942633.7297662243</v>
      </c>
      <c r="K71" s="442">
        <f t="shared" si="77"/>
        <v>2329106.3151731631</v>
      </c>
      <c r="L71" s="442">
        <f t="shared" si="77"/>
        <v>2731297.5901731425</v>
      </c>
      <c r="M71" s="442">
        <f t="shared" si="77"/>
        <v>13764825.991523109</v>
      </c>
      <c r="N71" s="442">
        <f t="shared" si="77"/>
        <v>14151298.576930048</v>
      </c>
      <c r="O71" s="442">
        <f t="shared" si="77"/>
        <v>14508152.748848578</v>
      </c>
      <c r="P71" s="442">
        <f t="shared" si="77"/>
        <v>22775854.074663348</v>
      </c>
      <c r="Q71" s="442">
        <f t="shared" si="77"/>
        <v>27115408.16735784</v>
      </c>
      <c r="R71" s="442">
        <f t="shared" si="77"/>
        <v>31750726.327533755</v>
      </c>
      <c r="S71" s="442">
        <f t="shared" si="77"/>
        <v>34419819.163895883</v>
      </c>
      <c r="T71" s="442">
        <f t="shared" si="77"/>
        <v>37243526.600751191</v>
      </c>
      <c r="U71" s="443">
        <f t="shared" si="77"/>
        <v>40120861.297262095</v>
      </c>
      <c r="V71" s="443">
        <f t="shared" si="77"/>
        <v>42923306.059864707</v>
      </c>
      <c r="W71" s="443">
        <f t="shared" si="77"/>
        <v>45571136.221974134</v>
      </c>
      <c r="X71" s="443">
        <f t="shared" si="77"/>
        <v>47980961.143700778</v>
      </c>
      <c r="Y71" s="443">
        <f t="shared" si="77"/>
        <v>50095021.997946002</v>
      </c>
      <c r="Z71" s="443">
        <f t="shared" si="77"/>
        <v>51884695.234771512</v>
      </c>
      <c r="AA71" s="443">
        <f t="shared" si="77"/>
        <v>51884695.234771512</v>
      </c>
      <c r="AB71" s="443">
        <f t="shared" si="77"/>
        <v>51884695.234771512</v>
      </c>
      <c r="AC71" s="443">
        <f t="shared" si="77"/>
        <v>51884695.234771512</v>
      </c>
      <c r="AD71" s="443">
        <f t="shared" si="77"/>
        <v>51884695.234771512</v>
      </c>
      <c r="AE71" s="443">
        <f t="shared" si="77"/>
        <v>51884695.234771512</v>
      </c>
      <c r="AF71" s="443">
        <f t="shared" si="77"/>
        <v>51884695.234771512</v>
      </c>
      <c r="AG71" s="443">
        <f t="shared" si="77"/>
        <v>51884695.234771512</v>
      </c>
      <c r="AH71" s="443">
        <f t="shared" si="77"/>
        <v>51884695.234771512</v>
      </c>
      <c r="AI71" s="443">
        <f t="shared" si="77"/>
        <v>51884695.234771512</v>
      </c>
      <c r="AJ71" s="443">
        <f t="shared" si="77"/>
        <v>51884695.234771512</v>
      </c>
      <c r="AK71" s="443">
        <f t="shared" si="77"/>
        <v>51884695.234771512</v>
      </c>
      <c r="AL71" s="443">
        <f t="shared" si="77"/>
        <v>51884695.234771512</v>
      </c>
      <c r="AM71" s="443">
        <f t="shared" ref="AM71:BR71" si="78">AL71-AM70</f>
        <v>51884695.234771512</v>
      </c>
      <c r="AN71" s="443">
        <f t="shared" si="78"/>
        <v>51884695.234771512</v>
      </c>
      <c r="AO71" s="443">
        <f t="shared" si="78"/>
        <v>51884695.234771512</v>
      </c>
      <c r="AP71" s="443">
        <f t="shared" si="78"/>
        <v>51884695.234771512</v>
      </c>
      <c r="AQ71" s="443">
        <f t="shared" si="78"/>
        <v>51884695.234771512</v>
      </c>
      <c r="AR71" s="443">
        <f t="shared" si="78"/>
        <v>51884695.234771512</v>
      </c>
      <c r="AS71" s="443">
        <f t="shared" si="78"/>
        <v>51884695.234771512</v>
      </c>
      <c r="AT71" s="443">
        <f t="shared" si="78"/>
        <v>51884695.234771512</v>
      </c>
      <c r="AU71" s="443">
        <f t="shared" si="78"/>
        <v>51884695.234771512</v>
      </c>
      <c r="AV71" s="443">
        <f t="shared" si="78"/>
        <v>51884695.234771512</v>
      </c>
      <c r="AW71" s="443">
        <f t="shared" si="78"/>
        <v>51884695.234771512</v>
      </c>
      <c r="AX71" s="443">
        <f t="shared" si="78"/>
        <v>51884695.234771512</v>
      </c>
      <c r="AY71" s="443">
        <f t="shared" si="78"/>
        <v>51884695.234771512</v>
      </c>
      <c r="AZ71" s="443">
        <f t="shared" si="78"/>
        <v>51884695.234771512</v>
      </c>
      <c r="BA71" s="443">
        <f t="shared" si="78"/>
        <v>51884695.234771512</v>
      </c>
      <c r="BB71" s="443">
        <f t="shared" si="78"/>
        <v>51884695.234771512</v>
      </c>
      <c r="BC71" s="443">
        <f t="shared" si="78"/>
        <v>51884695.234771512</v>
      </c>
      <c r="BD71" s="443">
        <f t="shared" si="78"/>
        <v>51884695.234771512</v>
      </c>
      <c r="BE71" s="443">
        <f t="shared" si="78"/>
        <v>51884695.234771512</v>
      </c>
      <c r="BF71" s="443">
        <f t="shared" si="78"/>
        <v>51884695.234771512</v>
      </c>
      <c r="BG71" s="443">
        <f t="shared" si="78"/>
        <v>51884695.234771512</v>
      </c>
      <c r="BH71" s="443">
        <f t="shared" si="78"/>
        <v>51884695.234771512</v>
      </c>
      <c r="BI71" s="443">
        <f t="shared" si="78"/>
        <v>51884695.234771512</v>
      </c>
      <c r="BJ71" s="443">
        <f t="shared" si="78"/>
        <v>51884695.234771512</v>
      </c>
      <c r="BK71" s="443">
        <f t="shared" si="78"/>
        <v>51884695.234771512</v>
      </c>
      <c r="BL71" s="443">
        <f t="shared" si="78"/>
        <v>51884695.234771512</v>
      </c>
      <c r="BM71" s="443">
        <f t="shared" si="78"/>
        <v>51884695.234771512</v>
      </c>
      <c r="BN71" s="443">
        <f t="shared" si="78"/>
        <v>51884695.234771512</v>
      </c>
      <c r="BO71" s="443">
        <f t="shared" si="78"/>
        <v>51884695.234771512</v>
      </c>
      <c r="BP71" s="443">
        <f t="shared" si="78"/>
        <v>51884695.234771512</v>
      </c>
      <c r="BQ71" s="443">
        <f t="shared" si="78"/>
        <v>51884695.234771512</v>
      </c>
      <c r="BR71" s="443">
        <f t="shared" si="78"/>
        <v>51884695.234771512</v>
      </c>
      <c r="BS71" s="443">
        <f t="shared" ref="BS71:CX71" si="79">BR71-BS70</f>
        <v>51884695.234771512</v>
      </c>
      <c r="BT71" s="443">
        <f t="shared" si="79"/>
        <v>51884695.234771512</v>
      </c>
      <c r="BU71" s="443">
        <f t="shared" si="79"/>
        <v>51884695.234771512</v>
      </c>
      <c r="BV71" s="443">
        <f t="shared" si="79"/>
        <v>51884695.234771512</v>
      </c>
      <c r="BW71" s="443">
        <f t="shared" si="79"/>
        <v>51884695.234771512</v>
      </c>
      <c r="BX71" s="443">
        <f t="shared" si="79"/>
        <v>51884695.234771512</v>
      </c>
      <c r="BY71" s="443">
        <f t="shared" si="79"/>
        <v>51884695.234771512</v>
      </c>
      <c r="BZ71" s="443">
        <f t="shared" si="79"/>
        <v>51884695.234771512</v>
      </c>
      <c r="CA71" s="443">
        <f t="shared" si="79"/>
        <v>51884695.234771512</v>
      </c>
      <c r="CB71" s="443">
        <f t="shared" si="79"/>
        <v>51884695.234771512</v>
      </c>
      <c r="CC71" s="443">
        <f t="shared" si="79"/>
        <v>51884695.234771512</v>
      </c>
      <c r="CD71" s="443">
        <f t="shared" si="79"/>
        <v>51884695.234771512</v>
      </c>
      <c r="CE71" s="443">
        <f t="shared" si="79"/>
        <v>51884695.234771512</v>
      </c>
      <c r="CF71" s="443">
        <f t="shared" si="79"/>
        <v>51884695.234771512</v>
      </c>
      <c r="CG71" s="443">
        <f t="shared" si="79"/>
        <v>51884695.234771512</v>
      </c>
      <c r="CH71" s="443">
        <f t="shared" si="79"/>
        <v>51884695.234771512</v>
      </c>
      <c r="CI71" s="443">
        <f t="shared" si="79"/>
        <v>51884695.234771512</v>
      </c>
      <c r="CJ71" s="443">
        <f t="shared" si="79"/>
        <v>51884695.234771512</v>
      </c>
      <c r="CK71" s="443">
        <f t="shared" si="79"/>
        <v>51884695.234771512</v>
      </c>
      <c r="CL71" s="443">
        <f t="shared" si="79"/>
        <v>51884695.234771512</v>
      </c>
      <c r="CM71" s="443">
        <f t="shared" si="79"/>
        <v>51884695.234771512</v>
      </c>
      <c r="CN71" s="443">
        <f t="shared" si="79"/>
        <v>51884695.234771512</v>
      </c>
      <c r="CO71" s="443">
        <f t="shared" si="79"/>
        <v>51884695.234771512</v>
      </c>
      <c r="CP71" s="443">
        <f t="shared" si="79"/>
        <v>51884695.234771512</v>
      </c>
      <c r="CQ71" s="443">
        <f t="shared" si="79"/>
        <v>51884695.234771512</v>
      </c>
      <c r="CR71" s="443">
        <f t="shared" si="79"/>
        <v>51884695.234771512</v>
      </c>
      <c r="CS71" s="443">
        <f t="shared" si="79"/>
        <v>51884695.234771512</v>
      </c>
      <c r="CT71" s="443">
        <f t="shared" si="79"/>
        <v>51884695.234771512</v>
      </c>
      <c r="CU71" s="443">
        <f t="shared" si="79"/>
        <v>51884695.234771512</v>
      </c>
      <c r="CV71" s="443">
        <f t="shared" si="79"/>
        <v>51884695.234771512</v>
      </c>
      <c r="CW71" s="443">
        <f t="shared" si="79"/>
        <v>51884695.234771512</v>
      </c>
      <c r="CX71" s="443">
        <f t="shared" si="79"/>
        <v>51884695.234771512</v>
      </c>
      <c r="CY71" s="443">
        <f t="shared" ref="CY71:ED71" si="80">CX71-CY70</f>
        <v>51884695.234771512</v>
      </c>
      <c r="CZ71" s="443">
        <f t="shared" si="80"/>
        <v>51884695.234771512</v>
      </c>
      <c r="DA71" s="443">
        <f t="shared" si="80"/>
        <v>51884695.234771512</v>
      </c>
      <c r="DB71" s="443">
        <f t="shared" si="80"/>
        <v>51884695.234771512</v>
      </c>
      <c r="DC71" s="443">
        <f t="shared" si="80"/>
        <v>51884695.234771512</v>
      </c>
      <c r="DD71" s="443">
        <f t="shared" si="80"/>
        <v>51884695.234771512</v>
      </c>
      <c r="DE71" s="443">
        <f t="shared" si="80"/>
        <v>51884695.234771512</v>
      </c>
      <c r="DF71" s="443">
        <f t="shared" si="80"/>
        <v>51884695.234771512</v>
      </c>
      <c r="DG71" s="443">
        <f t="shared" si="80"/>
        <v>51884695.234771512</v>
      </c>
      <c r="DH71" s="443">
        <f t="shared" si="80"/>
        <v>51884695.234771512</v>
      </c>
      <c r="DI71" s="443">
        <f t="shared" si="80"/>
        <v>51884695.234771512</v>
      </c>
      <c r="DJ71" s="443">
        <f t="shared" si="80"/>
        <v>51884695.234771512</v>
      </c>
      <c r="DK71" s="443">
        <f t="shared" si="80"/>
        <v>51884695.234771512</v>
      </c>
      <c r="DL71" s="443">
        <f t="shared" si="80"/>
        <v>51884695.234771512</v>
      </c>
      <c r="DM71" s="443">
        <f t="shared" si="80"/>
        <v>51884695.234771512</v>
      </c>
      <c r="DN71" s="443">
        <f t="shared" si="80"/>
        <v>51884695.234771512</v>
      </c>
      <c r="DO71" s="443">
        <f t="shared" si="80"/>
        <v>51884695.234771512</v>
      </c>
      <c r="DP71" s="443">
        <f t="shared" si="80"/>
        <v>51884695.234771512</v>
      </c>
      <c r="DQ71" s="443">
        <f t="shared" si="80"/>
        <v>51884695.234771512</v>
      </c>
      <c r="DR71" s="443">
        <f t="shared" si="80"/>
        <v>51884695.234771512</v>
      </c>
      <c r="DS71" s="443">
        <f t="shared" si="80"/>
        <v>51884695.234771512</v>
      </c>
      <c r="DT71" s="443">
        <f t="shared" si="80"/>
        <v>51884695.234771512</v>
      </c>
      <c r="DU71" s="443">
        <f t="shared" si="80"/>
        <v>51884695.234771512</v>
      </c>
    </row>
    <row r="72" spans="1:125" x14ac:dyDescent="0.25">
      <c r="D72" s="387"/>
      <c r="F72" s="388"/>
      <c r="G72" s="388"/>
      <c r="H72" s="388"/>
      <c r="I72" s="388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90"/>
      <c r="V72" s="390"/>
      <c r="W72" s="390"/>
      <c r="X72" s="390"/>
      <c r="Y72" s="390"/>
      <c r="Z72" s="390"/>
      <c r="AA72" s="390"/>
      <c r="AB72" s="390"/>
      <c r="AC72" s="390"/>
      <c r="AD72" s="390"/>
      <c r="AE72" s="390"/>
      <c r="AF72" s="390"/>
      <c r="AG72" s="390"/>
      <c r="AH72" s="390"/>
      <c r="AI72" s="390"/>
      <c r="AJ72" s="390"/>
      <c r="AK72" s="390"/>
      <c r="AL72" s="390"/>
      <c r="AM72" s="390"/>
      <c r="AN72" s="390"/>
      <c r="AO72" s="390"/>
      <c r="AP72" s="390"/>
      <c r="AQ72" s="390"/>
      <c r="AR72" s="390"/>
      <c r="AS72" s="390"/>
      <c r="AT72" s="390"/>
      <c r="AU72" s="390"/>
      <c r="AV72" s="390"/>
      <c r="AW72" s="390"/>
      <c r="AX72" s="390"/>
      <c r="AY72" s="390"/>
      <c r="AZ72" s="390"/>
      <c r="BA72" s="390"/>
      <c r="BB72" s="390"/>
      <c r="BC72" s="390"/>
      <c r="BD72" s="390"/>
      <c r="BE72" s="390"/>
      <c r="BF72" s="390"/>
      <c r="BG72" s="390"/>
      <c r="BH72" s="390"/>
      <c r="BI72" s="390"/>
      <c r="BJ72" s="390"/>
      <c r="BK72" s="390"/>
      <c r="BL72" s="390"/>
      <c r="BM72" s="390"/>
      <c r="BN72" s="390"/>
      <c r="BO72" s="390"/>
      <c r="BP72" s="390"/>
      <c r="BQ72" s="390"/>
      <c r="BR72" s="390"/>
      <c r="BS72" s="390"/>
      <c r="BT72" s="390"/>
      <c r="BU72" s="390"/>
      <c r="BV72" s="390"/>
      <c r="BW72" s="390"/>
      <c r="BX72" s="390"/>
      <c r="BY72" s="390"/>
      <c r="BZ72" s="390"/>
      <c r="CA72" s="390"/>
      <c r="CB72" s="390"/>
      <c r="CC72" s="390"/>
      <c r="CD72" s="390"/>
      <c r="CE72" s="390"/>
      <c r="CF72" s="390"/>
      <c r="CG72" s="390"/>
      <c r="CH72" s="390"/>
      <c r="CI72" s="390"/>
      <c r="CJ72" s="390"/>
      <c r="CK72" s="390"/>
      <c r="CL72" s="390"/>
      <c r="CM72" s="390"/>
      <c r="CN72" s="390"/>
      <c r="CO72" s="390"/>
      <c r="CP72" s="390"/>
      <c r="CQ72" s="390"/>
      <c r="CR72" s="390"/>
      <c r="CS72" s="390"/>
      <c r="CT72" s="390"/>
      <c r="CU72" s="390"/>
      <c r="CV72" s="390"/>
      <c r="CW72" s="390"/>
      <c r="CX72" s="390"/>
      <c r="CY72" s="390"/>
      <c r="CZ72" s="390"/>
      <c r="DA72" s="390"/>
      <c r="DB72" s="390"/>
      <c r="DC72" s="390"/>
      <c r="DD72" s="390"/>
      <c r="DE72" s="390"/>
      <c r="DF72" s="390"/>
      <c r="DG72" s="390"/>
      <c r="DH72" s="390"/>
      <c r="DI72" s="390"/>
      <c r="DJ72" s="390"/>
      <c r="DK72" s="390"/>
      <c r="DL72" s="390"/>
      <c r="DM72" s="390"/>
      <c r="DN72" s="390"/>
      <c r="DO72" s="390"/>
      <c r="DP72" s="390"/>
      <c r="DQ72" s="390"/>
      <c r="DR72" s="390"/>
      <c r="DS72" s="390"/>
      <c r="DT72" s="390"/>
      <c r="DU72" s="390"/>
    </row>
    <row r="73" spans="1:125" x14ac:dyDescent="0.25">
      <c r="A73" s="385" t="s">
        <v>513</v>
      </c>
      <c r="D73" s="462">
        <f>IFERROR(SUM(F73:HB73),0)</f>
        <v>34023170.725342274</v>
      </c>
      <c r="F73" s="466">
        <f t="shared" ref="F73:AK73" si="81">IFERROR(F56+F70,0)</f>
        <v>-15820.442152306528</v>
      </c>
      <c r="G73" s="466">
        <f t="shared" si="81"/>
        <v>0</v>
      </c>
      <c r="H73" s="466">
        <f t="shared" si="81"/>
        <v>0</v>
      </c>
      <c r="I73" s="466">
        <f t="shared" si="81"/>
        <v>-1601600</v>
      </c>
      <c r="J73" s="467">
        <f t="shared" si="81"/>
        <v>-356854.17191853077</v>
      </c>
      <c r="K73" s="467">
        <f t="shared" si="81"/>
        <v>-386472.58540693863</v>
      </c>
      <c r="L73" s="467">
        <f t="shared" si="81"/>
        <v>-402191.2749999793</v>
      </c>
      <c r="M73" s="467">
        <f t="shared" si="81"/>
        <v>-11033528.401349967</v>
      </c>
      <c r="N73" s="467">
        <f t="shared" si="81"/>
        <v>-386472.58540693927</v>
      </c>
      <c r="O73" s="467">
        <f t="shared" si="81"/>
        <v>-356854.17191853048</v>
      </c>
      <c r="P73" s="467">
        <f t="shared" si="81"/>
        <v>-8267701.3258147696</v>
      </c>
      <c r="Q73" s="467">
        <f t="shared" si="81"/>
        <v>-4339554.0926944893</v>
      </c>
      <c r="R73" s="467">
        <f t="shared" si="81"/>
        <v>-4635318.1601759149</v>
      </c>
      <c r="S73" s="467">
        <f t="shared" si="81"/>
        <v>-2669092.83636213</v>
      </c>
      <c r="T73" s="467">
        <f t="shared" si="81"/>
        <v>-2823707.436855311</v>
      </c>
      <c r="U73" s="468">
        <f t="shared" si="81"/>
        <v>-2877334.6965109017</v>
      </c>
      <c r="V73" s="468">
        <f t="shared" si="81"/>
        <v>-2802444.762602611</v>
      </c>
      <c r="W73" s="468">
        <f t="shared" si="81"/>
        <v>-2647830.1621094299</v>
      </c>
      <c r="X73" s="468">
        <f t="shared" si="81"/>
        <v>-2409824.9217266478</v>
      </c>
      <c r="Y73" s="468">
        <f t="shared" si="81"/>
        <v>-2114060.8542452264</v>
      </c>
      <c r="Z73" s="468">
        <f t="shared" si="81"/>
        <v>-1789673.2368255109</v>
      </c>
      <c r="AA73" s="443">
        <f t="shared" si="81"/>
        <v>0</v>
      </c>
      <c r="AB73" s="443">
        <f t="shared" si="81"/>
        <v>11488.036376705844</v>
      </c>
      <c r="AC73" s="443">
        <f t="shared" si="81"/>
        <v>66288.00361473723</v>
      </c>
      <c r="AD73" s="443">
        <f t="shared" si="81"/>
        <v>121312.40495690583</v>
      </c>
      <c r="AE73" s="443">
        <f t="shared" si="81"/>
        <v>176561.92918427248</v>
      </c>
      <c r="AF73" s="443">
        <f t="shared" si="81"/>
        <v>228360.61628231517</v>
      </c>
      <c r="AG73" s="443">
        <f t="shared" si="81"/>
        <v>287739.11080755387</v>
      </c>
      <c r="AH73" s="443">
        <f t="shared" si="81"/>
        <v>343668.155168675</v>
      </c>
      <c r="AI73" s="443">
        <f t="shared" si="81"/>
        <v>399825.09635501652</v>
      </c>
      <c r="AJ73" s="443">
        <f t="shared" si="81"/>
        <v>400607.62879145867</v>
      </c>
      <c r="AK73" s="443">
        <f t="shared" si="81"/>
        <v>401391.6740370671</v>
      </c>
      <c r="AL73" s="443">
        <f t="shared" ref="AL73:BQ73" si="82">IFERROR(AL56+AL70,0)</f>
        <v>402177.23496879189</v>
      </c>
      <c r="AM73" s="443">
        <f t="shared" si="82"/>
        <v>402964.31446893187</v>
      </c>
      <c r="AN73" s="443">
        <f t="shared" si="82"/>
        <v>403752.91542514367</v>
      </c>
      <c r="AO73" s="443">
        <f t="shared" si="82"/>
        <v>404543.04073045193</v>
      </c>
      <c r="AP73" s="443">
        <f t="shared" si="82"/>
        <v>405334.69328325952</v>
      </c>
      <c r="AQ73" s="443">
        <f t="shared" si="82"/>
        <v>406127.87598735536</v>
      </c>
      <c r="AR73" s="443">
        <f t="shared" si="82"/>
        <v>406922.59175192635</v>
      </c>
      <c r="AS73" s="443">
        <f t="shared" si="82"/>
        <v>407718.84349156515</v>
      </c>
      <c r="AT73" s="443">
        <f t="shared" si="82"/>
        <v>408516.63412628137</v>
      </c>
      <c r="AU73" s="443">
        <f t="shared" si="82"/>
        <v>409315.96658151026</v>
      </c>
      <c r="AV73" s="443">
        <f t="shared" si="82"/>
        <v>410116.84378812299</v>
      </c>
      <c r="AW73" s="443">
        <f t="shared" si="82"/>
        <v>410919.26868243667</v>
      </c>
      <c r="AX73" s="443">
        <f t="shared" si="82"/>
        <v>411723.2442062234</v>
      </c>
      <c r="AY73" s="443">
        <f t="shared" si="82"/>
        <v>412528.77330672031</v>
      </c>
      <c r="AZ73" s="443">
        <f t="shared" si="82"/>
        <v>413335.8589366402</v>
      </c>
      <c r="BA73" s="443">
        <f t="shared" si="82"/>
        <v>414144.50405417982</v>
      </c>
      <c r="BB73" s="443">
        <f t="shared" si="82"/>
        <v>414954.71162303176</v>
      </c>
      <c r="BC73" s="443">
        <f t="shared" si="82"/>
        <v>415766.48461239203</v>
      </c>
      <c r="BD73" s="443">
        <f t="shared" si="82"/>
        <v>416579.82599697186</v>
      </c>
      <c r="BE73" s="443">
        <f t="shared" si="82"/>
        <v>417394.73875700659</v>
      </c>
      <c r="BF73" s="443">
        <f t="shared" si="82"/>
        <v>418211.22587826615</v>
      </c>
      <c r="BG73" s="443">
        <f t="shared" si="82"/>
        <v>419029.29035206407</v>
      </c>
      <c r="BH73" s="443">
        <f t="shared" si="82"/>
        <v>419848.93517526868</v>
      </c>
      <c r="BI73" s="443">
        <f t="shared" si="82"/>
        <v>420670.16335031216</v>
      </c>
      <c r="BJ73" s="443">
        <f t="shared" si="82"/>
        <v>421492.97788520099</v>
      </c>
      <c r="BK73" s="443">
        <f t="shared" si="82"/>
        <v>422317.38179352594</v>
      </c>
      <c r="BL73" s="443">
        <f t="shared" si="82"/>
        <v>423143.37809447164</v>
      </c>
      <c r="BM73" s="443">
        <f t="shared" si="82"/>
        <v>423970.96981282718</v>
      </c>
      <c r="BN73" s="443">
        <f t="shared" si="82"/>
        <v>424800.1599789958</v>
      </c>
      <c r="BO73" s="443">
        <f t="shared" si="82"/>
        <v>425630.95162900561</v>
      </c>
      <c r="BP73" s="443">
        <f t="shared" si="82"/>
        <v>426463.34780451836</v>
      </c>
      <c r="BQ73" s="443">
        <f t="shared" si="82"/>
        <v>427297.35155284114</v>
      </c>
      <c r="BR73" s="443">
        <f t="shared" ref="BR73:CW73" si="83">IFERROR(BR56+BR70,0)</f>
        <v>428132.9659269352</v>
      </c>
      <c r="BS73" s="443">
        <f t="shared" si="83"/>
        <v>428970.19398542691</v>
      </c>
      <c r="BT73" s="443">
        <f t="shared" si="83"/>
        <v>429809.03879261774</v>
      </c>
      <c r="BU73" s="443">
        <f t="shared" si="83"/>
        <v>430649.50341849425</v>
      </c>
      <c r="BV73" s="443">
        <f t="shared" si="83"/>
        <v>431491.59093873808</v>
      </c>
      <c r="BW73" s="443">
        <f t="shared" si="83"/>
        <v>432335.30443473731</v>
      </c>
      <c r="BX73" s="443">
        <f t="shared" si="83"/>
        <v>433180.64699359483</v>
      </c>
      <c r="BY73" s="443">
        <f t="shared" si="83"/>
        <v>434027.62170814048</v>
      </c>
      <c r="BZ73" s="443">
        <f t="shared" si="83"/>
        <v>434876.23167693976</v>
      </c>
      <c r="CA73" s="443">
        <f t="shared" si="83"/>
        <v>435726.48000430549</v>
      </c>
      <c r="CB73" s="443">
        <f t="shared" si="83"/>
        <v>436578.36980030697</v>
      </c>
      <c r="CC73" s="443">
        <f t="shared" si="83"/>
        <v>437431.90418078081</v>
      </c>
      <c r="CD73" s="443">
        <f t="shared" si="83"/>
        <v>438287.08626734134</v>
      </c>
      <c r="CE73" s="443">
        <f t="shared" si="83"/>
        <v>439143.91918739083</v>
      </c>
      <c r="CF73" s="443">
        <f t="shared" si="83"/>
        <v>440002.40607412986</v>
      </c>
      <c r="CG73" s="443">
        <f t="shared" si="83"/>
        <v>440862.55006656772</v>
      </c>
      <c r="CH73" s="443">
        <f t="shared" si="83"/>
        <v>441724.35430953291</v>
      </c>
      <c r="CI73" s="443">
        <f t="shared" si="83"/>
        <v>442587.82195368351</v>
      </c>
      <c r="CJ73" s="443">
        <f t="shared" si="83"/>
        <v>443452.95615551702</v>
      </c>
      <c r="CK73" s="443">
        <f t="shared" si="83"/>
        <v>444319.76007738221</v>
      </c>
      <c r="CL73" s="443">
        <f t="shared" si="83"/>
        <v>445188.23688748846</v>
      </c>
      <c r="CM73" s="443">
        <f t="shared" si="83"/>
        <v>446058.38975991646</v>
      </c>
      <c r="CN73" s="443">
        <f t="shared" si="83"/>
        <v>446930.22187462886</v>
      </c>
      <c r="CO73" s="443">
        <f t="shared" si="83"/>
        <v>60172782.136282839</v>
      </c>
      <c r="CP73" s="443">
        <f t="shared" si="83"/>
        <v>0</v>
      </c>
      <c r="CQ73" s="443">
        <f t="shared" si="83"/>
        <v>0</v>
      </c>
      <c r="CR73" s="443">
        <f t="shared" si="83"/>
        <v>0</v>
      </c>
      <c r="CS73" s="443">
        <f t="shared" si="83"/>
        <v>0</v>
      </c>
      <c r="CT73" s="443">
        <f t="shared" si="83"/>
        <v>0</v>
      </c>
      <c r="CU73" s="443">
        <f t="shared" si="83"/>
        <v>0</v>
      </c>
      <c r="CV73" s="443">
        <f t="shared" si="83"/>
        <v>0</v>
      </c>
      <c r="CW73" s="443">
        <f t="shared" si="83"/>
        <v>0</v>
      </c>
      <c r="CX73" s="443">
        <f t="shared" ref="CX73:DU73" si="84">IFERROR(CX56+CX70,0)</f>
        <v>0</v>
      </c>
      <c r="CY73" s="443">
        <f t="shared" si="84"/>
        <v>0</v>
      </c>
      <c r="CZ73" s="443">
        <f t="shared" si="84"/>
        <v>0</v>
      </c>
      <c r="DA73" s="443">
        <f t="shared" si="84"/>
        <v>0</v>
      </c>
      <c r="DB73" s="443">
        <f t="shared" si="84"/>
        <v>0</v>
      </c>
      <c r="DC73" s="443">
        <f t="shared" si="84"/>
        <v>0</v>
      </c>
      <c r="DD73" s="443">
        <f t="shared" si="84"/>
        <v>0</v>
      </c>
      <c r="DE73" s="443">
        <f t="shared" si="84"/>
        <v>0</v>
      </c>
      <c r="DF73" s="443">
        <f t="shared" si="84"/>
        <v>0</v>
      </c>
      <c r="DG73" s="443">
        <f t="shared" si="84"/>
        <v>0</v>
      </c>
      <c r="DH73" s="443">
        <f t="shared" si="84"/>
        <v>0</v>
      </c>
      <c r="DI73" s="443">
        <f t="shared" si="84"/>
        <v>0</v>
      </c>
      <c r="DJ73" s="443">
        <f t="shared" si="84"/>
        <v>0</v>
      </c>
      <c r="DK73" s="443">
        <f t="shared" si="84"/>
        <v>0</v>
      </c>
      <c r="DL73" s="443">
        <f t="shared" si="84"/>
        <v>0</v>
      </c>
      <c r="DM73" s="443">
        <f t="shared" si="84"/>
        <v>0</v>
      </c>
      <c r="DN73" s="443">
        <f t="shared" si="84"/>
        <v>0</v>
      </c>
      <c r="DO73" s="443">
        <f t="shared" si="84"/>
        <v>0</v>
      </c>
      <c r="DP73" s="443">
        <f t="shared" si="84"/>
        <v>0</v>
      </c>
      <c r="DQ73" s="443">
        <f t="shared" si="84"/>
        <v>0</v>
      </c>
      <c r="DR73" s="443">
        <f t="shared" si="84"/>
        <v>0</v>
      </c>
      <c r="DS73" s="443">
        <f t="shared" si="84"/>
        <v>0</v>
      </c>
      <c r="DT73" s="443">
        <f t="shared" si="84"/>
        <v>0</v>
      </c>
      <c r="DU73" s="443">
        <f t="shared" si="84"/>
        <v>0</v>
      </c>
    </row>
    <row r="74" spans="1:125" x14ac:dyDescent="0.25">
      <c r="C74" t="s">
        <v>514</v>
      </c>
      <c r="D74" s="448">
        <f>XIRR(F73:HB73,F4:HB4)</f>
        <v>9.7391468286514266E-2</v>
      </c>
      <c r="F74" s="388"/>
      <c r="G74" s="388"/>
      <c r="H74" s="388"/>
      <c r="I74" s="388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90"/>
      <c r="V74" s="390"/>
      <c r="W74" s="390"/>
      <c r="X74" s="390"/>
      <c r="Y74" s="390"/>
      <c r="Z74" s="390"/>
      <c r="AA74" s="390"/>
      <c r="AB74" s="390"/>
      <c r="AC74" s="390"/>
      <c r="AD74" s="390"/>
      <c r="AE74" s="390"/>
      <c r="AF74" s="390"/>
      <c r="AG74" s="390"/>
      <c r="AH74" s="390"/>
      <c r="AI74" s="390"/>
      <c r="AJ74" s="390"/>
      <c r="AK74" s="390"/>
      <c r="AL74" s="390"/>
      <c r="AM74" s="390"/>
      <c r="AN74" s="390"/>
      <c r="AO74" s="390"/>
      <c r="AP74" s="390"/>
      <c r="AQ74" s="390"/>
      <c r="AR74" s="390"/>
      <c r="AS74" s="390"/>
      <c r="AT74" s="390"/>
      <c r="AU74" s="390"/>
      <c r="AV74" s="390"/>
      <c r="AW74" s="390"/>
      <c r="AX74" s="390"/>
      <c r="AY74" s="390"/>
      <c r="AZ74" s="390"/>
      <c r="BA74" s="390"/>
      <c r="BB74" s="390"/>
      <c r="BC74" s="390"/>
      <c r="BD74" s="390"/>
      <c r="BE74" s="390"/>
      <c r="BF74" s="390"/>
      <c r="BG74" s="390"/>
      <c r="BH74" s="390"/>
      <c r="BI74" s="390"/>
      <c r="BJ74" s="390"/>
      <c r="BK74" s="390"/>
      <c r="BL74" s="390"/>
      <c r="BM74" s="390"/>
      <c r="BN74" s="390"/>
      <c r="BO74" s="390"/>
      <c r="BP74" s="390"/>
      <c r="BQ74" s="390"/>
      <c r="BR74" s="390"/>
      <c r="BS74" s="390"/>
      <c r="BT74" s="390"/>
      <c r="BU74" s="390"/>
      <c r="BV74" s="390"/>
      <c r="BW74" s="390"/>
      <c r="BX74" s="390"/>
      <c r="BY74" s="390"/>
      <c r="BZ74" s="390"/>
      <c r="CA74" s="390"/>
      <c r="CB74" s="390"/>
      <c r="CC74" s="390"/>
      <c r="CD74" s="390"/>
      <c r="CE74" s="390"/>
      <c r="CF74" s="390"/>
      <c r="CG74" s="390"/>
      <c r="CH74" s="390"/>
      <c r="CI74" s="390"/>
      <c r="CJ74" s="390"/>
      <c r="CK74" s="390"/>
      <c r="CL74" s="390"/>
      <c r="CM74" s="390"/>
      <c r="CN74" s="390"/>
      <c r="CO74" s="390"/>
      <c r="CP74" s="390"/>
      <c r="CQ74" s="390"/>
      <c r="CR74" s="390"/>
      <c r="CS74" s="390"/>
      <c r="CT74" s="390"/>
      <c r="CU74" s="390"/>
      <c r="CV74" s="390"/>
      <c r="CW74" s="390"/>
      <c r="CX74" s="390"/>
      <c r="CY74" s="390"/>
      <c r="CZ74" s="390"/>
      <c r="DA74" s="390"/>
      <c r="DB74" s="390"/>
      <c r="DC74" s="390"/>
      <c r="DD74" s="390"/>
      <c r="DE74" s="390"/>
      <c r="DF74" s="390"/>
      <c r="DG74" s="390"/>
      <c r="DH74" s="390"/>
      <c r="DI74" s="390"/>
      <c r="DJ74" s="390"/>
      <c r="DK74" s="390"/>
      <c r="DL74" s="390"/>
      <c r="DM74" s="390"/>
      <c r="DN74" s="390"/>
      <c r="DO74" s="390"/>
      <c r="DP74" s="390"/>
      <c r="DQ74" s="390"/>
      <c r="DR74" s="390"/>
      <c r="DS74" s="390"/>
      <c r="DT74" s="390"/>
      <c r="DU74" s="390"/>
    </row>
    <row r="75" spans="1:125" x14ac:dyDescent="0.25">
      <c r="A75" s="385" t="s">
        <v>515</v>
      </c>
      <c r="D75" s="387"/>
      <c r="F75" s="388"/>
      <c r="G75" s="388"/>
      <c r="H75" s="388"/>
      <c r="I75" s="388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90"/>
      <c r="V75" s="390"/>
      <c r="W75" s="390"/>
      <c r="X75" s="390"/>
      <c r="Y75" s="390"/>
      <c r="Z75" s="390"/>
      <c r="AA75" s="390"/>
      <c r="AB75" s="390"/>
      <c r="AC75" s="390"/>
      <c r="AD75" s="390"/>
      <c r="AE75" s="390"/>
      <c r="AF75" s="390"/>
      <c r="AG75" s="390"/>
      <c r="AH75" s="390"/>
      <c r="AI75" s="390"/>
      <c r="AJ75" s="390"/>
      <c r="AK75" s="390"/>
      <c r="AL75" s="390"/>
      <c r="AM75" s="390"/>
      <c r="AN75" s="390"/>
      <c r="AO75" s="390"/>
      <c r="AP75" s="390"/>
      <c r="AQ75" s="390"/>
      <c r="AR75" s="390"/>
      <c r="AS75" s="390"/>
      <c r="AT75" s="390"/>
      <c r="AU75" s="390"/>
      <c r="AV75" s="390"/>
      <c r="AW75" s="390"/>
      <c r="AX75" s="390"/>
      <c r="AY75" s="390"/>
      <c r="AZ75" s="390"/>
      <c r="BA75" s="390"/>
      <c r="BB75" s="390"/>
      <c r="BC75" s="390"/>
      <c r="BD75" s="390"/>
      <c r="BE75" s="390"/>
      <c r="BF75" s="390"/>
      <c r="BG75" s="390"/>
      <c r="BH75" s="390"/>
      <c r="BI75" s="390"/>
      <c r="BJ75" s="390"/>
      <c r="BK75" s="390"/>
      <c r="BL75" s="390"/>
      <c r="BM75" s="390"/>
      <c r="BN75" s="390"/>
      <c r="BO75" s="390"/>
      <c r="BP75" s="390"/>
      <c r="BQ75" s="390"/>
      <c r="BR75" s="390"/>
      <c r="BS75" s="390"/>
      <c r="BT75" s="390"/>
      <c r="BU75" s="390"/>
      <c r="BV75" s="390"/>
      <c r="BW75" s="390"/>
      <c r="BX75" s="390"/>
      <c r="BY75" s="390"/>
      <c r="BZ75" s="390"/>
      <c r="CA75" s="390"/>
      <c r="CB75" s="390"/>
      <c r="CC75" s="390"/>
      <c r="CD75" s="390"/>
      <c r="CE75" s="390"/>
      <c r="CF75" s="390"/>
      <c r="CG75" s="390"/>
      <c r="CH75" s="390"/>
      <c r="CI75" s="390"/>
      <c r="CJ75" s="390"/>
      <c r="CK75" s="390"/>
      <c r="CL75" s="390"/>
      <c r="CM75" s="390"/>
      <c r="CN75" s="390"/>
      <c r="CO75" s="390"/>
      <c r="CP75" s="390"/>
      <c r="CQ75" s="390"/>
      <c r="CR75" s="390"/>
      <c r="CS75" s="390"/>
      <c r="CT75" s="390"/>
      <c r="CU75" s="390"/>
      <c r="CV75" s="390"/>
      <c r="CW75" s="390"/>
      <c r="CX75" s="390"/>
      <c r="CY75" s="390"/>
      <c r="CZ75" s="390"/>
      <c r="DA75" s="390"/>
      <c r="DB75" s="390"/>
      <c r="DC75" s="390"/>
      <c r="DD75" s="390"/>
      <c r="DE75" s="390"/>
      <c r="DF75" s="390"/>
      <c r="DG75" s="390"/>
      <c r="DH75" s="390"/>
      <c r="DI75" s="390"/>
      <c r="DJ75" s="390"/>
      <c r="DK75" s="390"/>
      <c r="DL75" s="390"/>
      <c r="DM75" s="390"/>
      <c r="DN75" s="390"/>
      <c r="DO75" s="390"/>
      <c r="DP75" s="390"/>
      <c r="DQ75" s="390"/>
      <c r="DR75" s="390"/>
      <c r="DS75" s="390"/>
      <c r="DT75" s="390"/>
      <c r="DU75" s="390"/>
    </row>
    <row r="76" spans="1:125" x14ac:dyDescent="0.25">
      <c r="D76" s="387"/>
      <c r="F76" s="388"/>
      <c r="G76" s="388"/>
      <c r="H76" s="388"/>
      <c r="I76" s="388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90"/>
      <c r="V76" s="390"/>
      <c r="W76" s="390"/>
      <c r="X76" s="390"/>
      <c r="Y76" s="390"/>
      <c r="Z76" s="390"/>
      <c r="AA76" s="390"/>
      <c r="AB76" s="390"/>
      <c r="AC76" s="390"/>
      <c r="AD76" s="390"/>
      <c r="AE76" s="390"/>
      <c r="AF76" s="390"/>
      <c r="AG76" s="390"/>
      <c r="AH76" s="390"/>
      <c r="AI76" s="390"/>
      <c r="AJ76" s="390"/>
      <c r="AK76" s="390"/>
      <c r="AL76" s="390"/>
      <c r="AM76" s="390"/>
      <c r="AN76" s="390"/>
      <c r="AO76" s="390"/>
      <c r="AP76" s="390"/>
      <c r="AQ76" s="390"/>
      <c r="AR76" s="390"/>
      <c r="AS76" s="390"/>
      <c r="AT76" s="390"/>
      <c r="AU76" s="390"/>
      <c r="AV76" s="390"/>
      <c r="AW76" s="390"/>
      <c r="AX76" s="390"/>
      <c r="AY76" s="390"/>
      <c r="AZ76" s="390"/>
      <c r="BA76" s="390"/>
      <c r="BB76" s="390"/>
      <c r="BC76" s="390"/>
      <c r="BD76" s="390"/>
      <c r="BE76" s="390"/>
      <c r="BF76" s="390"/>
      <c r="BG76" s="390"/>
      <c r="BH76" s="390"/>
      <c r="BI76" s="390"/>
      <c r="BJ76" s="390"/>
      <c r="BK76" s="390"/>
      <c r="BL76" s="390"/>
      <c r="BM76" s="390"/>
      <c r="BN76" s="390"/>
      <c r="BO76" s="390"/>
      <c r="BP76" s="390"/>
      <c r="BQ76" s="390"/>
      <c r="BR76" s="390"/>
      <c r="BS76" s="390"/>
      <c r="BT76" s="390"/>
      <c r="BU76" s="390"/>
      <c r="BV76" s="390"/>
      <c r="BW76" s="390"/>
      <c r="BX76" s="390"/>
      <c r="BY76" s="390"/>
      <c r="BZ76" s="390"/>
      <c r="CA76" s="390"/>
      <c r="CB76" s="390"/>
      <c r="CC76" s="390"/>
      <c r="CD76" s="390"/>
      <c r="CE76" s="390"/>
      <c r="CF76" s="390"/>
      <c r="CG76" s="390"/>
      <c r="CH76" s="390"/>
      <c r="CI76" s="390"/>
      <c r="CJ76" s="390"/>
      <c r="CK76" s="390"/>
      <c r="CL76" s="390"/>
      <c r="CM76" s="390"/>
      <c r="CN76" s="390"/>
      <c r="CO76" s="390"/>
      <c r="CP76" s="390"/>
      <c r="CQ76" s="390"/>
      <c r="CR76" s="390"/>
      <c r="CS76" s="390"/>
      <c r="CT76" s="390"/>
      <c r="CU76" s="390"/>
      <c r="CV76" s="390"/>
      <c r="CW76" s="390"/>
      <c r="CX76" s="390"/>
      <c r="CY76" s="390"/>
      <c r="CZ76" s="390"/>
      <c r="DA76" s="390"/>
      <c r="DB76" s="390"/>
      <c r="DC76" s="390"/>
      <c r="DD76" s="390"/>
      <c r="DE76" s="390"/>
      <c r="DF76" s="390"/>
      <c r="DG76" s="390"/>
      <c r="DH76" s="390"/>
      <c r="DI76" s="390"/>
      <c r="DJ76" s="390"/>
      <c r="DK76" s="390"/>
      <c r="DL76" s="390"/>
      <c r="DM76" s="390"/>
      <c r="DN76" s="390"/>
      <c r="DO76" s="390"/>
      <c r="DP76" s="390"/>
      <c r="DQ76" s="390"/>
      <c r="DR76" s="390"/>
      <c r="DS76" s="390"/>
      <c r="DT76" s="390"/>
      <c r="DU76" s="390"/>
    </row>
    <row r="77" spans="1:125" x14ac:dyDescent="0.25">
      <c r="A77" s="385" t="s">
        <v>516</v>
      </c>
      <c r="D77" s="463">
        <f>IFERROR(SUM(F77:HC77),0)</f>
        <v>3886817.2150424765</v>
      </c>
      <c r="F77" s="441">
        <f t="shared" ref="F77:AK77" si="85">F91</f>
        <v>0</v>
      </c>
      <c r="G77" s="441">
        <f t="shared" si="85"/>
        <v>0</v>
      </c>
      <c r="H77" s="441">
        <f t="shared" si="85"/>
        <v>0</v>
      </c>
      <c r="I77" s="441">
        <f t="shared" si="85"/>
        <v>0</v>
      </c>
      <c r="J77" s="442">
        <f t="shared" si="85"/>
        <v>0</v>
      </c>
      <c r="K77" s="442">
        <f t="shared" si="85"/>
        <v>0</v>
      </c>
      <c r="L77" s="442">
        <f t="shared" si="85"/>
        <v>0</v>
      </c>
      <c r="M77" s="442">
        <f t="shared" si="85"/>
        <v>0</v>
      </c>
      <c r="N77" s="442">
        <f t="shared" si="85"/>
        <v>0</v>
      </c>
      <c r="O77" s="442">
        <f t="shared" si="85"/>
        <v>0</v>
      </c>
      <c r="P77" s="442">
        <f t="shared" si="85"/>
        <v>2778.7672125000004</v>
      </c>
      <c r="Q77" s="442">
        <f t="shared" si="85"/>
        <v>2799.9118942576174</v>
      </c>
      <c r="R77" s="442">
        <f t="shared" si="85"/>
        <v>27973.554518599758</v>
      </c>
      <c r="S77" s="442">
        <f t="shared" si="85"/>
        <v>63458.289910103333</v>
      </c>
      <c r="T77" s="442">
        <f t="shared" si="85"/>
        <v>84251.296136581106</v>
      </c>
      <c r="U77" s="443">
        <f t="shared" si="85"/>
        <v>106379.04462044129</v>
      </c>
      <c r="V77" s="443">
        <f t="shared" si="85"/>
        <v>129083.24136936261</v>
      </c>
      <c r="W77" s="443">
        <f t="shared" si="85"/>
        <v>151390.33727458687</v>
      </c>
      <c r="X77" s="443">
        <f t="shared" si="85"/>
        <v>172690.65576208715</v>
      </c>
      <c r="Y77" s="443">
        <f t="shared" si="85"/>
        <v>192341.98523454048</v>
      </c>
      <c r="Z77" s="443">
        <f t="shared" si="85"/>
        <v>209892.26934120685</v>
      </c>
      <c r="AA77" s="443">
        <f t="shared" si="85"/>
        <v>225107.71311469423</v>
      </c>
      <c r="AB77" s="443">
        <f t="shared" si="85"/>
        <v>226820.64211917634</v>
      </c>
      <c r="AC77" s="443">
        <f t="shared" si="85"/>
        <v>228459.18866599794</v>
      </c>
      <c r="AD77" s="443">
        <f t="shared" si="85"/>
        <v>229693.21002724738</v>
      </c>
      <c r="AE77" s="443">
        <f t="shared" si="85"/>
        <v>230517.92021582948</v>
      </c>
      <c r="AF77" s="443">
        <f t="shared" si="85"/>
        <v>230928.49158508526</v>
      </c>
      <c r="AG77" s="443">
        <f t="shared" si="85"/>
        <v>230948.0315112173</v>
      </c>
      <c r="AH77" s="443">
        <f t="shared" si="85"/>
        <v>230515.88689219672</v>
      </c>
      <c r="AI77" s="443">
        <f t="shared" si="85"/>
        <v>229654.86885078039</v>
      </c>
      <c r="AJ77" s="443">
        <f t="shared" si="85"/>
        <v>228359.97977586533</v>
      </c>
      <c r="AK77" s="443">
        <f t="shared" si="85"/>
        <v>227049.28282163729</v>
      </c>
      <c r="AL77" s="443">
        <f t="shared" ref="AL77:BQ77" si="86">AL91</f>
        <v>225722.64618848238</v>
      </c>
      <c r="AM77" s="443">
        <f t="shared" si="86"/>
        <v>0</v>
      </c>
      <c r="AN77" s="443">
        <f t="shared" si="86"/>
        <v>0</v>
      </c>
      <c r="AO77" s="443">
        <f t="shared" si="86"/>
        <v>0</v>
      </c>
      <c r="AP77" s="443">
        <f t="shared" si="86"/>
        <v>0</v>
      </c>
      <c r="AQ77" s="443">
        <f t="shared" si="86"/>
        <v>0</v>
      </c>
      <c r="AR77" s="443">
        <f t="shared" si="86"/>
        <v>0</v>
      </c>
      <c r="AS77" s="443">
        <f t="shared" si="86"/>
        <v>0</v>
      </c>
      <c r="AT77" s="443">
        <f t="shared" si="86"/>
        <v>0</v>
      </c>
      <c r="AU77" s="443">
        <f t="shared" si="86"/>
        <v>0</v>
      </c>
      <c r="AV77" s="443">
        <f t="shared" si="86"/>
        <v>0</v>
      </c>
      <c r="AW77" s="443">
        <f t="shared" si="86"/>
        <v>0</v>
      </c>
      <c r="AX77" s="443">
        <f t="shared" si="86"/>
        <v>0</v>
      </c>
      <c r="AY77" s="443">
        <f t="shared" si="86"/>
        <v>0</v>
      </c>
      <c r="AZ77" s="443">
        <f t="shared" si="86"/>
        <v>0</v>
      </c>
      <c r="BA77" s="443">
        <f t="shared" si="86"/>
        <v>0</v>
      </c>
      <c r="BB77" s="443">
        <f t="shared" si="86"/>
        <v>0</v>
      </c>
      <c r="BC77" s="443">
        <f t="shared" si="86"/>
        <v>0</v>
      </c>
      <c r="BD77" s="443">
        <f t="shared" si="86"/>
        <v>0</v>
      </c>
      <c r="BE77" s="443">
        <f t="shared" si="86"/>
        <v>0</v>
      </c>
      <c r="BF77" s="443">
        <f t="shared" si="86"/>
        <v>0</v>
      </c>
      <c r="BG77" s="443">
        <f t="shared" si="86"/>
        <v>0</v>
      </c>
      <c r="BH77" s="443">
        <f t="shared" si="86"/>
        <v>0</v>
      </c>
      <c r="BI77" s="443">
        <f t="shared" si="86"/>
        <v>0</v>
      </c>
      <c r="BJ77" s="443">
        <f t="shared" si="86"/>
        <v>0</v>
      </c>
      <c r="BK77" s="443">
        <f t="shared" si="86"/>
        <v>0</v>
      </c>
      <c r="BL77" s="443">
        <f t="shared" si="86"/>
        <v>0</v>
      </c>
      <c r="BM77" s="443">
        <f t="shared" si="86"/>
        <v>0</v>
      </c>
      <c r="BN77" s="443">
        <f t="shared" si="86"/>
        <v>0</v>
      </c>
      <c r="BO77" s="443">
        <f t="shared" si="86"/>
        <v>0</v>
      </c>
      <c r="BP77" s="443">
        <f t="shared" si="86"/>
        <v>0</v>
      </c>
      <c r="BQ77" s="443">
        <f t="shared" si="86"/>
        <v>0</v>
      </c>
      <c r="BR77" s="443">
        <f t="shared" ref="BR77:CW77" si="87">BR91</f>
        <v>0</v>
      </c>
      <c r="BS77" s="443">
        <f t="shared" si="87"/>
        <v>0</v>
      </c>
      <c r="BT77" s="443">
        <f t="shared" si="87"/>
        <v>0</v>
      </c>
      <c r="BU77" s="443">
        <f t="shared" si="87"/>
        <v>0</v>
      </c>
      <c r="BV77" s="443">
        <f t="shared" si="87"/>
        <v>0</v>
      </c>
      <c r="BW77" s="443">
        <f t="shared" si="87"/>
        <v>0</v>
      </c>
      <c r="BX77" s="443">
        <f t="shared" si="87"/>
        <v>0</v>
      </c>
      <c r="BY77" s="443">
        <f t="shared" si="87"/>
        <v>0</v>
      </c>
      <c r="BZ77" s="443">
        <f t="shared" si="87"/>
        <v>0</v>
      </c>
      <c r="CA77" s="443">
        <f t="shared" si="87"/>
        <v>0</v>
      </c>
      <c r="CB77" s="443">
        <f t="shared" si="87"/>
        <v>0</v>
      </c>
      <c r="CC77" s="443">
        <f t="shared" si="87"/>
        <v>0</v>
      </c>
      <c r="CD77" s="443">
        <f t="shared" si="87"/>
        <v>0</v>
      </c>
      <c r="CE77" s="443">
        <f t="shared" si="87"/>
        <v>0</v>
      </c>
      <c r="CF77" s="443">
        <f t="shared" si="87"/>
        <v>0</v>
      </c>
      <c r="CG77" s="443">
        <f t="shared" si="87"/>
        <v>0</v>
      </c>
      <c r="CH77" s="443">
        <f t="shared" si="87"/>
        <v>0</v>
      </c>
      <c r="CI77" s="443">
        <f t="shared" si="87"/>
        <v>0</v>
      </c>
      <c r="CJ77" s="443">
        <f t="shared" si="87"/>
        <v>0</v>
      </c>
      <c r="CK77" s="443">
        <f t="shared" si="87"/>
        <v>0</v>
      </c>
      <c r="CL77" s="443">
        <f t="shared" si="87"/>
        <v>0</v>
      </c>
      <c r="CM77" s="443">
        <f t="shared" si="87"/>
        <v>0</v>
      </c>
      <c r="CN77" s="443">
        <f t="shared" si="87"/>
        <v>0</v>
      </c>
      <c r="CO77" s="443">
        <f t="shared" si="87"/>
        <v>0</v>
      </c>
      <c r="CP77" s="443">
        <f t="shared" si="87"/>
        <v>0</v>
      </c>
      <c r="CQ77" s="443">
        <f t="shared" si="87"/>
        <v>0</v>
      </c>
      <c r="CR77" s="443">
        <f t="shared" si="87"/>
        <v>0</v>
      </c>
      <c r="CS77" s="443">
        <f t="shared" si="87"/>
        <v>0</v>
      </c>
      <c r="CT77" s="443">
        <f t="shared" si="87"/>
        <v>0</v>
      </c>
      <c r="CU77" s="443">
        <f t="shared" si="87"/>
        <v>0</v>
      </c>
      <c r="CV77" s="443">
        <f t="shared" si="87"/>
        <v>0</v>
      </c>
      <c r="CW77" s="443">
        <f t="shared" si="87"/>
        <v>0</v>
      </c>
      <c r="CX77" s="443">
        <f t="shared" ref="CX77:DU77" si="88">CX91</f>
        <v>0</v>
      </c>
      <c r="CY77" s="443">
        <f t="shared" si="88"/>
        <v>0</v>
      </c>
      <c r="CZ77" s="443">
        <f t="shared" si="88"/>
        <v>0</v>
      </c>
      <c r="DA77" s="443">
        <f t="shared" si="88"/>
        <v>0</v>
      </c>
      <c r="DB77" s="443">
        <f t="shared" si="88"/>
        <v>0</v>
      </c>
      <c r="DC77" s="443">
        <f t="shared" si="88"/>
        <v>0</v>
      </c>
      <c r="DD77" s="443">
        <f t="shared" si="88"/>
        <v>0</v>
      </c>
      <c r="DE77" s="443">
        <f t="shared" si="88"/>
        <v>0</v>
      </c>
      <c r="DF77" s="443">
        <f t="shared" si="88"/>
        <v>0</v>
      </c>
      <c r="DG77" s="443">
        <f t="shared" si="88"/>
        <v>0</v>
      </c>
      <c r="DH77" s="443">
        <f t="shared" si="88"/>
        <v>0</v>
      </c>
      <c r="DI77" s="443">
        <f t="shared" si="88"/>
        <v>0</v>
      </c>
      <c r="DJ77" s="443">
        <f t="shared" si="88"/>
        <v>0</v>
      </c>
      <c r="DK77" s="443">
        <f t="shared" si="88"/>
        <v>0</v>
      </c>
      <c r="DL77" s="443">
        <f t="shared" si="88"/>
        <v>0</v>
      </c>
      <c r="DM77" s="443">
        <f t="shared" si="88"/>
        <v>0</v>
      </c>
      <c r="DN77" s="443">
        <f t="shared" si="88"/>
        <v>0</v>
      </c>
      <c r="DO77" s="443">
        <f t="shared" si="88"/>
        <v>0</v>
      </c>
      <c r="DP77" s="443">
        <f t="shared" si="88"/>
        <v>0</v>
      </c>
      <c r="DQ77" s="443">
        <f t="shared" si="88"/>
        <v>0</v>
      </c>
      <c r="DR77" s="443">
        <f t="shared" si="88"/>
        <v>0</v>
      </c>
      <c r="DS77" s="443">
        <f t="shared" si="88"/>
        <v>0</v>
      </c>
      <c r="DT77" s="443">
        <f t="shared" si="88"/>
        <v>0</v>
      </c>
      <c r="DU77" s="443">
        <f t="shared" si="88"/>
        <v>0</v>
      </c>
    </row>
    <row r="78" spans="1:125" x14ac:dyDescent="0.25">
      <c r="A78" s="385" t="s">
        <v>517</v>
      </c>
      <c r="D78" s="463">
        <f>IFERROR(SUM(F78:HC78),0)</f>
        <v>365176.8</v>
      </c>
      <c r="F78" s="441">
        <f t="shared" ref="F78:AK78" si="89">IFERROR(F88+F90,0)</f>
        <v>0</v>
      </c>
      <c r="G78" s="441">
        <f t="shared" si="89"/>
        <v>0</v>
      </c>
      <c r="H78" s="441">
        <f t="shared" si="89"/>
        <v>0</v>
      </c>
      <c r="I78" s="441">
        <f t="shared" si="89"/>
        <v>0</v>
      </c>
      <c r="J78" s="442">
        <f t="shared" si="89"/>
        <v>0</v>
      </c>
      <c r="K78" s="442">
        <f t="shared" si="89"/>
        <v>0</v>
      </c>
      <c r="L78" s="442">
        <f t="shared" si="89"/>
        <v>0</v>
      </c>
      <c r="M78" s="442">
        <f t="shared" si="89"/>
        <v>0</v>
      </c>
      <c r="N78" s="442">
        <f t="shared" si="89"/>
        <v>0</v>
      </c>
      <c r="O78" s="442">
        <f t="shared" si="89"/>
        <v>365176.8</v>
      </c>
      <c r="P78" s="442">
        <f t="shared" si="89"/>
        <v>0</v>
      </c>
      <c r="Q78" s="442">
        <f t="shared" si="89"/>
        <v>0</v>
      </c>
      <c r="R78" s="442">
        <f t="shared" si="89"/>
        <v>0</v>
      </c>
      <c r="S78" s="442">
        <f t="shared" si="89"/>
        <v>0</v>
      </c>
      <c r="T78" s="442">
        <f t="shared" si="89"/>
        <v>0</v>
      </c>
      <c r="U78" s="443">
        <f t="shared" si="89"/>
        <v>0</v>
      </c>
      <c r="V78" s="443">
        <f t="shared" si="89"/>
        <v>0</v>
      </c>
      <c r="W78" s="443">
        <f t="shared" si="89"/>
        <v>0</v>
      </c>
      <c r="X78" s="443">
        <f t="shared" si="89"/>
        <v>0</v>
      </c>
      <c r="Y78" s="443">
        <f t="shared" si="89"/>
        <v>0</v>
      </c>
      <c r="Z78" s="443">
        <f t="shared" si="89"/>
        <v>0</v>
      </c>
      <c r="AA78" s="443">
        <f t="shared" si="89"/>
        <v>0</v>
      </c>
      <c r="AB78" s="443">
        <f t="shared" si="89"/>
        <v>0</v>
      </c>
      <c r="AC78" s="443">
        <f t="shared" si="89"/>
        <v>0</v>
      </c>
      <c r="AD78" s="443">
        <f t="shared" si="89"/>
        <v>0</v>
      </c>
      <c r="AE78" s="443">
        <f t="shared" si="89"/>
        <v>0</v>
      </c>
      <c r="AF78" s="443">
        <f t="shared" si="89"/>
        <v>0</v>
      </c>
      <c r="AG78" s="443">
        <f t="shared" si="89"/>
        <v>0</v>
      </c>
      <c r="AH78" s="443">
        <f t="shared" si="89"/>
        <v>0</v>
      </c>
      <c r="AI78" s="443">
        <f t="shared" si="89"/>
        <v>0</v>
      </c>
      <c r="AJ78" s="443">
        <f t="shared" si="89"/>
        <v>0</v>
      </c>
      <c r="AK78" s="443">
        <f t="shared" si="89"/>
        <v>0</v>
      </c>
      <c r="AL78" s="443">
        <f t="shared" ref="AL78:BQ78" si="90">IFERROR(AL88+AL90,0)</f>
        <v>0</v>
      </c>
      <c r="AM78" s="443">
        <f t="shared" si="90"/>
        <v>0</v>
      </c>
      <c r="AN78" s="443">
        <f t="shared" si="90"/>
        <v>0</v>
      </c>
      <c r="AO78" s="443">
        <f t="shared" si="90"/>
        <v>0</v>
      </c>
      <c r="AP78" s="443">
        <f t="shared" si="90"/>
        <v>0</v>
      </c>
      <c r="AQ78" s="443">
        <f t="shared" si="90"/>
        <v>0</v>
      </c>
      <c r="AR78" s="443">
        <f t="shared" si="90"/>
        <v>0</v>
      </c>
      <c r="AS78" s="443">
        <f t="shared" si="90"/>
        <v>0</v>
      </c>
      <c r="AT78" s="443">
        <f t="shared" si="90"/>
        <v>0</v>
      </c>
      <c r="AU78" s="443">
        <f t="shared" si="90"/>
        <v>0</v>
      </c>
      <c r="AV78" s="443">
        <f t="shared" si="90"/>
        <v>0</v>
      </c>
      <c r="AW78" s="443">
        <f t="shared" si="90"/>
        <v>0</v>
      </c>
      <c r="AX78" s="443">
        <f t="shared" si="90"/>
        <v>0</v>
      </c>
      <c r="AY78" s="443">
        <f t="shared" si="90"/>
        <v>0</v>
      </c>
      <c r="AZ78" s="443">
        <f t="shared" si="90"/>
        <v>0</v>
      </c>
      <c r="BA78" s="443">
        <f t="shared" si="90"/>
        <v>0</v>
      </c>
      <c r="BB78" s="443">
        <f t="shared" si="90"/>
        <v>0</v>
      </c>
      <c r="BC78" s="443">
        <f t="shared" si="90"/>
        <v>0</v>
      </c>
      <c r="BD78" s="443">
        <f t="shared" si="90"/>
        <v>0</v>
      </c>
      <c r="BE78" s="443">
        <f t="shared" si="90"/>
        <v>0</v>
      </c>
      <c r="BF78" s="443">
        <f t="shared" si="90"/>
        <v>0</v>
      </c>
      <c r="BG78" s="443">
        <f t="shared" si="90"/>
        <v>0</v>
      </c>
      <c r="BH78" s="443">
        <f t="shared" si="90"/>
        <v>0</v>
      </c>
      <c r="BI78" s="443">
        <f t="shared" si="90"/>
        <v>0</v>
      </c>
      <c r="BJ78" s="443">
        <f t="shared" si="90"/>
        <v>0</v>
      </c>
      <c r="BK78" s="443">
        <f t="shared" si="90"/>
        <v>0</v>
      </c>
      <c r="BL78" s="443">
        <f t="shared" si="90"/>
        <v>0</v>
      </c>
      <c r="BM78" s="443">
        <f t="shared" si="90"/>
        <v>0</v>
      </c>
      <c r="BN78" s="443">
        <f t="shared" si="90"/>
        <v>0</v>
      </c>
      <c r="BO78" s="443">
        <f t="shared" si="90"/>
        <v>0</v>
      </c>
      <c r="BP78" s="443">
        <f t="shared" si="90"/>
        <v>0</v>
      </c>
      <c r="BQ78" s="443">
        <f t="shared" si="90"/>
        <v>0</v>
      </c>
      <c r="BR78" s="443">
        <f t="shared" ref="BR78:CW78" si="91">IFERROR(BR88+BR90,0)</f>
        <v>0</v>
      </c>
      <c r="BS78" s="443">
        <f t="shared" si="91"/>
        <v>0</v>
      </c>
      <c r="BT78" s="443">
        <f t="shared" si="91"/>
        <v>0</v>
      </c>
      <c r="BU78" s="443">
        <f t="shared" si="91"/>
        <v>0</v>
      </c>
      <c r="BV78" s="443">
        <f t="shared" si="91"/>
        <v>0</v>
      </c>
      <c r="BW78" s="443">
        <f t="shared" si="91"/>
        <v>0</v>
      </c>
      <c r="BX78" s="443">
        <f t="shared" si="91"/>
        <v>0</v>
      </c>
      <c r="BY78" s="443">
        <f t="shared" si="91"/>
        <v>0</v>
      </c>
      <c r="BZ78" s="443">
        <f t="shared" si="91"/>
        <v>0</v>
      </c>
      <c r="CA78" s="443">
        <f t="shared" si="91"/>
        <v>0</v>
      </c>
      <c r="CB78" s="443">
        <f t="shared" si="91"/>
        <v>0</v>
      </c>
      <c r="CC78" s="443">
        <f t="shared" si="91"/>
        <v>0</v>
      </c>
      <c r="CD78" s="443">
        <f t="shared" si="91"/>
        <v>0</v>
      </c>
      <c r="CE78" s="443">
        <f t="shared" si="91"/>
        <v>0</v>
      </c>
      <c r="CF78" s="443">
        <f t="shared" si="91"/>
        <v>0</v>
      </c>
      <c r="CG78" s="443">
        <f t="shared" si="91"/>
        <v>0</v>
      </c>
      <c r="CH78" s="443">
        <f t="shared" si="91"/>
        <v>0</v>
      </c>
      <c r="CI78" s="443">
        <f t="shared" si="91"/>
        <v>0</v>
      </c>
      <c r="CJ78" s="443">
        <f t="shared" si="91"/>
        <v>0</v>
      </c>
      <c r="CK78" s="443">
        <f t="shared" si="91"/>
        <v>0</v>
      </c>
      <c r="CL78" s="443">
        <f t="shared" si="91"/>
        <v>0</v>
      </c>
      <c r="CM78" s="443">
        <f t="shared" si="91"/>
        <v>0</v>
      </c>
      <c r="CN78" s="443">
        <f t="shared" si="91"/>
        <v>0</v>
      </c>
      <c r="CO78" s="443">
        <f t="shared" si="91"/>
        <v>0</v>
      </c>
      <c r="CP78" s="443">
        <f t="shared" si="91"/>
        <v>0</v>
      </c>
      <c r="CQ78" s="443">
        <f t="shared" si="91"/>
        <v>0</v>
      </c>
      <c r="CR78" s="443">
        <f t="shared" si="91"/>
        <v>0</v>
      </c>
      <c r="CS78" s="443">
        <f t="shared" si="91"/>
        <v>0</v>
      </c>
      <c r="CT78" s="443">
        <f t="shared" si="91"/>
        <v>0</v>
      </c>
      <c r="CU78" s="443">
        <f t="shared" si="91"/>
        <v>0</v>
      </c>
      <c r="CV78" s="443">
        <f t="shared" si="91"/>
        <v>0</v>
      </c>
      <c r="CW78" s="443">
        <f t="shared" si="91"/>
        <v>0</v>
      </c>
      <c r="CX78" s="443">
        <f t="shared" ref="CX78:DU78" si="92">IFERROR(CX88+CX90,0)</f>
        <v>0</v>
      </c>
      <c r="CY78" s="443">
        <f t="shared" si="92"/>
        <v>0</v>
      </c>
      <c r="CZ78" s="443">
        <f t="shared" si="92"/>
        <v>0</v>
      </c>
      <c r="DA78" s="443">
        <f t="shared" si="92"/>
        <v>0</v>
      </c>
      <c r="DB78" s="443">
        <f t="shared" si="92"/>
        <v>0</v>
      </c>
      <c r="DC78" s="443">
        <f t="shared" si="92"/>
        <v>0</v>
      </c>
      <c r="DD78" s="443">
        <f t="shared" si="92"/>
        <v>0</v>
      </c>
      <c r="DE78" s="443">
        <f t="shared" si="92"/>
        <v>0</v>
      </c>
      <c r="DF78" s="443">
        <f t="shared" si="92"/>
        <v>0</v>
      </c>
      <c r="DG78" s="443">
        <f t="shared" si="92"/>
        <v>0</v>
      </c>
      <c r="DH78" s="443">
        <f t="shared" si="92"/>
        <v>0</v>
      </c>
      <c r="DI78" s="443">
        <f t="shared" si="92"/>
        <v>0</v>
      </c>
      <c r="DJ78" s="443">
        <f t="shared" si="92"/>
        <v>0</v>
      </c>
      <c r="DK78" s="443">
        <f t="shared" si="92"/>
        <v>0</v>
      </c>
      <c r="DL78" s="443">
        <f t="shared" si="92"/>
        <v>0</v>
      </c>
      <c r="DM78" s="443">
        <f t="shared" si="92"/>
        <v>0</v>
      </c>
      <c r="DN78" s="443">
        <f t="shared" si="92"/>
        <v>0</v>
      </c>
      <c r="DO78" s="443">
        <f t="shared" si="92"/>
        <v>0</v>
      </c>
      <c r="DP78" s="443">
        <f t="shared" si="92"/>
        <v>0</v>
      </c>
      <c r="DQ78" s="443">
        <f t="shared" si="92"/>
        <v>0</v>
      </c>
      <c r="DR78" s="443">
        <f t="shared" si="92"/>
        <v>0</v>
      </c>
      <c r="DS78" s="443">
        <f t="shared" si="92"/>
        <v>0</v>
      </c>
      <c r="DT78" s="443">
        <f t="shared" si="92"/>
        <v>0</v>
      </c>
      <c r="DU78" s="443">
        <f t="shared" si="92"/>
        <v>0</v>
      </c>
    </row>
    <row r="79" spans="1:125" x14ac:dyDescent="0.25">
      <c r="A79" s="385" t="s">
        <v>518</v>
      </c>
      <c r="D79" s="387"/>
      <c r="F79" s="469">
        <f t="shared" ref="F79:AK79" si="93">IFERROR(F70+F77+F78, 0)</f>
        <v>-15820.442152306528</v>
      </c>
      <c r="G79" s="469">
        <f t="shared" si="93"/>
        <v>0</v>
      </c>
      <c r="H79" s="469">
        <f t="shared" si="93"/>
        <v>0</v>
      </c>
      <c r="I79" s="469">
        <f t="shared" si="93"/>
        <v>-1601600</v>
      </c>
      <c r="J79" s="470">
        <f t="shared" si="93"/>
        <v>-356854.17191853077</v>
      </c>
      <c r="K79" s="470">
        <f t="shared" si="93"/>
        <v>-386472.58540693863</v>
      </c>
      <c r="L79" s="470">
        <f t="shared" si="93"/>
        <v>-402191.2749999793</v>
      </c>
      <c r="M79" s="470">
        <f t="shared" si="93"/>
        <v>-11033528.401349967</v>
      </c>
      <c r="N79" s="470">
        <f t="shared" si="93"/>
        <v>-386472.58540693927</v>
      </c>
      <c r="O79" s="470">
        <f t="shared" si="93"/>
        <v>8322.6280814695056</v>
      </c>
      <c r="P79" s="470">
        <f t="shared" si="93"/>
        <v>-8264922.5586022697</v>
      </c>
      <c r="Q79" s="470">
        <f t="shared" si="93"/>
        <v>-4336754.1808002321</v>
      </c>
      <c r="R79" s="470">
        <f t="shared" si="93"/>
        <v>-4607344.6056573149</v>
      </c>
      <c r="S79" s="470">
        <f t="shared" si="93"/>
        <v>-2605634.5464520268</v>
      </c>
      <c r="T79" s="470">
        <f t="shared" si="93"/>
        <v>-2739456.1407187302</v>
      </c>
      <c r="U79" s="471">
        <f t="shared" si="93"/>
        <v>-2770955.6518904604</v>
      </c>
      <c r="V79" s="471">
        <f t="shared" si="93"/>
        <v>-2673361.5212332485</v>
      </c>
      <c r="W79" s="471">
        <f t="shared" si="93"/>
        <v>-2496439.8248348432</v>
      </c>
      <c r="X79" s="471">
        <f t="shared" si="93"/>
        <v>-2237134.2659645607</v>
      </c>
      <c r="Y79" s="471">
        <f t="shared" si="93"/>
        <v>-1921718.8690106859</v>
      </c>
      <c r="Z79" s="471">
        <f t="shared" si="93"/>
        <v>-1579780.967484304</v>
      </c>
      <c r="AA79" s="471">
        <f t="shared" si="93"/>
        <v>225107.71311469423</v>
      </c>
      <c r="AB79" s="471">
        <f t="shared" si="93"/>
        <v>226820.64211917634</v>
      </c>
      <c r="AC79" s="471">
        <f t="shared" si="93"/>
        <v>228459.18866599794</v>
      </c>
      <c r="AD79" s="471">
        <f t="shared" si="93"/>
        <v>229693.21002724738</v>
      </c>
      <c r="AE79" s="471">
        <f t="shared" si="93"/>
        <v>230517.92021582948</v>
      </c>
      <c r="AF79" s="471">
        <f t="shared" si="93"/>
        <v>230928.49158508526</v>
      </c>
      <c r="AG79" s="471">
        <f t="shared" si="93"/>
        <v>230948.0315112173</v>
      </c>
      <c r="AH79" s="471">
        <f t="shared" si="93"/>
        <v>230515.88689219672</v>
      </c>
      <c r="AI79" s="471">
        <f t="shared" si="93"/>
        <v>229654.86885078039</v>
      </c>
      <c r="AJ79" s="471">
        <f t="shared" si="93"/>
        <v>228359.97977586533</v>
      </c>
      <c r="AK79" s="471">
        <f t="shared" si="93"/>
        <v>227049.28282163729</v>
      </c>
      <c r="AL79" s="471">
        <f t="shared" ref="AL79:BQ79" si="94">IFERROR(AL70+AL77+AL78, 0)</f>
        <v>225722.64618848238</v>
      </c>
      <c r="AM79" s="471">
        <f t="shared" si="94"/>
        <v>0</v>
      </c>
      <c r="AN79" s="471">
        <f t="shared" si="94"/>
        <v>0</v>
      </c>
      <c r="AO79" s="471">
        <f t="shared" si="94"/>
        <v>0</v>
      </c>
      <c r="AP79" s="471">
        <f t="shared" si="94"/>
        <v>0</v>
      </c>
      <c r="AQ79" s="471">
        <f t="shared" si="94"/>
        <v>0</v>
      </c>
      <c r="AR79" s="471">
        <f t="shared" si="94"/>
        <v>0</v>
      </c>
      <c r="AS79" s="471">
        <f t="shared" si="94"/>
        <v>0</v>
      </c>
      <c r="AT79" s="471">
        <f t="shared" si="94"/>
        <v>0</v>
      </c>
      <c r="AU79" s="471">
        <f t="shared" si="94"/>
        <v>0</v>
      </c>
      <c r="AV79" s="471">
        <f t="shared" si="94"/>
        <v>0</v>
      </c>
      <c r="AW79" s="471">
        <f t="shared" si="94"/>
        <v>0</v>
      </c>
      <c r="AX79" s="471">
        <f t="shared" si="94"/>
        <v>0</v>
      </c>
      <c r="AY79" s="471">
        <f t="shared" si="94"/>
        <v>0</v>
      </c>
      <c r="AZ79" s="471">
        <f t="shared" si="94"/>
        <v>0</v>
      </c>
      <c r="BA79" s="471">
        <f t="shared" si="94"/>
        <v>0</v>
      </c>
      <c r="BB79" s="471">
        <f t="shared" si="94"/>
        <v>0</v>
      </c>
      <c r="BC79" s="471">
        <f t="shared" si="94"/>
        <v>0</v>
      </c>
      <c r="BD79" s="471">
        <f t="shared" si="94"/>
        <v>0</v>
      </c>
      <c r="BE79" s="471">
        <f t="shared" si="94"/>
        <v>0</v>
      </c>
      <c r="BF79" s="471">
        <f t="shared" si="94"/>
        <v>0</v>
      </c>
      <c r="BG79" s="471">
        <f t="shared" si="94"/>
        <v>0</v>
      </c>
      <c r="BH79" s="471">
        <f t="shared" si="94"/>
        <v>0</v>
      </c>
      <c r="BI79" s="471">
        <f t="shared" si="94"/>
        <v>0</v>
      </c>
      <c r="BJ79" s="471">
        <f t="shared" si="94"/>
        <v>0</v>
      </c>
      <c r="BK79" s="471">
        <f t="shared" si="94"/>
        <v>0</v>
      </c>
      <c r="BL79" s="471">
        <f t="shared" si="94"/>
        <v>0</v>
      </c>
      <c r="BM79" s="471">
        <f t="shared" si="94"/>
        <v>0</v>
      </c>
      <c r="BN79" s="471">
        <f t="shared" si="94"/>
        <v>0</v>
      </c>
      <c r="BO79" s="471">
        <f t="shared" si="94"/>
        <v>0</v>
      </c>
      <c r="BP79" s="471">
        <f t="shared" si="94"/>
        <v>0</v>
      </c>
      <c r="BQ79" s="471">
        <f t="shared" si="94"/>
        <v>0</v>
      </c>
      <c r="BR79" s="471">
        <f t="shared" ref="BR79:CW79" si="95">IFERROR(BR70+BR77+BR78, 0)</f>
        <v>0</v>
      </c>
      <c r="BS79" s="471">
        <f t="shared" si="95"/>
        <v>0</v>
      </c>
      <c r="BT79" s="471">
        <f t="shared" si="95"/>
        <v>0</v>
      </c>
      <c r="BU79" s="471">
        <f t="shared" si="95"/>
        <v>0</v>
      </c>
      <c r="BV79" s="471">
        <f t="shared" si="95"/>
        <v>0</v>
      </c>
      <c r="BW79" s="471">
        <f t="shared" si="95"/>
        <v>0</v>
      </c>
      <c r="BX79" s="471">
        <f t="shared" si="95"/>
        <v>0</v>
      </c>
      <c r="BY79" s="471">
        <f t="shared" si="95"/>
        <v>0</v>
      </c>
      <c r="BZ79" s="471">
        <f t="shared" si="95"/>
        <v>0</v>
      </c>
      <c r="CA79" s="471">
        <f t="shared" si="95"/>
        <v>0</v>
      </c>
      <c r="CB79" s="471">
        <f t="shared" si="95"/>
        <v>0</v>
      </c>
      <c r="CC79" s="471">
        <f t="shared" si="95"/>
        <v>0</v>
      </c>
      <c r="CD79" s="471">
        <f t="shared" si="95"/>
        <v>0</v>
      </c>
      <c r="CE79" s="471">
        <f t="shared" si="95"/>
        <v>0</v>
      </c>
      <c r="CF79" s="471">
        <f t="shared" si="95"/>
        <v>0</v>
      </c>
      <c r="CG79" s="471">
        <f t="shared" si="95"/>
        <v>0</v>
      </c>
      <c r="CH79" s="471">
        <f t="shared" si="95"/>
        <v>0</v>
      </c>
      <c r="CI79" s="471">
        <f t="shared" si="95"/>
        <v>0</v>
      </c>
      <c r="CJ79" s="471">
        <f t="shared" si="95"/>
        <v>0</v>
      </c>
      <c r="CK79" s="471">
        <f t="shared" si="95"/>
        <v>0</v>
      </c>
      <c r="CL79" s="471">
        <f t="shared" si="95"/>
        <v>0</v>
      </c>
      <c r="CM79" s="471">
        <f t="shared" si="95"/>
        <v>0</v>
      </c>
      <c r="CN79" s="471">
        <f t="shared" si="95"/>
        <v>0</v>
      </c>
      <c r="CO79" s="471">
        <f t="shared" si="95"/>
        <v>0</v>
      </c>
      <c r="CP79" s="471">
        <f t="shared" si="95"/>
        <v>0</v>
      </c>
      <c r="CQ79" s="471">
        <f t="shared" si="95"/>
        <v>0</v>
      </c>
      <c r="CR79" s="471">
        <f t="shared" si="95"/>
        <v>0</v>
      </c>
      <c r="CS79" s="471">
        <f t="shared" si="95"/>
        <v>0</v>
      </c>
      <c r="CT79" s="471">
        <f t="shared" si="95"/>
        <v>0</v>
      </c>
      <c r="CU79" s="471">
        <f t="shared" si="95"/>
        <v>0</v>
      </c>
      <c r="CV79" s="471">
        <f t="shared" si="95"/>
        <v>0</v>
      </c>
      <c r="CW79" s="471">
        <f t="shared" si="95"/>
        <v>0</v>
      </c>
      <c r="CX79" s="471">
        <f t="shared" ref="CX79:EC79" si="96">IFERROR(CX70+CX77+CX78, 0)</f>
        <v>0</v>
      </c>
      <c r="CY79" s="471">
        <f t="shared" si="96"/>
        <v>0</v>
      </c>
      <c r="CZ79" s="471">
        <f t="shared" si="96"/>
        <v>0</v>
      </c>
      <c r="DA79" s="471">
        <f t="shared" si="96"/>
        <v>0</v>
      </c>
      <c r="DB79" s="471">
        <f t="shared" si="96"/>
        <v>0</v>
      </c>
      <c r="DC79" s="471">
        <f t="shared" si="96"/>
        <v>0</v>
      </c>
      <c r="DD79" s="471">
        <f t="shared" si="96"/>
        <v>0</v>
      </c>
      <c r="DE79" s="471">
        <f t="shared" si="96"/>
        <v>0</v>
      </c>
      <c r="DF79" s="471">
        <f t="shared" si="96"/>
        <v>0</v>
      </c>
      <c r="DG79" s="471">
        <f t="shared" si="96"/>
        <v>0</v>
      </c>
      <c r="DH79" s="471">
        <f t="shared" si="96"/>
        <v>0</v>
      </c>
      <c r="DI79" s="471">
        <f t="shared" si="96"/>
        <v>0</v>
      </c>
      <c r="DJ79" s="471">
        <f t="shared" si="96"/>
        <v>0</v>
      </c>
      <c r="DK79" s="471">
        <f t="shared" si="96"/>
        <v>0</v>
      </c>
      <c r="DL79" s="471">
        <f t="shared" si="96"/>
        <v>0</v>
      </c>
      <c r="DM79" s="471">
        <f t="shared" si="96"/>
        <v>0</v>
      </c>
      <c r="DN79" s="471">
        <f t="shared" si="96"/>
        <v>0</v>
      </c>
      <c r="DO79" s="471">
        <f t="shared" si="96"/>
        <v>0</v>
      </c>
      <c r="DP79" s="471">
        <f t="shared" si="96"/>
        <v>0</v>
      </c>
      <c r="DQ79" s="471">
        <f t="shared" si="96"/>
        <v>0</v>
      </c>
      <c r="DR79" s="471">
        <f t="shared" si="96"/>
        <v>0</v>
      </c>
      <c r="DS79" s="471">
        <f t="shared" si="96"/>
        <v>0</v>
      </c>
      <c r="DT79" s="471">
        <f t="shared" si="96"/>
        <v>0</v>
      </c>
      <c r="DU79" s="471">
        <f t="shared" si="96"/>
        <v>0</v>
      </c>
    </row>
    <row r="80" spans="1:125" x14ac:dyDescent="0.25">
      <c r="D80" s="387"/>
      <c r="F80" s="388"/>
      <c r="G80" s="388"/>
      <c r="H80" s="388"/>
      <c r="I80" s="388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90"/>
      <c r="V80" s="390"/>
      <c r="W80" s="390"/>
      <c r="X80" s="390"/>
      <c r="Y80" s="390"/>
      <c r="Z80" s="390"/>
      <c r="AA80" s="390"/>
      <c r="AB80" s="390"/>
      <c r="AC80" s="390"/>
      <c r="AD80" s="390"/>
      <c r="AE80" s="390"/>
      <c r="AF80" s="390"/>
      <c r="AG80" s="390"/>
      <c r="AH80" s="390"/>
      <c r="AI80" s="390"/>
      <c r="AJ80" s="390"/>
      <c r="AK80" s="390"/>
      <c r="AL80" s="390"/>
      <c r="AM80" s="390"/>
      <c r="AN80" s="390"/>
      <c r="AO80" s="390"/>
      <c r="AP80" s="390"/>
      <c r="AQ80" s="390"/>
      <c r="AR80" s="390"/>
      <c r="AS80" s="390"/>
      <c r="AT80" s="390"/>
      <c r="AU80" s="390"/>
      <c r="AV80" s="390"/>
      <c r="AW80" s="390"/>
      <c r="AX80" s="390"/>
      <c r="AY80" s="390"/>
      <c r="AZ80" s="390"/>
      <c r="BA80" s="390"/>
      <c r="BB80" s="390"/>
      <c r="BC80" s="390"/>
      <c r="BD80" s="390"/>
      <c r="BE80" s="390"/>
      <c r="BF80" s="390"/>
      <c r="BG80" s="390"/>
      <c r="BH80" s="390"/>
      <c r="BI80" s="390"/>
      <c r="BJ80" s="390"/>
      <c r="BK80" s="390"/>
      <c r="BL80" s="390"/>
      <c r="BM80" s="390"/>
      <c r="BN80" s="390"/>
      <c r="BO80" s="390"/>
      <c r="BP80" s="390"/>
      <c r="BQ80" s="390"/>
      <c r="BR80" s="390"/>
      <c r="BS80" s="390"/>
      <c r="BT80" s="390"/>
      <c r="BU80" s="390"/>
      <c r="BV80" s="390"/>
      <c r="BW80" s="390"/>
      <c r="BX80" s="390"/>
      <c r="BY80" s="390"/>
      <c r="BZ80" s="390"/>
      <c r="CA80" s="390"/>
      <c r="CB80" s="390"/>
      <c r="CC80" s="390"/>
      <c r="CD80" s="390"/>
      <c r="CE80" s="390"/>
      <c r="CF80" s="390"/>
      <c r="CG80" s="390"/>
      <c r="CH80" s="390"/>
      <c r="CI80" s="390"/>
      <c r="CJ80" s="390"/>
      <c r="CK80" s="390"/>
      <c r="CL80" s="390"/>
      <c r="CM80" s="390"/>
      <c r="CN80" s="390"/>
      <c r="CO80" s="390"/>
      <c r="CP80" s="390"/>
      <c r="CQ80" s="390"/>
      <c r="CR80" s="390"/>
      <c r="CS80" s="390"/>
      <c r="CT80" s="390"/>
      <c r="CU80" s="390"/>
      <c r="CV80" s="390"/>
      <c r="CW80" s="390"/>
      <c r="CX80" s="390"/>
      <c r="CY80" s="390"/>
      <c r="CZ80" s="390"/>
      <c r="DA80" s="390"/>
      <c r="DB80" s="390"/>
      <c r="DC80" s="390"/>
      <c r="DD80" s="390"/>
      <c r="DE80" s="390"/>
      <c r="DF80" s="390"/>
      <c r="DG80" s="390"/>
      <c r="DH80" s="390"/>
      <c r="DI80" s="390"/>
      <c r="DJ80" s="390"/>
      <c r="DK80" s="390"/>
      <c r="DL80" s="390"/>
      <c r="DM80" s="390"/>
      <c r="DN80" s="390"/>
      <c r="DO80" s="390"/>
      <c r="DP80" s="390"/>
      <c r="DQ80" s="390"/>
      <c r="DR80" s="390"/>
      <c r="DS80" s="390"/>
      <c r="DT80" s="390"/>
      <c r="DU80" s="390"/>
    </row>
    <row r="81" spans="1:125" x14ac:dyDescent="0.25">
      <c r="A81" s="385" t="s">
        <v>519</v>
      </c>
      <c r="D81" s="387"/>
      <c r="F81" s="441">
        <f t="shared" ref="F81:AK81" si="97">IFERROR(MAX(0,MIN(-F70,(F83-E82))),0)</f>
        <v>15820.442152306528</v>
      </c>
      <c r="G81" s="441">
        <f t="shared" si="97"/>
        <v>0</v>
      </c>
      <c r="H81" s="441">
        <f t="shared" si="97"/>
        <v>0</v>
      </c>
      <c r="I81" s="441">
        <f t="shared" si="97"/>
        <v>1601600</v>
      </c>
      <c r="J81" s="442">
        <f t="shared" si="97"/>
        <v>356854.17191853077</v>
      </c>
      <c r="K81" s="442">
        <f t="shared" si="97"/>
        <v>386472.58540693863</v>
      </c>
      <c r="L81" s="442">
        <f t="shared" si="97"/>
        <v>402191.2749999793</v>
      </c>
      <c r="M81" s="442">
        <f t="shared" si="97"/>
        <v>11033528.401349967</v>
      </c>
      <c r="N81" s="442">
        <f t="shared" si="97"/>
        <v>386472.58540693927</v>
      </c>
      <c r="O81" s="442">
        <f t="shared" si="97"/>
        <v>356854.17191853048</v>
      </c>
      <c r="P81" s="442">
        <f t="shared" si="97"/>
        <v>8267701.3258147696</v>
      </c>
      <c r="Q81" s="442">
        <f t="shared" si="97"/>
        <v>1034113.4954349548</v>
      </c>
      <c r="R81" s="442">
        <f t="shared" si="97"/>
        <v>0</v>
      </c>
      <c r="S81" s="442">
        <f t="shared" si="97"/>
        <v>0</v>
      </c>
      <c r="T81" s="442">
        <f t="shared" si="97"/>
        <v>0</v>
      </c>
      <c r="U81" s="443">
        <f t="shared" si="97"/>
        <v>0</v>
      </c>
      <c r="V81" s="443">
        <f t="shared" si="97"/>
        <v>0</v>
      </c>
      <c r="W81" s="443">
        <f t="shared" si="97"/>
        <v>0</v>
      </c>
      <c r="X81" s="443">
        <f t="shared" si="97"/>
        <v>0</v>
      </c>
      <c r="Y81" s="443">
        <f t="shared" si="97"/>
        <v>0</v>
      </c>
      <c r="Z81" s="443">
        <f t="shared" si="97"/>
        <v>0</v>
      </c>
      <c r="AA81" s="443">
        <f t="shared" si="97"/>
        <v>0</v>
      </c>
      <c r="AB81" s="443">
        <f t="shared" si="97"/>
        <v>0</v>
      </c>
      <c r="AC81" s="443">
        <f t="shared" si="97"/>
        <v>0</v>
      </c>
      <c r="AD81" s="443">
        <f t="shared" si="97"/>
        <v>0</v>
      </c>
      <c r="AE81" s="443">
        <f t="shared" si="97"/>
        <v>0</v>
      </c>
      <c r="AF81" s="443">
        <f t="shared" si="97"/>
        <v>0</v>
      </c>
      <c r="AG81" s="443">
        <f t="shared" si="97"/>
        <v>0</v>
      </c>
      <c r="AH81" s="443">
        <f t="shared" si="97"/>
        <v>0</v>
      </c>
      <c r="AI81" s="443">
        <f t="shared" si="97"/>
        <v>0</v>
      </c>
      <c r="AJ81" s="443">
        <f t="shared" si="97"/>
        <v>0</v>
      </c>
      <c r="AK81" s="443">
        <f t="shared" si="97"/>
        <v>0</v>
      </c>
      <c r="AL81" s="443">
        <f t="shared" ref="AL81:BQ81" si="98">IFERROR(MAX(0,MIN(-AL70,(AL83-AK82))),0)</f>
        <v>0</v>
      </c>
      <c r="AM81" s="443">
        <f t="shared" si="98"/>
        <v>0</v>
      </c>
      <c r="AN81" s="443">
        <f t="shared" si="98"/>
        <v>0</v>
      </c>
      <c r="AO81" s="443">
        <f t="shared" si="98"/>
        <v>0</v>
      </c>
      <c r="AP81" s="443">
        <f t="shared" si="98"/>
        <v>0</v>
      </c>
      <c r="AQ81" s="443">
        <f t="shared" si="98"/>
        <v>0</v>
      </c>
      <c r="AR81" s="443">
        <f t="shared" si="98"/>
        <v>0</v>
      </c>
      <c r="AS81" s="443">
        <f t="shared" si="98"/>
        <v>0</v>
      </c>
      <c r="AT81" s="443">
        <f t="shared" si="98"/>
        <v>0</v>
      </c>
      <c r="AU81" s="443">
        <f t="shared" si="98"/>
        <v>0</v>
      </c>
      <c r="AV81" s="443">
        <f t="shared" si="98"/>
        <v>0</v>
      </c>
      <c r="AW81" s="443">
        <f t="shared" si="98"/>
        <v>0</v>
      </c>
      <c r="AX81" s="443">
        <f t="shared" si="98"/>
        <v>0</v>
      </c>
      <c r="AY81" s="443">
        <f t="shared" si="98"/>
        <v>0</v>
      </c>
      <c r="AZ81" s="443">
        <f t="shared" si="98"/>
        <v>0</v>
      </c>
      <c r="BA81" s="443">
        <f t="shared" si="98"/>
        <v>0</v>
      </c>
      <c r="BB81" s="443">
        <f t="shared" si="98"/>
        <v>0</v>
      </c>
      <c r="BC81" s="443">
        <f t="shared" si="98"/>
        <v>0</v>
      </c>
      <c r="BD81" s="443">
        <f t="shared" si="98"/>
        <v>0</v>
      </c>
      <c r="BE81" s="443">
        <f t="shared" si="98"/>
        <v>0</v>
      </c>
      <c r="BF81" s="443">
        <f t="shared" si="98"/>
        <v>0</v>
      </c>
      <c r="BG81" s="443">
        <f t="shared" si="98"/>
        <v>0</v>
      </c>
      <c r="BH81" s="443">
        <f t="shared" si="98"/>
        <v>0</v>
      </c>
      <c r="BI81" s="443">
        <f t="shared" si="98"/>
        <v>0</v>
      </c>
      <c r="BJ81" s="443">
        <f t="shared" si="98"/>
        <v>0</v>
      </c>
      <c r="BK81" s="443">
        <f t="shared" si="98"/>
        <v>0</v>
      </c>
      <c r="BL81" s="443">
        <f t="shared" si="98"/>
        <v>0</v>
      </c>
      <c r="BM81" s="443">
        <f t="shared" si="98"/>
        <v>0</v>
      </c>
      <c r="BN81" s="443">
        <f t="shared" si="98"/>
        <v>0</v>
      </c>
      <c r="BO81" s="443">
        <f t="shared" si="98"/>
        <v>0</v>
      </c>
      <c r="BP81" s="443">
        <f t="shared" si="98"/>
        <v>0</v>
      </c>
      <c r="BQ81" s="443">
        <f t="shared" si="98"/>
        <v>0</v>
      </c>
      <c r="BR81" s="443">
        <f t="shared" ref="BR81:CW81" si="99">IFERROR(MAX(0,MIN(-BR70,(BR83-BQ82))),0)</f>
        <v>0</v>
      </c>
      <c r="BS81" s="443">
        <f t="shared" si="99"/>
        <v>0</v>
      </c>
      <c r="BT81" s="443">
        <f t="shared" si="99"/>
        <v>0</v>
      </c>
      <c r="BU81" s="443">
        <f t="shared" si="99"/>
        <v>0</v>
      </c>
      <c r="BV81" s="443">
        <f t="shared" si="99"/>
        <v>0</v>
      </c>
      <c r="BW81" s="443">
        <f t="shared" si="99"/>
        <v>0</v>
      </c>
      <c r="BX81" s="443">
        <f t="shared" si="99"/>
        <v>0</v>
      </c>
      <c r="BY81" s="443">
        <f t="shared" si="99"/>
        <v>0</v>
      </c>
      <c r="BZ81" s="443">
        <f t="shared" si="99"/>
        <v>0</v>
      </c>
      <c r="CA81" s="443">
        <f t="shared" si="99"/>
        <v>0</v>
      </c>
      <c r="CB81" s="443">
        <f t="shared" si="99"/>
        <v>0</v>
      </c>
      <c r="CC81" s="443">
        <f t="shared" si="99"/>
        <v>0</v>
      </c>
      <c r="CD81" s="443">
        <f t="shared" si="99"/>
        <v>0</v>
      </c>
      <c r="CE81" s="443">
        <f t="shared" si="99"/>
        <v>0</v>
      </c>
      <c r="CF81" s="443">
        <f t="shared" si="99"/>
        <v>0</v>
      </c>
      <c r="CG81" s="443">
        <f t="shared" si="99"/>
        <v>0</v>
      </c>
      <c r="CH81" s="443">
        <f t="shared" si="99"/>
        <v>0</v>
      </c>
      <c r="CI81" s="443">
        <f t="shared" si="99"/>
        <v>0</v>
      </c>
      <c r="CJ81" s="443">
        <f t="shared" si="99"/>
        <v>0</v>
      </c>
      <c r="CK81" s="443">
        <f t="shared" si="99"/>
        <v>0</v>
      </c>
      <c r="CL81" s="443">
        <f t="shared" si="99"/>
        <v>0</v>
      </c>
      <c r="CM81" s="443">
        <f t="shared" si="99"/>
        <v>0</v>
      </c>
      <c r="CN81" s="443">
        <f t="shared" si="99"/>
        <v>0</v>
      </c>
      <c r="CO81" s="443">
        <f t="shared" si="99"/>
        <v>0</v>
      </c>
      <c r="CP81" s="443">
        <f t="shared" si="99"/>
        <v>0</v>
      </c>
      <c r="CQ81" s="443">
        <f t="shared" si="99"/>
        <v>0</v>
      </c>
      <c r="CR81" s="443">
        <f t="shared" si="99"/>
        <v>0</v>
      </c>
      <c r="CS81" s="443">
        <f t="shared" si="99"/>
        <v>0</v>
      </c>
      <c r="CT81" s="443">
        <f t="shared" si="99"/>
        <v>0</v>
      </c>
      <c r="CU81" s="443">
        <f t="shared" si="99"/>
        <v>0</v>
      </c>
      <c r="CV81" s="443">
        <f t="shared" si="99"/>
        <v>0</v>
      </c>
      <c r="CW81" s="443">
        <f t="shared" si="99"/>
        <v>0</v>
      </c>
      <c r="CX81" s="443">
        <f t="shared" ref="CX81:DU81" si="100">IFERROR(MAX(0,MIN(-CX70,(CX83-CW82))),0)</f>
        <v>0</v>
      </c>
      <c r="CY81" s="443">
        <f t="shared" si="100"/>
        <v>0</v>
      </c>
      <c r="CZ81" s="443">
        <f t="shared" si="100"/>
        <v>0</v>
      </c>
      <c r="DA81" s="443">
        <f t="shared" si="100"/>
        <v>0</v>
      </c>
      <c r="DB81" s="443">
        <f t="shared" si="100"/>
        <v>0</v>
      </c>
      <c r="DC81" s="443">
        <f t="shared" si="100"/>
        <v>0</v>
      </c>
      <c r="DD81" s="443">
        <f t="shared" si="100"/>
        <v>0</v>
      </c>
      <c r="DE81" s="443">
        <f t="shared" si="100"/>
        <v>0</v>
      </c>
      <c r="DF81" s="443">
        <f t="shared" si="100"/>
        <v>0</v>
      </c>
      <c r="DG81" s="443">
        <f t="shared" si="100"/>
        <v>0</v>
      </c>
      <c r="DH81" s="443">
        <f t="shared" si="100"/>
        <v>0</v>
      </c>
      <c r="DI81" s="443">
        <f t="shared" si="100"/>
        <v>0</v>
      </c>
      <c r="DJ81" s="443">
        <f t="shared" si="100"/>
        <v>0</v>
      </c>
      <c r="DK81" s="443">
        <f t="shared" si="100"/>
        <v>0</v>
      </c>
      <c r="DL81" s="443">
        <f t="shared" si="100"/>
        <v>0</v>
      </c>
      <c r="DM81" s="443">
        <f t="shared" si="100"/>
        <v>0</v>
      </c>
      <c r="DN81" s="443">
        <f t="shared" si="100"/>
        <v>0</v>
      </c>
      <c r="DO81" s="443">
        <f t="shared" si="100"/>
        <v>0</v>
      </c>
      <c r="DP81" s="443">
        <f t="shared" si="100"/>
        <v>0</v>
      </c>
      <c r="DQ81" s="443">
        <f t="shared" si="100"/>
        <v>0</v>
      </c>
      <c r="DR81" s="443">
        <f t="shared" si="100"/>
        <v>0</v>
      </c>
      <c r="DS81" s="443">
        <f t="shared" si="100"/>
        <v>0</v>
      </c>
      <c r="DT81" s="443">
        <f t="shared" si="100"/>
        <v>0</v>
      </c>
      <c r="DU81" s="443">
        <f t="shared" si="100"/>
        <v>0</v>
      </c>
    </row>
    <row r="82" spans="1:125" x14ac:dyDescent="0.25">
      <c r="A82" s="385" t="s">
        <v>520</v>
      </c>
      <c r="D82" s="387"/>
      <c r="F82" s="441">
        <f t="shared" ref="F82:AK82" si="101">IFERROR(F81+E82, 0)</f>
        <v>15820.442152306528</v>
      </c>
      <c r="G82" s="441">
        <f t="shared" si="101"/>
        <v>15820.442152306528</v>
      </c>
      <c r="H82" s="441">
        <f t="shared" si="101"/>
        <v>15820.442152306528</v>
      </c>
      <c r="I82" s="441">
        <f t="shared" si="101"/>
        <v>1617420.4421523064</v>
      </c>
      <c r="J82" s="442">
        <f t="shared" si="101"/>
        <v>1974274.6140708372</v>
      </c>
      <c r="K82" s="442">
        <f t="shared" si="101"/>
        <v>2360747.199477776</v>
      </c>
      <c r="L82" s="442">
        <f t="shared" si="101"/>
        <v>2762938.4744777554</v>
      </c>
      <c r="M82" s="442">
        <f t="shared" si="101"/>
        <v>13796466.875827722</v>
      </c>
      <c r="N82" s="442">
        <f t="shared" si="101"/>
        <v>14182939.461234661</v>
      </c>
      <c r="O82" s="442">
        <f t="shared" si="101"/>
        <v>14539793.633153191</v>
      </c>
      <c r="P82" s="442">
        <f t="shared" si="101"/>
        <v>22807494.958967961</v>
      </c>
      <c r="Q82" s="442">
        <f t="shared" si="101"/>
        <v>23841608.454402916</v>
      </c>
      <c r="R82" s="442">
        <f t="shared" si="101"/>
        <v>23841608.454402916</v>
      </c>
      <c r="S82" s="442">
        <f t="shared" si="101"/>
        <v>23841608.454402916</v>
      </c>
      <c r="T82" s="442">
        <f t="shared" si="101"/>
        <v>23841608.454402916</v>
      </c>
      <c r="U82" s="443">
        <f t="shared" si="101"/>
        <v>23841608.454402916</v>
      </c>
      <c r="V82" s="443">
        <f t="shared" si="101"/>
        <v>23841608.454402916</v>
      </c>
      <c r="W82" s="443">
        <f t="shared" si="101"/>
        <v>23841608.454402916</v>
      </c>
      <c r="X82" s="443">
        <f t="shared" si="101"/>
        <v>23841608.454402916</v>
      </c>
      <c r="Y82" s="443">
        <f t="shared" si="101"/>
        <v>23841608.454402916</v>
      </c>
      <c r="Z82" s="443">
        <f t="shared" si="101"/>
        <v>23841608.454402916</v>
      </c>
      <c r="AA82" s="443">
        <f t="shared" si="101"/>
        <v>23841608.454402916</v>
      </c>
      <c r="AB82" s="443">
        <f t="shared" si="101"/>
        <v>23841608.454402916</v>
      </c>
      <c r="AC82" s="443">
        <f t="shared" si="101"/>
        <v>23841608.454402916</v>
      </c>
      <c r="AD82" s="443">
        <f t="shared" si="101"/>
        <v>23841608.454402916</v>
      </c>
      <c r="AE82" s="443">
        <f t="shared" si="101"/>
        <v>23841608.454402916</v>
      </c>
      <c r="AF82" s="443">
        <f t="shared" si="101"/>
        <v>23841608.454402916</v>
      </c>
      <c r="AG82" s="443">
        <f t="shared" si="101"/>
        <v>23841608.454402916</v>
      </c>
      <c r="AH82" s="443">
        <f t="shared" si="101"/>
        <v>23841608.454402916</v>
      </c>
      <c r="AI82" s="443">
        <f t="shared" si="101"/>
        <v>23841608.454402916</v>
      </c>
      <c r="AJ82" s="443">
        <f t="shared" si="101"/>
        <v>23841608.454402916</v>
      </c>
      <c r="AK82" s="443">
        <f t="shared" si="101"/>
        <v>23841608.454402916</v>
      </c>
      <c r="AL82" s="443">
        <f t="shared" ref="AL82:BQ82" si="102">IFERROR(AL81+AK82, 0)</f>
        <v>23841608.454402916</v>
      </c>
      <c r="AM82" s="443">
        <f t="shared" si="102"/>
        <v>23841608.454402916</v>
      </c>
      <c r="AN82" s="443">
        <f t="shared" si="102"/>
        <v>23841608.454402916</v>
      </c>
      <c r="AO82" s="443">
        <f t="shared" si="102"/>
        <v>23841608.454402916</v>
      </c>
      <c r="AP82" s="443">
        <f t="shared" si="102"/>
        <v>23841608.454402916</v>
      </c>
      <c r="AQ82" s="443">
        <f t="shared" si="102"/>
        <v>23841608.454402916</v>
      </c>
      <c r="AR82" s="443">
        <f t="shared" si="102"/>
        <v>23841608.454402916</v>
      </c>
      <c r="AS82" s="443">
        <f t="shared" si="102"/>
        <v>23841608.454402916</v>
      </c>
      <c r="AT82" s="443">
        <f t="shared" si="102"/>
        <v>23841608.454402916</v>
      </c>
      <c r="AU82" s="443">
        <f t="shared" si="102"/>
        <v>23841608.454402916</v>
      </c>
      <c r="AV82" s="443">
        <f t="shared" si="102"/>
        <v>23841608.454402916</v>
      </c>
      <c r="AW82" s="443">
        <f t="shared" si="102"/>
        <v>23841608.454402916</v>
      </c>
      <c r="AX82" s="443">
        <f t="shared" si="102"/>
        <v>23841608.454402916</v>
      </c>
      <c r="AY82" s="443">
        <f t="shared" si="102"/>
        <v>23841608.454402916</v>
      </c>
      <c r="AZ82" s="443">
        <f t="shared" si="102"/>
        <v>23841608.454402916</v>
      </c>
      <c r="BA82" s="443">
        <f t="shared" si="102"/>
        <v>23841608.454402916</v>
      </c>
      <c r="BB82" s="443">
        <f t="shared" si="102"/>
        <v>23841608.454402916</v>
      </c>
      <c r="BC82" s="443">
        <f t="shared" si="102"/>
        <v>23841608.454402916</v>
      </c>
      <c r="BD82" s="443">
        <f t="shared" si="102"/>
        <v>23841608.454402916</v>
      </c>
      <c r="BE82" s="443">
        <f t="shared" si="102"/>
        <v>23841608.454402916</v>
      </c>
      <c r="BF82" s="443">
        <f t="shared" si="102"/>
        <v>23841608.454402916</v>
      </c>
      <c r="BG82" s="443">
        <f t="shared" si="102"/>
        <v>23841608.454402916</v>
      </c>
      <c r="BH82" s="443">
        <f t="shared" si="102"/>
        <v>23841608.454402916</v>
      </c>
      <c r="BI82" s="443">
        <f t="shared" si="102"/>
        <v>23841608.454402916</v>
      </c>
      <c r="BJ82" s="443">
        <f t="shared" si="102"/>
        <v>23841608.454402916</v>
      </c>
      <c r="BK82" s="443">
        <f t="shared" si="102"/>
        <v>23841608.454402916</v>
      </c>
      <c r="BL82" s="443">
        <f t="shared" si="102"/>
        <v>23841608.454402916</v>
      </c>
      <c r="BM82" s="443">
        <f t="shared" si="102"/>
        <v>23841608.454402916</v>
      </c>
      <c r="BN82" s="443">
        <f t="shared" si="102"/>
        <v>23841608.454402916</v>
      </c>
      <c r="BO82" s="443">
        <f t="shared" si="102"/>
        <v>23841608.454402916</v>
      </c>
      <c r="BP82" s="443">
        <f t="shared" si="102"/>
        <v>23841608.454402916</v>
      </c>
      <c r="BQ82" s="443">
        <f t="shared" si="102"/>
        <v>23841608.454402916</v>
      </c>
      <c r="BR82" s="443">
        <f t="shared" ref="BR82:CW82" si="103">IFERROR(BR81+BQ82, 0)</f>
        <v>23841608.454402916</v>
      </c>
      <c r="BS82" s="443">
        <f t="shared" si="103"/>
        <v>23841608.454402916</v>
      </c>
      <c r="BT82" s="443">
        <f t="shared" si="103"/>
        <v>23841608.454402916</v>
      </c>
      <c r="BU82" s="443">
        <f t="shared" si="103"/>
        <v>23841608.454402916</v>
      </c>
      <c r="BV82" s="443">
        <f t="shared" si="103"/>
        <v>23841608.454402916</v>
      </c>
      <c r="BW82" s="443">
        <f t="shared" si="103"/>
        <v>23841608.454402916</v>
      </c>
      <c r="BX82" s="443">
        <f t="shared" si="103"/>
        <v>23841608.454402916</v>
      </c>
      <c r="BY82" s="443">
        <f t="shared" si="103"/>
        <v>23841608.454402916</v>
      </c>
      <c r="BZ82" s="443">
        <f t="shared" si="103"/>
        <v>23841608.454402916</v>
      </c>
      <c r="CA82" s="443">
        <f t="shared" si="103"/>
        <v>23841608.454402916</v>
      </c>
      <c r="CB82" s="443">
        <f t="shared" si="103"/>
        <v>23841608.454402916</v>
      </c>
      <c r="CC82" s="443">
        <f t="shared" si="103"/>
        <v>23841608.454402916</v>
      </c>
      <c r="CD82" s="443">
        <f t="shared" si="103"/>
        <v>23841608.454402916</v>
      </c>
      <c r="CE82" s="443">
        <f t="shared" si="103"/>
        <v>23841608.454402916</v>
      </c>
      <c r="CF82" s="443">
        <f t="shared" si="103"/>
        <v>23841608.454402916</v>
      </c>
      <c r="CG82" s="443">
        <f t="shared" si="103"/>
        <v>23841608.454402916</v>
      </c>
      <c r="CH82" s="443">
        <f t="shared" si="103"/>
        <v>23841608.454402916</v>
      </c>
      <c r="CI82" s="443">
        <f t="shared" si="103"/>
        <v>23841608.454402916</v>
      </c>
      <c r="CJ82" s="443">
        <f t="shared" si="103"/>
        <v>23841608.454402916</v>
      </c>
      <c r="CK82" s="443">
        <f t="shared" si="103"/>
        <v>23841608.454402916</v>
      </c>
      <c r="CL82" s="443">
        <f t="shared" si="103"/>
        <v>23841608.454402916</v>
      </c>
      <c r="CM82" s="443">
        <f t="shared" si="103"/>
        <v>23841608.454402916</v>
      </c>
      <c r="CN82" s="443">
        <f t="shared" si="103"/>
        <v>23841608.454402916</v>
      </c>
      <c r="CO82" s="443">
        <f t="shared" si="103"/>
        <v>23841608.454402916</v>
      </c>
      <c r="CP82" s="443">
        <f t="shared" si="103"/>
        <v>23841608.454402916</v>
      </c>
      <c r="CQ82" s="443">
        <f t="shared" si="103"/>
        <v>23841608.454402916</v>
      </c>
      <c r="CR82" s="443">
        <f t="shared" si="103"/>
        <v>23841608.454402916</v>
      </c>
      <c r="CS82" s="443">
        <f t="shared" si="103"/>
        <v>23841608.454402916</v>
      </c>
      <c r="CT82" s="443">
        <f t="shared" si="103"/>
        <v>23841608.454402916</v>
      </c>
      <c r="CU82" s="443">
        <f t="shared" si="103"/>
        <v>23841608.454402916</v>
      </c>
      <c r="CV82" s="443">
        <f t="shared" si="103"/>
        <v>23841608.454402916</v>
      </c>
      <c r="CW82" s="443">
        <f t="shared" si="103"/>
        <v>23841608.454402916</v>
      </c>
      <c r="CX82" s="443">
        <f t="shared" ref="CX82:EC82" si="104">IFERROR(CX81+CW82, 0)</f>
        <v>23841608.454402916</v>
      </c>
      <c r="CY82" s="443">
        <f t="shared" si="104"/>
        <v>23841608.454402916</v>
      </c>
      <c r="CZ82" s="443">
        <f t="shared" si="104"/>
        <v>23841608.454402916</v>
      </c>
      <c r="DA82" s="443">
        <f t="shared" si="104"/>
        <v>23841608.454402916</v>
      </c>
      <c r="DB82" s="443">
        <f t="shared" si="104"/>
        <v>23841608.454402916</v>
      </c>
      <c r="DC82" s="443">
        <f t="shared" si="104"/>
        <v>23841608.454402916</v>
      </c>
      <c r="DD82" s="443">
        <f t="shared" si="104"/>
        <v>23841608.454402916</v>
      </c>
      <c r="DE82" s="443">
        <f t="shared" si="104"/>
        <v>23841608.454402916</v>
      </c>
      <c r="DF82" s="443">
        <f t="shared" si="104"/>
        <v>23841608.454402916</v>
      </c>
      <c r="DG82" s="443">
        <f t="shared" si="104"/>
        <v>23841608.454402916</v>
      </c>
      <c r="DH82" s="443">
        <f t="shared" si="104"/>
        <v>23841608.454402916</v>
      </c>
      <c r="DI82" s="443">
        <f t="shared" si="104"/>
        <v>23841608.454402916</v>
      </c>
      <c r="DJ82" s="443">
        <f t="shared" si="104"/>
        <v>23841608.454402916</v>
      </c>
      <c r="DK82" s="443">
        <f t="shared" si="104"/>
        <v>23841608.454402916</v>
      </c>
      <c r="DL82" s="443">
        <f t="shared" si="104"/>
        <v>23841608.454402916</v>
      </c>
      <c r="DM82" s="443">
        <f t="shared" si="104"/>
        <v>23841608.454402916</v>
      </c>
      <c r="DN82" s="443">
        <f t="shared" si="104"/>
        <v>23841608.454402916</v>
      </c>
      <c r="DO82" s="443">
        <f t="shared" si="104"/>
        <v>23841608.454402916</v>
      </c>
      <c r="DP82" s="443">
        <f t="shared" si="104"/>
        <v>23841608.454402916</v>
      </c>
      <c r="DQ82" s="443">
        <f t="shared" si="104"/>
        <v>23841608.454402916</v>
      </c>
      <c r="DR82" s="443">
        <f t="shared" si="104"/>
        <v>23841608.454402916</v>
      </c>
      <c r="DS82" s="443">
        <f t="shared" si="104"/>
        <v>23841608.454402916</v>
      </c>
      <c r="DT82" s="443">
        <f t="shared" si="104"/>
        <v>23841608.454402916</v>
      </c>
      <c r="DU82" s="443">
        <f t="shared" si="104"/>
        <v>23841608.454402916</v>
      </c>
    </row>
    <row r="83" spans="1:125" x14ac:dyDescent="0.25">
      <c r="A83" s="385" t="s">
        <v>521</v>
      </c>
      <c r="D83" s="387"/>
      <c r="F83" s="441">
        <f>IFERROR(IF(F4&lt;Construction_Start_Date,Inputs!$L$15,Inputs!$L$19),0)</f>
        <v>15572774.568297572</v>
      </c>
      <c r="G83" s="441">
        <f>IFERROR(IF(G4&lt;Construction_Start_Date,Inputs!$L$15,Inputs!$L$19),0)</f>
        <v>15572774.568297572</v>
      </c>
      <c r="H83" s="441">
        <f>IFERROR(IF(H4&lt;Construction_Start_Date,Inputs!$L$15,Inputs!$L$19),0)</f>
        <v>15572774.568297572</v>
      </c>
      <c r="I83" s="441">
        <f>IFERROR(IF(I4&lt;Construction_Start_Date,Inputs!$L$15,Inputs!$L$19),0)</f>
        <v>15572774.568297572</v>
      </c>
      <c r="J83" s="442">
        <f>IFERROR(IF(J4&lt;Construction_Start_Date,Inputs!$L$15,Inputs!$L$19),0)</f>
        <v>15572774.568297572</v>
      </c>
      <c r="K83" s="442">
        <f>IFERROR(IF(K4&lt;Construction_Start_Date,Inputs!$L$15,Inputs!$L$19),0)</f>
        <v>15572774.568297572</v>
      </c>
      <c r="L83" s="442">
        <f>IFERROR(IF(L4&lt;Construction_Start_Date,Inputs!$L$15,Inputs!$L$19),0)</f>
        <v>15572774.568297572</v>
      </c>
      <c r="M83" s="442">
        <f>IFERROR(IF(M4&lt;Construction_Start_Date,Inputs!$L$15,Inputs!$L$19),0)</f>
        <v>15572774.568297572</v>
      </c>
      <c r="N83" s="442">
        <f>IFERROR(IF(N4&lt;Construction_Start_Date,Inputs!$L$15,Inputs!$L$19),0)</f>
        <v>15572774.568297572</v>
      </c>
      <c r="O83" s="442">
        <f>IFERROR(IF(O4&lt;Construction_Start_Date,Inputs!$L$15,Inputs!$L$19),0)</f>
        <v>23841608.454402916</v>
      </c>
      <c r="P83" s="442">
        <f>IFERROR(IF(P4&lt;Construction_Start_Date,Inputs!$L$15,Inputs!$L$19),0)</f>
        <v>23841608.454402916</v>
      </c>
      <c r="Q83" s="442">
        <f>IFERROR(IF(Q4&lt;Construction_Start_Date,Inputs!$L$15,Inputs!$L$19),0)</f>
        <v>23841608.454402916</v>
      </c>
      <c r="R83" s="442">
        <f>IFERROR(IF(R4&lt;Construction_Start_Date,Inputs!$L$15,Inputs!$L$19),0)</f>
        <v>23841608.454402916</v>
      </c>
      <c r="S83" s="442">
        <f>IFERROR(IF(S4&lt;Construction_Start_Date,Inputs!$L$15,Inputs!$L$19),0)</f>
        <v>23841608.454402916</v>
      </c>
      <c r="T83" s="442">
        <f>IFERROR(IF(T4&lt;Construction_Start_Date,Inputs!$L$15,Inputs!$L$19),0)</f>
        <v>23841608.454402916</v>
      </c>
      <c r="U83" s="443">
        <f>IFERROR(IF(U4&lt;Construction_Start_Date,Inputs!$L$15,Inputs!$L$19),0)</f>
        <v>23841608.454402916</v>
      </c>
      <c r="V83" s="443">
        <f>IFERROR(IF(V4&lt;Construction_Start_Date,Inputs!$L$15,Inputs!$L$19),0)</f>
        <v>23841608.454402916</v>
      </c>
      <c r="W83" s="443">
        <f>IFERROR(IF(W4&lt;Construction_Start_Date,Inputs!$L$15,Inputs!$L$19),0)</f>
        <v>23841608.454402916</v>
      </c>
      <c r="X83" s="443">
        <f>IFERROR(IF(X4&lt;Construction_Start_Date,Inputs!$L$15,Inputs!$L$19),0)</f>
        <v>23841608.454402916</v>
      </c>
      <c r="Y83" s="443">
        <f>IFERROR(IF(Y4&lt;Construction_Start_Date,Inputs!$L$15,Inputs!$L$19),0)</f>
        <v>23841608.454402916</v>
      </c>
      <c r="Z83" s="443">
        <f>IFERROR(IF(Z4&lt;Construction_Start_Date,Inputs!$L$15,Inputs!$L$19),0)</f>
        <v>23841608.454402916</v>
      </c>
      <c r="AA83" s="443">
        <f>IFERROR(IF(AA4&lt;Construction_Start_Date,Inputs!$L$15,Inputs!$L$19),0)</f>
        <v>23841608.454402916</v>
      </c>
      <c r="AB83" s="443">
        <f>IFERROR(IF(AB4&lt;Construction_Start_Date,Inputs!$L$15,Inputs!$L$19),0)</f>
        <v>23841608.454402916</v>
      </c>
      <c r="AC83" s="443">
        <f>IFERROR(IF(AC4&lt;Construction_Start_Date,Inputs!$L$15,Inputs!$L$19),0)</f>
        <v>23841608.454402916</v>
      </c>
      <c r="AD83" s="443">
        <f>IFERROR(IF(AD4&lt;Construction_Start_Date,Inputs!$L$15,Inputs!$L$19),0)</f>
        <v>23841608.454402916</v>
      </c>
      <c r="AE83" s="443">
        <f>IFERROR(IF(AE4&lt;Construction_Start_Date,Inputs!$L$15,Inputs!$L$19),0)</f>
        <v>23841608.454402916</v>
      </c>
      <c r="AF83" s="443">
        <f>IFERROR(IF(AF4&lt;Construction_Start_Date,Inputs!$L$15,Inputs!$L$19),0)</f>
        <v>23841608.454402916</v>
      </c>
      <c r="AG83" s="443">
        <f>IFERROR(IF(AG4&lt;Construction_Start_Date,Inputs!$L$15,Inputs!$L$19),0)</f>
        <v>23841608.454402916</v>
      </c>
      <c r="AH83" s="443">
        <f>IFERROR(IF(AH4&lt;Construction_Start_Date,Inputs!$L$15,Inputs!$L$19),0)</f>
        <v>23841608.454402916</v>
      </c>
      <c r="AI83" s="443">
        <f>IFERROR(IF(AI4&lt;Construction_Start_Date,Inputs!$L$15,Inputs!$L$19),0)</f>
        <v>23841608.454402916</v>
      </c>
      <c r="AJ83" s="443">
        <f>IFERROR(IF(AJ4&lt;Construction_Start_Date,Inputs!$L$15,Inputs!$L$19),0)</f>
        <v>23841608.454402916</v>
      </c>
      <c r="AK83" s="443">
        <f>IFERROR(IF(AK4&lt;Construction_Start_Date,Inputs!$L$15,Inputs!$L$19),0)</f>
        <v>23841608.454402916</v>
      </c>
      <c r="AL83" s="443">
        <f>IFERROR(IF(AL4&lt;Construction_Start_Date,Inputs!$L$15,Inputs!$L$19),0)</f>
        <v>23841608.454402916</v>
      </c>
      <c r="AM83" s="443">
        <f>IFERROR(IF(AM4&lt;Construction_Start_Date,Inputs!$L$15,Inputs!$L$19),0)</f>
        <v>23841608.454402916</v>
      </c>
      <c r="AN83" s="443">
        <f>IFERROR(IF(AN4&lt;Construction_Start_Date,Inputs!$L$15,Inputs!$L$19),0)</f>
        <v>23841608.454402916</v>
      </c>
      <c r="AO83" s="443">
        <f>IFERROR(IF(AO4&lt;Construction_Start_Date,Inputs!$L$15,Inputs!$L$19),0)</f>
        <v>23841608.454402916</v>
      </c>
      <c r="AP83" s="443">
        <f>IFERROR(IF(AP4&lt;Construction_Start_Date,Inputs!$L$15,Inputs!$L$19),0)</f>
        <v>23841608.454402916</v>
      </c>
      <c r="AQ83" s="443">
        <f>IFERROR(IF(AQ4&lt;Construction_Start_Date,Inputs!$L$15,Inputs!$L$19),0)</f>
        <v>23841608.454402916</v>
      </c>
      <c r="AR83" s="443">
        <f>IFERROR(IF(AR4&lt;Construction_Start_Date,Inputs!$L$15,Inputs!$L$19),0)</f>
        <v>23841608.454402916</v>
      </c>
      <c r="AS83" s="443">
        <f>IFERROR(IF(AS4&lt;Construction_Start_Date,Inputs!$L$15,Inputs!$L$19),0)</f>
        <v>23841608.454402916</v>
      </c>
      <c r="AT83" s="443">
        <f>IFERROR(IF(AT4&lt;Construction_Start_Date,Inputs!$L$15,Inputs!$L$19),0)</f>
        <v>23841608.454402916</v>
      </c>
      <c r="AU83" s="443">
        <f>IFERROR(IF(AU4&lt;Construction_Start_Date,Inputs!$L$15,Inputs!$L$19),0)</f>
        <v>23841608.454402916</v>
      </c>
      <c r="AV83" s="443">
        <f>IFERROR(IF(AV4&lt;Construction_Start_Date,Inputs!$L$15,Inputs!$L$19),0)</f>
        <v>23841608.454402916</v>
      </c>
      <c r="AW83" s="443">
        <f>IFERROR(IF(AW4&lt;Construction_Start_Date,Inputs!$L$15,Inputs!$L$19),0)</f>
        <v>23841608.454402916</v>
      </c>
      <c r="AX83" s="443">
        <f>IFERROR(IF(AX4&lt;Construction_Start_Date,Inputs!$L$15,Inputs!$L$19),0)</f>
        <v>23841608.454402916</v>
      </c>
      <c r="AY83" s="443">
        <f>IFERROR(IF(AY4&lt;Construction_Start_Date,Inputs!$L$15,Inputs!$L$19),0)</f>
        <v>23841608.454402916</v>
      </c>
      <c r="AZ83" s="443">
        <f>IFERROR(IF(AZ4&lt;Construction_Start_Date,Inputs!$L$15,Inputs!$L$19),0)</f>
        <v>23841608.454402916</v>
      </c>
      <c r="BA83" s="443">
        <f>IFERROR(IF(BA4&lt;Construction_Start_Date,Inputs!$L$15,Inputs!$L$19),0)</f>
        <v>23841608.454402916</v>
      </c>
      <c r="BB83" s="443">
        <f>IFERROR(IF(BB4&lt;Construction_Start_Date,Inputs!$L$15,Inputs!$L$19),0)</f>
        <v>23841608.454402916</v>
      </c>
      <c r="BC83" s="443">
        <f>IFERROR(IF(BC4&lt;Construction_Start_Date,Inputs!$L$15,Inputs!$L$19),0)</f>
        <v>23841608.454402916</v>
      </c>
      <c r="BD83" s="443">
        <f>IFERROR(IF(BD4&lt;Construction_Start_Date,Inputs!$L$15,Inputs!$L$19),0)</f>
        <v>23841608.454402916</v>
      </c>
      <c r="BE83" s="443">
        <f>IFERROR(IF(BE4&lt;Construction_Start_Date,Inputs!$L$15,Inputs!$L$19),0)</f>
        <v>23841608.454402916</v>
      </c>
      <c r="BF83" s="443">
        <f>IFERROR(IF(BF4&lt;Construction_Start_Date,Inputs!$L$15,Inputs!$L$19),0)</f>
        <v>23841608.454402916</v>
      </c>
      <c r="BG83" s="443">
        <f>IFERROR(IF(BG4&lt;Construction_Start_Date,Inputs!$L$15,Inputs!$L$19),0)</f>
        <v>23841608.454402916</v>
      </c>
      <c r="BH83" s="443">
        <f>IFERROR(IF(BH4&lt;Construction_Start_Date,Inputs!$L$15,Inputs!$L$19),0)</f>
        <v>23841608.454402916</v>
      </c>
      <c r="BI83" s="443">
        <f>IFERROR(IF(BI4&lt;Construction_Start_Date,Inputs!$L$15,Inputs!$L$19),0)</f>
        <v>23841608.454402916</v>
      </c>
      <c r="BJ83" s="443">
        <f>IFERROR(IF(BJ4&lt;Construction_Start_Date,Inputs!$L$15,Inputs!$L$19),0)</f>
        <v>23841608.454402916</v>
      </c>
      <c r="BK83" s="443">
        <f>IFERROR(IF(BK4&lt;Construction_Start_Date,Inputs!$L$15,Inputs!$L$19),0)</f>
        <v>23841608.454402916</v>
      </c>
      <c r="BL83" s="443">
        <f>IFERROR(IF(BL4&lt;Construction_Start_Date,Inputs!$L$15,Inputs!$L$19),0)</f>
        <v>23841608.454402916</v>
      </c>
      <c r="BM83" s="443">
        <f>IFERROR(IF(BM4&lt;Construction_Start_Date,Inputs!$L$15,Inputs!$L$19),0)</f>
        <v>23841608.454402916</v>
      </c>
      <c r="BN83" s="443">
        <f>IFERROR(IF(BN4&lt;Construction_Start_Date,Inputs!$L$15,Inputs!$L$19),0)</f>
        <v>23841608.454402916</v>
      </c>
      <c r="BO83" s="443">
        <f>IFERROR(IF(BO4&lt;Construction_Start_Date,Inputs!$L$15,Inputs!$L$19),0)</f>
        <v>23841608.454402916</v>
      </c>
      <c r="BP83" s="443">
        <f>IFERROR(IF(BP4&lt;Construction_Start_Date,Inputs!$L$15,Inputs!$L$19),0)</f>
        <v>23841608.454402916</v>
      </c>
      <c r="BQ83" s="443">
        <f>IFERROR(IF(BQ4&lt;Construction_Start_Date,Inputs!$L$15,Inputs!$L$19),0)</f>
        <v>23841608.454402916</v>
      </c>
      <c r="BR83" s="443">
        <f>IFERROR(IF(BR4&lt;Construction_Start_Date,Inputs!$L$15,Inputs!$L$19),0)</f>
        <v>23841608.454402916</v>
      </c>
      <c r="BS83" s="443">
        <f>IFERROR(IF(BS4&lt;Construction_Start_Date,Inputs!$L$15,Inputs!$L$19),0)</f>
        <v>23841608.454402916</v>
      </c>
      <c r="BT83" s="443">
        <f>IFERROR(IF(BT4&lt;Construction_Start_Date,Inputs!$L$15,Inputs!$L$19),0)</f>
        <v>23841608.454402916</v>
      </c>
      <c r="BU83" s="443">
        <f>IFERROR(IF(BU4&lt;Construction_Start_Date,Inputs!$L$15,Inputs!$L$19),0)</f>
        <v>23841608.454402916</v>
      </c>
      <c r="BV83" s="443">
        <f>IFERROR(IF(BV4&lt;Construction_Start_Date,Inputs!$L$15,Inputs!$L$19),0)</f>
        <v>23841608.454402916</v>
      </c>
      <c r="BW83" s="443">
        <f>IFERROR(IF(BW4&lt;Construction_Start_Date,Inputs!$L$15,Inputs!$L$19),0)</f>
        <v>23841608.454402916</v>
      </c>
      <c r="BX83" s="443">
        <f>IFERROR(IF(BX4&lt;Construction_Start_Date,Inputs!$L$15,Inputs!$L$19),0)</f>
        <v>23841608.454402916</v>
      </c>
      <c r="BY83" s="443">
        <f>IFERROR(IF(BY4&lt;Construction_Start_Date,Inputs!$L$15,Inputs!$L$19),0)</f>
        <v>23841608.454402916</v>
      </c>
      <c r="BZ83" s="443">
        <f>IFERROR(IF(BZ4&lt;Construction_Start_Date,Inputs!$L$15,Inputs!$L$19),0)</f>
        <v>23841608.454402916</v>
      </c>
      <c r="CA83" s="443">
        <f>IFERROR(IF(CA4&lt;Construction_Start_Date,Inputs!$L$15,Inputs!$L$19),0)</f>
        <v>23841608.454402916</v>
      </c>
      <c r="CB83" s="443">
        <f>IFERROR(IF(CB4&lt;Construction_Start_Date,Inputs!$L$15,Inputs!$L$19),0)</f>
        <v>23841608.454402916</v>
      </c>
      <c r="CC83" s="443">
        <f>IFERROR(IF(CC4&lt;Construction_Start_Date,Inputs!$L$15,Inputs!$L$19),0)</f>
        <v>23841608.454402916</v>
      </c>
      <c r="CD83" s="443">
        <f>IFERROR(IF(CD4&lt;Construction_Start_Date,Inputs!$L$15,Inputs!$L$19),0)</f>
        <v>23841608.454402916</v>
      </c>
      <c r="CE83" s="443">
        <f>IFERROR(IF(CE4&lt;Construction_Start_Date,Inputs!$L$15,Inputs!$L$19),0)</f>
        <v>23841608.454402916</v>
      </c>
      <c r="CF83" s="443">
        <f>IFERROR(IF(CF4&lt;Construction_Start_Date,Inputs!$L$15,Inputs!$L$19),0)</f>
        <v>23841608.454402916</v>
      </c>
      <c r="CG83" s="443">
        <f>IFERROR(IF(CG4&lt;Construction_Start_Date,Inputs!$L$15,Inputs!$L$19),0)</f>
        <v>23841608.454402916</v>
      </c>
      <c r="CH83" s="443">
        <f>IFERROR(IF(CH4&lt;Construction_Start_Date,Inputs!$L$15,Inputs!$L$19),0)</f>
        <v>23841608.454402916</v>
      </c>
      <c r="CI83" s="443">
        <f>IFERROR(IF(CI4&lt;Construction_Start_Date,Inputs!$L$15,Inputs!$L$19),0)</f>
        <v>23841608.454402916</v>
      </c>
      <c r="CJ83" s="443">
        <f>IFERROR(IF(CJ4&lt;Construction_Start_Date,Inputs!$L$15,Inputs!$L$19),0)</f>
        <v>23841608.454402916</v>
      </c>
      <c r="CK83" s="443">
        <f>IFERROR(IF(CK4&lt;Construction_Start_Date,Inputs!$L$15,Inputs!$L$19),0)</f>
        <v>23841608.454402916</v>
      </c>
      <c r="CL83" s="443">
        <f>IFERROR(IF(CL4&lt;Construction_Start_Date,Inputs!$L$15,Inputs!$L$19),0)</f>
        <v>23841608.454402916</v>
      </c>
      <c r="CM83" s="443">
        <f>IFERROR(IF(CM4&lt;Construction_Start_Date,Inputs!$L$15,Inputs!$L$19),0)</f>
        <v>23841608.454402916</v>
      </c>
      <c r="CN83" s="443">
        <f>IFERROR(IF(CN4&lt;Construction_Start_Date,Inputs!$L$15,Inputs!$L$19),0)</f>
        <v>23841608.454402916</v>
      </c>
      <c r="CO83" s="443">
        <f>IFERROR(IF(CO4&lt;Construction_Start_Date,Inputs!$L$15,Inputs!$L$19),0)</f>
        <v>23841608.454402916</v>
      </c>
      <c r="CP83" s="443">
        <f>IFERROR(IF(CP4&lt;Construction_Start_Date,Inputs!$L$15,Inputs!$L$19),0)</f>
        <v>23841608.454402916</v>
      </c>
      <c r="CQ83" s="443">
        <f>IFERROR(IF(CQ4&lt;Construction_Start_Date,Inputs!$L$15,Inputs!$L$19),0)</f>
        <v>23841608.454402916</v>
      </c>
      <c r="CR83" s="443">
        <f>IFERROR(IF(CR4&lt;Construction_Start_Date,Inputs!$L$15,Inputs!$L$19),0)</f>
        <v>23841608.454402916</v>
      </c>
      <c r="CS83" s="443">
        <f>IFERROR(IF(CS4&lt;Construction_Start_Date,Inputs!$L$15,Inputs!$L$19),0)</f>
        <v>23841608.454402916</v>
      </c>
      <c r="CT83" s="443">
        <f>IFERROR(IF(CT4&lt;Construction_Start_Date,Inputs!$L$15,Inputs!$L$19),0)</f>
        <v>23841608.454402916</v>
      </c>
      <c r="CU83" s="443">
        <f>IFERROR(IF(CU4&lt;Construction_Start_Date,Inputs!$L$15,Inputs!$L$19),0)</f>
        <v>23841608.454402916</v>
      </c>
      <c r="CV83" s="443">
        <f>IFERROR(IF(CV4&lt;Construction_Start_Date,Inputs!$L$15,Inputs!$L$19),0)</f>
        <v>23841608.454402916</v>
      </c>
      <c r="CW83" s="443">
        <f>IFERROR(IF(CW4&lt;Construction_Start_Date,Inputs!$L$15,Inputs!$L$19),0)</f>
        <v>23841608.454402916</v>
      </c>
      <c r="CX83" s="443">
        <f>IFERROR(IF(CX4&lt;Construction_Start_Date,Inputs!$L$15,Inputs!$L$19),0)</f>
        <v>23841608.454402916</v>
      </c>
      <c r="CY83" s="443">
        <f>IFERROR(IF(CY4&lt;Construction_Start_Date,Inputs!$L$15,Inputs!$L$19),0)</f>
        <v>23841608.454402916</v>
      </c>
      <c r="CZ83" s="443">
        <f>IFERROR(IF(CZ4&lt;Construction_Start_Date,Inputs!$L$15,Inputs!$L$19),0)</f>
        <v>23841608.454402916</v>
      </c>
      <c r="DA83" s="443">
        <f>IFERROR(IF(DA4&lt;Construction_Start_Date,Inputs!$L$15,Inputs!$L$19),0)</f>
        <v>23841608.454402916</v>
      </c>
      <c r="DB83" s="443">
        <f>IFERROR(IF(DB4&lt;Construction_Start_Date,Inputs!$L$15,Inputs!$L$19),0)</f>
        <v>23841608.454402916</v>
      </c>
      <c r="DC83" s="443">
        <f>IFERROR(IF(DC4&lt;Construction_Start_Date,Inputs!$L$15,Inputs!$L$19),0)</f>
        <v>23841608.454402916</v>
      </c>
      <c r="DD83" s="443">
        <f>IFERROR(IF(DD4&lt;Construction_Start_Date,Inputs!$L$15,Inputs!$L$19),0)</f>
        <v>23841608.454402916</v>
      </c>
      <c r="DE83" s="443">
        <f>IFERROR(IF(DE4&lt;Construction_Start_Date,Inputs!$L$15,Inputs!$L$19),0)</f>
        <v>23841608.454402916</v>
      </c>
      <c r="DF83" s="443">
        <f>IFERROR(IF(DF4&lt;Construction_Start_Date,Inputs!$L$15,Inputs!$L$19),0)</f>
        <v>23841608.454402916</v>
      </c>
      <c r="DG83" s="443">
        <f>IFERROR(IF(DG4&lt;Construction_Start_Date,Inputs!$L$15,Inputs!$L$19),0)</f>
        <v>23841608.454402916</v>
      </c>
      <c r="DH83" s="443">
        <f>IFERROR(IF(DH4&lt;Construction_Start_Date,Inputs!$L$15,Inputs!$L$19),0)</f>
        <v>23841608.454402916</v>
      </c>
      <c r="DI83" s="443">
        <f>IFERROR(IF(DI4&lt;Construction_Start_Date,Inputs!$L$15,Inputs!$L$19),0)</f>
        <v>23841608.454402916</v>
      </c>
      <c r="DJ83" s="443">
        <f>IFERROR(IF(DJ4&lt;Construction_Start_Date,Inputs!$L$15,Inputs!$L$19),0)</f>
        <v>23841608.454402916</v>
      </c>
      <c r="DK83" s="443">
        <f>IFERROR(IF(DK4&lt;Construction_Start_Date,Inputs!$L$15,Inputs!$L$19),0)</f>
        <v>23841608.454402916</v>
      </c>
      <c r="DL83" s="443">
        <f>IFERROR(IF(DL4&lt;Construction_Start_Date,Inputs!$L$15,Inputs!$L$19),0)</f>
        <v>23841608.454402916</v>
      </c>
      <c r="DM83" s="443">
        <f>IFERROR(IF(DM4&lt;Construction_Start_Date,Inputs!$L$15,Inputs!$L$19),0)</f>
        <v>23841608.454402916</v>
      </c>
      <c r="DN83" s="443">
        <f>IFERROR(IF(DN4&lt;Construction_Start_Date,Inputs!$L$15,Inputs!$L$19),0)</f>
        <v>23841608.454402916</v>
      </c>
      <c r="DO83" s="443">
        <f>IFERROR(IF(DO4&lt;Construction_Start_Date,Inputs!$L$15,Inputs!$L$19),0)</f>
        <v>23841608.454402916</v>
      </c>
      <c r="DP83" s="443">
        <f>IFERROR(IF(DP4&lt;Construction_Start_Date,Inputs!$L$15,Inputs!$L$19),0)</f>
        <v>23841608.454402916</v>
      </c>
      <c r="DQ83" s="443">
        <f>IFERROR(IF(DQ4&lt;Construction_Start_Date,Inputs!$L$15,Inputs!$L$19),0)</f>
        <v>23841608.454402916</v>
      </c>
      <c r="DR83" s="443">
        <f>IFERROR(IF(DR4&lt;Construction_Start_Date,Inputs!$L$15,Inputs!$L$19),0)</f>
        <v>23841608.454402916</v>
      </c>
      <c r="DS83" s="443">
        <f>IFERROR(IF(DS4&lt;Construction_Start_Date,Inputs!$L$15,Inputs!$L$19),0)</f>
        <v>23841608.454402916</v>
      </c>
      <c r="DT83" s="443">
        <f>IFERROR(IF(DT4&lt;Construction_Start_Date,Inputs!$L$15,Inputs!$L$19),0)</f>
        <v>23841608.454402916</v>
      </c>
      <c r="DU83" s="443">
        <f>IFERROR(IF(DU4&lt;Construction_Start_Date,Inputs!$L$15,Inputs!$L$19),0)</f>
        <v>23841608.454402916</v>
      </c>
    </row>
    <row r="84" spans="1:125" x14ac:dyDescent="0.25">
      <c r="D84" s="387"/>
      <c r="F84" s="388"/>
      <c r="G84" s="388"/>
      <c r="H84" s="388"/>
      <c r="I84" s="388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90"/>
      <c r="V84" s="390"/>
      <c r="W84" s="390"/>
      <c r="X84" s="390"/>
      <c r="Y84" s="390"/>
      <c r="Z84" s="390"/>
      <c r="AA84" s="390"/>
      <c r="AB84" s="390"/>
      <c r="AC84" s="390"/>
      <c r="AD84" s="390"/>
      <c r="AE84" s="390"/>
      <c r="AF84" s="390"/>
      <c r="AG84" s="390"/>
      <c r="AH84" s="390"/>
      <c r="AI84" s="390"/>
      <c r="AJ84" s="390"/>
      <c r="AK84" s="390"/>
      <c r="AL84" s="390"/>
      <c r="AM84" s="390"/>
      <c r="AN84" s="390"/>
      <c r="AO84" s="390"/>
      <c r="AP84" s="390"/>
      <c r="AQ84" s="390"/>
      <c r="AR84" s="390"/>
      <c r="AS84" s="390"/>
      <c r="AT84" s="390"/>
      <c r="AU84" s="390"/>
      <c r="AV84" s="390"/>
      <c r="AW84" s="390"/>
      <c r="AX84" s="390"/>
      <c r="AY84" s="390"/>
      <c r="AZ84" s="390"/>
      <c r="BA84" s="390"/>
      <c r="BB84" s="390"/>
      <c r="BC84" s="390"/>
      <c r="BD84" s="390"/>
      <c r="BE84" s="390"/>
      <c r="BF84" s="390"/>
      <c r="BG84" s="390"/>
      <c r="BH84" s="390"/>
      <c r="BI84" s="390"/>
      <c r="BJ84" s="390"/>
      <c r="BK84" s="390"/>
      <c r="BL84" s="390"/>
      <c r="BM84" s="390"/>
      <c r="BN84" s="390"/>
      <c r="BO84" s="390"/>
      <c r="BP84" s="390"/>
      <c r="BQ84" s="390"/>
      <c r="BR84" s="390"/>
      <c r="BS84" s="390"/>
      <c r="BT84" s="390"/>
      <c r="BU84" s="390"/>
      <c r="BV84" s="390"/>
      <c r="BW84" s="390"/>
      <c r="BX84" s="390"/>
      <c r="BY84" s="390"/>
      <c r="BZ84" s="390"/>
      <c r="CA84" s="390"/>
      <c r="CB84" s="390"/>
      <c r="CC84" s="390"/>
      <c r="CD84" s="390"/>
      <c r="CE84" s="390"/>
      <c r="CF84" s="390"/>
      <c r="CG84" s="390"/>
      <c r="CH84" s="390"/>
      <c r="CI84" s="390"/>
      <c r="CJ84" s="390"/>
      <c r="CK84" s="390"/>
      <c r="CL84" s="390"/>
      <c r="CM84" s="390"/>
      <c r="CN84" s="390"/>
      <c r="CO84" s="390"/>
      <c r="CP84" s="390"/>
      <c r="CQ84" s="390"/>
      <c r="CR84" s="390"/>
      <c r="CS84" s="390"/>
      <c r="CT84" s="390"/>
      <c r="CU84" s="390"/>
      <c r="CV84" s="390"/>
      <c r="CW84" s="390"/>
      <c r="CX84" s="390"/>
      <c r="CY84" s="390"/>
      <c r="CZ84" s="390"/>
      <c r="DA84" s="390"/>
      <c r="DB84" s="390"/>
      <c r="DC84" s="390"/>
      <c r="DD84" s="390"/>
      <c r="DE84" s="390"/>
      <c r="DF84" s="390"/>
      <c r="DG84" s="390"/>
      <c r="DH84" s="390"/>
      <c r="DI84" s="390"/>
      <c r="DJ84" s="390"/>
      <c r="DK84" s="390"/>
      <c r="DL84" s="390"/>
      <c r="DM84" s="390"/>
      <c r="DN84" s="390"/>
      <c r="DO84" s="390"/>
      <c r="DP84" s="390"/>
      <c r="DQ84" s="390"/>
      <c r="DR84" s="390"/>
      <c r="DS84" s="390"/>
      <c r="DT84" s="390"/>
      <c r="DU84" s="390"/>
    </row>
    <row r="85" spans="1:125" x14ac:dyDescent="0.25">
      <c r="A85" s="385" t="s">
        <v>522</v>
      </c>
      <c r="D85" s="387"/>
      <c r="F85" s="472">
        <f>IF(F4&lt;Construction_Start_Date,'(Z+) Financing'!$D$7*365.25/360/12,'(Z+) Financing'!$D$36*365.25/360/12)</f>
        <v>7.0767187499999997E-3</v>
      </c>
      <c r="G85" s="472">
        <f>IF(G4&lt;Construction_Start_Date,'(Z+) Financing'!$D$7*365.25/360/12,'(Z+) Financing'!$D$36*365.25/360/12)</f>
        <v>7.0767187499999997E-3</v>
      </c>
      <c r="H85" s="472">
        <f>IF(H4&lt;Construction_Start_Date,'(Z+) Financing'!$D$7*365.25/360/12,'(Z+) Financing'!$D$36*365.25/360/12)</f>
        <v>7.0767187499999997E-3</v>
      </c>
      <c r="I85" s="472">
        <f>IF(I4&lt;Construction_Start_Date,'(Z+) Financing'!$D$7*365.25/360/12,'(Z+) Financing'!$D$36*365.25/360/12)</f>
        <v>7.0767187499999997E-3</v>
      </c>
      <c r="J85" s="473">
        <f>IF(J4&lt;Construction_Start_Date,'(Z+) Financing'!$D$7*365.25/360/12,'(Z+) Financing'!$D$36*365.25/360/12)</f>
        <v>7.0767187499999997E-3</v>
      </c>
      <c r="K85" s="473">
        <f>IF(K4&lt;Construction_Start_Date,'(Z+) Financing'!$D$7*365.25/360/12,'(Z+) Financing'!$D$36*365.25/360/12)</f>
        <v>7.0767187499999997E-3</v>
      </c>
      <c r="L85" s="473">
        <f>IF(L4&lt;Construction_Start_Date,'(Z+) Financing'!$D$7*365.25/360/12,'(Z+) Financing'!$D$36*365.25/360/12)</f>
        <v>7.0767187499999997E-3</v>
      </c>
      <c r="M85" s="473">
        <f>IF(M4&lt;Construction_Start_Date,'(Z+) Financing'!$D$7*365.25/360/12,'(Z+) Financing'!$D$36*365.25/360/12)</f>
        <v>7.0767187499999997E-3</v>
      </c>
      <c r="N85" s="473">
        <f>IF(N4&lt;Construction_Start_Date,'(Z+) Financing'!$D$7*365.25/360/12,'(Z+) Financing'!$D$36*365.25/360/12)</f>
        <v>7.0767187499999997E-3</v>
      </c>
      <c r="O85" s="473">
        <f>IF(O4&lt;Construction_Start_Date,'(Z+) Financing'!$D$7*365.25/360/12,'(Z+) Financing'!$D$36*365.25/360/12)</f>
        <v>7.6093750000000007E-3</v>
      </c>
      <c r="P85" s="473">
        <f>IF(P4&lt;Construction_Start_Date,'(Z+) Financing'!$D$7*365.25/360/12,'(Z+) Financing'!$D$36*365.25/360/12)</f>
        <v>7.6093750000000007E-3</v>
      </c>
      <c r="Q85" s="473">
        <f>IF(Q4&lt;Construction_Start_Date,'(Z+) Financing'!$D$7*365.25/360/12,'(Z+) Financing'!$D$36*365.25/360/12)</f>
        <v>7.6093750000000007E-3</v>
      </c>
      <c r="R85" s="473">
        <f>IF(R4&lt;Construction_Start_Date,'(Z+) Financing'!$D$7*365.25/360/12,'(Z+) Financing'!$D$36*365.25/360/12)</f>
        <v>7.6093750000000007E-3</v>
      </c>
      <c r="S85" s="473">
        <f>IF(S4&lt;Construction_Start_Date,'(Z+) Financing'!$D$7*365.25/360/12,'(Z+) Financing'!$D$36*365.25/360/12)</f>
        <v>7.6093750000000007E-3</v>
      </c>
      <c r="T85" s="473">
        <f>IF(T4&lt;Construction_Start_Date,'(Z+) Financing'!$D$7*365.25/360/12,'(Z+) Financing'!$D$36*365.25/360/12)</f>
        <v>7.6093750000000007E-3</v>
      </c>
      <c r="U85" s="474">
        <f>IF(U4&lt;Construction_Start_Date,'(Z+) Financing'!$D$7*365.25/360/12,'(Z+) Financing'!$D$36*365.25/360/12)</f>
        <v>7.6093750000000007E-3</v>
      </c>
      <c r="V85" s="474">
        <f>IF(V4&lt;Construction_Start_Date,'(Z+) Financing'!$D$7*365.25/360/12,'(Z+) Financing'!$D$36*365.25/360/12)</f>
        <v>7.6093750000000007E-3</v>
      </c>
      <c r="W85" s="474">
        <f>IF(W4&lt;Construction_Start_Date,'(Z+) Financing'!$D$7*365.25/360/12,'(Z+) Financing'!$D$36*365.25/360/12)</f>
        <v>7.6093750000000007E-3</v>
      </c>
      <c r="X85" s="474">
        <f>IF(X4&lt;Construction_Start_Date,'(Z+) Financing'!$D$7*365.25/360/12,'(Z+) Financing'!$D$36*365.25/360/12)</f>
        <v>7.6093750000000007E-3</v>
      </c>
      <c r="Y85" s="474">
        <f>IF(Y4&lt;Construction_Start_Date,'(Z+) Financing'!$D$7*365.25/360/12,'(Z+) Financing'!$D$36*365.25/360/12)</f>
        <v>7.6093750000000007E-3</v>
      </c>
      <c r="Z85" s="474">
        <f>IF(Z4&lt;Construction_Start_Date,'(Z+) Financing'!$D$7*365.25/360/12,'(Z+) Financing'!$D$36*365.25/360/12)</f>
        <v>7.6093750000000007E-3</v>
      </c>
      <c r="AA85" s="474">
        <f>IF(AA4&lt;Construction_Start_Date,'(Z+) Financing'!$D$7*365.25/360/12,'(Z+) Financing'!$D$36*365.25/360/12)</f>
        <v>7.6093750000000007E-3</v>
      </c>
      <c r="AB85" s="474">
        <f>IF(AB4&lt;Construction_Start_Date,'(Z+) Financing'!$D$7*365.25/360/12,'(Z+) Financing'!$D$36*365.25/360/12)</f>
        <v>7.6093750000000007E-3</v>
      </c>
      <c r="AC85" s="474">
        <f>IF(AC4&lt;Construction_Start_Date,'(Z+) Financing'!$D$7*365.25/360/12,'(Z+) Financing'!$D$36*365.25/360/12)</f>
        <v>7.6093750000000007E-3</v>
      </c>
      <c r="AD85" s="474">
        <f>IF(AD4&lt;Construction_Start_Date,'(Z+) Financing'!$D$7*365.25/360/12,'(Z+) Financing'!$D$36*365.25/360/12)</f>
        <v>7.6093750000000007E-3</v>
      </c>
      <c r="AE85" s="474">
        <f>IF(AE4&lt;Construction_Start_Date,'(Z+) Financing'!$D$7*365.25/360/12,'(Z+) Financing'!$D$36*365.25/360/12)</f>
        <v>7.6093750000000007E-3</v>
      </c>
      <c r="AF85" s="474">
        <f>IF(AF4&lt;Construction_Start_Date,'(Z+) Financing'!$D$7*365.25/360/12,'(Z+) Financing'!$D$36*365.25/360/12)</f>
        <v>7.6093750000000007E-3</v>
      </c>
      <c r="AG85" s="474">
        <f>IF(AG4&lt;Construction_Start_Date,'(Z+) Financing'!$D$7*365.25/360/12,'(Z+) Financing'!$D$36*365.25/360/12)</f>
        <v>7.6093750000000007E-3</v>
      </c>
      <c r="AH85" s="474">
        <f>IF(AH4&lt;Construction_Start_Date,'(Z+) Financing'!$D$7*365.25/360/12,'(Z+) Financing'!$D$36*365.25/360/12)</f>
        <v>7.6093750000000007E-3</v>
      </c>
      <c r="AI85" s="474">
        <f>IF(AI4&lt;Construction_Start_Date,'(Z+) Financing'!$D$7*365.25/360/12,'(Z+) Financing'!$D$36*365.25/360/12)</f>
        <v>7.6093750000000007E-3</v>
      </c>
      <c r="AJ85" s="474">
        <f>IF(AJ4&lt;Construction_Start_Date,'(Z+) Financing'!$D$7*365.25/360/12,'(Z+) Financing'!$D$36*365.25/360/12)</f>
        <v>7.6093750000000007E-3</v>
      </c>
      <c r="AK85" s="474">
        <f>IF(AK4&lt;Construction_Start_Date,'(Z+) Financing'!$D$7*365.25/360/12,'(Z+) Financing'!$D$36*365.25/360/12)</f>
        <v>7.6093750000000007E-3</v>
      </c>
      <c r="AL85" s="474">
        <f>IF(AL4&lt;Construction_Start_Date,'(Z+) Financing'!$D$7*365.25/360/12,'(Z+) Financing'!$D$36*365.25/360/12)</f>
        <v>7.6093750000000007E-3</v>
      </c>
      <c r="AM85" s="474">
        <f>IF(AM4&lt;Construction_Start_Date,'(Z+) Financing'!$D$7*365.25/360/12,'(Z+) Financing'!$D$36*365.25/360/12)</f>
        <v>7.6093750000000007E-3</v>
      </c>
      <c r="AN85" s="474">
        <f>IF(AN4&lt;Construction_Start_Date,'(Z+) Financing'!$D$7*365.25/360/12,'(Z+) Financing'!$D$36*365.25/360/12)</f>
        <v>7.6093750000000007E-3</v>
      </c>
      <c r="AO85" s="474">
        <f>IF(AO4&lt;Construction_Start_Date,'(Z+) Financing'!$D$7*365.25/360/12,'(Z+) Financing'!$D$36*365.25/360/12)</f>
        <v>7.6093750000000007E-3</v>
      </c>
      <c r="AP85" s="474">
        <f>IF(AP4&lt;Construction_Start_Date,'(Z+) Financing'!$D$7*365.25/360/12,'(Z+) Financing'!$D$36*365.25/360/12)</f>
        <v>7.6093750000000007E-3</v>
      </c>
      <c r="AQ85" s="474">
        <f>IF(AQ4&lt;Construction_Start_Date,'(Z+) Financing'!$D$7*365.25/360/12,'(Z+) Financing'!$D$36*365.25/360/12)</f>
        <v>7.6093750000000007E-3</v>
      </c>
      <c r="AR85" s="474">
        <f>IF(AR4&lt;Construction_Start_Date,'(Z+) Financing'!$D$7*365.25/360/12,'(Z+) Financing'!$D$36*365.25/360/12)</f>
        <v>7.6093750000000007E-3</v>
      </c>
      <c r="AS85" s="474">
        <f>IF(AS4&lt;Construction_Start_Date,'(Z+) Financing'!$D$7*365.25/360/12,'(Z+) Financing'!$D$36*365.25/360/12)</f>
        <v>7.6093750000000007E-3</v>
      </c>
      <c r="AT85" s="474">
        <f>IF(AT4&lt;Construction_Start_Date,'(Z+) Financing'!$D$7*365.25/360/12,'(Z+) Financing'!$D$36*365.25/360/12)</f>
        <v>7.6093750000000007E-3</v>
      </c>
      <c r="AU85" s="474">
        <f>IF(AU4&lt;Construction_Start_Date,'(Z+) Financing'!$D$7*365.25/360/12,'(Z+) Financing'!$D$36*365.25/360/12)</f>
        <v>7.6093750000000007E-3</v>
      </c>
      <c r="AV85" s="474">
        <f>IF(AV4&lt;Construction_Start_Date,'(Z+) Financing'!$D$7*365.25/360/12,'(Z+) Financing'!$D$36*365.25/360/12)</f>
        <v>7.6093750000000007E-3</v>
      </c>
      <c r="AW85" s="474">
        <f>IF(AW4&lt;Construction_Start_Date,'(Z+) Financing'!$D$7*365.25/360/12,'(Z+) Financing'!$D$36*365.25/360/12)</f>
        <v>7.6093750000000007E-3</v>
      </c>
      <c r="AX85" s="474">
        <f>IF(AX4&lt;Construction_Start_Date,'(Z+) Financing'!$D$7*365.25/360/12,'(Z+) Financing'!$D$36*365.25/360/12)</f>
        <v>7.6093750000000007E-3</v>
      </c>
      <c r="AY85" s="474">
        <f>IF(AY4&lt;Construction_Start_Date,'(Z+) Financing'!$D$7*365.25/360/12,'(Z+) Financing'!$D$36*365.25/360/12)</f>
        <v>7.6093750000000007E-3</v>
      </c>
      <c r="AZ85" s="474">
        <f>IF(AZ4&lt;Construction_Start_Date,'(Z+) Financing'!$D$7*365.25/360/12,'(Z+) Financing'!$D$36*365.25/360/12)</f>
        <v>7.6093750000000007E-3</v>
      </c>
      <c r="BA85" s="474">
        <f>IF(BA4&lt;Construction_Start_Date,'(Z+) Financing'!$D$7*365.25/360/12,'(Z+) Financing'!$D$36*365.25/360/12)</f>
        <v>7.6093750000000007E-3</v>
      </c>
      <c r="BB85" s="474">
        <f>IF(BB4&lt;Construction_Start_Date,'(Z+) Financing'!$D$7*365.25/360/12,'(Z+) Financing'!$D$36*365.25/360/12)</f>
        <v>7.6093750000000007E-3</v>
      </c>
      <c r="BC85" s="474">
        <f>IF(BC4&lt;Construction_Start_Date,'(Z+) Financing'!$D$7*365.25/360/12,'(Z+) Financing'!$D$36*365.25/360/12)</f>
        <v>7.6093750000000007E-3</v>
      </c>
      <c r="BD85" s="474">
        <f>IF(BD4&lt;Construction_Start_Date,'(Z+) Financing'!$D$7*365.25/360/12,'(Z+) Financing'!$D$36*365.25/360/12)</f>
        <v>7.6093750000000007E-3</v>
      </c>
      <c r="BE85" s="474">
        <f>IF(BE4&lt;Construction_Start_Date,'(Z+) Financing'!$D$7*365.25/360/12,'(Z+) Financing'!$D$36*365.25/360/12)</f>
        <v>7.6093750000000007E-3</v>
      </c>
      <c r="BF85" s="474">
        <f>IF(BF4&lt;Construction_Start_Date,'(Z+) Financing'!$D$7*365.25/360/12,'(Z+) Financing'!$D$36*365.25/360/12)</f>
        <v>7.6093750000000007E-3</v>
      </c>
      <c r="BG85" s="474">
        <f>IF(BG4&lt;Construction_Start_Date,'(Z+) Financing'!$D$7*365.25/360/12,'(Z+) Financing'!$D$36*365.25/360/12)</f>
        <v>7.6093750000000007E-3</v>
      </c>
      <c r="BH85" s="474">
        <f>IF(BH4&lt;Construction_Start_Date,'(Z+) Financing'!$D$7*365.25/360/12,'(Z+) Financing'!$D$36*365.25/360/12)</f>
        <v>7.6093750000000007E-3</v>
      </c>
      <c r="BI85" s="474">
        <f>IF(BI4&lt;Construction_Start_Date,'(Z+) Financing'!$D$7*365.25/360/12,'(Z+) Financing'!$D$36*365.25/360/12)</f>
        <v>7.6093750000000007E-3</v>
      </c>
      <c r="BJ85" s="474">
        <f>IF(BJ4&lt;Construction_Start_Date,'(Z+) Financing'!$D$7*365.25/360/12,'(Z+) Financing'!$D$36*365.25/360/12)</f>
        <v>7.6093750000000007E-3</v>
      </c>
      <c r="BK85" s="474">
        <f>IF(BK4&lt;Construction_Start_Date,'(Z+) Financing'!$D$7*365.25/360/12,'(Z+) Financing'!$D$36*365.25/360/12)</f>
        <v>7.6093750000000007E-3</v>
      </c>
      <c r="BL85" s="474">
        <f>IF(BL4&lt;Construction_Start_Date,'(Z+) Financing'!$D$7*365.25/360/12,'(Z+) Financing'!$D$36*365.25/360/12)</f>
        <v>7.6093750000000007E-3</v>
      </c>
      <c r="BM85" s="474">
        <f>IF(BM4&lt;Construction_Start_Date,'(Z+) Financing'!$D$7*365.25/360/12,'(Z+) Financing'!$D$36*365.25/360/12)</f>
        <v>7.6093750000000007E-3</v>
      </c>
      <c r="BN85" s="474">
        <f>IF(BN4&lt;Construction_Start_Date,'(Z+) Financing'!$D$7*365.25/360/12,'(Z+) Financing'!$D$36*365.25/360/12)</f>
        <v>7.6093750000000007E-3</v>
      </c>
      <c r="BO85" s="474">
        <f>IF(BO4&lt;Construction_Start_Date,'(Z+) Financing'!$D$7*365.25/360/12,'(Z+) Financing'!$D$36*365.25/360/12)</f>
        <v>7.6093750000000007E-3</v>
      </c>
      <c r="BP85" s="474">
        <f>IF(BP4&lt;Construction_Start_Date,'(Z+) Financing'!$D$7*365.25/360/12,'(Z+) Financing'!$D$36*365.25/360/12)</f>
        <v>7.6093750000000007E-3</v>
      </c>
      <c r="BQ85" s="474">
        <f>IF(BQ4&lt;Construction_Start_Date,'(Z+) Financing'!$D$7*365.25/360/12,'(Z+) Financing'!$D$36*365.25/360/12)</f>
        <v>7.6093750000000007E-3</v>
      </c>
      <c r="BR85" s="474">
        <f>IF(BR4&lt;Construction_Start_Date,'(Z+) Financing'!$D$7*365.25/360/12,'(Z+) Financing'!$D$36*365.25/360/12)</f>
        <v>7.6093750000000007E-3</v>
      </c>
      <c r="BS85" s="474">
        <f>IF(BS4&lt;Construction_Start_Date,'(Z+) Financing'!$D$7*365.25/360/12,'(Z+) Financing'!$D$36*365.25/360/12)</f>
        <v>7.6093750000000007E-3</v>
      </c>
      <c r="BT85" s="474">
        <f>IF(BT4&lt;Construction_Start_Date,'(Z+) Financing'!$D$7*365.25/360/12,'(Z+) Financing'!$D$36*365.25/360/12)</f>
        <v>7.6093750000000007E-3</v>
      </c>
      <c r="BU85" s="474">
        <f>IF(BU4&lt;Construction_Start_Date,'(Z+) Financing'!$D$7*365.25/360/12,'(Z+) Financing'!$D$36*365.25/360/12)</f>
        <v>7.6093750000000007E-3</v>
      </c>
      <c r="BV85" s="474">
        <f>IF(BV4&lt;Construction_Start_Date,'(Z+) Financing'!$D$7*365.25/360/12,'(Z+) Financing'!$D$36*365.25/360/12)</f>
        <v>7.6093750000000007E-3</v>
      </c>
      <c r="BW85" s="474">
        <f>IF(BW4&lt;Construction_Start_Date,'(Z+) Financing'!$D$7*365.25/360/12,'(Z+) Financing'!$D$36*365.25/360/12)</f>
        <v>7.6093750000000007E-3</v>
      </c>
      <c r="BX85" s="474">
        <f>IF(BX4&lt;Construction_Start_Date,'(Z+) Financing'!$D$7*365.25/360/12,'(Z+) Financing'!$D$36*365.25/360/12)</f>
        <v>7.6093750000000007E-3</v>
      </c>
      <c r="BY85" s="474">
        <f>IF(BY4&lt;Construction_Start_Date,'(Z+) Financing'!$D$7*365.25/360/12,'(Z+) Financing'!$D$36*365.25/360/12)</f>
        <v>7.6093750000000007E-3</v>
      </c>
      <c r="BZ85" s="474">
        <f>IF(BZ4&lt;Construction_Start_Date,'(Z+) Financing'!$D$7*365.25/360/12,'(Z+) Financing'!$D$36*365.25/360/12)</f>
        <v>7.6093750000000007E-3</v>
      </c>
      <c r="CA85" s="474">
        <f>IF(CA4&lt;Construction_Start_Date,'(Z+) Financing'!$D$7*365.25/360/12,'(Z+) Financing'!$D$36*365.25/360/12)</f>
        <v>7.6093750000000007E-3</v>
      </c>
      <c r="CB85" s="474">
        <f>IF(CB4&lt;Construction_Start_Date,'(Z+) Financing'!$D$7*365.25/360/12,'(Z+) Financing'!$D$36*365.25/360/12)</f>
        <v>7.6093750000000007E-3</v>
      </c>
      <c r="CC85" s="474">
        <f>IF(CC4&lt;Construction_Start_Date,'(Z+) Financing'!$D$7*365.25/360/12,'(Z+) Financing'!$D$36*365.25/360/12)</f>
        <v>7.6093750000000007E-3</v>
      </c>
      <c r="CD85" s="474">
        <f>IF(CD4&lt;Construction_Start_Date,'(Z+) Financing'!$D$7*365.25/360/12,'(Z+) Financing'!$D$36*365.25/360/12)</f>
        <v>7.6093750000000007E-3</v>
      </c>
      <c r="CE85" s="474">
        <f>IF(CE4&lt;Construction_Start_Date,'(Z+) Financing'!$D$7*365.25/360/12,'(Z+) Financing'!$D$36*365.25/360/12)</f>
        <v>7.6093750000000007E-3</v>
      </c>
      <c r="CF85" s="474">
        <f>IF(CF4&lt;Construction_Start_Date,'(Z+) Financing'!$D$7*365.25/360/12,'(Z+) Financing'!$D$36*365.25/360/12)</f>
        <v>7.6093750000000007E-3</v>
      </c>
      <c r="CG85" s="474">
        <f>IF(CG4&lt;Construction_Start_Date,'(Z+) Financing'!$D$7*365.25/360/12,'(Z+) Financing'!$D$36*365.25/360/12)</f>
        <v>7.6093750000000007E-3</v>
      </c>
      <c r="CH85" s="474">
        <f>IF(CH4&lt;Construction_Start_Date,'(Z+) Financing'!$D$7*365.25/360/12,'(Z+) Financing'!$D$36*365.25/360/12)</f>
        <v>7.6093750000000007E-3</v>
      </c>
      <c r="CI85" s="474">
        <f>IF(CI4&lt;Construction_Start_Date,'(Z+) Financing'!$D$7*365.25/360/12,'(Z+) Financing'!$D$36*365.25/360/12)</f>
        <v>7.6093750000000007E-3</v>
      </c>
      <c r="CJ85" s="474">
        <f>IF(CJ4&lt;Construction_Start_Date,'(Z+) Financing'!$D$7*365.25/360/12,'(Z+) Financing'!$D$36*365.25/360/12)</f>
        <v>7.6093750000000007E-3</v>
      </c>
      <c r="CK85" s="474">
        <f>IF(CK4&lt;Construction_Start_Date,'(Z+) Financing'!$D$7*365.25/360/12,'(Z+) Financing'!$D$36*365.25/360/12)</f>
        <v>7.6093750000000007E-3</v>
      </c>
      <c r="CL85" s="474">
        <f>IF(CL4&lt;Construction_Start_Date,'(Z+) Financing'!$D$7*365.25/360/12,'(Z+) Financing'!$D$36*365.25/360/12)</f>
        <v>7.6093750000000007E-3</v>
      </c>
      <c r="CM85" s="474">
        <f>IF(CM4&lt;Construction_Start_Date,'(Z+) Financing'!$D$7*365.25/360/12,'(Z+) Financing'!$D$36*365.25/360/12)</f>
        <v>7.6093750000000007E-3</v>
      </c>
      <c r="CN85" s="474">
        <f>IF(CN4&lt;Construction_Start_Date,'(Z+) Financing'!$D$7*365.25/360/12,'(Z+) Financing'!$D$36*365.25/360/12)</f>
        <v>7.6093750000000007E-3</v>
      </c>
      <c r="CO85" s="474">
        <f>IF(CO4&lt;Construction_Start_Date,'(Z+) Financing'!$D$7*365.25/360/12,'(Z+) Financing'!$D$36*365.25/360/12)</f>
        <v>7.6093750000000007E-3</v>
      </c>
      <c r="CP85" s="474">
        <f>IF(CP4&lt;Construction_Start_Date,'(Z+) Financing'!$D$7*365.25/360/12,'(Z+) Financing'!$D$36*365.25/360/12)</f>
        <v>7.6093750000000007E-3</v>
      </c>
      <c r="CQ85" s="474">
        <f>IF(CQ4&lt;Construction_Start_Date,'(Z+) Financing'!$D$7*365.25/360/12,'(Z+) Financing'!$D$36*365.25/360/12)</f>
        <v>7.6093750000000007E-3</v>
      </c>
      <c r="CR85" s="474">
        <f>IF(CR4&lt;Construction_Start_Date,'(Z+) Financing'!$D$7*365.25/360/12,'(Z+) Financing'!$D$36*365.25/360/12)</f>
        <v>7.6093750000000007E-3</v>
      </c>
      <c r="CS85" s="474">
        <f>IF(CS4&lt;Construction_Start_Date,'(Z+) Financing'!$D$7*365.25/360/12,'(Z+) Financing'!$D$36*365.25/360/12)</f>
        <v>7.6093750000000007E-3</v>
      </c>
      <c r="CT85" s="474">
        <f>IF(CT4&lt;Construction_Start_Date,'(Z+) Financing'!$D$7*365.25/360/12,'(Z+) Financing'!$D$36*365.25/360/12)</f>
        <v>7.6093750000000007E-3</v>
      </c>
      <c r="CU85" s="474">
        <f>IF(CU4&lt;Construction_Start_Date,'(Z+) Financing'!$D$7*365.25/360/12,'(Z+) Financing'!$D$36*365.25/360/12)</f>
        <v>7.6093750000000007E-3</v>
      </c>
      <c r="CV85" s="474">
        <f>IF(CV4&lt;Construction_Start_Date,'(Z+) Financing'!$D$7*365.25/360/12,'(Z+) Financing'!$D$36*365.25/360/12)</f>
        <v>7.6093750000000007E-3</v>
      </c>
      <c r="CW85" s="474">
        <f>IF(CW4&lt;Construction_Start_Date,'(Z+) Financing'!$D$7*365.25/360/12,'(Z+) Financing'!$D$36*365.25/360/12)</f>
        <v>7.6093750000000007E-3</v>
      </c>
      <c r="CX85" s="474">
        <f>IF(CX4&lt;Construction_Start_Date,'(Z+) Financing'!$D$7*365.25/360/12,'(Z+) Financing'!$D$36*365.25/360/12)</f>
        <v>7.6093750000000007E-3</v>
      </c>
      <c r="CY85" s="474">
        <f>IF(CY4&lt;Construction_Start_Date,'(Z+) Financing'!$D$7*365.25/360/12,'(Z+) Financing'!$D$36*365.25/360/12)</f>
        <v>7.6093750000000007E-3</v>
      </c>
      <c r="CZ85" s="474">
        <f>IF(CZ4&lt;Construction_Start_Date,'(Z+) Financing'!$D$7*365.25/360/12,'(Z+) Financing'!$D$36*365.25/360/12)</f>
        <v>7.6093750000000007E-3</v>
      </c>
      <c r="DA85" s="474">
        <f>IF(DA4&lt;Construction_Start_Date,'(Z+) Financing'!$D$7*365.25/360/12,'(Z+) Financing'!$D$36*365.25/360/12)</f>
        <v>7.6093750000000007E-3</v>
      </c>
      <c r="DB85" s="474">
        <f>IF(DB4&lt;Construction_Start_Date,'(Z+) Financing'!$D$7*365.25/360/12,'(Z+) Financing'!$D$36*365.25/360/12)</f>
        <v>7.6093750000000007E-3</v>
      </c>
      <c r="DC85" s="474">
        <f>IF(DC4&lt;Construction_Start_Date,'(Z+) Financing'!$D$7*365.25/360/12,'(Z+) Financing'!$D$36*365.25/360/12)</f>
        <v>7.6093750000000007E-3</v>
      </c>
      <c r="DD85" s="474">
        <f>IF(DD4&lt;Construction_Start_Date,'(Z+) Financing'!$D$7*365.25/360/12,'(Z+) Financing'!$D$36*365.25/360/12)</f>
        <v>7.6093750000000007E-3</v>
      </c>
      <c r="DE85" s="474">
        <f>IF(DE4&lt;Construction_Start_Date,'(Z+) Financing'!$D$7*365.25/360/12,'(Z+) Financing'!$D$36*365.25/360/12)</f>
        <v>7.6093750000000007E-3</v>
      </c>
      <c r="DF85" s="474">
        <f>IF(DF4&lt;Construction_Start_Date,'(Z+) Financing'!$D$7*365.25/360/12,'(Z+) Financing'!$D$36*365.25/360/12)</f>
        <v>7.6093750000000007E-3</v>
      </c>
      <c r="DG85" s="474">
        <f>IF(DG4&lt;Construction_Start_Date,'(Z+) Financing'!$D$7*365.25/360/12,'(Z+) Financing'!$D$36*365.25/360/12)</f>
        <v>7.6093750000000007E-3</v>
      </c>
      <c r="DH85" s="474">
        <f>IF(DH4&lt;Construction_Start_Date,'(Z+) Financing'!$D$7*365.25/360/12,'(Z+) Financing'!$D$36*365.25/360/12)</f>
        <v>7.6093750000000007E-3</v>
      </c>
      <c r="DI85" s="474">
        <f>IF(DI4&lt;Construction_Start_Date,'(Z+) Financing'!$D$7*365.25/360/12,'(Z+) Financing'!$D$36*365.25/360/12)</f>
        <v>7.6093750000000007E-3</v>
      </c>
      <c r="DJ85" s="474">
        <f>IF(DJ4&lt;Construction_Start_Date,'(Z+) Financing'!$D$7*365.25/360/12,'(Z+) Financing'!$D$36*365.25/360/12)</f>
        <v>7.6093750000000007E-3</v>
      </c>
      <c r="DK85" s="474">
        <f>IF(DK4&lt;Construction_Start_Date,'(Z+) Financing'!$D$7*365.25/360/12,'(Z+) Financing'!$D$36*365.25/360/12)</f>
        <v>7.6093750000000007E-3</v>
      </c>
      <c r="DL85" s="474">
        <f>IF(DL4&lt;Construction_Start_Date,'(Z+) Financing'!$D$7*365.25/360/12,'(Z+) Financing'!$D$36*365.25/360/12)</f>
        <v>7.6093750000000007E-3</v>
      </c>
      <c r="DM85" s="474">
        <f>IF(DM4&lt;Construction_Start_Date,'(Z+) Financing'!$D$7*365.25/360/12,'(Z+) Financing'!$D$36*365.25/360/12)</f>
        <v>7.6093750000000007E-3</v>
      </c>
      <c r="DN85" s="474">
        <f>IF(DN4&lt;Construction_Start_Date,'(Z+) Financing'!$D$7*365.25/360/12,'(Z+) Financing'!$D$36*365.25/360/12)</f>
        <v>7.6093750000000007E-3</v>
      </c>
      <c r="DO85" s="474">
        <f>IF(DO4&lt;Construction_Start_Date,'(Z+) Financing'!$D$7*365.25/360/12,'(Z+) Financing'!$D$36*365.25/360/12)</f>
        <v>7.6093750000000007E-3</v>
      </c>
      <c r="DP85" s="474">
        <f>IF(DP4&lt;Construction_Start_Date,'(Z+) Financing'!$D$7*365.25/360/12,'(Z+) Financing'!$D$36*365.25/360/12)</f>
        <v>7.6093750000000007E-3</v>
      </c>
      <c r="DQ85" s="474">
        <f>IF(DQ4&lt;Construction_Start_Date,'(Z+) Financing'!$D$7*365.25/360/12,'(Z+) Financing'!$D$36*365.25/360/12)</f>
        <v>7.6093750000000007E-3</v>
      </c>
      <c r="DR85" s="474">
        <f>IF(DR4&lt;Construction_Start_Date,'(Z+) Financing'!$D$7*365.25/360/12,'(Z+) Financing'!$D$36*365.25/360/12)</f>
        <v>7.6093750000000007E-3</v>
      </c>
      <c r="DS85" s="474">
        <f>IF(DS4&lt;Construction_Start_Date,'(Z+) Financing'!$D$7*365.25/360/12,'(Z+) Financing'!$D$36*365.25/360/12)</f>
        <v>7.6093750000000007E-3</v>
      </c>
      <c r="DT85" s="474">
        <f>IF(DT4&lt;Construction_Start_Date,'(Z+) Financing'!$D$7*365.25/360/12,'(Z+) Financing'!$D$36*365.25/360/12)</f>
        <v>7.6093750000000007E-3</v>
      </c>
      <c r="DU85" s="474">
        <f>IF(DU4&lt;Construction_Start_Date,'(Z+) Financing'!$D$7*365.25/360/12,'(Z+) Financing'!$D$36*365.25/360/12)</f>
        <v>7.6093750000000007E-3</v>
      </c>
    </row>
    <row r="86" spans="1:125" x14ac:dyDescent="0.25">
      <c r="A86" s="385" t="s">
        <v>523</v>
      </c>
      <c r="D86" s="387"/>
      <c r="F86" s="441">
        <f t="shared" ref="F86:AK86" si="105">E93</f>
        <v>0</v>
      </c>
      <c r="G86" s="441">
        <f t="shared" si="105"/>
        <v>0</v>
      </c>
      <c r="H86" s="441">
        <f t="shared" si="105"/>
        <v>0</v>
      </c>
      <c r="I86" s="441">
        <f t="shared" si="105"/>
        <v>0</v>
      </c>
      <c r="J86" s="442">
        <f t="shared" si="105"/>
        <v>0</v>
      </c>
      <c r="K86" s="442">
        <f t="shared" si="105"/>
        <v>0</v>
      </c>
      <c r="L86" s="442">
        <f t="shared" si="105"/>
        <v>0</v>
      </c>
      <c r="M86" s="442">
        <f t="shared" si="105"/>
        <v>0</v>
      </c>
      <c r="N86" s="442">
        <f t="shared" si="105"/>
        <v>0</v>
      </c>
      <c r="O86" s="442">
        <f t="shared" si="105"/>
        <v>0</v>
      </c>
      <c r="P86" s="442">
        <f t="shared" si="105"/>
        <v>365176.8</v>
      </c>
      <c r="Q86" s="442">
        <f t="shared" si="105"/>
        <v>367955.56721249997</v>
      </c>
      <c r="R86" s="442">
        <f t="shared" si="105"/>
        <v>3676196.0763662923</v>
      </c>
      <c r="S86" s="442">
        <f t="shared" si="105"/>
        <v>8339487.7910608072</v>
      </c>
      <c r="T86" s="442">
        <f t="shared" si="105"/>
        <v>11072038.91733304</v>
      </c>
      <c r="U86" s="443">
        <f t="shared" si="105"/>
        <v>13979997.650324931</v>
      </c>
      <c r="V86" s="443">
        <f t="shared" si="105"/>
        <v>16963711.391456276</v>
      </c>
      <c r="W86" s="443">
        <f t="shared" si="105"/>
        <v>19895239.395428251</v>
      </c>
      <c r="X86" s="443">
        <f t="shared" si="105"/>
        <v>22694459.894812271</v>
      </c>
      <c r="Y86" s="443">
        <f t="shared" si="105"/>
        <v>25276975.472301006</v>
      </c>
      <c r="Z86" s="443">
        <f t="shared" si="105"/>
        <v>27583378.311780773</v>
      </c>
      <c r="AA86" s="443">
        <f t="shared" si="105"/>
        <v>29582943.817947492</v>
      </c>
      <c r="AB86" s="443">
        <f t="shared" si="105"/>
        <v>29808051.531062186</v>
      </c>
      <c r="AC86" s="443">
        <f t="shared" si="105"/>
        <v>30023384.136804655</v>
      </c>
      <c r="AD86" s="443">
        <f t="shared" si="105"/>
        <v>30185555.321855914</v>
      </c>
      <c r="AE86" s="443">
        <f t="shared" si="105"/>
        <v>30293936.126926254</v>
      </c>
      <c r="AF86" s="443">
        <f t="shared" si="105"/>
        <v>30347892.117957812</v>
      </c>
      <c r="AG86" s="443">
        <f t="shared" si="105"/>
        <v>30350459.993260585</v>
      </c>
      <c r="AH86" s="443">
        <f t="shared" si="105"/>
        <v>30293668.913964249</v>
      </c>
      <c r="AI86" s="443">
        <f t="shared" si="105"/>
        <v>30180516.64568777</v>
      </c>
      <c r="AJ86" s="443">
        <f t="shared" si="105"/>
        <v>30010346.418183532</v>
      </c>
      <c r="AK86" s="443">
        <f t="shared" si="105"/>
        <v>29838098.769167937</v>
      </c>
      <c r="AL86" s="443">
        <f t="shared" ref="AL86:BQ86" si="106">AK93</f>
        <v>29663756.377952509</v>
      </c>
      <c r="AM86" s="443">
        <f t="shared" si="106"/>
        <v>0</v>
      </c>
      <c r="AN86" s="443">
        <f t="shared" si="106"/>
        <v>0</v>
      </c>
      <c r="AO86" s="443">
        <f t="shared" si="106"/>
        <v>0</v>
      </c>
      <c r="AP86" s="443">
        <f t="shared" si="106"/>
        <v>0</v>
      </c>
      <c r="AQ86" s="443">
        <f t="shared" si="106"/>
        <v>0</v>
      </c>
      <c r="AR86" s="443">
        <f t="shared" si="106"/>
        <v>0</v>
      </c>
      <c r="AS86" s="443">
        <f t="shared" si="106"/>
        <v>0</v>
      </c>
      <c r="AT86" s="443">
        <f t="shared" si="106"/>
        <v>0</v>
      </c>
      <c r="AU86" s="443">
        <f t="shared" si="106"/>
        <v>0</v>
      </c>
      <c r="AV86" s="443">
        <f t="shared" si="106"/>
        <v>0</v>
      </c>
      <c r="AW86" s="443">
        <f t="shared" si="106"/>
        <v>0</v>
      </c>
      <c r="AX86" s="443">
        <f t="shared" si="106"/>
        <v>0</v>
      </c>
      <c r="AY86" s="443">
        <f t="shared" si="106"/>
        <v>0</v>
      </c>
      <c r="AZ86" s="443">
        <f t="shared" si="106"/>
        <v>0</v>
      </c>
      <c r="BA86" s="443">
        <f t="shared" si="106"/>
        <v>0</v>
      </c>
      <c r="BB86" s="443">
        <f t="shared" si="106"/>
        <v>0</v>
      </c>
      <c r="BC86" s="443">
        <f t="shared" si="106"/>
        <v>0</v>
      </c>
      <c r="BD86" s="443">
        <f t="shared" si="106"/>
        <v>0</v>
      </c>
      <c r="BE86" s="443">
        <f t="shared" si="106"/>
        <v>0</v>
      </c>
      <c r="BF86" s="443">
        <f t="shared" si="106"/>
        <v>0</v>
      </c>
      <c r="BG86" s="443">
        <f t="shared" si="106"/>
        <v>0</v>
      </c>
      <c r="BH86" s="443">
        <f t="shared" si="106"/>
        <v>0</v>
      </c>
      <c r="BI86" s="443">
        <f t="shared" si="106"/>
        <v>0</v>
      </c>
      <c r="BJ86" s="443">
        <f t="shared" si="106"/>
        <v>0</v>
      </c>
      <c r="BK86" s="443">
        <f t="shared" si="106"/>
        <v>0</v>
      </c>
      <c r="BL86" s="443">
        <f t="shared" si="106"/>
        <v>0</v>
      </c>
      <c r="BM86" s="443">
        <f t="shared" si="106"/>
        <v>0</v>
      </c>
      <c r="BN86" s="443">
        <f t="shared" si="106"/>
        <v>0</v>
      </c>
      <c r="BO86" s="443">
        <f t="shared" si="106"/>
        <v>0</v>
      </c>
      <c r="BP86" s="443">
        <f t="shared" si="106"/>
        <v>0</v>
      </c>
      <c r="BQ86" s="443">
        <f t="shared" si="106"/>
        <v>0</v>
      </c>
      <c r="BR86" s="443">
        <f t="shared" ref="BR86:CW86" si="107">BQ93</f>
        <v>0</v>
      </c>
      <c r="BS86" s="443">
        <f t="shared" si="107"/>
        <v>0</v>
      </c>
      <c r="BT86" s="443">
        <f t="shared" si="107"/>
        <v>0</v>
      </c>
      <c r="BU86" s="443">
        <f t="shared" si="107"/>
        <v>0</v>
      </c>
      <c r="BV86" s="443">
        <f t="shared" si="107"/>
        <v>0</v>
      </c>
      <c r="BW86" s="443">
        <f t="shared" si="107"/>
        <v>0</v>
      </c>
      <c r="BX86" s="443">
        <f t="shared" si="107"/>
        <v>0</v>
      </c>
      <c r="BY86" s="443">
        <f t="shared" si="107"/>
        <v>0</v>
      </c>
      <c r="BZ86" s="443">
        <f t="shared" si="107"/>
        <v>0</v>
      </c>
      <c r="CA86" s="443">
        <f t="shared" si="107"/>
        <v>0</v>
      </c>
      <c r="CB86" s="443">
        <f t="shared" si="107"/>
        <v>0</v>
      </c>
      <c r="CC86" s="443">
        <f t="shared" si="107"/>
        <v>0</v>
      </c>
      <c r="CD86" s="443">
        <f t="shared" si="107"/>
        <v>0</v>
      </c>
      <c r="CE86" s="443">
        <f t="shared" si="107"/>
        <v>0</v>
      </c>
      <c r="CF86" s="443">
        <f t="shared" si="107"/>
        <v>0</v>
      </c>
      <c r="CG86" s="443">
        <f t="shared" si="107"/>
        <v>0</v>
      </c>
      <c r="CH86" s="443">
        <f t="shared" si="107"/>
        <v>0</v>
      </c>
      <c r="CI86" s="443">
        <f t="shared" si="107"/>
        <v>0</v>
      </c>
      <c r="CJ86" s="443">
        <f t="shared" si="107"/>
        <v>0</v>
      </c>
      <c r="CK86" s="443">
        <f t="shared" si="107"/>
        <v>0</v>
      </c>
      <c r="CL86" s="443">
        <f t="shared" si="107"/>
        <v>0</v>
      </c>
      <c r="CM86" s="443">
        <f t="shared" si="107"/>
        <v>0</v>
      </c>
      <c r="CN86" s="443">
        <f t="shared" si="107"/>
        <v>0</v>
      </c>
      <c r="CO86" s="443">
        <f t="shared" si="107"/>
        <v>0</v>
      </c>
      <c r="CP86" s="443">
        <f t="shared" si="107"/>
        <v>0</v>
      </c>
      <c r="CQ86" s="443">
        <f t="shared" si="107"/>
        <v>0</v>
      </c>
      <c r="CR86" s="443">
        <f t="shared" si="107"/>
        <v>0</v>
      </c>
      <c r="CS86" s="443">
        <f t="shared" si="107"/>
        <v>0</v>
      </c>
      <c r="CT86" s="443">
        <f t="shared" si="107"/>
        <v>0</v>
      </c>
      <c r="CU86" s="443">
        <f t="shared" si="107"/>
        <v>0</v>
      </c>
      <c r="CV86" s="443">
        <f t="shared" si="107"/>
        <v>0</v>
      </c>
      <c r="CW86" s="443">
        <f t="shared" si="107"/>
        <v>0</v>
      </c>
      <c r="CX86" s="443">
        <f t="shared" ref="CX86:DU86" si="108">CW93</f>
        <v>0</v>
      </c>
      <c r="CY86" s="443">
        <f t="shared" si="108"/>
        <v>0</v>
      </c>
      <c r="CZ86" s="443">
        <f t="shared" si="108"/>
        <v>0</v>
      </c>
      <c r="DA86" s="443">
        <f t="shared" si="108"/>
        <v>0</v>
      </c>
      <c r="DB86" s="443">
        <f t="shared" si="108"/>
        <v>0</v>
      </c>
      <c r="DC86" s="443">
        <f t="shared" si="108"/>
        <v>0</v>
      </c>
      <c r="DD86" s="443">
        <f t="shared" si="108"/>
        <v>0</v>
      </c>
      <c r="DE86" s="443">
        <f t="shared" si="108"/>
        <v>0</v>
      </c>
      <c r="DF86" s="443">
        <f t="shared" si="108"/>
        <v>0</v>
      </c>
      <c r="DG86" s="443">
        <f t="shared" si="108"/>
        <v>0</v>
      </c>
      <c r="DH86" s="443">
        <f t="shared" si="108"/>
        <v>0</v>
      </c>
      <c r="DI86" s="443">
        <f t="shared" si="108"/>
        <v>0</v>
      </c>
      <c r="DJ86" s="443">
        <f t="shared" si="108"/>
        <v>0</v>
      </c>
      <c r="DK86" s="443">
        <f t="shared" si="108"/>
        <v>0</v>
      </c>
      <c r="DL86" s="443">
        <f t="shared" si="108"/>
        <v>0</v>
      </c>
      <c r="DM86" s="443">
        <f t="shared" si="108"/>
        <v>0</v>
      </c>
      <c r="DN86" s="443">
        <f t="shared" si="108"/>
        <v>0</v>
      </c>
      <c r="DO86" s="443">
        <f t="shared" si="108"/>
        <v>0</v>
      </c>
      <c r="DP86" s="443">
        <f t="shared" si="108"/>
        <v>0</v>
      </c>
      <c r="DQ86" s="443">
        <f t="shared" si="108"/>
        <v>0</v>
      </c>
      <c r="DR86" s="443">
        <f t="shared" si="108"/>
        <v>0</v>
      </c>
      <c r="DS86" s="443">
        <f t="shared" si="108"/>
        <v>0</v>
      </c>
      <c r="DT86" s="443">
        <f t="shared" si="108"/>
        <v>0</v>
      </c>
      <c r="DU86" s="443">
        <f t="shared" si="108"/>
        <v>0</v>
      </c>
    </row>
    <row r="87" spans="1:125" x14ac:dyDescent="0.25">
      <c r="A87" s="385" t="s">
        <v>524</v>
      </c>
      <c r="D87" s="463">
        <f t="shared" ref="D87:D92" si="109">IFERROR(SUM(F87:HC87), 0)</f>
        <v>0</v>
      </c>
      <c r="F87" s="441">
        <f t="shared" ref="F87:AK87" si="110">(F4&lt;Construction_Start_Date)*(-F70-F81)</f>
        <v>0</v>
      </c>
      <c r="G87" s="441">
        <f t="shared" si="110"/>
        <v>0</v>
      </c>
      <c r="H87" s="441">
        <f t="shared" si="110"/>
        <v>0</v>
      </c>
      <c r="I87" s="441">
        <f t="shared" si="110"/>
        <v>0</v>
      </c>
      <c r="J87" s="442">
        <f t="shared" si="110"/>
        <v>0</v>
      </c>
      <c r="K87" s="442">
        <f t="shared" si="110"/>
        <v>0</v>
      </c>
      <c r="L87" s="442">
        <f t="shared" si="110"/>
        <v>0</v>
      </c>
      <c r="M87" s="442">
        <f t="shared" si="110"/>
        <v>0</v>
      </c>
      <c r="N87" s="442">
        <f t="shared" si="110"/>
        <v>0</v>
      </c>
      <c r="O87" s="442">
        <f t="shared" si="110"/>
        <v>0</v>
      </c>
      <c r="P87" s="442">
        <f t="shared" si="110"/>
        <v>0</v>
      </c>
      <c r="Q87" s="442">
        <f t="shared" si="110"/>
        <v>0</v>
      </c>
      <c r="R87" s="442">
        <f t="shared" si="110"/>
        <v>0</v>
      </c>
      <c r="S87" s="442">
        <f t="shared" si="110"/>
        <v>0</v>
      </c>
      <c r="T87" s="442">
        <f t="shared" si="110"/>
        <v>0</v>
      </c>
      <c r="U87" s="443">
        <f t="shared" si="110"/>
        <v>0</v>
      </c>
      <c r="V87" s="443">
        <f t="shared" si="110"/>
        <v>0</v>
      </c>
      <c r="W87" s="443">
        <f t="shared" si="110"/>
        <v>0</v>
      </c>
      <c r="X87" s="443">
        <f t="shared" si="110"/>
        <v>0</v>
      </c>
      <c r="Y87" s="443">
        <f t="shared" si="110"/>
        <v>0</v>
      </c>
      <c r="Z87" s="443">
        <f t="shared" si="110"/>
        <v>0</v>
      </c>
      <c r="AA87" s="443">
        <f t="shared" si="110"/>
        <v>0</v>
      </c>
      <c r="AB87" s="443">
        <f t="shared" si="110"/>
        <v>0</v>
      </c>
      <c r="AC87" s="443">
        <f t="shared" si="110"/>
        <v>0</v>
      </c>
      <c r="AD87" s="443">
        <f t="shared" si="110"/>
        <v>0</v>
      </c>
      <c r="AE87" s="443">
        <f t="shared" si="110"/>
        <v>0</v>
      </c>
      <c r="AF87" s="443">
        <f t="shared" si="110"/>
        <v>0</v>
      </c>
      <c r="AG87" s="443">
        <f t="shared" si="110"/>
        <v>0</v>
      </c>
      <c r="AH87" s="443">
        <f t="shared" si="110"/>
        <v>0</v>
      </c>
      <c r="AI87" s="443">
        <f t="shared" si="110"/>
        <v>0</v>
      </c>
      <c r="AJ87" s="443">
        <f t="shared" si="110"/>
        <v>0</v>
      </c>
      <c r="AK87" s="443">
        <f t="shared" si="110"/>
        <v>0</v>
      </c>
      <c r="AL87" s="443">
        <f t="shared" ref="AL87:BQ87" si="111">(AL4&lt;Construction_Start_Date)*(-AL70-AL81)</f>
        <v>0</v>
      </c>
      <c r="AM87" s="443">
        <f t="shared" si="111"/>
        <v>0</v>
      </c>
      <c r="AN87" s="443">
        <f t="shared" si="111"/>
        <v>0</v>
      </c>
      <c r="AO87" s="443">
        <f t="shared" si="111"/>
        <v>0</v>
      </c>
      <c r="AP87" s="443">
        <f t="shared" si="111"/>
        <v>0</v>
      </c>
      <c r="AQ87" s="443">
        <f t="shared" si="111"/>
        <v>0</v>
      </c>
      <c r="AR87" s="443">
        <f t="shared" si="111"/>
        <v>0</v>
      </c>
      <c r="AS87" s="443">
        <f t="shared" si="111"/>
        <v>0</v>
      </c>
      <c r="AT87" s="443">
        <f t="shared" si="111"/>
        <v>0</v>
      </c>
      <c r="AU87" s="443">
        <f t="shared" si="111"/>
        <v>0</v>
      </c>
      <c r="AV87" s="443">
        <f t="shared" si="111"/>
        <v>0</v>
      </c>
      <c r="AW87" s="443">
        <f t="shared" si="111"/>
        <v>0</v>
      </c>
      <c r="AX87" s="443">
        <f t="shared" si="111"/>
        <v>0</v>
      </c>
      <c r="AY87" s="443">
        <f t="shared" si="111"/>
        <v>0</v>
      </c>
      <c r="AZ87" s="443">
        <f t="shared" si="111"/>
        <v>0</v>
      </c>
      <c r="BA87" s="443">
        <f t="shared" si="111"/>
        <v>0</v>
      </c>
      <c r="BB87" s="443">
        <f t="shared" si="111"/>
        <v>0</v>
      </c>
      <c r="BC87" s="443">
        <f t="shared" si="111"/>
        <v>0</v>
      </c>
      <c r="BD87" s="443">
        <f t="shared" si="111"/>
        <v>0</v>
      </c>
      <c r="BE87" s="443">
        <f t="shared" si="111"/>
        <v>0</v>
      </c>
      <c r="BF87" s="443">
        <f t="shared" si="111"/>
        <v>0</v>
      </c>
      <c r="BG87" s="443">
        <f t="shared" si="111"/>
        <v>0</v>
      </c>
      <c r="BH87" s="443">
        <f t="shared" si="111"/>
        <v>0</v>
      </c>
      <c r="BI87" s="443">
        <f t="shared" si="111"/>
        <v>0</v>
      </c>
      <c r="BJ87" s="443">
        <f t="shared" si="111"/>
        <v>0</v>
      </c>
      <c r="BK87" s="443">
        <f t="shared" si="111"/>
        <v>0</v>
      </c>
      <c r="BL87" s="443">
        <f t="shared" si="111"/>
        <v>0</v>
      </c>
      <c r="BM87" s="443">
        <f t="shared" si="111"/>
        <v>0</v>
      </c>
      <c r="BN87" s="443">
        <f t="shared" si="111"/>
        <v>0</v>
      </c>
      <c r="BO87" s="443">
        <f t="shared" si="111"/>
        <v>0</v>
      </c>
      <c r="BP87" s="443">
        <f t="shared" si="111"/>
        <v>0</v>
      </c>
      <c r="BQ87" s="443">
        <f t="shared" si="111"/>
        <v>0</v>
      </c>
      <c r="BR87" s="443">
        <f t="shared" ref="BR87:CW87" si="112">(BR4&lt;Construction_Start_Date)*(-BR70-BR81)</f>
        <v>0</v>
      </c>
      <c r="BS87" s="443">
        <f t="shared" si="112"/>
        <v>0</v>
      </c>
      <c r="BT87" s="443">
        <f t="shared" si="112"/>
        <v>0</v>
      </c>
      <c r="BU87" s="443">
        <f t="shared" si="112"/>
        <v>0</v>
      </c>
      <c r="BV87" s="443">
        <f t="shared" si="112"/>
        <v>0</v>
      </c>
      <c r="BW87" s="443">
        <f t="shared" si="112"/>
        <v>0</v>
      </c>
      <c r="BX87" s="443">
        <f t="shared" si="112"/>
        <v>0</v>
      </c>
      <c r="BY87" s="443">
        <f t="shared" si="112"/>
        <v>0</v>
      </c>
      <c r="BZ87" s="443">
        <f t="shared" si="112"/>
        <v>0</v>
      </c>
      <c r="CA87" s="443">
        <f t="shared" si="112"/>
        <v>0</v>
      </c>
      <c r="CB87" s="443">
        <f t="shared" si="112"/>
        <v>0</v>
      </c>
      <c r="CC87" s="443">
        <f t="shared" si="112"/>
        <v>0</v>
      </c>
      <c r="CD87" s="443">
        <f t="shared" si="112"/>
        <v>0</v>
      </c>
      <c r="CE87" s="443">
        <f t="shared" si="112"/>
        <v>0</v>
      </c>
      <c r="CF87" s="443">
        <f t="shared" si="112"/>
        <v>0</v>
      </c>
      <c r="CG87" s="443">
        <f t="shared" si="112"/>
        <v>0</v>
      </c>
      <c r="CH87" s="443">
        <f t="shared" si="112"/>
        <v>0</v>
      </c>
      <c r="CI87" s="443">
        <f t="shared" si="112"/>
        <v>0</v>
      </c>
      <c r="CJ87" s="443">
        <f t="shared" si="112"/>
        <v>0</v>
      </c>
      <c r="CK87" s="443">
        <f t="shared" si="112"/>
        <v>0</v>
      </c>
      <c r="CL87" s="443">
        <f t="shared" si="112"/>
        <v>0</v>
      </c>
      <c r="CM87" s="443">
        <f t="shared" si="112"/>
        <v>0</v>
      </c>
      <c r="CN87" s="443">
        <f t="shared" si="112"/>
        <v>0</v>
      </c>
      <c r="CO87" s="443">
        <f t="shared" si="112"/>
        <v>0</v>
      </c>
      <c r="CP87" s="443">
        <f t="shared" si="112"/>
        <v>0</v>
      </c>
      <c r="CQ87" s="443">
        <f t="shared" si="112"/>
        <v>0</v>
      </c>
      <c r="CR87" s="443">
        <f t="shared" si="112"/>
        <v>0</v>
      </c>
      <c r="CS87" s="443">
        <f t="shared" si="112"/>
        <v>0</v>
      </c>
      <c r="CT87" s="443">
        <f t="shared" si="112"/>
        <v>0</v>
      </c>
      <c r="CU87" s="443">
        <f t="shared" si="112"/>
        <v>0</v>
      </c>
      <c r="CV87" s="443">
        <f t="shared" si="112"/>
        <v>0</v>
      </c>
      <c r="CW87" s="443">
        <f t="shared" si="112"/>
        <v>0</v>
      </c>
      <c r="CX87" s="443">
        <f t="shared" ref="CX87:DU87" si="113">(CX4&lt;Construction_Start_Date)*(-CX70-CX81)</f>
        <v>0</v>
      </c>
      <c r="CY87" s="443">
        <f t="shared" si="113"/>
        <v>0</v>
      </c>
      <c r="CZ87" s="443">
        <f t="shared" si="113"/>
        <v>0</v>
      </c>
      <c r="DA87" s="443">
        <f t="shared" si="113"/>
        <v>0</v>
      </c>
      <c r="DB87" s="443">
        <f t="shared" si="113"/>
        <v>0</v>
      </c>
      <c r="DC87" s="443">
        <f t="shared" si="113"/>
        <v>0</v>
      </c>
      <c r="DD87" s="443">
        <f t="shared" si="113"/>
        <v>0</v>
      </c>
      <c r="DE87" s="443">
        <f t="shared" si="113"/>
        <v>0</v>
      </c>
      <c r="DF87" s="443">
        <f t="shared" si="113"/>
        <v>0</v>
      </c>
      <c r="DG87" s="443">
        <f t="shared" si="113"/>
        <v>0</v>
      </c>
      <c r="DH87" s="443">
        <f t="shared" si="113"/>
        <v>0</v>
      </c>
      <c r="DI87" s="443">
        <f t="shared" si="113"/>
        <v>0</v>
      </c>
      <c r="DJ87" s="443">
        <f t="shared" si="113"/>
        <v>0</v>
      </c>
      <c r="DK87" s="443">
        <f t="shared" si="113"/>
        <v>0</v>
      </c>
      <c r="DL87" s="443">
        <f t="shared" si="113"/>
        <v>0</v>
      </c>
      <c r="DM87" s="443">
        <f t="shared" si="113"/>
        <v>0</v>
      </c>
      <c r="DN87" s="443">
        <f t="shared" si="113"/>
        <v>0</v>
      </c>
      <c r="DO87" s="443">
        <f t="shared" si="113"/>
        <v>0</v>
      </c>
      <c r="DP87" s="443">
        <f t="shared" si="113"/>
        <v>0</v>
      </c>
      <c r="DQ87" s="443">
        <f t="shared" si="113"/>
        <v>0</v>
      </c>
      <c r="DR87" s="443">
        <f t="shared" si="113"/>
        <v>0</v>
      </c>
      <c r="DS87" s="443">
        <f t="shared" si="113"/>
        <v>0</v>
      </c>
      <c r="DT87" s="443">
        <f t="shared" si="113"/>
        <v>0</v>
      </c>
      <c r="DU87" s="443">
        <f t="shared" si="113"/>
        <v>0</v>
      </c>
    </row>
    <row r="88" spans="1:125" ht="30" customHeight="1" x14ac:dyDescent="0.25">
      <c r="A88" s="385" t="s">
        <v>525</v>
      </c>
      <c r="D88" s="463">
        <f t="shared" si="109"/>
        <v>0</v>
      </c>
      <c r="F88" s="441">
        <f>(F4=Inputs!$E$21)*('(Z+) Financing'!$D$9)</f>
        <v>0</v>
      </c>
      <c r="G88" s="441">
        <f>(G4=Inputs!$E$21)*('(Z+) Financing'!$D$9)</f>
        <v>0</v>
      </c>
      <c r="H88" s="441">
        <f>(H4=Inputs!$E$21)*('(Z+) Financing'!$D$9)</f>
        <v>0</v>
      </c>
      <c r="I88" s="441">
        <f>(I4=Inputs!$E$21)*('(Z+) Financing'!$D$9)</f>
        <v>0</v>
      </c>
      <c r="J88" s="442">
        <f>(J4=Inputs!$E$21)*('(Z+) Financing'!$D$9)</f>
        <v>0</v>
      </c>
      <c r="K88" s="442">
        <f>(K4=Inputs!$E$21)*('(Z+) Financing'!$D$9)</f>
        <v>0</v>
      </c>
      <c r="L88" s="442">
        <f>(L4=Inputs!$E$21)*('(Z+) Financing'!$D$9)</f>
        <v>0</v>
      </c>
      <c r="M88" s="442">
        <f>(M4=Inputs!$E$21)*('(Z+) Financing'!$D$9)</f>
        <v>0</v>
      </c>
      <c r="N88" s="442">
        <f>(N4=Inputs!$E$21)*('(Z+) Financing'!$D$9)</f>
        <v>0</v>
      </c>
      <c r="O88" s="442">
        <f>(O4=Inputs!$E$21)*('(Z+) Financing'!$D$9)</f>
        <v>0</v>
      </c>
      <c r="P88" s="442">
        <f>(P4=Inputs!$E$21)*('(Z+) Financing'!$D$9)</f>
        <v>0</v>
      </c>
      <c r="Q88" s="442">
        <f>(Q4=Inputs!$E$21)*('(Z+) Financing'!$D$9)</f>
        <v>0</v>
      </c>
      <c r="R88" s="442">
        <f>(R4=Inputs!$E$21)*('(Z+) Financing'!$D$9)</f>
        <v>0</v>
      </c>
      <c r="S88" s="442">
        <f>(S4=Inputs!$E$21)*('(Z+) Financing'!$D$9)</f>
        <v>0</v>
      </c>
      <c r="T88" s="442">
        <f>(T4=Inputs!$E$21)*('(Z+) Financing'!$D$9)</f>
        <v>0</v>
      </c>
      <c r="U88" s="443">
        <f>(U4=Inputs!$E$21)*('(Z+) Financing'!$D$9)</f>
        <v>0</v>
      </c>
      <c r="V88" s="443">
        <f>(V4=Inputs!$E$21)*('(Z+) Financing'!$D$9)</f>
        <v>0</v>
      </c>
      <c r="W88" s="443">
        <f>(W4=Inputs!$E$21)*('(Z+) Financing'!$D$9)</f>
        <v>0</v>
      </c>
      <c r="X88" s="443">
        <f>(X4=Inputs!$E$21)*('(Z+) Financing'!$D$9)</f>
        <v>0</v>
      </c>
      <c r="Y88" s="443">
        <f>(Y4=Inputs!$E$21)*('(Z+) Financing'!$D$9)</f>
        <v>0</v>
      </c>
      <c r="Z88" s="443">
        <f>(Z4=Inputs!$E$21)*('(Z+) Financing'!$D$9)</f>
        <v>0</v>
      </c>
      <c r="AA88" s="443">
        <f>(AA4=Inputs!$E$21)*('(Z+) Financing'!$D$9)</f>
        <v>0</v>
      </c>
      <c r="AB88" s="443">
        <f>(AB4=Inputs!$E$21)*('(Z+) Financing'!$D$9)</f>
        <v>0</v>
      </c>
      <c r="AC88" s="443">
        <f>(AC4=Inputs!$E$21)*('(Z+) Financing'!$D$9)</f>
        <v>0</v>
      </c>
      <c r="AD88" s="443">
        <f>(AD4=Inputs!$E$21)*('(Z+) Financing'!$D$9)</f>
        <v>0</v>
      </c>
      <c r="AE88" s="443">
        <f>(AE4=Inputs!$E$21)*('(Z+) Financing'!$D$9)</f>
        <v>0</v>
      </c>
      <c r="AF88" s="443">
        <f>(AF4=Inputs!$E$21)*('(Z+) Financing'!$D$9)</f>
        <v>0</v>
      </c>
      <c r="AG88" s="443">
        <f>(AG4=Inputs!$E$21)*('(Z+) Financing'!$D$9)</f>
        <v>0</v>
      </c>
      <c r="AH88" s="443">
        <f>(AH4=Inputs!$E$21)*('(Z+) Financing'!$D$9)</f>
        <v>0</v>
      </c>
      <c r="AI88" s="443">
        <f>(AI4=Inputs!$E$21)*('(Z+) Financing'!$D$9)</f>
        <v>0</v>
      </c>
      <c r="AJ88" s="443">
        <f>(AJ4=Inputs!$E$21)*('(Z+) Financing'!$D$9)</f>
        <v>0</v>
      </c>
      <c r="AK88" s="443">
        <f>(AK4=Inputs!$E$21)*('(Z+) Financing'!$D$9)</f>
        <v>0</v>
      </c>
      <c r="AL88" s="443">
        <f>(AL4=Inputs!$E$21)*('(Z+) Financing'!$D$9)</f>
        <v>0</v>
      </c>
      <c r="AM88" s="443">
        <f>(AM4=Inputs!$E$21)*('(Z+) Financing'!$D$9)</f>
        <v>0</v>
      </c>
      <c r="AN88" s="443">
        <f>(AN4=Inputs!$E$21)*('(Z+) Financing'!$D$9)</f>
        <v>0</v>
      </c>
      <c r="AO88" s="443">
        <f>(AO4=Inputs!$E$21)*('(Z+) Financing'!$D$9)</f>
        <v>0</v>
      </c>
      <c r="AP88" s="443">
        <f>(AP4=Inputs!$E$21)*('(Z+) Financing'!$D$9)</f>
        <v>0</v>
      </c>
      <c r="AQ88" s="443">
        <f>(AQ4=Inputs!$E$21)*('(Z+) Financing'!$D$9)</f>
        <v>0</v>
      </c>
      <c r="AR88" s="443">
        <f>(AR4=Inputs!$E$21)*('(Z+) Financing'!$D$9)</f>
        <v>0</v>
      </c>
      <c r="AS88" s="443">
        <f>(AS4=Inputs!$E$21)*('(Z+) Financing'!$D$9)</f>
        <v>0</v>
      </c>
      <c r="AT88" s="443">
        <f>(AT4=Inputs!$E$21)*('(Z+) Financing'!$D$9)</f>
        <v>0</v>
      </c>
      <c r="AU88" s="443">
        <f>(AU4=Inputs!$E$21)*('(Z+) Financing'!$D$9)</f>
        <v>0</v>
      </c>
      <c r="AV88" s="443">
        <f>(AV4=Inputs!$E$21)*('(Z+) Financing'!$D$9)</f>
        <v>0</v>
      </c>
      <c r="AW88" s="443">
        <f>(AW4=Inputs!$E$21)*('(Z+) Financing'!$D$9)</f>
        <v>0</v>
      </c>
      <c r="AX88" s="443">
        <f>(AX4=Inputs!$E$21)*('(Z+) Financing'!$D$9)</f>
        <v>0</v>
      </c>
      <c r="AY88" s="443">
        <f>(AY4=Inputs!$E$21)*('(Z+) Financing'!$D$9)</f>
        <v>0</v>
      </c>
      <c r="AZ88" s="443">
        <f>(AZ4=Inputs!$E$21)*('(Z+) Financing'!$D$9)</f>
        <v>0</v>
      </c>
      <c r="BA88" s="443">
        <f>(BA4=Inputs!$E$21)*('(Z+) Financing'!$D$9)</f>
        <v>0</v>
      </c>
      <c r="BB88" s="443">
        <f>(BB4=Inputs!$E$21)*('(Z+) Financing'!$D$9)</f>
        <v>0</v>
      </c>
      <c r="BC88" s="443">
        <f>(BC4=Inputs!$E$21)*('(Z+) Financing'!$D$9)</f>
        <v>0</v>
      </c>
      <c r="BD88" s="443">
        <f>(BD4=Inputs!$E$21)*('(Z+) Financing'!$D$9)</f>
        <v>0</v>
      </c>
      <c r="BE88" s="443">
        <f>(BE4=Inputs!$E$21)*('(Z+) Financing'!$D$9)</f>
        <v>0</v>
      </c>
      <c r="BF88" s="443">
        <f>(BF4=Inputs!$E$21)*('(Z+) Financing'!$D$9)</f>
        <v>0</v>
      </c>
      <c r="BG88" s="443">
        <f>(BG4=Inputs!$E$21)*('(Z+) Financing'!$D$9)</f>
        <v>0</v>
      </c>
      <c r="BH88" s="443">
        <f>(BH4=Inputs!$E$21)*('(Z+) Financing'!$D$9)</f>
        <v>0</v>
      </c>
      <c r="BI88" s="443">
        <f>(BI4=Inputs!$E$21)*('(Z+) Financing'!$D$9)</f>
        <v>0</v>
      </c>
      <c r="BJ88" s="443">
        <f>(BJ4=Inputs!$E$21)*('(Z+) Financing'!$D$9)</f>
        <v>0</v>
      </c>
      <c r="BK88" s="443">
        <f>(BK4=Inputs!$E$21)*('(Z+) Financing'!$D$9)</f>
        <v>0</v>
      </c>
      <c r="BL88" s="443">
        <f>(BL4=Inputs!$E$21)*('(Z+) Financing'!$D$9)</f>
        <v>0</v>
      </c>
      <c r="BM88" s="443">
        <f>(BM4=Inputs!$E$21)*('(Z+) Financing'!$D$9)</f>
        <v>0</v>
      </c>
      <c r="BN88" s="443">
        <f>(BN4=Inputs!$E$21)*('(Z+) Financing'!$D$9)</f>
        <v>0</v>
      </c>
      <c r="BO88" s="443">
        <f>(BO4=Inputs!$E$21)*('(Z+) Financing'!$D$9)</f>
        <v>0</v>
      </c>
      <c r="BP88" s="443">
        <f>(BP4=Inputs!$E$21)*('(Z+) Financing'!$D$9)</f>
        <v>0</v>
      </c>
      <c r="BQ88" s="443">
        <f>(BQ4=Inputs!$E$21)*('(Z+) Financing'!$D$9)</f>
        <v>0</v>
      </c>
      <c r="BR88" s="443">
        <f>(BR4=Inputs!$E$21)*('(Z+) Financing'!$D$9)</f>
        <v>0</v>
      </c>
      <c r="BS88" s="443">
        <f>(BS4=Inputs!$E$21)*('(Z+) Financing'!$D$9)</f>
        <v>0</v>
      </c>
      <c r="BT88" s="443">
        <f>(BT4=Inputs!$E$21)*('(Z+) Financing'!$D$9)</f>
        <v>0</v>
      </c>
      <c r="BU88" s="443">
        <f>(BU4=Inputs!$E$21)*('(Z+) Financing'!$D$9)</f>
        <v>0</v>
      </c>
      <c r="BV88" s="443">
        <f>(BV4=Inputs!$E$21)*('(Z+) Financing'!$D$9)</f>
        <v>0</v>
      </c>
      <c r="BW88" s="443">
        <f>(BW4=Inputs!$E$21)*('(Z+) Financing'!$D$9)</f>
        <v>0</v>
      </c>
      <c r="BX88" s="443">
        <f>(BX4=Inputs!$E$21)*('(Z+) Financing'!$D$9)</f>
        <v>0</v>
      </c>
      <c r="BY88" s="443">
        <f>(BY4=Inputs!$E$21)*('(Z+) Financing'!$D$9)</f>
        <v>0</v>
      </c>
      <c r="BZ88" s="443">
        <f>(BZ4=Inputs!$E$21)*('(Z+) Financing'!$D$9)</f>
        <v>0</v>
      </c>
      <c r="CA88" s="443">
        <f>(CA4=Inputs!$E$21)*('(Z+) Financing'!$D$9)</f>
        <v>0</v>
      </c>
      <c r="CB88" s="443">
        <f>(CB4=Inputs!$E$21)*('(Z+) Financing'!$D$9)</f>
        <v>0</v>
      </c>
      <c r="CC88" s="443">
        <f>(CC4=Inputs!$E$21)*('(Z+) Financing'!$D$9)</f>
        <v>0</v>
      </c>
      <c r="CD88" s="443">
        <f>(CD4=Inputs!$E$21)*('(Z+) Financing'!$D$9)</f>
        <v>0</v>
      </c>
      <c r="CE88" s="443">
        <f>(CE4=Inputs!$E$21)*('(Z+) Financing'!$D$9)</f>
        <v>0</v>
      </c>
      <c r="CF88" s="443">
        <f>(CF4=Inputs!$E$21)*('(Z+) Financing'!$D$9)</f>
        <v>0</v>
      </c>
      <c r="CG88" s="443">
        <f>(CG4=Inputs!$E$21)*('(Z+) Financing'!$D$9)</f>
        <v>0</v>
      </c>
      <c r="CH88" s="443">
        <f>(CH4=Inputs!$E$21)*('(Z+) Financing'!$D$9)</f>
        <v>0</v>
      </c>
      <c r="CI88" s="443">
        <f>(CI4=Inputs!$E$21)*('(Z+) Financing'!$D$9)</f>
        <v>0</v>
      </c>
      <c r="CJ88" s="443">
        <f>(CJ4=Inputs!$E$21)*('(Z+) Financing'!$D$9)</f>
        <v>0</v>
      </c>
      <c r="CK88" s="443">
        <f>(CK4=Inputs!$E$21)*('(Z+) Financing'!$D$9)</f>
        <v>0</v>
      </c>
      <c r="CL88" s="443">
        <f>(CL4=Inputs!$E$21)*('(Z+) Financing'!$D$9)</f>
        <v>0</v>
      </c>
      <c r="CM88" s="443">
        <f>(CM4=Inputs!$E$21)*('(Z+) Financing'!$D$9)</f>
        <v>0</v>
      </c>
      <c r="CN88" s="443">
        <f>(CN4=Inputs!$E$21)*('(Z+) Financing'!$D$9)</f>
        <v>0</v>
      </c>
      <c r="CO88" s="443">
        <f>(CO4=Inputs!$E$21)*('(Z+) Financing'!$D$9)</f>
        <v>0</v>
      </c>
      <c r="CP88" s="443">
        <f>(CP4=Inputs!$E$21)*('(Z+) Financing'!$D$9)</f>
        <v>0</v>
      </c>
      <c r="CQ88" s="443">
        <f>(CQ4=Inputs!$E$21)*('(Z+) Financing'!$D$9)</f>
        <v>0</v>
      </c>
      <c r="CR88" s="443">
        <f>(CR4=Inputs!$E$21)*('(Z+) Financing'!$D$9)</f>
        <v>0</v>
      </c>
      <c r="CS88" s="443">
        <f>(CS4=Inputs!$E$21)*('(Z+) Financing'!$D$9)</f>
        <v>0</v>
      </c>
      <c r="CT88" s="443">
        <f>(CT4=Inputs!$E$21)*('(Z+) Financing'!$D$9)</f>
        <v>0</v>
      </c>
      <c r="CU88" s="443">
        <f>(CU4=Inputs!$E$21)*('(Z+) Financing'!$D$9)</f>
        <v>0</v>
      </c>
      <c r="CV88" s="443">
        <f>(CV4=Inputs!$E$21)*('(Z+) Financing'!$D$9)</f>
        <v>0</v>
      </c>
      <c r="CW88" s="443">
        <f>(CW4=Inputs!$E$21)*('(Z+) Financing'!$D$9)</f>
        <v>0</v>
      </c>
      <c r="CX88" s="443">
        <f>(CX4=Inputs!$E$21)*('(Z+) Financing'!$D$9)</f>
        <v>0</v>
      </c>
      <c r="CY88" s="443">
        <f>(CY4=Inputs!$E$21)*('(Z+) Financing'!$D$9)</f>
        <v>0</v>
      </c>
      <c r="CZ88" s="443">
        <f>(CZ4=Inputs!$E$21)*('(Z+) Financing'!$D$9)</f>
        <v>0</v>
      </c>
      <c r="DA88" s="443">
        <f>(DA4=Inputs!$E$21)*('(Z+) Financing'!$D$9)</f>
        <v>0</v>
      </c>
      <c r="DB88" s="443">
        <f>(DB4=Inputs!$E$21)*('(Z+) Financing'!$D$9)</f>
        <v>0</v>
      </c>
      <c r="DC88" s="443">
        <f>(DC4=Inputs!$E$21)*('(Z+) Financing'!$D$9)</f>
        <v>0</v>
      </c>
      <c r="DD88" s="443">
        <f>(DD4=Inputs!$E$21)*('(Z+) Financing'!$D$9)</f>
        <v>0</v>
      </c>
      <c r="DE88" s="443">
        <f>(DE4=Inputs!$E$21)*('(Z+) Financing'!$D$9)</f>
        <v>0</v>
      </c>
      <c r="DF88" s="443">
        <f>(DF4=Inputs!$E$21)*('(Z+) Financing'!$D$9)</f>
        <v>0</v>
      </c>
      <c r="DG88" s="443">
        <f>(DG4=Inputs!$E$21)*('(Z+) Financing'!$D$9)</f>
        <v>0</v>
      </c>
      <c r="DH88" s="443">
        <f>(DH4=Inputs!$E$21)*('(Z+) Financing'!$D$9)</f>
        <v>0</v>
      </c>
      <c r="DI88" s="443">
        <f>(DI4=Inputs!$E$21)*('(Z+) Financing'!$D$9)</f>
        <v>0</v>
      </c>
      <c r="DJ88" s="443">
        <f>(DJ4=Inputs!$E$21)*('(Z+) Financing'!$D$9)</f>
        <v>0</v>
      </c>
      <c r="DK88" s="443">
        <f>(DK4=Inputs!$E$21)*('(Z+) Financing'!$D$9)</f>
        <v>0</v>
      </c>
      <c r="DL88" s="443">
        <f>(DL4=Inputs!$E$21)*('(Z+) Financing'!$D$9)</f>
        <v>0</v>
      </c>
      <c r="DM88" s="443">
        <f>(DM4=Inputs!$E$21)*('(Z+) Financing'!$D$9)</f>
        <v>0</v>
      </c>
      <c r="DN88" s="443">
        <f>(DN4=Inputs!$E$21)*('(Z+) Financing'!$D$9)</f>
        <v>0</v>
      </c>
      <c r="DO88" s="443">
        <f>(DO4=Inputs!$E$21)*('(Z+) Financing'!$D$9)</f>
        <v>0</v>
      </c>
      <c r="DP88" s="443">
        <f>(DP4=Inputs!$E$21)*('(Z+) Financing'!$D$9)</f>
        <v>0</v>
      </c>
      <c r="DQ88" s="443">
        <f>(DQ4=Inputs!$E$21)*('(Z+) Financing'!$D$9)</f>
        <v>0</v>
      </c>
      <c r="DR88" s="443">
        <f>(DR4=Inputs!$E$21)*('(Z+) Financing'!$D$9)</f>
        <v>0</v>
      </c>
      <c r="DS88" s="443">
        <f>(DS4=Inputs!$E$21)*('(Z+) Financing'!$D$9)</f>
        <v>0</v>
      </c>
      <c r="DT88" s="443">
        <f>(DT4=Inputs!$E$21)*('(Z+) Financing'!$D$9)</f>
        <v>0</v>
      </c>
      <c r="DU88" s="443">
        <f>(DU4=Inputs!$E$21)*('(Z+) Financing'!$D$9)</f>
        <v>0</v>
      </c>
    </row>
    <row r="89" spans="1:125" x14ac:dyDescent="0.25">
      <c r="A89" s="385" t="s">
        <v>526</v>
      </c>
      <c r="D89" s="463">
        <f t="shared" si="109"/>
        <v>28074727.66467322</v>
      </c>
      <c r="F89" s="441">
        <f t="shared" ref="F89:AK89" si="114">(F4&gt;=Construction_Start_Date)*(-F70-F81)</f>
        <v>0</v>
      </c>
      <c r="G89" s="441">
        <f t="shared" si="114"/>
        <v>0</v>
      </c>
      <c r="H89" s="441">
        <f t="shared" si="114"/>
        <v>0</v>
      </c>
      <c r="I89" s="441">
        <f t="shared" si="114"/>
        <v>0</v>
      </c>
      <c r="J89" s="442">
        <f t="shared" si="114"/>
        <v>0</v>
      </c>
      <c r="K89" s="442">
        <f t="shared" si="114"/>
        <v>0</v>
      </c>
      <c r="L89" s="442">
        <f t="shared" si="114"/>
        <v>0</v>
      </c>
      <c r="M89" s="442">
        <f t="shared" si="114"/>
        <v>0</v>
      </c>
      <c r="N89" s="442">
        <f t="shared" si="114"/>
        <v>0</v>
      </c>
      <c r="O89" s="442">
        <f t="shared" si="114"/>
        <v>0</v>
      </c>
      <c r="P89" s="442">
        <f t="shared" si="114"/>
        <v>0</v>
      </c>
      <c r="Q89" s="442">
        <f t="shared" si="114"/>
        <v>3305440.5972595345</v>
      </c>
      <c r="R89" s="442">
        <f t="shared" si="114"/>
        <v>4635318.1601759149</v>
      </c>
      <c r="S89" s="442">
        <f t="shared" si="114"/>
        <v>2669092.83636213</v>
      </c>
      <c r="T89" s="442">
        <f t="shared" si="114"/>
        <v>2823707.436855311</v>
      </c>
      <c r="U89" s="443">
        <f t="shared" si="114"/>
        <v>2877334.6965109017</v>
      </c>
      <c r="V89" s="443">
        <f t="shared" si="114"/>
        <v>2802444.762602611</v>
      </c>
      <c r="W89" s="443">
        <f t="shared" si="114"/>
        <v>2647830.1621094299</v>
      </c>
      <c r="X89" s="443">
        <f t="shared" si="114"/>
        <v>2409824.9217266478</v>
      </c>
      <c r="Y89" s="443">
        <f t="shared" si="114"/>
        <v>2114060.8542452264</v>
      </c>
      <c r="Z89" s="443">
        <f t="shared" si="114"/>
        <v>1789673.2368255109</v>
      </c>
      <c r="AA89" s="443">
        <f t="shared" si="114"/>
        <v>0</v>
      </c>
      <c r="AB89" s="443">
        <f t="shared" si="114"/>
        <v>0</v>
      </c>
      <c r="AC89" s="443">
        <f t="shared" si="114"/>
        <v>0</v>
      </c>
      <c r="AD89" s="443">
        <f t="shared" si="114"/>
        <v>0</v>
      </c>
      <c r="AE89" s="443">
        <f t="shared" si="114"/>
        <v>0</v>
      </c>
      <c r="AF89" s="443">
        <f t="shared" si="114"/>
        <v>0</v>
      </c>
      <c r="AG89" s="443">
        <f t="shared" si="114"/>
        <v>0</v>
      </c>
      <c r="AH89" s="443">
        <f t="shared" si="114"/>
        <v>0</v>
      </c>
      <c r="AI89" s="443">
        <f t="shared" si="114"/>
        <v>0</v>
      </c>
      <c r="AJ89" s="443">
        <f t="shared" si="114"/>
        <v>0</v>
      </c>
      <c r="AK89" s="443">
        <f t="shared" si="114"/>
        <v>0</v>
      </c>
      <c r="AL89" s="443">
        <f t="shared" ref="AL89:BQ89" si="115">(AL4&gt;=Construction_Start_Date)*(-AL70-AL81)</f>
        <v>0</v>
      </c>
      <c r="AM89" s="443">
        <f t="shared" si="115"/>
        <v>0</v>
      </c>
      <c r="AN89" s="443">
        <f t="shared" si="115"/>
        <v>0</v>
      </c>
      <c r="AO89" s="443">
        <f t="shared" si="115"/>
        <v>0</v>
      </c>
      <c r="AP89" s="443">
        <f t="shared" si="115"/>
        <v>0</v>
      </c>
      <c r="AQ89" s="443">
        <f t="shared" si="115"/>
        <v>0</v>
      </c>
      <c r="AR89" s="443">
        <f t="shared" si="115"/>
        <v>0</v>
      </c>
      <c r="AS89" s="443">
        <f t="shared" si="115"/>
        <v>0</v>
      </c>
      <c r="AT89" s="443">
        <f t="shared" si="115"/>
        <v>0</v>
      </c>
      <c r="AU89" s="443">
        <f t="shared" si="115"/>
        <v>0</v>
      </c>
      <c r="AV89" s="443">
        <f t="shared" si="115"/>
        <v>0</v>
      </c>
      <c r="AW89" s="443">
        <f t="shared" si="115"/>
        <v>0</v>
      </c>
      <c r="AX89" s="443">
        <f t="shared" si="115"/>
        <v>0</v>
      </c>
      <c r="AY89" s="443">
        <f t="shared" si="115"/>
        <v>0</v>
      </c>
      <c r="AZ89" s="443">
        <f t="shared" si="115"/>
        <v>0</v>
      </c>
      <c r="BA89" s="443">
        <f t="shared" si="115"/>
        <v>0</v>
      </c>
      <c r="BB89" s="443">
        <f t="shared" si="115"/>
        <v>0</v>
      </c>
      <c r="BC89" s="443">
        <f t="shared" si="115"/>
        <v>0</v>
      </c>
      <c r="BD89" s="443">
        <f t="shared" si="115"/>
        <v>0</v>
      </c>
      <c r="BE89" s="443">
        <f t="shared" si="115"/>
        <v>0</v>
      </c>
      <c r="BF89" s="443">
        <f t="shared" si="115"/>
        <v>0</v>
      </c>
      <c r="BG89" s="443">
        <f t="shared" si="115"/>
        <v>0</v>
      </c>
      <c r="BH89" s="443">
        <f t="shared" si="115"/>
        <v>0</v>
      </c>
      <c r="BI89" s="443">
        <f t="shared" si="115"/>
        <v>0</v>
      </c>
      <c r="BJ89" s="443">
        <f t="shared" si="115"/>
        <v>0</v>
      </c>
      <c r="BK89" s="443">
        <f t="shared" si="115"/>
        <v>0</v>
      </c>
      <c r="BL89" s="443">
        <f t="shared" si="115"/>
        <v>0</v>
      </c>
      <c r="BM89" s="443">
        <f t="shared" si="115"/>
        <v>0</v>
      </c>
      <c r="BN89" s="443">
        <f t="shared" si="115"/>
        <v>0</v>
      </c>
      <c r="BO89" s="443">
        <f t="shared" si="115"/>
        <v>0</v>
      </c>
      <c r="BP89" s="443">
        <f t="shared" si="115"/>
        <v>0</v>
      </c>
      <c r="BQ89" s="443">
        <f t="shared" si="115"/>
        <v>0</v>
      </c>
      <c r="BR89" s="443">
        <f t="shared" ref="BR89:CW89" si="116">(BR4&gt;=Construction_Start_Date)*(-BR70-BR81)</f>
        <v>0</v>
      </c>
      <c r="BS89" s="443">
        <f t="shared" si="116"/>
        <v>0</v>
      </c>
      <c r="BT89" s="443">
        <f t="shared" si="116"/>
        <v>0</v>
      </c>
      <c r="BU89" s="443">
        <f t="shared" si="116"/>
        <v>0</v>
      </c>
      <c r="BV89" s="443">
        <f t="shared" si="116"/>
        <v>0</v>
      </c>
      <c r="BW89" s="443">
        <f t="shared" si="116"/>
        <v>0</v>
      </c>
      <c r="BX89" s="443">
        <f t="shared" si="116"/>
        <v>0</v>
      </c>
      <c r="BY89" s="443">
        <f t="shared" si="116"/>
        <v>0</v>
      </c>
      <c r="BZ89" s="443">
        <f t="shared" si="116"/>
        <v>0</v>
      </c>
      <c r="CA89" s="443">
        <f t="shared" si="116"/>
        <v>0</v>
      </c>
      <c r="CB89" s="443">
        <f t="shared" si="116"/>
        <v>0</v>
      </c>
      <c r="CC89" s="443">
        <f t="shared" si="116"/>
        <v>0</v>
      </c>
      <c r="CD89" s="443">
        <f t="shared" si="116"/>
        <v>0</v>
      </c>
      <c r="CE89" s="443">
        <f t="shared" si="116"/>
        <v>0</v>
      </c>
      <c r="CF89" s="443">
        <f t="shared" si="116"/>
        <v>0</v>
      </c>
      <c r="CG89" s="443">
        <f t="shared" si="116"/>
        <v>0</v>
      </c>
      <c r="CH89" s="443">
        <f t="shared" si="116"/>
        <v>0</v>
      </c>
      <c r="CI89" s="443">
        <f t="shared" si="116"/>
        <v>0</v>
      </c>
      <c r="CJ89" s="443">
        <f t="shared" si="116"/>
        <v>0</v>
      </c>
      <c r="CK89" s="443">
        <f t="shared" si="116"/>
        <v>0</v>
      </c>
      <c r="CL89" s="443">
        <f t="shared" si="116"/>
        <v>0</v>
      </c>
      <c r="CM89" s="443">
        <f t="shared" si="116"/>
        <v>0</v>
      </c>
      <c r="CN89" s="443">
        <f t="shared" si="116"/>
        <v>0</v>
      </c>
      <c r="CO89" s="443">
        <f t="shared" si="116"/>
        <v>0</v>
      </c>
      <c r="CP89" s="443">
        <f t="shared" si="116"/>
        <v>0</v>
      </c>
      <c r="CQ89" s="443">
        <f t="shared" si="116"/>
        <v>0</v>
      </c>
      <c r="CR89" s="443">
        <f t="shared" si="116"/>
        <v>0</v>
      </c>
      <c r="CS89" s="443">
        <f t="shared" si="116"/>
        <v>0</v>
      </c>
      <c r="CT89" s="443">
        <f t="shared" si="116"/>
        <v>0</v>
      </c>
      <c r="CU89" s="443">
        <f t="shared" si="116"/>
        <v>0</v>
      </c>
      <c r="CV89" s="443">
        <f t="shared" si="116"/>
        <v>0</v>
      </c>
      <c r="CW89" s="443">
        <f t="shared" si="116"/>
        <v>0</v>
      </c>
      <c r="CX89" s="443">
        <f t="shared" ref="CX89:DU89" si="117">(CX4&gt;=Construction_Start_Date)*(-CX70-CX81)</f>
        <v>0</v>
      </c>
      <c r="CY89" s="443">
        <f t="shared" si="117"/>
        <v>0</v>
      </c>
      <c r="CZ89" s="443">
        <f t="shared" si="117"/>
        <v>0</v>
      </c>
      <c r="DA89" s="443">
        <f t="shared" si="117"/>
        <v>0</v>
      </c>
      <c r="DB89" s="443">
        <f t="shared" si="117"/>
        <v>0</v>
      </c>
      <c r="DC89" s="443">
        <f t="shared" si="117"/>
        <v>0</v>
      </c>
      <c r="DD89" s="443">
        <f t="shared" si="117"/>
        <v>0</v>
      </c>
      <c r="DE89" s="443">
        <f t="shared" si="117"/>
        <v>0</v>
      </c>
      <c r="DF89" s="443">
        <f t="shared" si="117"/>
        <v>0</v>
      </c>
      <c r="DG89" s="443">
        <f t="shared" si="117"/>
        <v>0</v>
      </c>
      <c r="DH89" s="443">
        <f t="shared" si="117"/>
        <v>0</v>
      </c>
      <c r="DI89" s="443">
        <f t="shared" si="117"/>
        <v>0</v>
      </c>
      <c r="DJ89" s="443">
        <f t="shared" si="117"/>
        <v>0</v>
      </c>
      <c r="DK89" s="443">
        <f t="shared" si="117"/>
        <v>0</v>
      </c>
      <c r="DL89" s="443">
        <f t="shared" si="117"/>
        <v>0</v>
      </c>
      <c r="DM89" s="443">
        <f t="shared" si="117"/>
        <v>0</v>
      </c>
      <c r="DN89" s="443">
        <f t="shared" si="117"/>
        <v>0</v>
      </c>
      <c r="DO89" s="443">
        <f t="shared" si="117"/>
        <v>0</v>
      </c>
      <c r="DP89" s="443">
        <f t="shared" si="117"/>
        <v>0</v>
      </c>
      <c r="DQ89" s="443">
        <f t="shared" si="117"/>
        <v>0</v>
      </c>
      <c r="DR89" s="443">
        <f t="shared" si="117"/>
        <v>0</v>
      </c>
      <c r="DS89" s="443">
        <f t="shared" si="117"/>
        <v>0</v>
      </c>
      <c r="DT89" s="443">
        <f t="shared" si="117"/>
        <v>0</v>
      </c>
      <c r="DU89" s="443">
        <f t="shared" si="117"/>
        <v>0</v>
      </c>
    </row>
    <row r="90" spans="1:125" ht="30" customHeight="1" x14ac:dyDescent="0.25">
      <c r="A90" s="385" t="s">
        <v>527</v>
      </c>
      <c r="D90" s="463">
        <f t="shared" si="109"/>
        <v>365176.8</v>
      </c>
      <c r="F90" s="441">
        <f>(F4=Construction_Start_Date)*('(Z+) Financing'!$D$40)</f>
        <v>0</v>
      </c>
      <c r="G90" s="441">
        <f>(G4=Construction_Start_Date)*('(Z+) Financing'!$D$40)</f>
        <v>0</v>
      </c>
      <c r="H90" s="441">
        <f>(H4=Construction_Start_Date)*('(Z+) Financing'!$D$40)</f>
        <v>0</v>
      </c>
      <c r="I90" s="441">
        <f>(I4=Construction_Start_Date)*('(Z+) Financing'!$D$40)</f>
        <v>0</v>
      </c>
      <c r="J90" s="442">
        <f>(J4=Construction_Start_Date)*('(Z+) Financing'!$D$40)</f>
        <v>0</v>
      </c>
      <c r="K90" s="442">
        <f>(K4=Construction_Start_Date)*('(Z+) Financing'!$D$40)</f>
        <v>0</v>
      </c>
      <c r="L90" s="442">
        <f>(L4=Construction_Start_Date)*('(Z+) Financing'!$D$40)</f>
        <v>0</v>
      </c>
      <c r="M90" s="442">
        <f>(M4=Construction_Start_Date)*('(Z+) Financing'!$D$40)</f>
        <v>0</v>
      </c>
      <c r="N90" s="442">
        <f>(N4=Construction_Start_Date)*('(Z+) Financing'!$D$40)</f>
        <v>0</v>
      </c>
      <c r="O90" s="442">
        <f>(O4=Construction_Start_Date)*('(Z+) Financing'!$D$40)</f>
        <v>365176.8</v>
      </c>
      <c r="P90" s="442">
        <f>(P4=Construction_Start_Date)*('(Z+) Financing'!$D$40)</f>
        <v>0</v>
      </c>
      <c r="Q90" s="442">
        <f>(Q4=Construction_Start_Date)*('(Z+) Financing'!$D$40)</f>
        <v>0</v>
      </c>
      <c r="R90" s="442">
        <f>(R4=Construction_Start_Date)*('(Z+) Financing'!$D$40)</f>
        <v>0</v>
      </c>
      <c r="S90" s="442">
        <f>(S4=Construction_Start_Date)*('(Z+) Financing'!$D$40)</f>
        <v>0</v>
      </c>
      <c r="T90" s="442">
        <f>(T4=Construction_Start_Date)*('(Z+) Financing'!$D$40)</f>
        <v>0</v>
      </c>
      <c r="U90" s="443">
        <f>(U4=Construction_Start_Date)*('(Z+) Financing'!$D$40)</f>
        <v>0</v>
      </c>
      <c r="V90" s="443">
        <f>(V4=Construction_Start_Date)*('(Z+) Financing'!$D$40)</f>
        <v>0</v>
      </c>
      <c r="W90" s="443">
        <f>(W4=Construction_Start_Date)*('(Z+) Financing'!$D$40)</f>
        <v>0</v>
      </c>
      <c r="X90" s="443">
        <f>(X4=Construction_Start_Date)*('(Z+) Financing'!$D$40)</f>
        <v>0</v>
      </c>
      <c r="Y90" s="443">
        <f>(Y4=Construction_Start_Date)*('(Z+) Financing'!$D$40)</f>
        <v>0</v>
      </c>
      <c r="Z90" s="443">
        <f>(Z4=Construction_Start_Date)*('(Z+) Financing'!$D$40)</f>
        <v>0</v>
      </c>
      <c r="AA90" s="443">
        <f>(AA4=Construction_Start_Date)*('(Z+) Financing'!$D$40)</f>
        <v>0</v>
      </c>
      <c r="AB90" s="443">
        <f>(AB4=Construction_Start_Date)*('(Z+) Financing'!$D$40)</f>
        <v>0</v>
      </c>
      <c r="AC90" s="443">
        <f>(AC4=Construction_Start_Date)*('(Z+) Financing'!$D$40)</f>
        <v>0</v>
      </c>
      <c r="AD90" s="443">
        <f>(AD4=Construction_Start_Date)*('(Z+) Financing'!$D$40)</f>
        <v>0</v>
      </c>
      <c r="AE90" s="443">
        <f>(AE4=Construction_Start_Date)*('(Z+) Financing'!$D$40)</f>
        <v>0</v>
      </c>
      <c r="AF90" s="443">
        <f>(AF4=Construction_Start_Date)*('(Z+) Financing'!$D$40)</f>
        <v>0</v>
      </c>
      <c r="AG90" s="443">
        <f>(AG4=Construction_Start_Date)*('(Z+) Financing'!$D$40)</f>
        <v>0</v>
      </c>
      <c r="AH90" s="443">
        <f>(AH4=Construction_Start_Date)*('(Z+) Financing'!$D$40)</f>
        <v>0</v>
      </c>
      <c r="AI90" s="443">
        <f>(AI4=Construction_Start_Date)*('(Z+) Financing'!$D$40)</f>
        <v>0</v>
      </c>
      <c r="AJ90" s="443">
        <f>(AJ4=Construction_Start_Date)*('(Z+) Financing'!$D$40)</f>
        <v>0</v>
      </c>
      <c r="AK90" s="443">
        <f>(AK4=Construction_Start_Date)*('(Z+) Financing'!$D$40)</f>
        <v>0</v>
      </c>
      <c r="AL90" s="443">
        <f>(AL4=Construction_Start_Date)*('(Z+) Financing'!$D$40)</f>
        <v>0</v>
      </c>
      <c r="AM90" s="443">
        <f>(AM4=Construction_Start_Date)*('(Z+) Financing'!$D$40)</f>
        <v>0</v>
      </c>
      <c r="AN90" s="443">
        <f>(AN4=Construction_Start_Date)*('(Z+) Financing'!$D$40)</f>
        <v>0</v>
      </c>
      <c r="AO90" s="443">
        <f>(AO4=Construction_Start_Date)*('(Z+) Financing'!$D$40)</f>
        <v>0</v>
      </c>
      <c r="AP90" s="443">
        <f>(AP4=Construction_Start_Date)*('(Z+) Financing'!$D$40)</f>
        <v>0</v>
      </c>
      <c r="AQ90" s="443">
        <f>(AQ4=Construction_Start_Date)*('(Z+) Financing'!$D$40)</f>
        <v>0</v>
      </c>
      <c r="AR90" s="443">
        <f>(AR4=Construction_Start_Date)*('(Z+) Financing'!$D$40)</f>
        <v>0</v>
      </c>
      <c r="AS90" s="443">
        <f>(AS4=Construction_Start_Date)*('(Z+) Financing'!$D$40)</f>
        <v>0</v>
      </c>
      <c r="AT90" s="443">
        <f>(AT4=Construction_Start_Date)*('(Z+) Financing'!$D$40)</f>
        <v>0</v>
      </c>
      <c r="AU90" s="443">
        <f>(AU4=Construction_Start_Date)*('(Z+) Financing'!$D$40)</f>
        <v>0</v>
      </c>
      <c r="AV90" s="443">
        <f>(AV4=Construction_Start_Date)*('(Z+) Financing'!$D$40)</f>
        <v>0</v>
      </c>
      <c r="AW90" s="443">
        <f>(AW4=Construction_Start_Date)*('(Z+) Financing'!$D$40)</f>
        <v>0</v>
      </c>
      <c r="AX90" s="443">
        <f>(AX4=Construction_Start_Date)*('(Z+) Financing'!$D$40)</f>
        <v>0</v>
      </c>
      <c r="AY90" s="443">
        <f>(AY4=Construction_Start_Date)*('(Z+) Financing'!$D$40)</f>
        <v>0</v>
      </c>
      <c r="AZ90" s="443">
        <f>(AZ4=Construction_Start_Date)*('(Z+) Financing'!$D$40)</f>
        <v>0</v>
      </c>
      <c r="BA90" s="443">
        <f>(BA4=Construction_Start_Date)*('(Z+) Financing'!$D$40)</f>
        <v>0</v>
      </c>
      <c r="BB90" s="443">
        <f>(BB4=Construction_Start_Date)*('(Z+) Financing'!$D$40)</f>
        <v>0</v>
      </c>
      <c r="BC90" s="443">
        <f>(BC4=Construction_Start_Date)*('(Z+) Financing'!$D$40)</f>
        <v>0</v>
      </c>
      <c r="BD90" s="443">
        <f>(BD4=Construction_Start_Date)*('(Z+) Financing'!$D$40)</f>
        <v>0</v>
      </c>
      <c r="BE90" s="443">
        <f>(BE4=Construction_Start_Date)*('(Z+) Financing'!$D$40)</f>
        <v>0</v>
      </c>
      <c r="BF90" s="443">
        <f>(BF4=Construction_Start_Date)*('(Z+) Financing'!$D$40)</f>
        <v>0</v>
      </c>
      <c r="BG90" s="443">
        <f>(BG4=Construction_Start_Date)*('(Z+) Financing'!$D$40)</f>
        <v>0</v>
      </c>
      <c r="BH90" s="443">
        <f>(BH4=Construction_Start_Date)*('(Z+) Financing'!$D$40)</f>
        <v>0</v>
      </c>
      <c r="BI90" s="443">
        <f>(BI4=Construction_Start_Date)*('(Z+) Financing'!$D$40)</f>
        <v>0</v>
      </c>
      <c r="BJ90" s="443">
        <f>(BJ4=Construction_Start_Date)*('(Z+) Financing'!$D$40)</f>
        <v>0</v>
      </c>
      <c r="BK90" s="443">
        <f>(BK4=Construction_Start_Date)*('(Z+) Financing'!$D$40)</f>
        <v>0</v>
      </c>
      <c r="BL90" s="443">
        <f>(BL4=Construction_Start_Date)*('(Z+) Financing'!$D$40)</f>
        <v>0</v>
      </c>
      <c r="BM90" s="443">
        <f>(BM4=Construction_Start_Date)*('(Z+) Financing'!$D$40)</f>
        <v>0</v>
      </c>
      <c r="BN90" s="443">
        <f>(BN4=Construction_Start_Date)*('(Z+) Financing'!$D$40)</f>
        <v>0</v>
      </c>
      <c r="BO90" s="443">
        <f>(BO4=Construction_Start_Date)*('(Z+) Financing'!$D$40)</f>
        <v>0</v>
      </c>
      <c r="BP90" s="443">
        <f>(BP4=Construction_Start_Date)*('(Z+) Financing'!$D$40)</f>
        <v>0</v>
      </c>
      <c r="BQ90" s="443">
        <f>(BQ4=Construction_Start_Date)*('(Z+) Financing'!$D$40)</f>
        <v>0</v>
      </c>
      <c r="BR90" s="443">
        <f>(BR4=Construction_Start_Date)*('(Z+) Financing'!$D$40)</f>
        <v>0</v>
      </c>
      <c r="BS90" s="443">
        <f>(BS4=Construction_Start_Date)*('(Z+) Financing'!$D$40)</f>
        <v>0</v>
      </c>
      <c r="BT90" s="443">
        <f>(BT4=Construction_Start_Date)*('(Z+) Financing'!$D$40)</f>
        <v>0</v>
      </c>
      <c r="BU90" s="443">
        <f>(BU4=Construction_Start_Date)*('(Z+) Financing'!$D$40)</f>
        <v>0</v>
      </c>
      <c r="BV90" s="443">
        <f>(BV4=Construction_Start_Date)*('(Z+) Financing'!$D$40)</f>
        <v>0</v>
      </c>
      <c r="BW90" s="443">
        <f>(BW4=Construction_Start_Date)*('(Z+) Financing'!$D$40)</f>
        <v>0</v>
      </c>
      <c r="BX90" s="443">
        <f>(BX4=Construction_Start_Date)*('(Z+) Financing'!$D$40)</f>
        <v>0</v>
      </c>
      <c r="BY90" s="443">
        <f>(BY4=Construction_Start_Date)*('(Z+) Financing'!$D$40)</f>
        <v>0</v>
      </c>
      <c r="BZ90" s="443">
        <f>(BZ4=Construction_Start_Date)*('(Z+) Financing'!$D$40)</f>
        <v>0</v>
      </c>
      <c r="CA90" s="443">
        <f>(CA4=Construction_Start_Date)*('(Z+) Financing'!$D$40)</f>
        <v>0</v>
      </c>
      <c r="CB90" s="443">
        <f>(CB4=Construction_Start_Date)*('(Z+) Financing'!$D$40)</f>
        <v>0</v>
      </c>
      <c r="CC90" s="443">
        <f>(CC4=Construction_Start_Date)*('(Z+) Financing'!$D$40)</f>
        <v>0</v>
      </c>
      <c r="CD90" s="443">
        <f>(CD4=Construction_Start_Date)*('(Z+) Financing'!$D$40)</f>
        <v>0</v>
      </c>
      <c r="CE90" s="443">
        <f>(CE4=Construction_Start_Date)*('(Z+) Financing'!$D$40)</f>
        <v>0</v>
      </c>
      <c r="CF90" s="443">
        <f>(CF4=Construction_Start_Date)*('(Z+) Financing'!$D$40)</f>
        <v>0</v>
      </c>
      <c r="CG90" s="443">
        <f>(CG4=Construction_Start_Date)*('(Z+) Financing'!$D$40)</f>
        <v>0</v>
      </c>
      <c r="CH90" s="443">
        <f>(CH4=Construction_Start_Date)*('(Z+) Financing'!$D$40)</f>
        <v>0</v>
      </c>
      <c r="CI90" s="443">
        <f>(CI4=Construction_Start_Date)*('(Z+) Financing'!$D$40)</f>
        <v>0</v>
      </c>
      <c r="CJ90" s="443">
        <f>(CJ4=Construction_Start_Date)*('(Z+) Financing'!$D$40)</f>
        <v>0</v>
      </c>
      <c r="CK90" s="443">
        <f>(CK4=Construction_Start_Date)*('(Z+) Financing'!$D$40)</f>
        <v>0</v>
      </c>
      <c r="CL90" s="443">
        <f>(CL4=Construction_Start_Date)*('(Z+) Financing'!$D$40)</f>
        <v>0</v>
      </c>
      <c r="CM90" s="443">
        <f>(CM4=Construction_Start_Date)*('(Z+) Financing'!$D$40)</f>
        <v>0</v>
      </c>
      <c r="CN90" s="443">
        <f>(CN4=Construction_Start_Date)*('(Z+) Financing'!$D$40)</f>
        <v>0</v>
      </c>
      <c r="CO90" s="443">
        <f>(CO4=Construction_Start_Date)*('(Z+) Financing'!$D$40)</f>
        <v>0</v>
      </c>
      <c r="CP90" s="443">
        <f>(CP4=Construction_Start_Date)*('(Z+) Financing'!$D$40)</f>
        <v>0</v>
      </c>
      <c r="CQ90" s="443">
        <f>(CQ4=Construction_Start_Date)*('(Z+) Financing'!$D$40)</f>
        <v>0</v>
      </c>
      <c r="CR90" s="443">
        <f>(CR4=Construction_Start_Date)*('(Z+) Financing'!$D$40)</f>
        <v>0</v>
      </c>
      <c r="CS90" s="443">
        <f>(CS4=Construction_Start_Date)*('(Z+) Financing'!$D$40)</f>
        <v>0</v>
      </c>
      <c r="CT90" s="443">
        <f>(CT4=Construction_Start_Date)*('(Z+) Financing'!$D$40)</f>
        <v>0</v>
      </c>
      <c r="CU90" s="443">
        <f>(CU4=Construction_Start_Date)*('(Z+) Financing'!$D$40)</f>
        <v>0</v>
      </c>
      <c r="CV90" s="443">
        <f>(CV4=Construction_Start_Date)*('(Z+) Financing'!$D$40)</f>
        <v>0</v>
      </c>
      <c r="CW90" s="443">
        <f>(CW4=Construction_Start_Date)*('(Z+) Financing'!$D$40)</f>
        <v>0</v>
      </c>
      <c r="CX90" s="443">
        <f>(CX4=Construction_Start_Date)*('(Z+) Financing'!$D$40)</f>
        <v>0</v>
      </c>
      <c r="CY90" s="443">
        <f>(CY4=Construction_Start_Date)*('(Z+) Financing'!$D$40)</f>
        <v>0</v>
      </c>
      <c r="CZ90" s="443">
        <f>(CZ4=Construction_Start_Date)*('(Z+) Financing'!$D$40)</f>
        <v>0</v>
      </c>
      <c r="DA90" s="443">
        <f>(DA4=Construction_Start_Date)*('(Z+) Financing'!$D$40)</f>
        <v>0</v>
      </c>
      <c r="DB90" s="443">
        <f>(DB4=Construction_Start_Date)*('(Z+) Financing'!$D$40)</f>
        <v>0</v>
      </c>
      <c r="DC90" s="443">
        <f>(DC4=Construction_Start_Date)*('(Z+) Financing'!$D$40)</f>
        <v>0</v>
      </c>
      <c r="DD90" s="443">
        <f>(DD4=Construction_Start_Date)*('(Z+) Financing'!$D$40)</f>
        <v>0</v>
      </c>
      <c r="DE90" s="443">
        <f>(DE4=Construction_Start_Date)*('(Z+) Financing'!$D$40)</f>
        <v>0</v>
      </c>
      <c r="DF90" s="443">
        <f>(DF4=Construction_Start_Date)*('(Z+) Financing'!$D$40)</f>
        <v>0</v>
      </c>
      <c r="DG90" s="443">
        <f>(DG4=Construction_Start_Date)*('(Z+) Financing'!$D$40)</f>
        <v>0</v>
      </c>
      <c r="DH90" s="443">
        <f>(DH4=Construction_Start_Date)*('(Z+) Financing'!$D$40)</f>
        <v>0</v>
      </c>
      <c r="DI90" s="443">
        <f>(DI4=Construction_Start_Date)*('(Z+) Financing'!$D$40)</f>
        <v>0</v>
      </c>
      <c r="DJ90" s="443">
        <f>(DJ4=Construction_Start_Date)*('(Z+) Financing'!$D$40)</f>
        <v>0</v>
      </c>
      <c r="DK90" s="443">
        <f>(DK4=Construction_Start_Date)*('(Z+) Financing'!$D$40)</f>
        <v>0</v>
      </c>
      <c r="DL90" s="443">
        <f>(DL4=Construction_Start_Date)*('(Z+) Financing'!$D$40)</f>
        <v>0</v>
      </c>
      <c r="DM90" s="443">
        <f>(DM4=Construction_Start_Date)*('(Z+) Financing'!$D$40)</f>
        <v>0</v>
      </c>
      <c r="DN90" s="443">
        <f>(DN4=Construction_Start_Date)*('(Z+) Financing'!$D$40)</f>
        <v>0</v>
      </c>
      <c r="DO90" s="443">
        <f>(DO4=Construction_Start_Date)*('(Z+) Financing'!$D$40)</f>
        <v>0</v>
      </c>
      <c r="DP90" s="443">
        <f>(DP4=Construction_Start_Date)*('(Z+) Financing'!$D$40)</f>
        <v>0</v>
      </c>
      <c r="DQ90" s="443">
        <f>(DQ4=Construction_Start_Date)*('(Z+) Financing'!$D$40)</f>
        <v>0</v>
      </c>
      <c r="DR90" s="443">
        <f>(DR4=Construction_Start_Date)*('(Z+) Financing'!$D$40)</f>
        <v>0</v>
      </c>
      <c r="DS90" s="443">
        <f>(DS4=Construction_Start_Date)*('(Z+) Financing'!$D$40)</f>
        <v>0</v>
      </c>
      <c r="DT90" s="443">
        <f>(DT4=Construction_Start_Date)*('(Z+) Financing'!$D$40)</f>
        <v>0</v>
      </c>
      <c r="DU90" s="443">
        <f>(DU4=Construction_Start_Date)*('(Z+) Financing'!$D$40)</f>
        <v>0</v>
      </c>
    </row>
    <row r="91" spans="1:125" x14ac:dyDescent="0.25">
      <c r="A91" s="385" t="s">
        <v>528</v>
      </c>
      <c r="D91" s="463">
        <f t="shared" si="109"/>
        <v>3886817.2150424765</v>
      </c>
      <c r="F91" s="441">
        <f t="shared" ref="F91:AK91" si="118">F85*F86</f>
        <v>0</v>
      </c>
      <c r="G91" s="441">
        <f t="shared" si="118"/>
        <v>0</v>
      </c>
      <c r="H91" s="441">
        <f t="shared" si="118"/>
        <v>0</v>
      </c>
      <c r="I91" s="441">
        <f t="shared" si="118"/>
        <v>0</v>
      </c>
      <c r="J91" s="442">
        <f t="shared" si="118"/>
        <v>0</v>
      </c>
      <c r="K91" s="442">
        <f t="shared" si="118"/>
        <v>0</v>
      </c>
      <c r="L91" s="442">
        <f t="shared" si="118"/>
        <v>0</v>
      </c>
      <c r="M91" s="442">
        <f t="shared" si="118"/>
        <v>0</v>
      </c>
      <c r="N91" s="442">
        <f t="shared" si="118"/>
        <v>0</v>
      </c>
      <c r="O91" s="442">
        <f t="shared" si="118"/>
        <v>0</v>
      </c>
      <c r="P91" s="442">
        <f t="shared" si="118"/>
        <v>2778.7672125000004</v>
      </c>
      <c r="Q91" s="442">
        <f t="shared" si="118"/>
        <v>2799.9118942576174</v>
      </c>
      <c r="R91" s="442">
        <f t="shared" si="118"/>
        <v>27973.554518599758</v>
      </c>
      <c r="S91" s="442">
        <f t="shared" si="118"/>
        <v>63458.289910103333</v>
      </c>
      <c r="T91" s="442">
        <f t="shared" si="118"/>
        <v>84251.296136581106</v>
      </c>
      <c r="U91" s="443">
        <f t="shared" si="118"/>
        <v>106379.04462044129</v>
      </c>
      <c r="V91" s="443">
        <f t="shared" si="118"/>
        <v>129083.24136936261</v>
      </c>
      <c r="W91" s="443">
        <f t="shared" si="118"/>
        <v>151390.33727458687</v>
      </c>
      <c r="X91" s="443">
        <f t="shared" si="118"/>
        <v>172690.65576208715</v>
      </c>
      <c r="Y91" s="443">
        <f t="shared" si="118"/>
        <v>192341.98523454048</v>
      </c>
      <c r="Z91" s="443">
        <f t="shared" si="118"/>
        <v>209892.26934120685</v>
      </c>
      <c r="AA91" s="443">
        <f t="shared" si="118"/>
        <v>225107.71311469423</v>
      </c>
      <c r="AB91" s="443">
        <f t="shared" si="118"/>
        <v>226820.64211917634</v>
      </c>
      <c r="AC91" s="443">
        <f t="shared" si="118"/>
        <v>228459.18866599794</v>
      </c>
      <c r="AD91" s="443">
        <f t="shared" si="118"/>
        <v>229693.21002724738</v>
      </c>
      <c r="AE91" s="443">
        <f t="shared" si="118"/>
        <v>230517.92021582948</v>
      </c>
      <c r="AF91" s="443">
        <f t="shared" si="118"/>
        <v>230928.49158508526</v>
      </c>
      <c r="AG91" s="443">
        <f t="shared" si="118"/>
        <v>230948.0315112173</v>
      </c>
      <c r="AH91" s="443">
        <f t="shared" si="118"/>
        <v>230515.88689219672</v>
      </c>
      <c r="AI91" s="443">
        <f t="shared" si="118"/>
        <v>229654.86885078039</v>
      </c>
      <c r="AJ91" s="443">
        <f t="shared" si="118"/>
        <v>228359.97977586533</v>
      </c>
      <c r="AK91" s="443">
        <f t="shared" si="118"/>
        <v>227049.28282163729</v>
      </c>
      <c r="AL91" s="443">
        <f t="shared" ref="AL91:BQ91" si="119">AL85*AL86</f>
        <v>225722.64618848238</v>
      </c>
      <c r="AM91" s="443">
        <f t="shared" si="119"/>
        <v>0</v>
      </c>
      <c r="AN91" s="443">
        <f t="shared" si="119"/>
        <v>0</v>
      </c>
      <c r="AO91" s="443">
        <f t="shared" si="119"/>
        <v>0</v>
      </c>
      <c r="AP91" s="443">
        <f t="shared" si="119"/>
        <v>0</v>
      </c>
      <c r="AQ91" s="443">
        <f t="shared" si="119"/>
        <v>0</v>
      </c>
      <c r="AR91" s="443">
        <f t="shared" si="119"/>
        <v>0</v>
      </c>
      <c r="AS91" s="443">
        <f t="shared" si="119"/>
        <v>0</v>
      </c>
      <c r="AT91" s="443">
        <f t="shared" si="119"/>
        <v>0</v>
      </c>
      <c r="AU91" s="443">
        <f t="shared" si="119"/>
        <v>0</v>
      </c>
      <c r="AV91" s="443">
        <f t="shared" si="119"/>
        <v>0</v>
      </c>
      <c r="AW91" s="443">
        <f t="shared" si="119"/>
        <v>0</v>
      </c>
      <c r="AX91" s="443">
        <f t="shared" si="119"/>
        <v>0</v>
      </c>
      <c r="AY91" s="443">
        <f t="shared" si="119"/>
        <v>0</v>
      </c>
      <c r="AZ91" s="443">
        <f t="shared" si="119"/>
        <v>0</v>
      </c>
      <c r="BA91" s="443">
        <f t="shared" si="119"/>
        <v>0</v>
      </c>
      <c r="BB91" s="443">
        <f t="shared" si="119"/>
        <v>0</v>
      </c>
      <c r="BC91" s="443">
        <f t="shared" si="119"/>
        <v>0</v>
      </c>
      <c r="BD91" s="443">
        <f t="shared" si="119"/>
        <v>0</v>
      </c>
      <c r="BE91" s="443">
        <f t="shared" si="119"/>
        <v>0</v>
      </c>
      <c r="BF91" s="443">
        <f t="shared" si="119"/>
        <v>0</v>
      </c>
      <c r="BG91" s="443">
        <f t="shared" si="119"/>
        <v>0</v>
      </c>
      <c r="BH91" s="443">
        <f t="shared" si="119"/>
        <v>0</v>
      </c>
      <c r="BI91" s="443">
        <f t="shared" si="119"/>
        <v>0</v>
      </c>
      <c r="BJ91" s="443">
        <f t="shared" si="119"/>
        <v>0</v>
      </c>
      <c r="BK91" s="443">
        <f t="shared" si="119"/>
        <v>0</v>
      </c>
      <c r="BL91" s="443">
        <f t="shared" si="119"/>
        <v>0</v>
      </c>
      <c r="BM91" s="443">
        <f t="shared" si="119"/>
        <v>0</v>
      </c>
      <c r="BN91" s="443">
        <f t="shared" si="119"/>
        <v>0</v>
      </c>
      <c r="BO91" s="443">
        <f t="shared" si="119"/>
        <v>0</v>
      </c>
      <c r="BP91" s="443">
        <f t="shared" si="119"/>
        <v>0</v>
      </c>
      <c r="BQ91" s="443">
        <f t="shared" si="119"/>
        <v>0</v>
      </c>
      <c r="BR91" s="443">
        <f t="shared" ref="BR91:CW91" si="120">BR85*BR86</f>
        <v>0</v>
      </c>
      <c r="BS91" s="443">
        <f t="shared" si="120"/>
        <v>0</v>
      </c>
      <c r="BT91" s="443">
        <f t="shared" si="120"/>
        <v>0</v>
      </c>
      <c r="BU91" s="443">
        <f t="shared" si="120"/>
        <v>0</v>
      </c>
      <c r="BV91" s="443">
        <f t="shared" si="120"/>
        <v>0</v>
      </c>
      <c r="BW91" s="443">
        <f t="shared" si="120"/>
        <v>0</v>
      </c>
      <c r="BX91" s="443">
        <f t="shared" si="120"/>
        <v>0</v>
      </c>
      <c r="BY91" s="443">
        <f t="shared" si="120"/>
        <v>0</v>
      </c>
      <c r="BZ91" s="443">
        <f t="shared" si="120"/>
        <v>0</v>
      </c>
      <c r="CA91" s="443">
        <f t="shared" si="120"/>
        <v>0</v>
      </c>
      <c r="CB91" s="443">
        <f t="shared" si="120"/>
        <v>0</v>
      </c>
      <c r="CC91" s="443">
        <f t="shared" si="120"/>
        <v>0</v>
      </c>
      <c r="CD91" s="443">
        <f t="shared" si="120"/>
        <v>0</v>
      </c>
      <c r="CE91" s="443">
        <f t="shared" si="120"/>
        <v>0</v>
      </c>
      <c r="CF91" s="443">
        <f t="shared" si="120"/>
        <v>0</v>
      </c>
      <c r="CG91" s="443">
        <f t="shared" si="120"/>
        <v>0</v>
      </c>
      <c r="CH91" s="443">
        <f t="shared" si="120"/>
        <v>0</v>
      </c>
      <c r="CI91" s="443">
        <f t="shared" si="120"/>
        <v>0</v>
      </c>
      <c r="CJ91" s="443">
        <f t="shared" si="120"/>
        <v>0</v>
      </c>
      <c r="CK91" s="443">
        <f t="shared" si="120"/>
        <v>0</v>
      </c>
      <c r="CL91" s="443">
        <f t="shared" si="120"/>
        <v>0</v>
      </c>
      <c r="CM91" s="443">
        <f t="shared" si="120"/>
        <v>0</v>
      </c>
      <c r="CN91" s="443">
        <f t="shared" si="120"/>
        <v>0</v>
      </c>
      <c r="CO91" s="443">
        <f t="shared" si="120"/>
        <v>0</v>
      </c>
      <c r="CP91" s="443">
        <f t="shared" si="120"/>
        <v>0</v>
      </c>
      <c r="CQ91" s="443">
        <f t="shared" si="120"/>
        <v>0</v>
      </c>
      <c r="CR91" s="443">
        <f t="shared" si="120"/>
        <v>0</v>
      </c>
      <c r="CS91" s="443">
        <f t="shared" si="120"/>
        <v>0</v>
      </c>
      <c r="CT91" s="443">
        <f t="shared" si="120"/>
        <v>0</v>
      </c>
      <c r="CU91" s="443">
        <f t="shared" si="120"/>
        <v>0</v>
      </c>
      <c r="CV91" s="443">
        <f t="shared" si="120"/>
        <v>0</v>
      </c>
      <c r="CW91" s="443">
        <f t="shared" si="120"/>
        <v>0</v>
      </c>
      <c r="CX91" s="443">
        <f t="shared" ref="CX91:DU91" si="121">CX85*CX86</f>
        <v>0</v>
      </c>
      <c r="CY91" s="443">
        <f t="shared" si="121"/>
        <v>0</v>
      </c>
      <c r="CZ91" s="443">
        <f t="shared" si="121"/>
        <v>0</v>
      </c>
      <c r="DA91" s="443">
        <f t="shared" si="121"/>
        <v>0</v>
      </c>
      <c r="DB91" s="443">
        <f t="shared" si="121"/>
        <v>0</v>
      </c>
      <c r="DC91" s="443">
        <f t="shared" si="121"/>
        <v>0</v>
      </c>
      <c r="DD91" s="443">
        <f t="shared" si="121"/>
        <v>0</v>
      </c>
      <c r="DE91" s="443">
        <f t="shared" si="121"/>
        <v>0</v>
      </c>
      <c r="DF91" s="443">
        <f t="shared" si="121"/>
        <v>0</v>
      </c>
      <c r="DG91" s="443">
        <f t="shared" si="121"/>
        <v>0</v>
      </c>
      <c r="DH91" s="443">
        <f t="shared" si="121"/>
        <v>0</v>
      </c>
      <c r="DI91" s="443">
        <f t="shared" si="121"/>
        <v>0</v>
      </c>
      <c r="DJ91" s="443">
        <f t="shared" si="121"/>
        <v>0</v>
      </c>
      <c r="DK91" s="443">
        <f t="shared" si="121"/>
        <v>0</v>
      </c>
      <c r="DL91" s="443">
        <f t="shared" si="121"/>
        <v>0</v>
      </c>
      <c r="DM91" s="443">
        <f t="shared" si="121"/>
        <v>0</v>
      </c>
      <c r="DN91" s="443">
        <f t="shared" si="121"/>
        <v>0</v>
      </c>
      <c r="DO91" s="443">
        <f t="shared" si="121"/>
        <v>0</v>
      </c>
      <c r="DP91" s="443">
        <f t="shared" si="121"/>
        <v>0</v>
      </c>
      <c r="DQ91" s="443">
        <f t="shared" si="121"/>
        <v>0</v>
      </c>
      <c r="DR91" s="443">
        <f t="shared" si="121"/>
        <v>0</v>
      </c>
      <c r="DS91" s="443">
        <f t="shared" si="121"/>
        <v>0</v>
      </c>
      <c r="DT91" s="443">
        <f t="shared" si="121"/>
        <v>0</v>
      </c>
      <c r="DU91" s="443">
        <f t="shared" si="121"/>
        <v>0</v>
      </c>
    </row>
    <row r="92" spans="1:125" x14ac:dyDescent="0.25">
      <c r="A92" s="385" t="s">
        <v>529</v>
      </c>
      <c r="D92" s="463">
        <f t="shared" si="109"/>
        <v>-32326721.6797157</v>
      </c>
      <c r="F92" s="441">
        <f t="shared" ref="F92:AK92" si="122">-MAX(0,MIN(F56+F95,SUM(F86:F91)))</f>
        <v>0</v>
      </c>
      <c r="G92" s="441">
        <f t="shared" si="122"/>
        <v>0</v>
      </c>
      <c r="H92" s="441">
        <f t="shared" si="122"/>
        <v>0</v>
      </c>
      <c r="I92" s="441">
        <f t="shared" si="122"/>
        <v>0</v>
      </c>
      <c r="J92" s="442">
        <f t="shared" si="122"/>
        <v>0</v>
      </c>
      <c r="K92" s="442">
        <f t="shared" si="122"/>
        <v>0</v>
      </c>
      <c r="L92" s="442">
        <f t="shared" si="122"/>
        <v>0</v>
      </c>
      <c r="M92" s="442">
        <f t="shared" si="122"/>
        <v>0</v>
      </c>
      <c r="N92" s="442">
        <f t="shared" si="122"/>
        <v>0</v>
      </c>
      <c r="O92" s="442">
        <f t="shared" si="122"/>
        <v>0</v>
      </c>
      <c r="P92" s="442">
        <f t="shared" si="122"/>
        <v>0</v>
      </c>
      <c r="Q92" s="442">
        <f t="shared" si="122"/>
        <v>0</v>
      </c>
      <c r="R92" s="442">
        <f t="shared" si="122"/>
        <v>0</v>
      </c>
      <c r="S92" s="442">
        <f t="shared" si="122"/>
        <v>0</v>
      </c>
      <c r="T92" s="442">
        <f t="shared" si="122"/>
        <v>0</v>
      </c>
      <c r="U92" s="443">
        <f t="shared" si="122"/>
        <v>0</v>
      </c>
      <c r="V92" s="443">
        <f t="shared" si="122"/>
        <v>0</v>
      </c>
      <c r="W92" s="443">
        <f t="shared" si="122"/>
        <v>0</v>
      </c>
      <c r="X92" s="443">
        <f t="shared" si="122"/>
        <v>0</v>
      </c>
      <c r="Y92" s="443">
        <f t="shared" si="122"/>
        <v>0</v>
      </c>
      <c r="Z92" s="443">
        <f t="shared" si="122"/>
        <v>0</v>
      </c>
      <c r="AA92" s="443">
        <f t="shared" si="122"/>
        <v>0</v>
      </c>
      <c r="AB92" s="443">
        <f t="shared" si="122"/>
        <v>-11488.036376705844</v>
      </c>
      <c r="AC92" s="443">
        <f t="shared" si="122"/>
        <v>-66288.00361473723</v>
      </c>
      <c r="AD92" s="443">
        <f t="shared" si="122"/>
        <v>-121312.40495690583</v>
      </c>
      <c r="AE92" s="443">
        <f t="shared" si="122"/>
        <v>-176561.92918427248</v>
      </c>
      <c r="AF92" s="443">
        <f t="shared" si="122"/>
        <v>-228360.61628231517</v>
      </c>
      <c r="AG92" s="443">
        <f t="shared" si="122"/>
        <v>-287739.11080755387</v>
      </c>
      <c r="AH92" s="443">
        <f t="shared" si="122"/>
        <v>-343668.155168675</v>
      </c>
      <c r="AI92" s="443">
        <f t="shared" si="122"/>
        <v>-399825.09635501652</v>
      </c>
      <c r="AJ92" s="443">
        <f t="shared" si="122"/>
        <v>-400607.62879145867</v>
      </c>
      <c r="AK92" s="443">
        <f t="shared" si="122"/>
        <v>-401391.6740370671</v>
      </c>
      <c r="AL92" s="443">
        <f t="shared" ref="AL92:BQ92" si="123">-MAX(0,MIN(AL56+AL95,SUM(AL86:AL91)))</f>
        <v>-29889479.024140991</v>
      </c>
      <c r="AM92" s="443">
        <f t="shared" si="123"/>
        <v>0</v>
      </c>
      <c r="AN92" s="443">
        <f t="shared" si="123"/>
        <v>0</v>
      </c>
      <c r="AO92" s="443">
        <f t="shared" si="123"/>
        <v>0</v>
      </c>
      <c r="AP92" s="443">
        <f t="shared" si="123"/>
        <v>0</v>
      </c>
      <c r="AQ92" s="443">
        <f t="shared" si="123"/>
        <v>0</v>
      </c>
      <c r="AR92" s="443">
        <f t="shared" si="123"/>
        <v>0</v>
      </c>
      <c r="AS92" s="443">
        <f t="shared" si="123"/>
        <v>0</v>
      </c>
      <c r="AT92" s="443">
        <f t="shared" si="123"/>
        <v>0</v>
      </c>
      <c r="AU92" s="443">
        <f t="shared" si="123"/>
        <v>0</v>
      </c>
      <c r="AV92" s="443">
        <f t="shared" si="123"/>
        <v>0</v>
      </c>
      <c r="AW92" s="443">
        <f t="shared" si="123"/>
        <v>0</v>
      </c>
      <c r="AX92" s="443">
        <f t="shared" si="123"/>
        <v>0</v>
      </c>
      <c r="AY92" s="443">
        <f t="shared" si="123"/>
        <v>0</v>
      </c>
      <c r="AZ92" s="443">
        <f t="shared" si="123"/>
        <v>0</v>
      </c>
      <c r="BA92" s="443">
        <f t="shared" si="123"/>
        <v>0</v>
      </c>
      <c r="BB92" s="443">
        <f t="shared" si="123"/>
        <v>0</v>
      </c>
      <c r="BC92" s="443">
        <f t="shared" si="123"/>
        <v>0</v>
      </c>
      <c r="BD92" s="443">
        <f t="shared" si="123"/>
        <v>0</v>
      </c>
      <c r="BE92" s="443">
        <f t="shared" si="123"/>
        <v>0</v>
      </c>
      <c r="BF92" s="443">
        <f t="shared" si="123"/>
        <v>0</v>
      </c>
      <c r="BG92" s="443">
        <f t="shared" si="123"/>
        <v>0</v>
      </c>
      <c r="BH92" s="443">
        <f t="shared" si="123"/>
        <v>0</v>
      </c>
      <c r="BI92" s="443">
        <f t="shared" si="123"/>
        <v>0</v>
      </c>
      <c r="BJ92" s="443">
        <f t="shared" si="123"/>
        <v>0</v>
      </c>
      <c r="BK92" s="443">
        <f t="shared" si="123"/>
        <v>0</v>
      </c>
      <c r="BL92" s="443">
        <f t="shared" si="123"/>
        <v>0</v>
      </c>
      <c r="BM92" s="443">
        <f t="shared" si="123"/>
        <v>0</v>
      </c>
      <c r="BN92" s="443">
        <f t="shared" si="123"/>
        <v>0</v>
      </c>
      <c r="BO92" s="443">
        <f t="shared" si="123"/>
        <v>0</v>
      </c>
      <c r="BP92" s="443">
        <f t="shared" si="123"/>
        <v>0</v>
      </c>
      <c r="BQ92" s="443">
        <f t="shared" si="123"/>
        <v>0</v>
      </c>
      <c r="BR92" s="443">
        <f t="shared" ref="BR92:CW92" si="124">-MAX(0,MIN(BR56+BR95,SUM(BR86:BR91)))</f>
        <v>0</v>
      </c>
      <c r="BS92" s="443">
        <f t="shared" si="124"/>
        <v>0</v>
      </c>
      <c r="BT92" s="443">
        <f t="shared" si="124"/>
        <v>0</v>
      </c>
      <c r="BU92" s="443">
        <f t="shared" si="124"/>
        <v>0</v>
      </c>
      <c r="BV92" s="443">
        <f t="shared" si="124"/>
        <v>0</v>
      </c>
      <c r="BW92" s="443">
        <f t="shared" si="124"/>
        <v>0</v>
      </c>
      <c r="BX92" s="443">
        <f t="shared" si="124"/>
        <v>0</v>
      </c>
      <c r="BY92" s="443">
        <f t="shared" si="124"/>
        <v>0</v>
      </c>
      <c r="BZ92" s="443">
        <f t="shared" si="124"/>
        <v>0</v>
      </c>
      <c r="CA92" s="443">
        <f t="shared" si="124"/>
        <v>0</v>
      </c>
      <c r="CB92" s="443">
        <f t="shared" si="124"/>
        <v>0</v>
      </c>
      <c r="CC92" s="443">
        <f t="shared" si="124"/>
        <v>0</v>
      </c>
      <c r="CD92" s="443">
        <f t="shared" si="124"/>
        <v>0</v>
      </c>
      <c r="CE92" s="443">
        <f t="shared" si="124"/>
        <v>0</v>
      </c>
      <c r="CF92" s="443">
        <f t="shared" si="124"/>
        <v>0</v>
      </c>
      <c r="CG92" s="443">
        <f t="shared" si="124"/>
        <v>0</v>
      </c>
      <c r="CH92" s="443">
        <f t="shared" si="124"/>
        <v>0</v>
      </c>
      <c r="CI92" s="443">
        <f t="shared" si="124"/>
        <v>0</v>
      </c>
      <c r="CJ92" s="443">
        <f t="shared" si="124"/>
        <v>0</v>
      </c>
      <c r="CK92" s="443">
        <f t="shared" si="124"/>
        <v>0</v>
      </c>
      <c r="CL92" s="443">
        <f t="shared" si="124"/>
        <v>0</v>
      </c>
      <c r="CM92" s="443">
        <f t="shared" si="124"/>
        <v>0</v>
      </c>
      <c r="CN92" s="443">
        <f t="shared" si="124"/>
        <v>0</v>
      </c>
      <c r="CO92" s="443">
        <f t="shared" si="124"/>
        <v>0</v>
      </c>
      <c r="CP92" s="443">
        <f t="shared" si="124"/>
        <v>0</v>
      </c>
      <c r="CQ92" s="443">
        <f t="shared" si="124"/>
        <v>0</v>
      </c>
      <c r="CR92" s="443">
        <f t="shared" si="124"/>
        <v>0</v>
      </c>
      <c r="CS92" s="443">
        <f t="shared" si="124"/>
        <v>0</v>
      </c>
      <c r="CT92" s="443">
        <f t="shared" si="124"/>
        <v>0</v>
      </c>
      <c r="CU92" s="443">
        <f t="shared" si="124"/>
        <v>0</v>
      </c>
      <c r="CV92" s="443">
        <f t="shared" si="124"/>
        <v>0</v>
      </c>
      <c r="CW92" s="443">
        <f t="shared" si="124"/>
        <v>0</v>
      </c>
      <c r="CX92" s="443">
        <f t="shared" ref="CX92:EC92" si="125">-MAX(0,MIN(CX56+CX95,SUM(CX86:CX91)))</f>
        <v>0</v>
      </c>
      <c r="CY92" s="443">
        <f t="shared" si="125"/>
        <v>0</v>
      </c>
      <c r="CZ92" s="443">
        <f t="shared" si="125"/>
        <v>0</v>
      </c>
      <c r="DA92" s="443">
        <f t="shared" si="125"/>
        <v>0</v>
      </c>
      <c r="DB92" s="443">
        <f t="shared" si="125"/>
        <v>0</v>
      </c>
      <c r="DC92" s="443">
        <f t="shared" si="125"/>
        <v>0</v>
      </c>
      <c r="DD92" s="443">
        <f t="shared" si="125"/>
        <v>0</v>
      </c>
      <c r="DE92" s="443">
        <f t="shared" si="125"/>
        <v>0</v>
      </c>
      <c r="DF92" s="443">
        <f t="shared" si="125"/>
        <v>0</v>
      </c>
      <c r="DG92" s="443">
        <f t="shared" si="125"/>
        <v>0</v>
      </c>
      <c r="DH92" s="443">
        <f t="shared" si="125"/>
        <v>0</v>
      </c>
      <c r="DI92" s="443">
        <f t="shared" si="125"/>
        <v>0</v>
      </c>
      <c r="DJ92" s="443">
        <f t="shared" si="125"/>
        <v>0</v>
      </c>
      <c r="DK92" s="443">
        <f t="shared" si="125"/>
        <v>0</v>
      </c>
      <c r="DL92" s="443">
        <f t="shared" si="125"/>
        <v>0</v>
      </c>
      <c r="DM92" s="443">
        <f t="shared" si="125"/>
        <v>0</v>
      </c>
      <c r="DN92" s="443">
        <f t="shared" si="125"/>
        <v>0</v>
      </c>
      <c r="DO92" s="443">
        <f t="shared" si="125"/>
        <v>0</v>
      </c>
      <c r="DP92" s="443">
        <f t="shared" si="125"/>
        <v>0</v>
      </c>
      <c r="DQ92" s="443">
        <f t="shared" si="125"/>
        <v>0</v>
      </c>
      <c r="DR92" s="443">
        <f t="shared" si="125"/>
        <v>0</v>
      </c>
      <c r="DS92" s="443">
        <f t="shared" si="125"/>
        <v>0</v>
      </c>
      <c r="DT92" s="443">
        <f t="shared" si="125"/>
        <v>0</v>
      </c>
      <c r="DU92" s="443">
        <f t="shared" si="125"/>
        <v>0</v>
      </c>
    </row>
    <row r="93" spans="1:125" x14ac:dyDescent="0.25">
      <c r="A93" s="385" t="s">
        <v>530</v>
      </c>
      <c r="D93" s="387"/>
      <c r="F93" s="441">
        <f t="shared" ref="F93:AK93" si="126">SUM(F86:F92)</f>
        <v>0</v>
      </c>
      <c r="G93" s="441">
        <f t="shared" si="126"/>
        <v>0</v>
      </c>
      <c r="H93" s="441">
        <f t="shared" si="126"/>
        <v>0</v>
      </c>
      <c r="I93" s="441">
        <f t="shared" si="126"/>
        <v>0</v>
      </c>
      <c r="J93" s="442">
        <f t="shared" si="126"/>
        <v>0</v>
      </c>
      <c r="K93" s="442">
        <f t="shared" si="126"/>
        <v>0</v>
      </c>
      <c r="L93" s="442">
        <f t="shared" si="126"/>
        <v>0</v>
      </c>
      <c r="M93" s="442">
        <f t="shared" si="126"/>
        <v>0</v>
      </c>
      <c r="N93" s="442">
        <f t="shared" si="126"/>
        <v>0</v>
      </c>
      <c r="O93" s="442">
        <f t="shared" si="126"/>
        <v>365176.8</v>
      </c>
      <c r="P93" s="442">
        <f t="shared" si="126"/>
        <v>367955.56721249997</v>
      </c>
      <c r="Q93" s="442">
        <f t="shared" si="126"/>
        <v>3676196.0763662923</v>
      </c>
      <c r="R93" s="442">
        <f t="shared" si="126"/>
        <v>8339487.7910608072</v>
      </c>
      <c r="S93" s="442">
        <f t="shared" si="126"/>
        <v>11072038.91733304</v>
      </c>
      <c r="T93" s="442">
        <f t="shared" si="126"/>
        <v>13979997.650324931</v>
      </c>
      <c r="U93" s="443">
        <f t="shared" si="126"/>
        <v>16963711.391456276</v>
      </c>
      <c r="V93" s="443">
        <f t="shared" si="126"/>
        <v>19895239.395428251</v>
      </c>
      <c r="W93" s="443">
        <f t="shared" si="126"/>
        <v>22694459.894812271</v>
      </c>
      <c r="X93" s="443">
        <f t="shared" si="126"/>
        <v>25276975.472301006</v>
      </c>
      <c r="Y93" s="443">
        <f t="shared" si="126"/>
        <v>27583378.311780773</v>
      </c>
      <c r="Z93" s="443">
        <f t="shared" si="126"/>
        <v>29582943.817947492</v>
      </c>
      <c r="AA93" s="443">
        <f t="shared" si="126"/>
        <v>29808051.531062186</v>
      </c>
      <c r="AB93" s="443">
        <f t="shared" si="126"/>
        <v>30023384.136804655</v>
      </c>
      <c r="AC93" s="443">
        <f t="shared" si="126"/>
        <v>30185555.321855914</v>
      </c>
      <c r="AD93" s="443">
        <f t="shared" si="126"/>
        <v>30293936.126926254</v>
      </c>
      <c r="AE93" s="443">
        <f t="shared" si="126"/>
        <v>30347892.117957812</v>
      </c>
      <c r="AF93" s="443">
        <f t="shared" si="126"/>
        <v>30350459.993260585</v>
      </c>
      <c r="AG93" s="443">
        <f t="shared" si="126"/>
        <v>30293668.913964249</v>
      </c>
      <c r="AH93" s="443">
        <f t="shared" si="126"/>
        <v>30180516.64568777</v>
      </c>
      <c r="AI93" s="443">
        <f t="shared" si="126"/>
        <v>30010346.418183532</v>
      </c>
      <c r="AJ93" s="443">
        <f t="shared" si="126"/>
        <v>29838098.769167937</v>
      </c>
      <c r="AK93" s="443">
        <f t="shared" si="126"/>
        <v>29663756.377952509</v>
      </c>
      <c r="AL93" s="443">
        <f t="shared" ref="AL93:BQ93" si="127">SUM(AL86:AL92)</f>
        <v>0</v>
      </c>
      <c r="AM93" s="443">
        <f t="shared" si="127"/>
        <v>0</v>
      </c>
      <c r="AN93" s="443">
        <f t="shared" si="127"/>
        <v>0</v>
      </c>
      <c r="AO93" s="443">
        <f t="shared" si="127"/>
        <v>0</v>
      </c>
      <c r="AP93" s="443">
        <f t="shared" si="127"/>
        <v>0</v>
      </c>
      <c r="AQ93" s="443">
        <f t="shared" si="127"/>
        <v>0</v>
      </c>
      <c r="AR93" s="443">
        <f t="shared" si="127"/>
        <v>0</v>
      </c>
      <c r="AS93" s="443">
        <f t="shared" si="127"/>
        <v>0</v>
      </c>
      <c r="AT93" s="443">
        <f t="shared" si="127"/>
        <v>0</v>
      </c>
      <c r="AU93" s="443">
        <f t="shared" si="127"/>
        <v>0</v>
      </c>
      <c r="AV93" s="443">
        <f t="shared" si="127"/>
        <v>0</v>
      </c>
      <c r="AW93" s="443">
        <f t="shared" si="127"/>
        <v>0</v>
      </c>
      <c r="AX93" s="443">
        <f t="shared" si="127"/>
        <v>0</v>
      </c>
      <c r="AY93" s="443">
        <f t="shared" si="127"/>
        <v>0</v>
      </c>
      <c r="AZ93" s="443">
        <f t="shared" si="127"/>
        <v>0</v>
      </c>
      <c r="BA93" s="443">
        <f t="shared" si="127"/>
        <v>0</v>
      </c>
      <c r="BB93" s="443">
        <f t="shared" si="127"/>
        <v>0</v>
      </c>
      <c r="BC93" s="443">
        <f t="shared" si="127"/>
        <v>0</v>
      </c>
      <c r="BD93" s="443">
        <f t="shared" si="127"/>
        <v>0</v>
      </c>
      <c r="BE93" s="443">
        <f t="shared" si="127"/>
        <v>0</v>
      </c>
      <c r="BF93" s="443">
        <f t="shared" si="127"/>
        <v>0</v>
      </c>
      <c r="BG93" s="443">
        <f t="shared" si="127"/>
        <v>0</v>
      </c>
      <c r="BH93" s="443">
        <f t="shared" si="127"/>
        <v>0</v>
      </c>
      <c r="BI93" s="443">
        <f t="shared" si="127"/>
        <v>0</v>
      </c>
      <c r="BJ93" s="443">
        <f t="shared" si="127"/>
        <v>0</v>
      </c>
      <c r="BK93" s="443">
        <f t="shared" si="127"/>
        <v>0</v>
      </c>
      <c r="BL93" s="443">
        <f t="shared" si="127"/>
        <v>0</v>
      </c>
      <c r="BM93" s="443">
        <f t="shared" si="127"/>
        <v>0</v>
      </c>
      <c r="BN93" s="443">
        <f t="shared" si="127"/>
        <v>0</v>
      </c>
      <c r="BO93" s="443">
        <f t="shared" si="127"/>
        <v>0</v>
      </c>
      <c r="BP93" s="443">
        <f t="shared" si="127"/>
        <v>0</v>
      </c>
      <c r="BQ93" s="443">
        <f t="shared" si="127"/>
        <v>0</v>
      </c>
      <c r="BR93" s="443">
        <f t="shared" ref="BR93:CW93" si="128">SUM(BR86:BR92)</f>
        <v>0</v>
      </c>
      <c r="BS93" s="443">
        <f t="shared" si="128"/>
        <v>0</v>
      </c>
      <c r="BT93" s="443">
        <f t="shared" si="128"/>
        <v>0</v>
      </c>
      <c r="BU93" s="443">
        <f t="shared" si="128"/>
        <v>0</v>
      </c>
      <c r="BV93" s="443">
        <f t="shared" si="128"/>
        <v>0</v>
      </c>
      <c r="BW93" s="443">
        <f t="shared" si="128"/>
        <v>0</v>
      </c>
      <c r="BX93" s="443">
        <f t="shared" si="128"/>
        <v>0</v>
      </c>
      <c r="BY93" s="443">
        <f t="shared" si="128"/>
        <v>0</v>
      </c>
      <c r="BZ93" s="443">
        <f t="shared" si="128"/>
        <v>0</v>
      </c>
      <c r="CA93" s="443">
        <f t="shared" si="128"/>
        <v>0</v>
      </c>
      <c r="CB93" s="443">
        <f t="shared" si="128"/>
        <v>0</v>
      </c>
      <c r="CC93" s="443">
        <f t="shared" si="128"/>
        <v>0</v>
      </c>
      <c r="CD93" s="443">
        <f t="shared" si="128"/>
        <v>0</v>
      </c>
      <c r="CE93" s="443">
        <f t="shared" si="128"/>
        <v>0</v>
      </c>
      <c r="CF93" s="443">
        <f t="shared" si="128"/>
        <v>0</v>
      </c>
      <c r="CG93" s="443">
        <f t="shared" si="128"/>
        <v>0</v>
      </c>
      <c r="CH93" s="443">
        <f t="shared" si="128"/>
        <v>0</v>
      </c>
      <c r="CI93" s="443">
        <f t="shared" si="128"/>
        <v>0</v>
      </c>
      <c r="CJ93" s="443">
        <f t="shared" si="128"/>
        <v>0</v>
      </c>
      <c r="CK93" s="443">
        <f t="shared" si="128"/>
        <v>0</v>
      </c>
      <c r="CL93" s="443">
        <f t="shared" si="128"/>
        <v>0</v>
      </c>
      <c r="CM93" s="443">
        <f t="shared" si="128"/>
        <v>0</v>
      </c>
      <c r="CN93" s="443">
        <f t="shared" si="128"/>
        <v>0</v>
      </c>
      <c r="CO93" s="443">
        <f t="shared" si="128"/>
        <v>0</v>
      </c>
      <c r="CP93" s="443">
        <f t="shared" si="128"/>
        <v>0</v>
      </c>
      <c r="CQ93" s="443">
        <f t="shared" si="128"/>
        <v>0</v>
      </c>
      <c r="CR93" s="443">
        <f t="shared" si="128"/>
        <v>0</v>
      </c>
      <c r="CS93" s="443">
        <f t="shared" si="128"/>
        <v>0</v>
      </c>
      <c r="CT93" s="443">
        <f t="shared" si="128"/>
        <v>0</v>
      </c>
      <c r="CU93" s="443">
        <f t="shared" si="128"/>
        <v>0</v>
      </c>
      <c r="CV93" s="443">
        <f t="shared" si="128"/>
        <v>0</v>
      </c>
      <c r="CW93" s="443">
        <f t="shared" si="128"/>
        <v>0</v>
      </c>
      <c r="CX93" s="443">
        <f t="shared" ref="CX93:EC93" si="129">SUM(CX86:CX92)</f>
        <v>0</v>
      </c>
      <c r="CY93" s="443">
        <f t="shared" si="129"/>
        <v>0</v>
      </c>
      <c r="CZ93" s="443">
        <f t="shared" si="129"/>
        <v>0</v>
      </c>
      <c r="DA93" s="443">
        <f t="shared" si="129"/>
        <v>0</v>
      </c>
      <c r="DB93" s="443">
        <f t="shared" si="129"/>
        <v>0</v>
      </c>
      <c r="DC93" s="443">
        <f t="shared" si="129"/>
        <v>0</v>
      </c>
      <c r="DD93" s="443">
        <f t="shared" si="129"/>
        <v>0</v>
      </c>
      <c r="DE93" s="443">
        <f t="shared" si="129"/>
        <v>0</v>
      </c>
      <c r="DF93" s="443">
        <f t="shared" si="129"/>
        <v>0</v>
      </c>
      <c r="DG93" s="443">
        <f t="shared" si="129"/>
        <v>0</v>
      </c>
      <c r="DH93" s="443">
        <f t="shared" si="129"/>
        <v>0</v>
      </c>
      <c r="DI93" s="443">
        <f t="shared" si="129"/>
        <v>0</v>
      </c>
      <c r="DJ93" s="443">
        <f t="shared" si="129"/>
        <v>0</v>
      </c>
      <c r="DK93" s="443">
        <f t="shared" si="129"/>
        <v>0</v>
      </c>
      <c r="DL93" s="443">
        <f t="shared" si="129"/>
        <v>0</v>
      </c>
      <c r="DM93" s="443">
        <f t="shared" si="129"/>
        <v>0</v>
      </c>
      <c r="DN93" s="443">
        <f t="shared" si="129"/>
        <v>0</v>
      </c>
      <c r="DO93" s="443">
        <f t="shared" si="129"/>
        <v>0</v>
      </c>
      <c r="DP93" s="443">
        <f t="shared" si="129"/>
        <v>0</v>
      </c>
      <c r="DQ93" s="443">
        <f t="shared" si="129"/>
        <v>0</v>
      </c>
      <c r="DR93" s="443">
        <f t="shared" si="129"/>
        <v>0</v>
      </c>
      <c r="DS93" s="443">
        <f t="shared" si="129"/>
        <v>0</v>
      </c>
      <c r="DT93" s="443">
        <f t="shared" si="129"/>
        <v>0</v>
      </c>
      <c r="DU93" s="443">
        <f t="shared" si="129"/>
        <v>0</v>
      </c>
    </row>
    <row r="94" spans="1:125" x14ac:dyDescent="0.25">
      <c r="D94" s="387"/>
      <c r="F94" s="388"/>
      <c r="G94" s="388"/>
      <c r="H94" s="388"/>
      <c r="I94" s="388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90"/>
      <c r="V94" s="390"/>
      <c r="W94" s="390"/>
      <c r="X94" s="390"/>
      <c r="Y94" s="390"/>
      <c r="Z94" s="390"/>
      <c r="AA94" s="390"/>
      <c r="AB94" s="390"/>
      <c r="AC94" s="390"/>
      <c r="AD94" s="390"/>
      <c r="AE94" s="390"/>
      <c r="AF94" s="390"/>
      <c r="AG94" s="390"/>
      <c r="AH94" s="390"/>
      <c r="AI94" s="390"/>
      <c r="AJ94" s="390"/>
      <c r="AK94" s="390"/>
      <c r="AL94" s="390"/>
      <c r="AM94" s="390"/>
      <c r="AN94" s="390"/>
      <c r="AO94" s="390"/>
      <c r="AP94" s="390"/>
      <c r="AQ94" s="390"/>
      <c r="AR94" s="390"/>
      <c r="AS94" s="390"/>
      <c r="AT94" s="390"/>
      <c r="AU94" s="390"/>
      <c r="AV94" s="390"/>
      <c r="AW94" s="390"/>
      <c r="AX94" s="390"/>
      <c r="AY94" s="390"/>
      <c r="AZ94" s="390"/>
      <c r="BA94" s="390"/>
      <c r="BB94" s="390"/>
      <c r="BC94" s="390"/>
      <c r="BD94" s="390"/>
      <c r="BE94" s="390"/>
      <c r="BF94" s="390"/>
      <c r="BG94" s="390"/>
      <c r="BH94" s="390"/>
      <c r="BI94" s="390"/>
      <c r="BJ94" s="390"/>
      <c r="BK94" s="390"/>
      <c r="BL94" s="390"/>
      <c r="BM94" s="390"/>
      <c r="BN94" s="390"/>
      <c r="BO94" s="390"/>
      <c r="BP94" s="390"/>
      <c r="BQ94" s="390"/>
      <c r="BR94" s="390"/>
      <c r="BS94" s="390"/>
      <c r="BT94" s="390"/>
      <c r="BU94" s="390"/>
      <c r="BV94" s="390"/>
      <c r="BW94" s="390"/>
      <c r="BX94" s="390"/>
      <c r="BY94" s="390"/>
      <c r="BZ94" s="390"/>
      <c r="CA94" s="390"/>
      <c r="CB94" s="390"/>
      <c r="CC94" s="390"/>
      <c r="CD94" s="390"/>
      <c r="CE94" s="390"/>
      <c r="CF94" s="390"/>
      <c r="CG94" s="390"/>
      <c r="CH94" s="390"/>
      <c r="CI94" s="390"/>
      <c r="CJ94" s="390"/>
      <c r="CK94" s="390"/>
      <c r="CL94" s="390"/>
      <c r="CM94" s="390"/>
      <c r="CN94" s="390"/>
      <c r="CO94" s="390"/>
      <c r="CP94" s="390"/>
      <c r="CQ94" s="390"/>
      <c r="CR94" s="390"/>
      <c r="CS94" s="390"/>
      <c r="CT94" s="390"/>
      <c r="CU94" s="390"/>
      <c r="CV94" s="390"/>
      <c r="CW94" s="390"/>
      <c r="CX94" s="390"/>
      <c r="CY94" s="390"/>
      <c r="CZ94" s="390"/>
      <c r="DA94" s="390"/>
      <c r="DB94" s="390"/>
      <c r="DC94" s="390"/>
      <c r="DD94" s="390"/>
      <c r="DE94" s="390"/>
      <c r="DF94" s="390"/>
      <c r="DG94" s="390"/>
      <c r="DH94" s="390"/>
      <c r="DI94" s="390"/>
      <c r="DJ94" s="390"/>
      <c r="DK94" s="390"/>
      <c r="DL94" s="390"/>
      <c r="DM94" s="390"/>
      <c r="DN94" s="390"/>
      <c r="DO94" s="390"/>
      <c r="DP94" s="390"/>
      <c r="DQ94" s="390"/>
      <c r="DR94" s="390"/>
      <c r="DS94" s="390"/>
      <c r="DT94" s="390"/>
      <c r="DU94" s="390"/>
    </row>
    <row r="95" spans="1:125" x14ac:dyDescent="0.25">
      <c r="A95" s="385" t="s">
        <v>531</v>
      </c>
      <c r="D95" s="387"/>
      <c r="F95" s="441">
        <f t="shared" ref="F95:AK95" si="130">(F4=refinance_date)*(perm_proceeds)*(100-perm_fees)*0.01</f>
        <v>0</v>
      </c>
      <c r="G95" s="441">
        <f t="shared" si="130"/>
        <v>0</v>
      </c>
      <c r="H95" s="441">
        <f t="shared" si="130"/>
        <v>0</v>
      </c>
      <c r="I95" s="441">
        <f t="shared" si="130"/>
        <v>0</v>
      </c>
      <c r="J95" s="442">
        <f t="shared" si="130"/>
        <v>0</v>
      </c>
      <c r="K95" s="442">
        <f t="shared" si="130"/>
        <v>0</v>
      </c>
      <c r="L95" s="442">
        <f t="shared" si="130"/>
        <v>0</v>
      </c>
      <c r="M95" s="442">
        <f t="shared" si="130"/>
        <v>0</v>
      </c>
      <c r="N95" s="442">
        <f t="shared" si="130"/>
        <v>0</v>
      </c>
      <c r="O95" s="442">
        <f t="shared" si="130"/>
        <v>0</v>
      </c>
      <c r="P95" s="442">
        <f t="shared" si="130"/>
        <v>0</v>
      </c>
      <c r="Q95" s="442">
        <f t="shared" si="130"/>
        <v>0</v>
      </c>
      <c r="R95" s="442">
        <f t="shared" si="130"/>
        <v>0</v>
      </c>
      <c r="S95" s="442">
        <f t="shared" si="130"/>
        <v>0</v>
      </c>
      <c r="T95" s="442">
        <f t="shared" si="130"/>
        <v>0</v>
      </c>
      <c r="U95" s="443">
        <f t="shared" si="130"/>
        <v>0</v>
      </c>
      <c r="V95" s="443">
        <f t="shared" si="130"/>
        <v>0</v>
      </c>
      <c r="W95" s="443">
        <f t="shared" si="130"/>
        <v>0</v>
      </c>
      <c r="X95" s="443">
        <f t="shared" si="130"/>
        <v>0</v>
      </c>
      <c r="Y95" s="443">
        <f t="shared" si="130"/>
        <v>0</v>
      </c>
      <c r="Z95" s="443">
        <f t="shared" si="130"/>
        <v>0</v>
      </c>
      <c r="AA95" s="443">
        <f t="shared" si="130"/>
        <v>0</v>
      </c>
      <c r="AB95" s="443">
        <f t="shared" si="130"/>
        <v>0</v>
      </c>
      <c r="AC95" s="443">
        <f t="shared" si="130"/>
        <v>0</v>
      </c>
      <c r="AD95" s="443">
        <f t="shared" si="130"/>
        <v>0</v>
      </c>
      <c r="AE95" s="443">
        <f t="shared" si="130"/>
        <v>0</v>
      </c>
      <c r="AF95" s="443">
        <f t="shared" si="130"/>
        <v>0</v>
      </c>
      <c r="AG95" s="443">
        <f t="shared" si="130"/>
        <v>0</v>
      </c>
      <c r="AH95" s="443">
        <f t="shared" si="130"/>
        <v>0</v>
      </c>
      <c r="AI95" s="443">
        <f t="shared" si="130"/>
        <v>0</v>
      </c>
      <c r="AJ95" s="443">
        <f t="shared" si="130"/>
        <v>0</v>
      </c>
      <c r="AK95" s="443">
        <f t="shared" si="130"/>
        <v>0</v>
      </c>
      <c r="AL95" s="443">
        <f t="shared" ref="AL95:BQ95" si="131">(AL4=refinance_date)*(perm_proceeds)*(100-perm_fees)*0.01</f>
        <v>48137185.800000004</v>
      </c>
      <c r="AM95" s="443">
        <f t="shared" si="131"/>
        <v>0</v>
      </c>
      <c r="AN95" s="443">
        <f t="shared" si="131"/>
        <v>0</v>
      </c>
      <c r="AO95" s="443">
        <f t="shared" si="131"/>
        <v>0</v>
      </c>
      <c r="AP95" s="443">
        <f t="shared" si="131"/>
        <v>0</v>
      </c>
      <c r="AQ95" s="443">
        <f t="shared" si="131"/>
        <v>0</v>
      </c>
      <c r="AR95" s="443">
        <f t="shared" si="131"/>
        <v>0</v>
      </c>
      <c r="AS95" s="443">
        <f t="shared" si="131"/>
        <v>0</v>
      </c>
      <c r="AT95" s="443">
        <f t="shared" si="131"/>
        <v>0</v>
      </c>
      <c r="AU95" s="443">
        <f t="shared" si="131"/>
        <v>0</v>
      </c>
      <c r="AV95" s="443">
        <f t="shared" si="131"/>
        <v>0</v>
      </c>
      <c r="AW95" s="443">
        <f t="shared" si="131"/>
        <v>0</v>
      </c>
      <c r="AX95" s="443">
        <f t="shared" si="131"/>
        <v>0</v>
      </c>
      <c r="AY95" s="443">
        <f t="shared" si="131"/>
        <v>0</v>
      </c>
      <c r="AZ95" s="443">
        <f t="shared" si="131"/>
        <v>0</v>
      </c>
      <c r="BA95" s="443">
        <f t="shared" si="131"/>
        <v>0</v>
      </c>
      <c r="BB95" s="443">
        <f t="shared" si="131"/>
        <v>0</v>
      </c>
      <c r="BC95" s="443">
        <f t="shared" si="131"/>
        <v>0</v>
      </c>
      <c r="BD95" s="443">
        <f t="shared" si="131"/>
        <v>0</v>
      </c>
      <c r="BE95" s="443">
        <f t="shared" si="131"/>
        <v>0</v>
      </c>
      <c r="BF95" s="443">
        <f t="shared" si="131"/>
        <v>0</v>
      </c>
      <c r="BG95" s="443">
        <f t="shared" si="131"/>
        <v>0</v>
      </c>
      <c r="BH95" s="443">
        <f t="shared" si="131"/>
        <v>0</v>
      </c>
      <c r="BI95" s="443">
        <f t="shared" si="131"/>
        <v>0</v>
      </c>
      <c r="BJ95" s="443">
        <f t="shared" si="131"/>
        <v>0</v>
      </c>
      <c r="BK95" s="443">
        <f t="shared" si="131"/>
        <v>0</v>
      </c>
      <c r="BL95" s="443">
        <f t="shared" si="131"/>
        <v>0</v>
      </c>
      <c r="BM95" s="443">
        <f t="shared" si="131"/>
        <v>0</v>
      </c>
      <c r="BN95" s="443">
        <f t="shared" si="131"/>
        <v>0</v>
      </c>
      <c r="BO95" s="443">
        <f t="shared" si="131"/>
        <v>0</v>
      </c>
      <c r="BP95" s="443">
        <f t="shared" si="131"/>
        <v>0</v>
      </c>
      <c r="BQ95" s="443">
        <f t="shared" si="131"/>
        <v>0</v>
      </c>
      <c r="BR95" s="443">
        <f t="shared" ref="BR95:CW95" si="132">(BR4=refinance_date)*(perm_proceeds)*(100-perm_fees)*0.01</f>
        <v>0</v>
      </c>
      <c r="BS95" s="443">
        <f t="shared" si="132"/>
        <v>0</v>
      </c>
      <c r="BT95" s="443">
        <f t="shared" si="132"/>
        <v>0</v>
      </c>
      <c r="BU95" s="443">
        <f t="shared" si="132"/>
        <v>0</v>
      </c>
      <c r="BV95" s="443">
        <f t="shared" si="132"/>
        <v>0</v>
      </c>
      <c r="BW95" s="443">
        <f t="shared" si="132"/>
        <v>0</v>
      </c>
      <c r="BX95" s="443">
        <f t="shared" si="132"/>
        <v>0</v>
      </c>
      <c r="BY95" s="443">
        <f t="shared" si="132"/>
        <v>0</v>
      </c>
      <c r="BZ95" s="443">
        <f t="shared" si="132"/>
        <v>0</v>
      </c>
      <c r="CA95" s="443">
        <f t="shared" si="132"/>
        <v>0</v>
      </c>
      <c r="CB95" s="443">
        <f t="shared" si="132"/>
        <v>0</v>
      </c>
      <c r="CC95" s="443">
        <f t="shared" si="132"/>
        <v>0</v>
      </c>
      <c r="CD95" s="443">
        <f t="shared" si="132"/>
        <v>0</v>
      </c>
      <c r="CE95" s="443">
        <f t="shared" si="132"/>
        <v>0</v>
      </c>
      <c r="CF95" s="443">
        <f t="shared" si="132"/>
        <v>0</v>
      </c>
      <c r="CG95" s="443">
        <f t="shared" si="132"/>
        <v>0</v>
      </c>
      <c r="CH95" s="443">
        <f t="shared" si="132"/>
        <v>0</v>
      </c>
      <c r="CI95" s="443">
        <f t="shared" si="132"/>
        <v>0</v>
      </c>
      <c r="CJ95" s="443">
        <f t="shared" si="132"/>
        <v>0</v>
      </c>
      <c r="CK95" s="443">
        <f t="shared" si="132"/>
        <v>0</v>
      </c>
      <c r="CL95" s="443">
        <f t="shared" si="132"/>
        <v>0</v>
      </c>
      <c r="CM95" s="443">
        <f t="shared" si="132"/>
        <v>0</v>
      </c>
      <c r="CN95" s="443">
        <f t="shared" si="132"/>
        <v>0</v>
      </c>
      <c r="CO95" s="443">
        <f t="shared" si="132"/>
        <v>0</v>
      </c>
      <c r="CP95" s="443">
        <f t="shared" si="132"/>
        <v>0</v>
      </c>
      <c r="CQ95" s="443">
        <f t="shared" si="132"/>
        <v>0</v>
      </c>
      <c r="CR95" s="443">
        <f t="shared" si="132"/>
        <v>0</v>
      </c>
      <c r="CS95" s="443">
        <f t="shared" si="132"/>
        <v>0</v>
      </c>
      <c r="CT95" s="443">
        <f t="shared" si="132"/>
        <v>0</v>
      </c>
      <c r="CU95" s="443">
        <f t="shared" si="132"/>
        <v>0</v>
      </c>
      <c r="CV95" s="443">
        <f t="shared" si="132"/>
        <v>0</v>
      </c>
      <c r="CW95" s="443">
        <f t="shared" si="132"/>
        <v>0</v>
      </c>
      <c r="CX95" s="443">
        <f t="shared" ref="CX95:DU95" si="133">(CX4=refinance_date)*(perm_proceeds)*(100-perm_fees)*0.01</f>
        <v>0</v>
      </c>
      <c r="CY95" s="443">
        <f t="shared" si="133"/>
        <v>0</v>
      </c>
      <c r="CZ95" s="443">
        <f t="shared" si="133"/>
        <v>0</v>
      </c>
      <c r="DA95" s="443">
        <f t="shared" si="133"/>
        <v>0</v>
      </c>
      <c r="DB95" s="443">
        <f t="shared" si="133"/>
        <v>0</v>
      </c>
      <c r="DC95" s="443">
        <f t="shared" si="133"/>
        <v>0</v>
      </c>
      <c r="DD95" s="443">
        <f t="shared" si="133"/>
        <v>0</v>
      </c>
      <c r="DE95" s="443">
        <f t="shared" si="133"/>
        <v>0</v>
      </c>
      <c r="DF95" s="443">
        <f t="shared" si="133"/>
        <v>0</v>
      </c>
      <c r="DG95" s="443">
        <f t="shared" si="133"/>
        <v>0</v>
      </c>
      <c r="DH95" s="443">
        <f t="shared" si="133"/>
        <v>0</v>
      </c>
      <c r="DI95" s="443">
        <f t="shared" si="133"/>
        <v>0</v>
      </c>
      <c r="DJ95" s="443">
        <f t="shared" si="133"/>
        <v>0</v>
      </c>
      <c r="DK95" s="443">
        <f t="shared" si="133"/>
        <v>0</v>
      </c>
      <c r="DL95" s="443">
        <f t="shared" si="133"/>
        <v>0</v>
      </c>
      <c r="DM95" s="443">
        <f t="shared" si="133"/>
        <v>0</v>
      </c>
      <c r="DN95" s="443">
        <f t="shared" si="133"/>
        <v>0</v>
      </c>
      <c r="DO95" s="443">
        <f t="shared" si="133"/>
        <v>0</v>
      </c>
      <c r="DP95" s="443">
        <f t="shared" si="133"/>
        <v>0</v>
      </c>
      <c r="DQ95" s="443">
        <f t="shared" si="133"/>
        <v>0</v>
      </c>
      <c r="DR95" s="443">
        <f t="shared" si="133"/>
        <v>0</v>
      </c>
      <c r="DS95" s="443">
        <f t="shared" si="133"/>
        <v>0</v>
      </c>
      <c r="DT95" s="443">
        <f t="shared" si="133"/>
        <v>0</v>
      </c>
      <c r="DU95" s="443">
        <f t="shared" si="133"/>
        <v>0</v>
      </c>
    </row>
    <row r="96" spans="1:125" x14ac:dyDescent="0.25">
      <c r="A96" s="385" t="s">
        <v>516</v>
      </c>
      <c r="D96" s="387"/>
      <c r="F96" s="441">
        <f>IF(AND(F4&gt;refinance_date,F4&lt;=sale_month),IPMT('(Z+) Financing'!$H$18*365.25/360/12,ROUND(DAYS360(refinance_date,F4)/30,0),'(Z+) Financing'!$H$21*12,perm_proceeds),0)</f>
        <v>0</v>
      </c>
      <c r="G96" s="441">
        <f>IF(AND(G4&gt;refinance_date,G4&lt;=sale_month),IPMT('(Z+) Financing'!$H$18*365.25/360/12,ROUND(DAYS360(refinance_date,G4)/30,0),'(Z+) Financing'!$H$21*12,perm_proceeds),0)</f>
        <v>0</v>
      </c>
      <c r="H96" s="441">
        <f>IF(AND(H4&gt;refinance_date,H4&lt;=sale_month),IPMT('(Z+) Financing'!$H$18*365.25/360/12,ROUND(DAYS360(refinance_date,H4)/30,0),'(Z+) Financing'!$H$21*12,perm_proceeds),0)</f>
        <v>0</v>
      </c>
      <c r="I96" s="441">
        <f>IF(AND(I4&gt;refinance_date,I4&lt;=sale_month),IPMT('(Z+) Financing'!$H$18*365.25/360/12,ROUND(DAYS360(refinance_date,I4)/30,0),'(Z+) Financing'!$H$21*12,perm_proceeds),0)</f>
        <v>0</v>
      </c>
      <c r="J96" s="442">
        <f>IF(AND(J4&gt;refinance_date,J4&lt;=sale_month),IPMT('(Z+) Financing'!$H$18*365.25/360/12,ROUND(DAYS360(refinance_date,J4)/30,0),'(Z+) Financing'!$H$21*12,perm_proceeds),0)</f>
        <v>0</v>
      </c>
      <c r="K96" s="442">
        <f>IF(AND(K4&gt;refinance_date,K4&lt;=sale_month),IPMT('(Z+) Financing'!$H$18*365.25/360/12,ROUND(DAYS360(refinance_date,K4)/30,0),'(Z+) Financing'!$H$21*12,perm_proceeds),0)</f>
        <v>0</v>
      </c>
      <c r="L96" s="442">
        <f>IF(AND(L4&gt;refinance_date,L4&lt;=sale_month),IPMT('(Z+) Financing'!$H$18*365.25/360/12,ROUND(DAYS360(refinance_date,L4)/30,0),'(Z+) Financing'!$H$21*12,perm_proceeds),0)</f>
        <v>0</v>
      </c>
      <c r="M96" s="442">
        <f>IF(AND(M4&gt;refinance_date,M4&lt;=sale_month),IPMT('(Z+) Financing'!$H$18*365.25/360/12,ROUND(DAYS360(refinance_date,M4)/30,0),'(Z+) Financing'!$H$21*12,perm_proceeds),0)</f>
        <v>0</v>
      </c>
      <c r="N96" s="442">
        <f>IF(AND(N4&gt;refinance_date,N4&lt;=sale_month),IPMT('(Z+) Financing'!$H$18*365.25/360/12,ROUND(DAYS360(refinance_date,N4)/30,0),'(Z+) Financing'!$H$21*12,perm_proceeds),0)</f>
        <v>0</v>
      </c>
      <c r="O96" s="442">
        <f>IF(AND(O4&gt;refinance_date,O4&lt;=sale_month),IPMT('(Z+) Financing'!$H$18*365.25/360/12,ROUND(DAYS360(refinance_date,O4)/30,0),'(Z+) Financing'!$H$21*12,perm_proceeds),0)</f>
        <v>0</v>
      </c>
      <c r="P96" s="442">
        <f>IF(AND(P4&gt;refinance_date,P4&lt;=sale_month),IPMT('(Z+) Financing'!$H$18*365.25/360/12,ROUND(DAYS360(refinance_date,P4)/30,0),'(Z+) Financing'!$H$21*12,perm_proceeds),0)</f>
        <v>0</v>
      </c>
      <c r="Q96" s="442">
        <f>IF(AND(Q4&gt;refinance_date,Q4&lt;=sale_month),IPMT('(Z+) Financing'!$H$18*365.25/360/12,ROUND(DAYS360(refinance_date,Q4)/30,0),'(Z+) Financing'!$H$21*12,perm_proceeds),0)</f>
        <v>0</v>
      </c>
      <c r="R96" s="442">
        <f>IF(AND(R4&gt;refinance_date,R4&lt;=sale_month),IPMT('(Z+) Financing'!$H$18*365.25/360/12,ROUND(DAYS360(refinance_date,R4)/30,0),'(Z+) Financing'!$H$21*12,perm_proceeds),0)</f>
        <v>0</v>
      </c>
      <c r="S96" s="442">
        <f>IF(AND(S4&gt;refinance_date,S4&lt;=sale_month),IPMT('(Z+) Financing'!$H$18*365.25/360/12,ROUND(DAYS360(refinance_date,S4)/30,0),'(Z+) Financing'!$H$21*12,perm_proceeds),0)</f>
        <v>0</v>
      </c>
      <c r="T96" s="442">
        <f>IF(AND(T4&gt;refinance_date,T4&lt;=sale_month),IPMT('(Z+) Financing'!$H$18*365.25/360/12,ROUND(DAYS360(refinance_date,T4)/30,0),'(Z+) Financing'!$H$21*12,perm_proceeds),0)</f>
        <v>0</v>
      </c>
      <c r="U96" s="443">
        <f>IF(AND(U4&gt;refinance_date,U4&lt;=sale_month),IPMT('(Z+) Financing'!$H$18*365.25/360/12,ROUND(DAYS360(refinance_date,U4)/30,0),'(Z+) Financing'!$H$21*12,perm_proceeds),0)</f>
        <v>0</v>
      </c>
      <c r="V96" s="443">
        <f>IF(AND(V4&gt;refinance_date,V4&lt;=sale_month),IPMT('(Z+) Financing'!$H$18*365.25/360/12,ROUND(DAYS360(refinance_date,V4)/30,0),'(Z+) Financing'!$H$21*12,perm_proceeds),0)</f>
        <v>0</v>
      </c>
      <c r="W96" s="443">
        <f>IF(AND(W4&gt;refinance_date,W4&lt;=sale_month),IPMT('(Z+) Financing'!$H$18*365.25/360/12,ROUND(DAYS360(refinance_date,W4)/30,0),'(Z+) Financing'!$H$21*12,perm_proceeds),0)</f>
        <v>0</v>
      </c>
      <c r="X96" s="443">
        <f>IF(AND(X4&gt;refinance_date,X4&lt;=sale_month),IPMT('(Z+) Financing'!$H$18*365.25/360/12,ROUND(DAYS360(refinance_date,X4)/30,0),'(Z+) Financing'!$H$21*12,perm_proceeds),0)</f>
        <v>0</v>
      </c>
      <c r="Y96" s="443">
        <f>IF(AND(Y4&gt;refinance_date,Y4&lt;=sale_month),IPMT('(Z+) Financing'!$H$18*365.25/360/12,ROUND(DAYS360(refinance_date,Y4)/30,0),'(Z+) Financing'!$H$21*12,perm_proceeds),0)</f>
        <v>0</v>
      </c>
      <c r="Z96" s="443">
        <f>IF(AND(Z4&gt;refinance_date,Z4&lt;=sale_month),IPMT('(Z+) Financing'!$H$18*365.25/360/12,ROUND(DAYS360(refinance_date,Z4)/30,0),'(Z+) Financing'!$H$21*12,perm_proceeds),0)</f>
        <v>0</v>
      </c>
      <c r="AA96" s="443">
        <f>IF(AND(AA4&gt;refinance_date,AA4&lt;=sale_month),IPMT('(Z+) Financing'!$H$18*365.25/360/12,ROUND(DAYS360(refinance_date,AA4)/30,0),'(Z+) Financing'!$H$21*12,perm_proceeds),0)</f>
        <v>0</v>
      </c>
      <c r="AB96" s="443">
        <f>IF(AND(AB4&gt;refinance_date,AB4&lt;=sale_month),IPMT('(Z+) Financing'!$H$18*365.25/360/12,ROUND(DAYS360(refinance_date,AB4)/30,0),'(Z+) Financing'!$H$21*12,perm_proceeds),0)</f>
        <v>0</v>
      </c>
      <c r="AC96" s="443">
        <f>IF(AND(AC4&gt;refinance_date,AC4&lt;=sale_month),IPMT('(Z+) Financing'!$H$18*365.25/360/12,ROUND(DAYS360(refinance_date,AC4)/30,0),'(Z+) Financing'!$H$21*12,perm_proceeds),0)</f>
        <v>0</v>
      </c>
      <c r="AD96" s="443">
        <f>IF(AND(AD4&gt;refinance_date,AD4&lt;=sale_month),IPMT('(Z+) Financing'!$H$18*365.25/360/12,ROUND(DAYS360(refinance_date,AD4)/30,0),'(Z+) Financing'!$H$21*12,perm_proceeds),0)</f>
        <v>0</v>
      </c>
      <c r="AE96" s="443">
        <f>IF(AND(AE4&gt;refinance_date,AE4&lt;=sale_month),IPMT('(Z+) Financing'!$H$18*365.25/360/12,ROUND(DAYS360(refinance_date,AE4)/30,0),'(Z+) Financing'!$H$21*12,perm_proceeds),0)</f>
        <v>0</v>
      </c>
      <c r="AF96" s="443">
        <f>IF(AND(AF4&gt;refinance_date,AF4&lt;=sale_month),IPMT('(Z+) Financing'!$H$18*365.25/360/12,ROUND(DAYS360(refinance_date,AF4)/30,0),'(Z+) Financing'!$H$21*12,perm_proceeds),0)</f>
        <v>0</v>
      </c>
      <c r="AG96" s="443">
        <f>IF(AND(AG4&gt;refinance_date,AG4&lt;=sale_month),IPMT('(Z+) Financing'!$H$18*365.25/360/12,ROUND(DAYS360(refinance_date,AG4)/30,0),'(Z+) Financing'!$H$21*12,perm_proceeds),0)</f>
        <v>0</v>
      </c>
      <c r="AH96" s="443">
        <f>IF(AND(AH4&gt;refinance_date,AH4&lt;=sale_month),IPMT('(Z+) Financing'!$H$18*365.25/360/12,ROUND(DAYS360(refinance_date,AH4)/30,0),'(Z+) Financing'!$H$21*12,perm_proceeds),0)</f>
        <v>0</v>
      </c>
      <c r="AI96" s="443">
        <f>IF(AND(AI4&gt;refinance_date,AI4&lt;=sale_month),IPMT('(Z+) Financing'!$H$18*365.25/360/12,ROUND(DAYS360(refinance_date,AI4)/30,0),'(Z+) Financing'!$H$21*12,perm_proceeds),0)</f>
        <v>0</v>
      </c>
      <c r="AJ96" s="443">
        <f>IF(AND(AJ4&gt;refinance_date,AJ4&lt;=sale_month),IPMT('(Z+) Financing'!$H$18*365.25/360/12,ROUND(DAYS360(refinance_date,AJ4)/30,0),'(Z+) Financing'!$H$21*12,perm_proceeds),0)</f>
        <v>0</v>
      </c>
      <c r="AK96" s="443">
        <f>IF(AND(AK4&gt;refinance_date,AK4&lt;=sale_month),IPMT('(Z+) Financing'!$H$18*365.25/360/12,ROUND(DAYS360(refinance_date,AK4)/30,0),'(Z+) Financing'!$H$21*12,perm_proceeds),0)</f>
        <v>0</v>
      </c>
      <c r="AL96" s="443">
        <f>IF(AND(AL4&gt;refinance_date,AL4&lt;=sale_month),IPMT('(Z+) Financing'!$H$18*365.25/360/12,ROUND(DAYS360(refinance_date,AL4)/30,0),'(Z+) Financing'!$H$21*12,perm_proceeds),0)</f>
        <v>0</v>
      </c>
      <c r="AM96" s="443">
        <f>IF(AND(AM4&gt;refinance_date,AM4&lt;=sale_month),IPMT('(Z+) Financing'!$H$18*365.25/360/12,ROUND(DAYS360(refinance_date,AM4)/30,0),'(Z+) Financing'!$H$21*12,perm_proceeds),0)</f>
        <v>-234044.50607638891</v>
      </c>
      <c r="AN96" s="443">
        <f>IF(AND(AN4&gt;refinance_date,AN4&lt;=sale_month),IPMT('(Z+) Financing'!$H$18*365.25/360/12,ROUND(DAYS360(refinance_date,AN4)/30,0),'(Z+) Financing'!$H$21*12,perm_proceeds),0)</f>
        <v>-233873.83727064315</v>
      </c>
      <c r="AO96" s="443">
        <f>IF(AND(AO4&gt;refinance_date,AO4&lt;=sale_month),IPMT('(Z+) Financing'!$H$18*365.25/360/12,ROUND(DAYS360(refinance_date,AO4)/30,0),'(Z+) Financing'!$H$21*12,perm_proceeds),0)</f>
        <v>-233702.33875079444</v>
      </c>
      <c r="AP96" s="443">
        <f>IF(AND(AP4&gt;refinance_date,AP4&lt;=sale_month),IPMT('(Z+) Financing'!$H$18*365.25/360/12,ROUND(DAYS360(refinance_date,AP4)/30,0),'(Z+) Financing'!$H$21*12,perm_proceeds),0)</f>
        <v>-233530.00648315024</v>
      </c>
      <c r="AQ96" s="443">
        <f>IF(AND(AQ4&gt;refinance_date,AQ4&lt;=sale_month),IPMT('(Z+) Financing'!$H$18*365.25/360/12,ROUND(DAYS360(refinance_date,AQ4)/30,0),'(Z+) Financing'!$H$21*12,perm_proceeds),0)</f>
        <v>-233356.83641440797</v>
      </c>
      <c r="AR96" s="443">
        <f>IF(AND(AR4&gt;refinance_date,AR4&lt;=sale_month),IPMT('(Z+) Financing'!$H$18*365.25/360/12,ROUND(DAYS360(refinance_date,AR4)/30,0),'(Z+) Financing'!$H$21*12,perm_proceeds),0)</f>
        <v>-233182.82447155978</v>
      </c>
      <c r="AS96" s="443">
        <f>IF(AND(AS4&gt;refinance_date,AS4&lt;=sale_month),IPMT('(Z+) Financing'!$H$18*365.25/360/12,ROUND(DAYS360(refinance_date,AS4)/30,0),'(Z+) Financing'!$H$21*12,perm_proceeds),0)</f>
        <v>-233007.96656179681</v>
      </c>
      <c r="AT96" s="443">
        <f>IF(AND(AT4&gt;refinance_date,AT4&lt;=sale_month),IPMT('(Z+) Financing'!$H$18*365.25/360/12,ROUND(DAYS360(refinance_date,AT4)/30,0),'(Z+) Financing'!$H$21*12,perm_proceeds),0)</f>
        <v>-232832.2585724126</v>
      </c>
      <c r="AU96" s="443">
        <f>IF(AND(AU4&gt;refinance_date,AU4&lt;=sale_month),IPMT('(Z+) Financing'!$H$18*365.25/360/12,ROUND(DAYS360(refinance_date,AU4)/30,0),'(Z+) Financing'!$H$21*12,perm_proceeds),0)</f>
        <v>-232655.69637070675</v>
      </c>
      <c r="AV96" s="443">
        <f>IF(AND(AV4&gt;refinance_date,AV4&lt;=sale_month),IPMT('(Z+) Financing'!$H$18*365.25/360/12,ROUND(DAYS360(refinance_date,AV4)/30,0),'(Z+) Financing'!$H$21*12,perm_proceeds),0)</f>
        <v>-232478.27580388743</v>
      </c>
      <c r="AW96" s="443">
        <f>IF(AND(AW4&gt;refinance_date,AW4&lt;=sale_month),IPMT('(Z+) Financing'!$H$18*365.25/360/12,ROUND(DAYS360(refinance_date,AW4)/30,0),'(Z+) Financing'!$H$21*12,perm_proceeds),0)</f>
        <v>-232299.99269897401</v>
      </c>
      <c r="AX96" s="443">
        <f>IF(AND(AX4&gt;refinance_date,AX4&lt;=sale_month),IPMT('(Z+) Financing'!$H$18*365.25/360/12,ROUND(DAYS360(refinance_date,AX4)/30,0),'(Z+) Financing'!$H$21*12,perm_proceeds),0)</f>
        <v>-232120.84286269851</v>
      </c>
      <c r="AY96" s="443">
        <f>IF(AND(AY4&gt;refinance_date,AY4&lt;=sale_month),IPMT('(Z+) Financing'!$H$18*365.25/360/12,ROUND(DAYS360(refinance_date,AY4)/30,0),'(Z+) Financing'!$H$21*12,perm_proceeds),0)</f>
        <v>-231940.82208140739</v>
      </c>
      <c r="AZ96" s="443">
        <f>IF(AND(AZ4&gt;refinance_date,AZ4&lt;=sale_month),IPMT('(Z+) Financing'!$H$18*365.25/360/12,ROUND(DAYS360(refinance_date,AZ4)/30,0),'(Z+) Financing'!$H$21*12,perm_proceeds),0)</f>
        <v>-231759.92612096202</v>
      </c>
      <c r="BA96" s="443">
        <f>IF(AND(BA4&gt;refinance_date,BA4&lt;=sale_month),IPMT('(Z+) Financing'!$H$18*365.25/360/12,ROUND(DAYS360(refinance_date,BA4)/30,0),'(Z+) Financing'!$H$21*12,perm_proceeds),0)</f>
        <v>-231578.15072663955</v>
      </c>
      <c r="BB96" s="443">
        <f>IF(AND(BB4&gt;refinance_date,BB4&lt;=sale_month),IPMT('(Z+) Financing'!$H$18*365.25/360/12,ROUND(DAYS360(refinance_date,BB4)/30,0),'(Z+) Financing'!$H$21*12,perm_proceeds),0)</f>
        <v>-231395.49162303237</v>
      </c>
      <c r="BC96" s="443">
        <f>IF(AND(BC4&gt;refinance_date,BC4&lt;=sale_month),IPMT('(Z+) Financing'!$H$18*365.25/360/12,ROUND(DAYS360(refinance_date,BC4)/30,0),'(Z+) Financing'!$H$21*12,perm_proceeds),0)</f>
        <v>-231211.94451394802</v>
      </c>
      <c r="BD96" s="443">
        <f>IF(AND(BD4&gt;refinance_date,BD4&lt;=sale_month),IPMT('(Z+) Financing'!$H$18*365.25/360/12,ROUND(DAYS360(refinance_date,BD4)/30,0),'(Z+) Financing'!$H$21*12,perm_proceeds),0)</f>
        <v>-231027.50508230779</v>
      </c>
      <c r="BE96" s="443">
        <f>IF(AND(BE4&gt;refinance_date,BE4&lt;=sale_month),IPMT('(Z+) Financing'!$H$18*365.25/360/12,ROUND(DAYS360(refinance_date,BE4)/30,0),'(Z+) Financing'!$H$21*12,perm_proceeds),0)</f>
        <v>-230842.1689900452</v>
      </c>
      <c r="BF96" s="443">
        <f>IF(AND(BF4&gt;refinance_date,BF4&lt;=sale_month),IPMT('(Z+) Financing'!$H$18*365.25/360/12,ROUND(DAYS360(refinance_date,BF4)/30,0),'(Z+) Financing'!$H$21*12,perm_proceeds),0)</f>
        <v>-230655.93187800422</v>
      </c>
      <c r="BG96" s="443">
        <f>IF(AND(BG4&gt;refinance_date,BG4&lt;=sale_month),IPMT('(Z+) Financing'!$H$18*365.25/360/12,ROUND(DAYS360(refinance_date,BG4)/30,0),'(Z+) Financing'!$H$21*12,perm_proceeds),0)</f>
        <v>-230468.78936583651</v>
      </c>
      <c r="BH96" s="443">
        <f>IF(AND(BH4&gt;refinance_date,BH4&lt;=sale_month),IPMT('(Z+) Financing'!$H$18*365.25/360/12,ROUND(DAYS360(refinance_date,BH4)/30,0),'(Z+) Financing'!$H$21*12,perm_proceeds),0)</f>
        <v>-230280.7370518985</v>
      </c>
      <c r="BI96" s="443">
        <f>IF(AND(BI4&gt;refinance_date,BI4&lt;=sale_month),IPMT('(Z+) Financing'!$H$18*365.25/360/12,ROUND(DAYS360(refinance_date,BI4)/30,0),'(Z+) Financing'!$H$21*12,perm_proceeds),0)</f>
        <v>-230091.77051314779</v>
      </c>
      <c r="BJ96" s="443">
        <f>IF(AND(BJ4&gt;refinance_date,BJ4&lt;=sale_month),IPMT('(Z+) Financing'!$H$18*365.25/360/12,ROUND(DAYS360(refinance_date,BJ4)/30,0),'(Z+) Financing'!$H$21*12,perm_proceeds),0)</f>
        <v>-229901.88530503924</v>
      </c>
      <c r="BK96" s="443">
        <f>IF(AND(BK4&gt;refinance_date,BK4&lt;=sale_month),IPMT('(Z+) Financing'!$H$18*365.25/360/12,ROUND(DAYS360(refinance_date,BK4)/30,0),'(Z+) Financing'!$H$21*12,perm_proceeds),0)</f>
        <v>-229711.07696142024</v>
      </c>
      <c r="BL96" s="443">
        <f>IF(AND(BL4&gt;refinance_date,BL4&lt;=sale_month),IPMT('(Z+) Financing'!$H$18*365.25/360/12,ROUND(DAYS360(refinance_date,BL4)/30,0),'(Z+) Financing'!$H$21*12,perm_proceeds),0)</f>
        <v>-229519.34099442587</v>
      </c>
      <c r="BM96" s="443">
        <f>IF(AND(BM4&gt;refinance_date,BM4&lt;=sale_month),IPMT('(Z+) Financing'!$H$18*365.25/360/12,ROUND(DAYS360(refinance_date,BM4)/30,0),'(Z+) Financing'!$H$21*12,perm_proceeds),0)</f>
        <v>-229326.67289437322</v>
      </c>
      <c r="BN96" s="443">
        <f>IF(AND(BN4&gt;refinance_date,BN4&lt;=sale_month),IPMT('(Z+) Financing'!$H$18*365.25/360/12,ROUND(DAYS360(refinance_date,BN4)/30,0),'(Z+) Financing'!$H$21*12,perm_proceeds),0)</f>
        <v>-229133.06812965526</v>
      </c>
      <c r="BO96" s="443">
        <f>IF(AND(BO4&gt;refinance_date,BO4&lt;=sale_month),IPMT('(Z+) Financing'!$H$18*365.25/360/12,ROUND(DAYS360(refinance_date,BO4)/30,0),'(Z+) Financing'!$H$21*12,perm_proceeds),0)</f>
        <v>-228938.52214663461</v>
      </c>
      <c r="BP96" s="443">
        <f>IF(AND(BP4&gt;refinance_date,BP4&lt;=sale_month),IPMT('(Z+) Financing'!$H$18*365.25/360/12,ROUND(DAYS360(refinance_date,BP4)/30,0),'(Z+) Financing'!$H$21*12,perm_proceeds),0)</f>
        <v>-228743.03036953587</v>
      </c>
      <c r="BQ96" s="443">
        <f>IF(AND(BQ4&gt;refinance_date,BQ4&lt;=sale_month),IPMT('(Z+) Financing'!$H$18*365.25/360/12,ROUND(DAYS360(refinance_date,BQ4)/30,0),'(Z+) Financing'!$H$21*12,perm_proceeds),0)</f>
        <v>-228546.5882003385</v>
      </c>
      <c r="BR96" s="443">
        <f>IF(AND(BR4&gt;refinance_date,BR4&lt;=sale_month),IPMT('(Z+) Financing'!$H$18*365.25/360/12,ROUND(DAYS360(refinance_date,BR4)/30,0),'(Z+) Financing'!$H$21*12,perm_proceeds),0)</f>
        <v>-228349.19101866838</v>
      </c>
      <c r="BS96" s="443">
        <f>IF(AND(BS4&gt;refinance_date,BS4&lt;=sale_month),IPMT('(Z+) Financing'!$H$18*365.25/360/12,ROUND(DAYS360(refinance_date,BS4)/30,0),'(Z+) Financing'!$H$21*12,perm_proceeds),0)</f>
        <v>-228150.83418168928</v>
      </c>
      <c r="BT96" s="443">
        <f>IF(AND(BT4&gt;refinance_date,BT4&lt;=sale_month),IPMT('(Z+) Financing'!$H$18*365.25/360/12,ROUND(DAYS360(refinance_date,BT4)/30,0),'(Z+) Financing'!$H$21*12,perm_proceeds),0)</f>
        <v>-227951.51302399367</v>
      </c>
      <c r="BU96" s="443">
        <f>IF(AND(BU4&gt;refinance_date,BU4&lt;=sale_month),IPMT('(Z+) Financing'!$H$18*365.25/360/12,ROUND(DAYS360(refinance_date,BU4)/30,0),'(Z+) Financing'!$H$21*12,perm_proceeds),0)</f>
        <v>-227751.22285749271</v>
      </c>
      <c r="BV96" s="443">
        <f>IF(AND(BV4&gt;refinance_date,BV4&lt;=sale_month),IPMT('(Z+) Financing'!$H$18*365.25/360/12,ROUND(DAYS360(refinance_date,BV4)/30,0),'(Z+) Financing'!$H$21*12,perm_proceeds),0)</f>
        <v>-227549.95897130648</v>
      </c>
      <c r="BW96" s="443">
        <f>IF(AND(BW4&gt;refinance_date,BW4&lt;=sale_month),IPMT('(Z+) Financing'!$H$18*365.25/360/12,ROUND(DAYS360(refinance_date,BW4)/30,0),'(Z+) Financing'!$H$21*12,perm_proceeds),0)</f>
        <v>-227347.7166316527</v>
      </c>
      <c r="BX96" s="443">
        <f>IF(AND(BX4&gt;refinance_date,BX4&lt;=sale_month),IPMT('(Z+) Financing'!$H$18*365.25/360/12,ROUND(DAYS360(refinance_date,BX4)/30,0),'(Z+) Financing'!$H$21*12,perm_proceeds),0)</f>
        <v>-227144.49108173567</v>
      </c>
      <c r="BY96" s="443">
        <f>IF(AND(BY4&gt;refinance_date,BY4&lt;=sale_month),IPMT('(Z+) Financing'!$H$18*365.25/360/12,ROUND(DAYS360(refinance_date,BY4)/30,0),'(Z+) Financing'!$H$21*12,perm_proceeds),0)</f>
        <v>-226940.27754163434</v>
      </c>
      <c r="BZ96" s="443">
        <f>IF(AND(BZ4&gt;refinance_date,BZ4&lt;=sale_month),IPMT('(Z+) Financing'!$H$18*365.25/360/12,ROUND(DAYS360(refinance_date,BZ4)/30,0),'(Z+) Financing'!$H$21*12,perm_proceeds),0)</f>
        <v>-226735.07120818988</v>
      </c>
      <c r="CA96" s="443">
        <f>IF(AND(CA4&gt;refinance_date,CA4&lt;=sale_month),IPMT('(Z+) Financing'!$H$18*365.25/360/12,ROUND(DAYS360(refinance_date,CA4)/30,0),'(Z+) Financing'!$H$21*12,perm_proceeds),0)</f>
        <v>-226528.86725489257</v>
      </c>
      <c r="CB96" s="443">
        <f>IF(AND(CB4&gt;refinance_date,CB4&lt;=sale_month),IPMT('(Z+) Financing'!$H$18*365.25/360/12,ROUND(DAYS360(refinance_date,CB4)/30,0),'(Z+) Financing'!$H$21*12,perm_proceeds),0)</f>
        <v>-226321.6608317685</v>
      </c>
      <c r="CC96" s="443">
        <f>IF(AND(CC4&gt;refinance_date,CC4&lt;=sale_month),IPMT('(Z+) Financing'!$H$18*365.25/360/12,ROUND(DAYS360(refinance_date,CC4)/30,0),'(Z+) Financing'!$H$21*12,perm_proceeds),0)</f>
        <v>-226113.44706526535</v>
      </c>
      <c r="CD96" s="443">
        <f>IF(AND(CD4&gt;refinance_date,CD4&lt;=sale_month),IPMT('(Z+) Financing'!$H$18*365.25/360/12,ROUND(DAYS360(refinance_date,CD4)/30,0),'(Z+) Financing'!$H$21*12,perm_proceeds),0)</f>
        <v>-225904.2210581378</v>
      </c>
      <c r="CE96" s="443">
        <f>IF(AND(CE4&gt;refinance_date,CE4&lt;=sale_month),IPMT('(Z+) Financing'!$H$18*365.25/360/12,ROUND(DAYS360(refinance_date,CE4)/30,0),'(Z+) Financing'!$H$21*12,perm_proceeds),0)</f>
        <v>-225693.97788933237</v>
      </c>
      <c r="CF96" s="443">
        <f>IF(AND(CF4&gt;refinance_date,CF4&lt;=sale_month),IPMT('(Z+) Financing'!$H$18*365.25/360/12,ROUND(DAYS360(refinance_date,CF4)/30,0),'(Z+) Financing'!$H$21*12,perm_proceeds),0)</f>
        <v>-225482.71261387164</v>
      </c>
      <c r="CG96" s="443">
        <f>IF(AND(CG4&gt;refinance_date,CG4&lt;=sale_month),IPMT('(Z+) Financing'!$H$18*365.25/360/12,ROUND(DAYS360(refinance_date,CG4)/30,0),'(Z+) Financing'!$H$21*12,perm_proceeds),0)</f>
        <v>-225270.42026273799</v>
      </c>
      <c r="CH96" s="443">
        <f>IF(AND(CH4&gt;refinance_date,CH4&lt;=sale_month),IPMT('(Z+) Financing'!$H$18*365.25/360/12,ROUND(DAYS360(refinance_date,CH4)/30,0),'(Z+) Financing'!$H$21*12,perm_proceeds),0)</f>
        <v>-225057.09584275665</v>
      </c>
      <c r="CI96" s="443">
        <f>IF(AND(CI4&gt;refinance_date,CI4&lt;=sale_month),IPMT('(Z+) Financing'!$H$18*365.25/360/12,ROUND(DAYS360(refinance_date,CI4)/30,0),'(Z+) Financing'!$H$21*12,perm_proceeds),0)</f>
        <v>-224842.73433647837</v>
      </c>
      <c r="CJ96" s="443">
        <f>IF(AND(CJ4&gt;refinance_date,CJ4&lt;=sale_month),IPMT('(Z+) Financing'!$H$18*365.25/360/12,ROUND(DAYS360(refinance_date,CJ4)/30,0),'(Z+) Financing'!$H$21*12,perm_proceeds),0)</f>
        <v>-224627.33070206127</v>
      </c>
      <c r="CK96" s="443">
        <f>IF(AND(CK4&gt;refinance_date,CK4&lt;=sale_month),IPMT('(Z+) Financing'!$H$18*365.25/360/12,ROUND(DAYS360(refinance_date,CK4)/30,0),'(Z+) Financing'!$H$21*12,perm_proceeds),0)</f>
        <v>-224410.87987315236</v>
      </c>
      <c r="CL96" s="443">
        <f>IF(AND(CL4&gt;refinance_date,CL4&lt;=sale_month),IPMT('(Z+) Financing'!$H$18*365.25/360/12,ROUND(DAYS360(refinance_date,CL4)/30,0),'(Z+) Financing'!$H$21*12,perm_proceeds),0)</f>
        <v>-224193.37675876834</v>
      </c>
      <c r="CM96" s="443">
        <f>IF(AND(CM4&gt;refinance_date,CM4&lt;=sale_month),IPMT('(Z+) Financing'!$H$18*365.25/360/12,ROUND(DAYS360(refinance_date,CM4)/30,0),'(Z+) Financing'!$H$21*12,perm_proceeds),0)</f>
        <v>-223974.81624317591</v>
      </c>
      <c r="CN96" s="443">
        <f>IF(AND(CN4&gt;refinance_date,CN4&lt;=sale_month),IPMT('(Z+) Financing'!$H$18*365.25/360/12,ROUND(DAYS360(refinance_date,CN4)/30,0),'(Z+) Financing'!$H$21*12,perm_proceeds),0)</f>
        <v>-223755.19318577135</v>
      </c>
      <c r="CO96" s="443">
        <f>IF(AND(CO4&gt;refinance_date,CO4&lt;=sale_month),IPMT('(Z+) Financing'!$H$18*365.25/360/12,ROUND(DAYS360(refinance_date,CO4)/30,0),'(Z+) Financing'!$H$21*12,perm_proceeds),0)</f>
        <v>-223534.5024209597</v>
      </c>
      <c r="CP96" s="443">
        <f>IF(AND(CP4&gt;refinance_date,CP4&lt;=sale_month),IPMT('(Z+) Financing'!$H$18*365.25/360/12,ROUND(DAYS360(refinance_date,CP4)/30,0),'(Z+) Financing'!$H$21*12,perm_proceeds),0)</f>
        <v>0</v>
      </c>
      <c r="CQ96" s="443">
        <f>IF(AND(CQ4&gt;refinance_date,CQ4&lt;=sale_month),IPMT('(Z+) Financing'!$H$18*365.25/360/12,ROUND(DAYS360(refinance_date,CQ4)/30,0),'(Z+) Financing'!$H$21*12,perm_proceeds),0)</f>
        <v>0</v>
      </c>
      <c r="CR96" s="443">
        <f>IF(AND(CR4&gt;refinance_date,CR4&lt;=sale_month),IPMT('(Z+) Financing'!$H$18*365.25/360/12,ROUND(DAYS360(refinance_date,CR4)/30,0),'(Z+) Financing'!$H$21*12,perm_proceeds),0)</f>
        <v>0</v>
      </c>
      <c r="CS96" s="443">
        <f>IF(AND(CS4&gt;refinance_date,CS4&lt;=sale_month),IPMT('(Z+) Financing'!$H$18*365.25/360/12,ROUND(DAYS360(refinance_date,CS4)/30,0),'(Z+) Financing'!$H$21*12,perm_proceeds),0)</f>
        <v>0</v>
      </c>
      <c r="CT96" s="443">
        <f>IF(AND(CT4&gt;refinance_date,CT4&lt;=sale_month),IPMT('(Z+) Financing'!$H$18*365.25/360/12,ROUND(DAYS360(refinance_date,CT4)/30,0),'(Z+) Financing'!$H$21*12,perm_proceeds),0)</f>
        <v>0</v>
      </c>
      <c r="CU96" s="443">
        <f>IF(AND(CU4&gt;refinance_date,CU4&lt;=sale_month),IPMT('(Z+) Financing'!$H$18*365.25/360/12,ROUND(DAYS360(refinance_date,CU4)/30,0),'(Z+) Financing'!$H$21*12,perm_proceeds),0)</f>
        <v>0</v>
      </c>
      <c r="CV96" s="443">
        <f>IF(AND(CV4&gt;refinance_date,CV4&lt;=sale_month),IPMT('(Z+) Financing'!$H$18*365.25/360/12,ROUND(DAYS360(refinance_date,CV4)/30,0),'(Z+) Financing'!$H$21*12,perm_proceeds),0)</f>
        <v>0</v>
      </c>
      <c r="CW96" s="443">
        <f>IF(AND(CW4&gt;refinance_date,CW4&lt;=sale_month),IPMT('(Z+) Financing'!$H$18*365.25/360/12,ROUND(DAYS360(refinance_date,CW4)/30,0),'(Z+) Financing'!$H$21*12,perm_proceeds),0)</f>
        <v>0</v>
      </c>
      <c r="CX96" s="443">
        <f>IF(AND(CX4&gt;refinance_date,CX4&lt;=sale_month),IPMT('(Z+) Financing'!$H$18*365.25/360/12,ROUND(DAYS360(refinance_date,CX4)/30,0),'(Z+) Financing'!$H$21*12,perm_proceeds),0)</f>
        <v>0</v>
      </c>
      <c r="CY96" s="443">
        <f>IF(AND(CY4&gt;refinance_date,CY4&lt;=sale_month),IPMT('(Z+) Financing'!$H$18*365.25/360/12,ROUND(DAYS360(refinance_date,CY4)/30,0),'(Z+) Financing'!$H$21*12,perm_proceeds),0)</f>
        <v>0</v>
      </c>
      <c r="CZ96" s="443">
        <f>IF(AND(CZ4&gt;refinance_date,CZ4&lt;=sale_month),IPMT('(Z+) Financing'!$H$18*365.25/360/12,ROUND(DAYS360(refinance_date,CZ4)/30,0),'(Z+) Financing'!$H$21*12,perm_proceeds),0)</f>
        <v>0</v>
      </c>
      <c r="DA96" s="443">
        <f>IF(AND(DA4&gt;refinance_date,DA4&lt;=sale_month),IPMT('(Z+) Financing'!$H$18*365.25/360/12,ROUND(DAYS360(refinance_date,DA4)/30,0),'(Z+) Financing'!$H$21*12,perm_proceeds),0)</f>
        <v>0</v>
      </c>
      <c r="DB96" s="443">
        <f>IF(AND(DB4&gt;refinance_date,DB4&lt;=sale_month),IPMT('(Z+) Financing'!$H$18*365.25/360/12,ROUND(DAYS360(refinance_date,DB4)/30,0),'(Z+) Financing'!$H$21*12,perm_proceeds),0)</f>
        <v>0</v>
      </c>
      <c r="DC96" s="443">
        <f>IF(AND(DC4&gt;refinance_date,DC4&lt;=sale_month),IPMT('(Z+) Financing'!$H$18*365.25/360/12,ROUND(DAYS360(refinance_date,DC4)/30,0),'(Z+) Financing'!$H$21*12,perm_proceeds),0)</f>
        <v>0</v>
      </c>
      <c r="DD96" s="443">
        <f>IF(AND(DD4&gt;refinance_date,DD4&lt;=sale_month),IPMT('(Z+) Financing'!$H$18*365.25/360/12,ROUND(DAYS360(refinance_date,DD4)/30,0),'(Z+) Financing'!$H$21*12,perm_proceeds),0)</f>
        <v>0</v>
      </c>
      <c r="DE96" s="443">
        <f>IF(AND(DE4&gt;refinance_date,DE4&lt;=sale_month),IPMT('(Z+) Financing'!$H$18*365.25/360/12,ROUND(DAYS360(refinance_date,DE4)/30,0),'(Z+) Financing'!$H$21*12,perm_proceeds),0)</f>
        <v>0</v>
      </c>
      <c r="DF96" s="443">
        <f>IF(AND(DF4&gt;refinance_date,DF4&lt;=sale_month),IPMT('(Z+) Financing'!$H$18*365.25/360/12,ROUND(DAYS360(refinance_date,DF4)/30,0),'(Z+) Financing'!$H$21*12,perm_proceeds),0)</f>
        <v>0</v>
      </c>
      <c r="DG96" s="443">
        <f>IF(AND(DG4&gt;refinance_date,DG4&lt;=sale_month),IPMT('(Z+) Financing'!$H$18*365.25/360/12,ROUND(DAYS360(refinance_date,DG4)/30,0),'(Z+) Financing'!$H$21*12,perm_proceeds),0)</f>
        <v>0</v>
      </c>
      <c r="DH96" s="443">
        <f>IF(AND(DH4&gt;refinance_date,DH4&lt;=sale_month),IPMT('(Z+) Financing'!$H$18*365.25/360/12,ROUND(DAYS360(refinance_date,DH4)/30,0),'(Z+) Financing'!$H$21*12,perm_proceeds),0)</f>
        <v>0</v>
      </c>
      <c r="DI96" s="443">
        <f>IF(AND(DI4&gt;refinance_date,DI4&lt;=sale_month),IPMT('(Z+) Financing'!$H$18*365.25/360/12,ROUND(DAYS360(refinance_date,DI4)/30,0),'(Z+) Financing'!$H$21*12,perm_proceeds),0)</f>
        <v>0</v>
      </c>
      <c r="DJ96" s="443">
        <f>IF(AND(DJ4&gt;refinance_date,DJ4&lt;=sale_month),IPMT('(Z+) Financing'!$H$18*365.25/360/12,ROUND(DAYS360(refinance_date,DJ4)/30,0),'(Z+) Financing'!$H$21*12,perm_proceeds),0)</f>
        <v>0</v>
      </c>
      <c r="DK96" s="443">
        <f>IF(AND(DK4&gt;refinance_date,DK4&lt;=sale_month),IPMT('(Z+) Financing'!$H$18*365.25/360/12,ROUND(DAYS360(refinance_date,DK4)/30,0),'(Z+) Financing'!$H$21*12,perm_proceeds),0)</f>
        <v>0</v>
      </c>
      <c r="DL96" s="443">
        <f>IF(AND(DL4&gt;refinance_date,DL4&lt;=sale_month),IPMT('(Z+) Financing'!$H$18*365.25/360/12,ROUND(DAYS360(refinance_date,DL4)/30,0),'(Z+) Financing'!$H$21*12,perm_proceeds),0)</f>
        <v>0</v>
      </c>
      <c r="DM96" s="443">
        <f>IF(AND(DM4&gt;refinance_date,DM4&lt;=sale_month),IPMT('(Z+) Financing'!$H$18*365.25/360/12,ROUND(DAYS360(refinance_date,DM4)/30,0),'(Z+) Financing'!$H$21*12,perm_proceeds),0)</f>
        <v>0</v>
      </c>
      <c r="DN96" s="443">
        <f>IF(AND(DN4&gt;refinance_date,DN4&lt;=sale_month),IPMT('(Z+) Financing'!$H$18*365.25/360/12,ROUND(DAYS360(refinance_date,DN4)/30,0),'(Z+) Financing'!$H$21*12,perm_proceeds),0)</f>
        <v>0</v>
      </c>
      <c r="DO96" s="443">
        <f>IF(AND(DO4&gt;refinance_date,DO4&lt;=sale_month),IPMT('(Z+) Financing'!$H$18*365.25/360/12,ROUND(DAYS360(refinance_date,DO4)/30,0),'(Z+) Financing'!$H$21*12,perm_proceeds),0)</f>
        <v>0</v>
      </c>
      <c r="DP96" s="443">
        <f>IF(AND(DP4&gt;refinance_date,DP4&lt;=sale_month),IPMT('(Z+) Financing'!$H$18*365.25/360/12,ROUND(DAYS360(refinance_date,DP4)/30,0),'(Z+) Financing'!$H$21*12,perm_proceeds),0)</f>
        <v>0</v>
      </c>
      <c r="DQ96" s="443">
        <f>IF(AND(DQ4&gt;refinance_date,DQ4&lt;=sale_month),IPMT('(Z+) Financing'!$H$18*365.25/360/12,ROUND(DAYS360(refinance_date,DQ4)/30,0),'(Z+) Financing'!$H$21*12,perm_proceeds),0)</f>
        <v>0</v>
      </c>
      <c r="DR96" s="443">
        <f>IF(AND(DR4&gt;refinance_date,DR4&lt;=sale_month),IPMT('(Z+) Financing'!$H$18*365.25/360/12,ROUND(DAYS360(refinance_date,DR4)/30,0),'(Z+) Financing'!$H$21*12,perm_proceeds),0)</f>
        <v>0</v>
      </c>
      <c r="DS96" s="443">
        <f>IF(AND(DS4&gt;refinance_date,DS4&lt;=sale_month),IPMT('(Z+) Financing'!$H$18*365.25/360/12,ROUND(DAYS360(refinance_date,DS4)/30,0),'(Z+) Financing'!$H$21*12,perm_proceeds),0)</f>
        <v>0</v>
      </c>
      <c r="DT96" s="443">
        <f>IF(AND(DT4&gt;refinance_date,DT4&lt;=sale_month),IPMT('(Z+) Financing'!$H$18*365.25/360/12,ROUND(DAYS360(refinance_date,DT4)/30,0),'(Z+) Financing'!$H$21*12,perm_proceeds),0)</f>
        <v>0</v>
      </c>
      <c r="DU96" s="443">
        <f>IF(AND(DU4&gt;refinance_date,DU4&lt;=sale_month),IPMT('(Z+) Financing'!$H$18*365.25/360/12,ROUND(DAYS360(refinance_date,DU4)/30,0),'(Z+) Financing'!$H$21*12,perm_proceeds),0)</f>
        <v>0</v>
      </c>
    </row>
    <row r="97" spans="1:125" x14ac:dyDescent="0.25">
      <c r="A97" s="385" t="s">
        <v>532</v>
      </c>
      <c r="D97" s="387"/>
      <c r="F97" s="441">
        <f>IF(AND(F4&gt;refinance_date,F4&lt;=sale_month),PMT('(Z+) Financing'!$H$18*365.25/360/12,'(Z+) Financing'!$H$21*12,perm_proceeds),0)-F96</f>
        <v>0</v>
      </c>
      <c r="G97" s="441">
        <f>IF(AND(G4&gt;refinance_date,G4&lt;=sale_month),PMT('(Z+) Financing'!$H$18*365.25/360/12,'(Z+) Financing'!$H$21*12,perm_proceeds),0)-G96</f>
        <v>0</v>
      </c>
      <c r="H97" s="441">
        <f>IF(AND(H4&gt;refinance_date,H4&lt;=sale_month),PMT('(Z+) Financing'!$H$18*365.25/360/12,'(Z+) Financing'!$H$21*12,perm_proceeds),0)-H96</f>
        <v>0</v>
      </c>
      <c r="I97" s="441">
        <f>IF(AND(I4&gt;refinance_date,I4&lt;=sale_month),PMT('(Z+) Financing'!$H$18*365.25/360/12,'(Z+) Financing'!$H$21*12,perm_proceeds),0)-I96</f>
        <v>0</v>
      </c>
      <c r="J97" s="442">
        <f>IF(AND(J4&gt;refinance_date,J4&lt;=sale_month),PMT('(Z+) Financing'!$H$18*365.25/360/12,'(Z+) Financing'!$H$21*12,perm_proceeds),0)-J96</f>
        <v>0</v>
      </c>
      <c r="K97" s="442">
        <f>IF(AND(K4&gt;refinance_date,K4&lt;=sale_month),PMT('(Z+) Financing'!$H$18*365.25/360/12,'(Z+) Financing'!$H$21*12,perm_proceeds),0)-K96</f>
        <v>0</v>
      </c>
      <c r="L97" s="442">
        <f>IF(AND(L4&gt;refinance_date,L4&lt;=sale_month),PMT('(Z+) Financing'!$H$18*365.25/360/12,'(Z+) Financing'!$H$21*12,perm_proceeds),0)-L96</f>
        <v>0</v>
      </c>
      <c r="M97" s="442">
        <f>IF(AND(M4&gt;refinance_date,M4&lt;=sale_month),PMT('(Z+) Financing'!$H$18*365.25/360/12,'(Z+) Financing'!$H$21*12,perm_proceeds),0)-M96</f>
        <v>0</v>
      </c>
      <c r="N97" s="442">
        <f>IF(AND(N4&gt;refinance_date,N4&lt;=sale_month),PMT('(Z+) Financing'!$H$18*365.25/360/12,'(Z+) Financing'!$H$21*12,perm_proceeds),0)-N96</f>
        <v>0</v>
      </c>
      <c r="O97" s="442">
        <f>IF(AND(O4&gt;refinance_date,O4&lt;=sale_month),PMT('(Z+) Financing'!$H$18*365.25/360/12,'(Z+) Financing'!$H$21*12,perm_proceeds),0)-O96</f>
        <v>0</v>
      </c>
      <c r="P97" s="442">
        <f>IF(AND(P4&gt;refinance_date,P4&lt;=sale_month),PMT('(Z+) Financing'!$H$18*365.25/360/12,'(Z+) Financing'!$H$21*12,perm_proceeds),0)-P96</f>
        <v>0</v>
      </c>
      <c r="Q97" s="442">
        <f>IF(AND(Q4&gt;refinance_date,Q4&lt;=sale_month),PMT('(Z+) Financing'!$H$18*365.25/360/12,'(Z+) Financing'!$H$21*12,perm_proceeds),0)-Q96</f>
        <v>0</v>
      </c>
      <c r="R97" s="442">
        <f>IF(AND(R4&gt;refinance_date,R4&lt;=sale_month),PMT('(Z+) Financing'!$H$18*365.25/360/12,'(Z+) Financing'!$H$21*12,perm_proceeds),0)-R96</f>
        <v>0</v>
      </c>
      <c r="S97" s="442">
        <f>IF(AND(S4&gt;refinance_date,S4&lt;=sale_month),PMT('(Z+) Financing'!$H$18*365.25/360/12,'(Z+) Financing'!$H$21*12,perm_proceeds),0)-S96</f>
        <v>0</v>
      </c>
      <c r="T97" s="442">
        <f>IF(AND(T4&gt;refinance_date,T4&lt;=sale_month),PMT('(Z+) Financing'!$H$18*365.25/360/12,'(Z+) Financing'!$H$21*12,perm_proceeds),0)-T96</f>
        <v>0</v>
      </c>
      <c r="U97" s="443">
        <f>IF(AND(U4&gt;refinance_date,U4&lt;=sale_month),PMT('(Z+) Financing'!$H$18*365.25/360/12,'(Z+) Financing'!$H$21*12,perm_proceeds),0)-U96</f>
        <v>0</v>
      </c>
      <c r="V97" s="443">
        <f>IF(AND(V4&gt;refinance_date,V4&lt;=sale_month),PMT('(Z+) Financing'!$H$18*365.25/360/12,'(Z+) Financing'!$H$21*12,perm_proceeds),0)-V96</f>
        <v>0</v>
      </c>
      <c r="W97" s="443">
        <f>IF(AND(W4&gt;refinance_date,W4&lt;=sale_month),PMT('(Z+) Financing'!$H$18*365.25/360/12,'(Z+) Financing'!$H$21*12,perm_proceeds),0)-W96</f>
        <v>0</v>
      </c>
      <c r="X97" s="443">
        <f>IF(AND(X4&gt;refinance_date,X4&lt;=sale_month),PMT('(Z+) Financing'!$H$18*365.25/360/12,'(Z+) Financing'!$H$21*12,perm_proceeds),0)-X96</f>
        <v>0</v>
      </c>
      <c r="Y97" s="443">
        <f>IF(AND(Y4&gt;refinance_date,Y4&lt;=sale_month),PMT('(Z+) Financing'!$H$18*365.25/360/12,'(Z+) Financing'!$H$21*12,perm_proceeds),0)-Y96</f>
        <v>0</v>
      </c>
      <c r="Z97" s="443">
        <f>IF(AND(Z4&gt;refinance_date,Z4&lt;=sale_month),PMT('(Z+) Financing'!$H$18*365.25/360/12,'(Z+) Financing'!$H$21*12,perm_proceeds),0)-Z96</f>
        <v>0</v>
      </c>
      <c r="AA97" s="443">
        <f>IF(AND(AA4&gt;refinance_date,AA4&lt;=sale_month),PMT('(Z+) Financing'!$H$18*365.25/360/12,'(Z+) Financing'!$H$21*12,perm_proceeds),0)-AA96</f>
        <v>0</v>
      </c>
      <c r="AB97" s="443">
        <f>IF(AND(AB4&gt;refinance_date,AB4&lt;=sale_month),PMT('(Z+) Financing'!$H$18*365.25/360/12,'(Z+) Financing'!$H$21*12,perm_proceeds),0)-AB96</f>
        <v>0</v>
      </c>
      <c r="AC97" s="443">
        <f>IF(AND(AC4&gt;refinance_date,AC4&lt;=sale_month),PMT('(Z+) Financing'!$H$18*365.25/360/12,'(Z+) Financing'!$H$21*12,perm_proceeds),0)-AC96</f>
        <v>0</v>
      </c>
      <c r="AD97" s="443">
        <f>IF(AND(AD4&gt;refinance_date,AD4&lt;=sale_month),PMT('(Z+) Financing'!$H$18*365.25/360/12,'(Z+) Financing'!$H$21*12,perm_proceeds),0)-AD96</f>
        <v>0</v>
      </c>
      <c r="AE97" s="443">
        <f>IF(AND(AE4&gt;refinance_date,AE4&lt;=sale_month),PMT('(Z+) Financing'!$H$18*365.25/360/12,'(Z+) Financing'!$H$21*12,perm_proceeds),0)-AE96</f>
        <v>0</v>
      </c>
      <c r="AF97" s="443">
        <f>IF(AND(AF4&gt;refinance_date,AF4&lt;=sale_month),PMT('(Z+) Financing'!$H$18*365.25/360/12,'(Z+) Financing'!$H$21*12,perm_proceeds),0)-AF96</f>
        <v>0</v>
      </c>
      <c r="AG97" s="443">
        <f>IF(AND(AG4&gt;refinance_date,AG4&lt;=sale_month),PMT('(Z+) Financing'!$H$18*365.25/360/12,'(Z+) Financing'!$H$21*12,perm_proceeds),0)-AG96</f>
        <v>0</v>
      </c>
      <c r="AH97" s="443">
        <f>IF(AND(AH4&gt;refinance_date,AH4&lt;=sale_month),PMT('(Z+) Financing'!$H$18*365.25/360/12,'(Z+) Financing'!$H$21*12,perm_proceeds),0)-AH96</f>
        <v>0</v>
      </c>
      <c r="AI97" s="443">
        <f>IF(AND(AI4&gt;refinance_date,AI4&lt;=sale_month),PMT('(Z+) Financing'!$H$18*365.25/360/12,'(Z+) Financing'!$H$21*12,perm_proceeds),0)-AI96</f>
        <v>0</v>
      </c>
      <c r="AJ97" s="443">
        <f>IF(AND(AJ4&gt;refinance_date,AJ4&lt;=sale_month),PMT('(Z+) Financing'!$H$18*365.25/360/12,'(Z+) Financing'!$H$21*12,perm_proceeds),0)-AJ96</f>
        <v>0</v>
      </c>
      <c r="AK97" s="443">
        <f>IF(AND(AK4&gt;refinance_date,AK4&lt;=sale_month),PMT('(Z+) Financing'!$H$18*365.25/360/12,'(Z+) Financing'!$H$21*12,perm_proceeds),0)-AK96</f>
        <v>0</v>
      </c>
      <c r="AL97" s="443">
        <f>IF(AND(AL4&gt;refinance_date,AL4&lt;=sale_month),PMT('(Z+) Financing'!$H$18*365.25/360/12,'(Z+) Financing'!$H$21*12,perm_proceeds),0)-AL96</f>
        <v>0</v>
      </c>
      <c r="AM97" s="443">
        <f>IF(AND(AM4&gt;refinance_date,AM4&lt;=sale_month),PMT('(Z+) Financing'!$H$18*365.25/360/12,'(Z+) Financing'!$H$21*12,perm_proceeds),0)-AM96</f>
        <v>-35105.877014399128</v>
      </c>
      <c r="AN97" s="443">
        <f>IF(AND(AN4&gt;refinance_date,AN4&lt;=sale_month),PMT('(Z+) Financing'!$H$18*365.25/360/12,'(Z+) Financing'!$H$21*12,perm_proceeds),0)-AN96</f>
        <v>-35276.545820144878</v>
      </c>
      <c r="AO97" s="443">
        <f>IF(AND(AO4&gt;refinance_date,AO4&lt;=sale_month),PMT('(Z+) Financing'!$H$18*365.25/360/12,'(Z+) Financing'!$H$21*12,perm_proceeds),0)-AO96</f>
        <v>-35448.04433999359</v>
      </c>
      <c r="AP97" s="443">
        <f>IF(AND(AP4&gt;refinance_date,AP4&lt;=sale_month),PMT('(Z+) Financing'!$H$18*365.25/360/12,'(Z+) Financing'!$H$21*12,perm_proceeds),0)-AP96</f>
        <v>-35620.376607637794</v>
      </c>
      <c r="AQ97" s="443">
        <f>IF(AND(AQ4&gt;refinance_date,AQ4&lt;=sale_month),PMT('(Z+) Financing'!$H$18*365.25/360/12,'(Z+) Financing'!$H$21*12,perm_proceeds),0)-AQ96</f>
        <v>-35793.546676380065</v>
      </c>
      <c r="AR97" s="443">
        <f>IF(AND(AR4&gt;refinance_date,AR4&lt;=sale_month),PMT('(Z+) Financing'!$H$18*365.25/360/12,'(Z+) Financing'!$H$21*12,perm_proceeds),0)-AR96</f>
        <v>-35967.55861922825</v>
      </c>
      <c r="AS97" s="443">
        <f>IF(AND(AS4&gt;refinance_date,AS4&lt;=sale_month),PMT('(Z+) Financing'!$H$18*365.25/360/12,'(Z+) Financing'!$H$21*12,perm_proceeds),0)-AS96</f>
        <v>-36142.41652899122</v>
      </c>
      <c r="AT97" s="443">
        <f>IF(AND(AT4&gt;refinance_date,AT4&lt;=sale_month),PMT('(Z+) Financing'!$H$18*365.25/360/12,'(Z+) Financing'!$H$21*12,perm_proceeds),0)-AT96</f>
        <v>-36318.124518375436</v>
      </c>
      <c r="AU97" s="443">
        <f>IF(AND(AU4&gt;refinance_date,AU4&lt;=sale_month),PMT('(Z+) Financing'!$H$18*365.25/360/12,'(Z+) Financing'!$H$21*12,perm_proceeds),0)-AU96</f>
        <v>-36494.686720081285</v>
      </c>
      <c r="AV97" s="443">
        <f>IF(AND(AV4&gt;refinance_date,AV4&lt;=sale_month),PMT('(Z+) Financing'!$H$18*365.25/360/12,'(Z+) Financing'!$H$21*12,perm_proceeds),0)-AV96</f>
        <v>-36672.107286900602</v>
      </c>
      <c r="AW97" s="443">
        <f>IF(AND(AW4&gt;refinance_date,AW4&lt;=sale_month),PMT('(Z+) Financing'!$H$18*365.25/360/12,'(Z+) Financing'!$H$21*12,perm_proceeds),0)-AW96</f>
        <v>-36850.390391814028</v>
      </c>
      <c r="AX97" s="443">
        <f>IF(AND(AX4&gt;refinance_date,AX4&lt;=sale_month),PMT('(Z+) Financing'!$H$18*365.25/360/12,'(Z+) Financing'!$H$21*12,perm_proceeds),0)-AX96</f>
        <v>-37029.540228089521</v>
      </c>
      <c r="AY97" s="443">
        <f>IF(AND(AY4&gt;refinance_date,AY4&lt;=sale_month),PMT('(Z+) Financing'!$H$18*365.25/360/12,'(Z+) Financing'!$H$21*12,perm_proceeds),0)-AY96</f>
        <v>-37209.561009380646</v>
      </c>
      <c r="AZ97" s="443">
        <f>IF(AND(AZ4&gt;refinance_date,AZ4&lt;=sale_month),PMT('(Z+) Financing'!$H$18*365.25/360/12,'(Z+) Financing'!$H$21*12,perm_proceeds),0)-AZ96</f>
        <v>-37390.456969826017</v>
      </c>
      <c r="BA97" s="443">
        <f>IF(AND(BA4&gt;refinance_date,BA4&lt;=sale_month),PMT('(Z+) Financing'!$H$18*365.25/360/12,'(Z+) Financing'!$H$21*12,perm_proceeds),0)-BA96</f>
        <v>-37572.232364148484</v>
      </c>
      <c r="BB97" s="443">
        <f>IF(AND(BB4&gt;refinance_date,BB4&lt;=sale_month),PMT('(Z+) Financing'!$H$18*365.25/360/12,'(Z+) Financing'!$H$21*12,perm_proceeds),0)-BB96</f>
        <v>-37754.89146775566</v>
      </c>
      <c r="BC97" s="443">
        <f>IF(AND(BC4&gt;refinance_date,BC4&lt;=sale_month),PMT('(Z+) Financing'!$H$18*365.25/360/12,'(Z+) Financing'!$H$21*12,perm_proceeds),0)-BC96</f>
        <v>-37938.43857684001</v>
      </c>
      <c r="BD97" s="443">
        <f>IF(AND(BD4&gt;refinance_date,BD4&lt;=sale_month),PMT('(Z+) Financing'!$H$18*365.25/360/12,'(Z+) Financing'!$H$21*12,perm_proceeds),0)-BD96</f>
        <v>-38122.878008480242</v>
      </c>
      <c r="BE97" s="443">
        <f>IF(AND(BE4&gt;refinance_date,BE4&lt;=sale_month),PMT('(Z+) Financing'!$H$18*365.25/360/12,'(Z+) Financing'!$H$21*12,perm_proceeds),0)-BE96</f>
        <v>-38308.214100742829</v>
      </c>
      <c r="BF97" s="443">
        <f>IF(AND(BF4&gt;refinance_date,BF4&lt;=sale_month),PMT('(Z+) Financing'!$H$18*365.25/360/12,'(Z+) Financing'!$H$21*12,perm_proceeds),0)-BF96</f>
        <v>-38494.45121278381</v>
      </c>
      <c r="BG97" s="443">
        <f>IF(AND(BG4&gt;refinance_date,BG4&lt;=sale_month),PMT('(Z+) Financing'!$H$18*365.25/360/12,'(Z+) Financing'!$H$21*12,perm_proceeds),0)-BG96</f>
        <v>-38681.593724951526</v>
      </c>
      <c r="BH97" s="443">
        <f>IF(AND(BH4&gt;refinance_date,BH4&lt;=sale_month),PMT('(Z+) Financing'!$H$18*365.25/360/12,'(Z+) Financing'!$H$21*12,perm_proceeds),0)-BH96</f>
        <v>-38869.646038889536</v>
      </c>
      <c r="BI97" s="443">
        <f>IF(AND(BI4&gt;refinance_date,BI4&lt;=sale_month),PMT('(Z+) Financing'!$H$18*365.25/360/12,'(Z+) Financing'!$H$21*12,perm_proceeds),0)-BI96</f>
        <v>-39058.612577640248</v>
      </c>
      <c r="BJ97" s="443">
        <f>IF(AND(BJ4&gt;refinance_date,BJ4&lt;=sale_month),PMT('(Z+) Financing'!$H$18*365.25/360/12,'(Z+) Financing'!$H$21*12,perm_proceeds),0)-BJ96</f>
        <v>-39248.497785748797</v>
      </c>
      <c r="BK97" s="443">
        <f>IF(AND(BK4&gt;refinance_date,BK4&lt;=sale_month),PMT('(Z+) Financing'!$H$18*365.25/360/12,'(Z+) Financing'!$H$21*12,perm_proceeds),0)-BK96</f>
        <v>-39439.306129367789</v>
      </c>
      <c r="BL97" s="443">
        <f>IF(AND(BL4&gt;refinance_date,BL4&lt;=sale_month),PMT('(Z+) Financing'!$H$18*365.25/360/12,'(Z+) Financing'!$H$21*12,perm_proceeds),0)-BL96</f>
        <v>-39631.042096362158</v>
      </c>
      <c r="BM97" s="443">
        <f>IF(AND(BM4&gt;refinance_date,BM4&lt;=sale_month),PMT('(Z+) Financing'!$H$18*365.25/360/12,'(Z+) Financing'!$H$21*12,perm_proceeds),0)-BM96</f>
        <v>-39823.710196414817</v>
      </c>
      <c r="BN97" s="443">
        <f>IF(AND(BN4&gt;refinance_date,BN4&lt;=sale_month),PMT('(Z+) Financing'!$H$18*365.25/360/12,'(Z+) Financing'!$H$21*12,perm_proceeds),0)-BN96</f>
        <v>-40017.314961132768</v>
      </c>
      <c r="BO97" s="443">
        <f>IF(AND(BO4&gt;refinance_date,BO4&lt;=sale_month),PMT('(Z+) Financing'!$H$18*365.25/360/12,'(Z+) Financing'!$H$21*12,perm_proceeds),0)-BO96</f>
        <v>-40211.860944153421</v>
      </c>
      <c r="BP97" s="443">
        <f>IF(AND(BP4&gt;refinance_date,BP4&lt;=sale_month),PMT('(Z+) Financing'!$H$18*365.25/360/12,'(Z+) Financing'!$H$21*12,perm_proceeds),0)-BP96</f>
        <v>-40407.352721252159</v>
      </c>
      <c r="BQ97" s="443">
        <f>IF(AND(BQ4&gt;refinance_date,BQ4&lt;=sale_month),PMT('(Z+) Financing'!$H$18*365.25/360/12,'(Z+) Financing'!$H$21*12,perm_proceeds),0)-BQ96</f>
        <v>-40603.794890449528</v>
      </c>
      <c r="BR97" s="443">
        <f>IF(AND(BR4&gt;refinance_date,BR4&lt;=sale_month),PMT('(Z+) Financing'!$H$18*365.25/360/12,'(Z+) Financing'!$H$21*12,perm_proceeds),0)-BR96</f>
        <v>-40801.192072119651</v>
      </c>
      <c r="BS97" s="443">
        <f>IF(AND(BS4&gt;refinance_date,BS4&lt;=sale_month),PMT('(Z+) Financing'!$H$18*365.25/360/12,'(Z+) Financing'!$H$21*12,perm_proceeds),0)-BS96</f>
        <v>-40999.548909098754</v>
      </c>
      <c r="BT97" s="443">
        <f>IF(AND(BT4&gt;refinance_date,BT4&lt;=sale_month),PMT('(Z+) Financing'!$H$18*365.25/360/12,'(Z+) Financing'!$H$21*12,perm_proceeds),0)-BT96</f>
        <v>-41198.870066794363</v>
      </c>
      <c r="BU97" s="443">
        <f>IF(AND(BU4&gt;refinance_date,BU4&lt;=sale_month),PMT('(Z+) Financing'!$H$18*365.25/360/12,'(Z+) Financing'!$H$21*12,perm_proceeds),0)-BU96</f>
        <v>-41399.160233295319</v>
      </c>
      <c r="BV97" s="443">
        <f>IF(AND(BV4&gt;refinance_date,BV4&lt;=sale_month),PMT('(Z+) Financing'!$H$18*365.25/360/12,'(Z+) Financing'!$H$21*12,perm_proceeds),0)-BV96</f>
        <v>-41600.424119481555</v>
      </c>
      <c r="BW97" s="443">
        <f>IF(AND(BW4&gt;refinance_date,BW4&lt;=sale_month),PMT('(Z+) Financing'!$H$18*365.25/360/12,'(Z+) Financing'!$H$21*12,perm_proceeds),0)-BW96</f>
        <v>-41802.666459135333</v>
      </c>
      <c r="BX97" s="443">
        <f>IF(AND(BX4&gt;refinance_date,BX4&lt;=sale_month),PMT('(Z+) Financing'!$H$18*365.25/360/12,'(Z+) Financing'!$H$21*12,perm_proceeds),0)-BX96</f>
        <v>-42005.892009052361</v>
      </c>
      <c r="BY97" s="443">
        <f>IF(AND(BY4&gt;refinance_date,BY4&lt;=sale_month),PMT('(Z+) Financing'!$H$18*365.25/360/12,'(Z+) Financing'!$H$21*12,perm_proceeds),0)-BY96</f>
        <v>-42210.105549153697</v>
      </c>
      <c r="BZ97" s="443">
        <f>IF(AND(BZ4&gt;refinance_date,BZ4&lt;=sale_month),PMT('(Z+) Financing'!$H$18*365.25/360/12,'(Z+) Financing'!$H$21*12,perm_proceeds),0)-BZ96</f>
        <v>-42415.311882598151</v>
      </c>
      <c r="CA97" s="443">
        <f>IF(AND(CA4&gt;refinance_date,CA4&lt;=sale_month),PMT('(Z+) Financing'!$H$18*365.25/360/12,'(Z+) Financing'!$H$21*12,perm_proceeds),0)-CA96</f>
        <v>-42621.515835895465</v>
      </c>
      <c r="CB97" s="443">
        <f>IF(AND(CB4&gt;refinance_date,CB4&lt;=sale_month),PMT('(Z+) Financing'!$H$18*365.25/360/12,'(Z+) Financing'!$H$21*12,perm_proceeds),0)-CB96</f>
        <v>-42828.722259019531</v>
      </c>
      <c r="CC97" s="443">
        <f>IF(AND(CC4&gt;refinance_date,CC4&lt;=sale_month),PMT('(Z+) Financing'!$H$18*365.25/360/12,'(Z+) Financing'!$H$21*12,perm_proceeds),0)-CC96</f>
        <v>-43036.936025522678</v>
      </c>
      <c r="CD97" s="443">
        <f>IF(AND(CD4&gt;refinance_date,CD4&lt;=sale_month),PMT('(Z+) Financing'!$H$18*365.25/360/12,'(Z+) Financing'!$H$21*12,perm_proceeds),0)-CD96</f>
        <v>-43246.162032650231</v>
      </c>
      <c r="CE97" s="443">
        <f>IF(AND(CE4&gt;refinance_date,CE4&lt;=sale_month),PMT('(Z+) Financing'!$H$18*365.25/360/12,'(Z+) Financing'!$H$21*12,perm_proceeds),0)-CE96</f>
        <v>-43456.405201455666</v>
      </c>
      <c r="CF97" s="443">
        <f>IF(AND(CF4&gt;refinance_date,CF4&lt;=sale_month),PMT('(Z+) Financing'!$H$18*365.25/360/12,'(Z+) Financing'!$H$21*12,perm_proceeds),0)-CF96</f>
        <v>-43667.670476916392</v>
      </c>
      <c r="CG97" s="443">
        <f>IF(AND(CG4&gt;refinance_date,CG4&lt;=sale_month),PMT('(Z+) Financing'!$H$18*365.25/360/12,'(Z+) Financing'!$H$21*12,perm_proceeds),0)-CG96</f>
        <v>-43879.962828050047</v>
      </c>
      <c r="CH97" s="443">
        <f>IF(AND(CH4&gt;refinance_date,CH4&lt;=sale_month),PMT('(Z+) Financing'!$H$18*365.25/360/12,'(Z+) Financing'!$H$21*12,perm_proceeds),0)-CH96</f>
        <v>-44093.287248031382</v>
      </c>
      <c r="CI97" s="443">
        <f>IF(AND(CI4&gt;refinance_date,CI4&lt;=sale_month),PMT('(Z+) Financing'!$H$18*365.25/360/12,'(Z+) Financing'!$H$21*12,perm_proceeds),0)-CI96</f>
        <v>-44307.648754309659</v>
      </c>
      <c r="CJ97" s="443">
        <f>IF(AND(CJ4&gt;refinance_date,CJ4&lt;=sale_month),PMT('(Z+) Financing'!$H$18*365.25/360/12,'(Z+) Financing'!$H$21*12,perm_proceeds),0)-CJ96</f>
        <v>-44523.052388726763</v>
      </c>
      <c r="CK97" s="443">
        <f>IF(AND(CK4&gt;refinance_date,CK4&lt;=sale_month),PMT('(Z+) Financing'!$H$18*365.25/360/12,'(Z+) Financing'!$H$21*12,perm_proceeds),0)-CK96</f>
        <v>-44739.503217635676</v>
      </c>
      <c r="CL97" s="443">
        <f>IF(AND(CL4&gt;refinance_date,CL4&lt;=sale_month),PMT('(Z+) Financing'!$H$18*365.25/360/12,'(Z+) Financing'!$H$21*12,perm_proceeds),0)-CL96</f>
        <v>-44957.006332019693</v>
      </c>
      <c r="CM97" s="443">
        <f>IF(AND(CM4&gt;refinance_date,CM4&lt;=sale_month),PMT('(Z+) Financing'!$H$18*365.25/360/12,'(Z+) Financing'!$H$21*12,perm_proceeds),0)-CM96</f>
        <v>-45175.566847612121</v>
      </c>
      <c r="CN97" s="443">
        <f>IF(AND(CN4&gt;refinance_date,CN4&lt;=sale_month),PMT('(Z+) Financing'!$H$18*365.25/360/12,'(Z+) Financing'!$H$21*12,perm_proceeds),0)-CN96</f>
        <v>-45395.189905016683</v>
      </c>
      <c r="CO97" s="443">
        <f>IF(AND(CO4&gt;refinance_date,CO4&lt;=sale_month),PMT('(Z+) Financing'!$H$18*365.25/360/12,'(Z+) Financing'!$H$21*12,perm_proceeds),0)-CO96</f>
        <v>-45615.88066982833</v>
      </c>
      <c r="CP97" s="443">
        <f>IF(AND(CP4&gt;refinance_date,CP4&lt;=sale_month),PMT('(Z+) Financing'!$H$18*365.25/360/12,'(Z+) Financing'!$H$21*12,perm_proceeds),0)-CP96</f>
        <v>0</v>
      </c>
      <c r="CQ97" s="443">
        <f>IF(AND(CQ4&gt;refinance_date,CQ4&lt;=sale_month),PMT('(Z+) Financing'!$H$18*365.25/360/12,'(Z+) Financing'!$H$21*12,perm_proceeds),0)-CQ96</f>
        <v>0</v>
      </c>
      <c r="CR97" s="443">
        <f>IF(AND(CR4&gt;refinance_date,CR4&lt;=sale_month),PMT('(Z+) Financing'!$H$18*365.25/360/12,'(Z+) Financing'!$H$21*12,perm_proceeds),0)-CR96</f>
        <v>0</v>
      </c>
      <c r="CS97" s="443">
        <f>IF(AND(CS4&gt;refinance_date,CS4&lt;=sale_month),PMT('(Z+) Financing'!$H$18*365.25/360/12,'(Z+) Financing'!$H$21*12,perm_proceeds),0)-CS96</f>
        <v>0</v>
      </c>
      <c r="CT97" s="443">
        <f>IF(AND(CT4&gt;refinance_date,CT4&lt;=sale_month),PMT('(Z+) Financing'!$H$18*365.25/360/12,'(Z+) Financing'!$H$21*12,perm_proceeds),0)-CT96</f>
        <v>0</v>
      </c>
      <c r="CU97" s="443">
        <f>IF(AND(CU4&gt;refinance_date,CU4&lt;=sale_month),PMT('(Z+) Financing'!$H$18*365.25/360/12,'(Z+) Financing'!$H$21*12,perm_proceeds),0)-CU96</f>
        <v>0</v>
      </c>
      <c r="CV97" s="443">
        <f>IF(AND(CV4&gt;refinance_date,CV4&lt;=sale_month),PMT('(Z+) Financing'!$H$18*365.25/360/12,'(Z+) Financing'!$H$21*12,perm_proceeds),0)-CV96</f>
        <v>0</v>
      </c>
      <c r="CW97" s="443">
        <f>IF(AND(CW4&gt;refinance_date,CW4&lt;=sale_month),PMT('(Z+) Financing'!$H$18*365.25/360/12,'(Z+) Financing'!$H$21*12,perm_proceeds),0)-CW96</f>
        <v>0</v>
      </c>
      <c r="CX97" s="443">
        <f>IF(AND(CX4&gt;refinance_date,CX4&lt;=sale_month),PMT('(Z+) Financing'!$H$18*365.25/360/12,'(Z+) Financing'!$H$21*12,perm_proceeds),0)-CX96</f>
        <v>0</v>
      </c>
      <c r="CY97" s="443">
        <f>IF(AND(CY4&gt;refinance_date,CY4&lt;=sale_month),PMT('(Z+) Financing'!$H$18*365.25/360/12,'(Z+) Financing'!$H$21*12,perm_proceeds),0)-CY96</f>
        <v>0</v>
      </c>
      <c r="CZ97" s="443">
        <f>IF(AND(CZ4&gt;refinance_date,CZ4&lt;=sale_month),PMT('(Z+) Financing'!$H$18*365.25/360/12,'(Z+) Financing'!$H$21*12,perm_proceeds),0)-CZ96</f>
        <v>0</v>
      </c>
      <c r="DA97" s="443">
        <f>IF(AND(DA4&gt;refinance_date,DA4&lt;=sale_month),PMT('(Z+) Financing'!$H$18*365.25/360/12,'(Z+) Financing'!$H$21*12,perm_proceeds),0)-DA96</f>
        <v>0</v>
      </c>
      <c r="DB97" s="443">
        <f>IF(AND(DB4&gt;refinance_date,DB4&lt;=sale_month),PMT('(Z+) Financing'!$H$18*365.25/360/12,'(Z+) Financing'!$H$21*12,perm_proceeds),0)-DB96</f>
        <v>0</v>
      </c>
      <c r="DC97" s="443">
        <f>IF(AND(DC4&gt;refinance_date,DC4&lt;=sale_month),PMT('(Z+) Financing'!$H$18*365.25/360/12,'(Z+) Financing'!$H$21*12,perm_proceeds),0)-DC96</f>
        <v>0</v>
      </c>
      <c r="DD97" s="443">
        <f>IF(AND(DD4&gt;refinance_date,DD4&lt;=sale_month),PMT('(Z+) Financing'!$H$18*365.25/360/12,'(Z+) Financing'!$H$21*12,perm_proceeds),0)-DD96</f>
        <v>0</v>
      </c>
      <c r="DE97" s="443">
        <f>IF(AND(DE4&gt;refinance_date,DE4&lt;=sale_month),PMT('(Z+) Financing'!$H$18*365.25/360/12,'(Z+) Financing'!$H$21*12,perm_proceeds),0)-DE96</f>
        <v>0</v>
      </c>
      <c r="DF97" s="443">
        <f>IF(AND(DF4&gt;refinance_date,DF4&lt;=sale_month),PMT('(Z+) Financing'!$H$18*365.25/360/12,'(Z+) Financing'!$H$21*12,perm_proceeds),0)-DF96</f>
        <v>0</v>
      </c>
      <c r="DG97" s="443">
        <f>IF(AND(DG4&gt;refinance_date,DG4&lt;=sale_month),PMT('(Z+) Financing'!$H$18*365.25/360/12,'(Z+) Financing'!$H$21*12,perm_proceeds),0)-DG96</f>
        <v>0</v>
      </c>
      <c r="DH97" s="443">
        <f>IF(AND(DH4&gt;refinance_date,DH4&lt;=sale_month),PMT('(Z+) Financing'!$H$18*365.25/360/12,'(Z+) Financing'!$H$21*12,perm_proceeds),0)-DH96</f>
        <v>0</v>
      </c>
      <c r="DI97" s="443">
        <f>IF(AND(DI4&gt;refinance_date,DI4&lt;=sale_month),PMT('(Z+) Financing'!$H$18*365.25/360/12,'(Z+) Financing'!$H$21*12,perm_proceeds),0)-DI96</f>
        <v>0</v>
      </c>
      <c r="DJ97" s="443">
        <f>IF(AND(DJ4&gt;refinance_date,DJ4&lt;=sale_month),PMT('(Z+) Financing'!$H$18*365.25/360/12,'(Z+) Financing'!$H$21*12,perm_proceeds),0)-DJ96</f>
        <v>0</v>
      </c>
      <c r="DK97" s="443">
        <f>IF(AND(DK4&gt;refinance_date,DK4&lt;=sale_month),PMT('(Z+) Financing'!$H$18*365.25/360/12,'(Z+) Financing'!$H$21*12,perm_proceeds),0)-DK96</f>
        <v>0</v>
      </c>
      <c r="DL97" s="443">
        <f>IF(AND(DL4&gt;refinance_date,DL4&lt;=sale_month),PMT('(Z+) Financing'!$H$18*365.25/360/12,'(Z+) Financing'!$H$21*12,perm_proceeds),0)-DL96</f>
        <v>0</v>
      </c>
      <c r="DM97" s="443">
        <f>IF(AND(DM4&gt;refinance_date,DM4&lt;=sale_month),PMT('(Z+) Financing'!$H$18*365.25/360/12,'(Z+) Financing'!$H$21*12,perm_proceeds),0)-DM96</f>
        <v>0</v>
      </c>
      <c r="DN97" s="443">
        <f>IF(AND(DN4&gt;refinance_date,DN4&lt;=sale_month),PMT('(Z+) Financing'!$H$18*365.25/360/12,'(Z+) Financing'!$H$21*12,perm_proceeds),0)-DN96</f>
        <v>0</v>
      </c>
      <c r="DO97" s="443">
        <f>IF(AND(DO4&gt;refinance_date,DO4&lt;=sale_month),PMT('(Z+) Financing'!$H$18*365.25/360/12,'(Z+) Financing'!$H$21*12,perm_proceeds),0)-DO96</f>
        <v>0</v>
      </c>
      <c r="DP97" s="443">
        <f>IF(AND(DP4&gt;refinance_date,DP4&lt;=sale_month),PMT('(Z+) Financing'!$H$18*365.25/360/12,'(Z+) Financing'!$H$21*12,perm_proceeds),0)-DP96</f>
        <v>0</v>
      </c>
      <c r="DQ97" s="443">
        <f>IF(AND(DQ4&gt;refinance_date,DQ4&lt;=sale_month),PMT('(Z+) Financing'!$H$18*365.25/360/12,'(Z+) Financing'!$H$21*12,perm_proceeds),0)-DQ96</f>
        <v>0</v>
      </c>
      <c r="DR97" s="443">
        <f>IF(AND(DR4&gt;refinance_date,DR4&lt;=sale_month),PMT('(Z+) Financing'!$H$18*365.25/360/12,'(Z+) Financing'!$H$21*12,perm_proceeds),0)-DR96</f>
        <v>0</v>
      </c>
      <c r="DS97" s="443">
        <f>IF(AND(DS4&gt;refinance_date,DS4&lt;=sale_month),PMT('(Z+) Financing'!$H$18*365.25/360/12,'(Z+) Financing'!$H$21*12,perm_proceeds),0)-DS96</f>
        <v>0</v>
      </c>
      <c r="DT97" s="443">
        <f>IF(AND(DT4&gt;refinance_date,DT4&lt;=sale_month),PMT('(Z+) Financing'!$H$18*365.25/360/12,'(Z+) Financing'!$H$21*12,perm_proceeds),0)-DT96</f>
        <v>0</v>
      </c>
      <c r="DU97" s="443">
        <f>IF(AND(DU4&gt;refinance_date,DU4&lt;=sale_month),PMT('(Z+) Financing'!$H$18*365.25/360/12,'(Z+) Financing'!$H$21*12,perm_proceeds),0)-DU96</f>
        <v>0</v>
      </c>
    </row>
    <row r="98" spans="1:125" x14ac:dyDescent="0.25">
      <c r="A98" s="385" t="s">
        <v>529</v>
      </c>
      <c r="D98" s="387"/>
      <c r="F98" s="441">
        <f>(F4=sale_month)*(-perm_proceeds-SUM($F$97:F97))</f>
        <v>0</v>
      </c>
      <c r="G98" s="441">
        <f>(G4=sale_month)*(-perm_proceeds-SUM($F$97:G97))</f>
        <v>0</v>
      </c>
      <c r="H98" s="441">
        <f>(H4=sale_month)*(-perm_proceeds-SUM($F$97:H97))</f>
        <v>0</v>
      </c>
      <c r="I98" s="441">
        <f>(I4=sale_month)*(-perm_proceeds-SUM($F$97:I97))</f>
        <v>0</v>
      </c>
      <c r="J98" s="442">
        <f>(J4=sale_month)*(-perm_proceeds-SUM($F$97:J97))</f>
        <v>0</v>
      </c>
      <c r="K98" s="442">
        <f>(K4=sale_month)*(-perm_proceeds-SUM($F$97:K97))</f>
        <v>0</v>
      </c>
      <c r="L98" s="442">
        <f>(L4=sale_month)*(-perm_proceeds-SUM($F$97:L97))</f>
        <v>0</v>
      </c>
      <c r="M98" s="442">
        <f>(M4=sale_month)*(-perm_proceeds-SUM($F$97:M97))</f>
        <v>0</v>
      </c>
      <c r="N98" s="442">
        <f>(N4=sale_month)*(-perm_proceeds-SUM($F$97:N97))</f>
        <v>0</v>
      </c>
      <c r="O98" s="442">
        <f>(O4=sale_month)*(-perm_proceeds-SUM($F$97:O97))</f>
        <v>0</v>
      </c>
      <c r="P98" s="442">
        <f>(P4=sale_month)*(-perm_proceeds-SUM($F$97:P97))</f>
        <v>0</v>
      </c>
      <c r="Q98" s="442">
        <f>(Q4=sale_month)*(-perm_proceeds-SUM($F$97:Q97))</f>
        <v>0</v>
      </c>
      <c r="R98" s="442">
        <f>(R4=sale_month)*(-perm_proceeds-SUM($F$97:R97))</f>
        <v>0</v>
      </c>
      <c r="S98" s="442">
        <f>(S4=sale_month)*(-perm_proceeds-SUM($F$97:S97))</f>
        <v>0</v>
      </c>
      <c r="T98" s="442">
        <f>(T4=sale_month)*(-perm_proceeds-SUM($F$97:T97))</f>
        <v>0</v>
      </c>
      <c r="U98" s="443">
        <f>(U4=sale_month)*(-perm_proceeds-SUM($F$97:U97))</f>
        <v>0</v>
      </c>
      <c r="V98" s="443">
        <f>(V4=sale_month)*(-perm_proceeds-SUM($F$97:V97))</f>
        <v>0</v>
      </c>
      <c r="W98" s="443">
        <f>(W4=sale_month)*(-perm_proceeds-SUM($F$97:W97))</f>
        <v>0</v>
      </c>
      <c r="X98" s="443">
        <f>(X4=sale_month)*(-perm_proceeds-SUM($F$97:X97))</f>
        <v>0</v>
      </c>
      <c r="Y98" s="443">
        <f>(Y4=sale_month)*(-perm_proceeds-SUM($F$97:Y97))</f>
        <v>0</v>
      </c>
      <c r="Z98" s="443">
        <f>(Z4=sale_month)*(-perm_proceeds-SUM($F$97:Z97))</f>
        <v>0</v>
      </c>
      <c r="AA98" s="443">
        <f>(AA4=sale_month)*(-perm_proceeds-SUM($F$97:AA97))</f>
        <v>0</v>
      </c>
      <c r="AB98" s="443">
        <f>(AB4=sale_month)*(-perm_proceeds-SUM($F$97:AB97))</f>
        <v>0</v>
      </c>
      <c r="AC98" s="443">
        <f>(AC4=sale_month)*(-perm_proceeds-SUM($F$97:AC97))</f>
        <v>0</v>
      </c>
      <c r="AD98" s="443">
        <f>(AD4=sale_month)*(-perm_proceeds-SUM($F$97:AD97))</f>
        <v>0</v>
      </c>
      <c r="AE98" s="443">
        <f>(AE4=sale_month)*(-perm_proceeds-SUM($F$97:AE97))</f>
        <v>0</v>
      </c>
      <c r="AF98" s="443">
        <f>(AF4=sale_month)*(-perm_proceeds-SUM($F$97:AF97))</f>
        <v>0</v>
      </c>
      <c r="AG98" s="443">
        <f>(AG4=sale_month)*(-perm_proceeds-SUM($F$97:AG97))</f>
        <v>0</v>
      </c>
      <c r="AH98" s="443">
        <f>(AH4=sale_month)*(-perm_proceeds-SUM($F$97:AH97))</f>
        <v>0</v>
      </c>
      <c r="AI98" s="443">
        <f>(AI4=sale_month)*(-perm_proceeds-SUM($F$97:AI97))</f>
        <v>0</v>
      </c>
      <c r="AJ98" s="443">
        <f>(AJ4=sale_month)*(-perm_proceeds-SUM($F$97:AJ97))</f>
        <v>0</v>
      </c>
      <c r="AK98" s="443">
        <f>(AK4=sale_month)*(-perm_proceeds-SUM($F$97:AK97))</f>
        <v>0</v>
      </c>
      <c r="AL98" s="443">
        <f>(AL4=sale_month)*(-perm_proceeds-SUM($F$97:AL97))</f>
        <v>0</v>
      </c>
      <c r="AM98" s="443">
        <f>(AM4=sale_month)*(-perm_proceeds-SUM($F$97:AM97))</f>
        <v>0</v>
      </c>
      <c r="AN98" s="443">
        <f>(AN4=sale_month)*(-perm_proceeds-SUM($F$97:AN97))</f>
        <v>0</v>
      </c>
      <c r="AO98" s="443">
        <f>(AO4=sale_month)*(-perm_proceeds-SUM($F$97:AO97))</f>
        <v>0</v>
      </c>
      <c r="AP98" s="443">
        <f>(AP4=sale_month)*(-perm_proceeds-SUM($F$97:AP97))</f>
        <v>0</v>
      </c>
      <c r="AQ98" s="443">
        <f>(AQ4=sale_month)*(-perm_proceeds-SUM($F$97:AQ97))</f>
        <v>0</v>
      </c>
      <c r="AR98" s="443">
        <f>(AR4=sale_month)*(-perm_proceeds-SUM($F$97:AR97))</f>
        <v>0</v>
      </c>
      <c r="AS98" s="443">
        <f>(AS4=sale_month)*(-perm_proceeds-SUM($F$97:AS97))</f>
        <v>0</v>
      </c>
      <c r="AT98" s="443">
        <f>(AT4=sale_month)*(-perm_proceeds-SUM($F$97:AT97))</f>
        <v>0</v>
      </c>
      <c r="AU98" s="443">
        <f>(AU4=sale_month)*(-perm_proceeds-SUM($F$97:AU97))</f>
        <v>0</v>
      </c>
      <c r="AV98" s="443">
        <f>(AV4=sale_month)*(-perm_proceeds-SUM($F$97:AV97))</f>
        <v>0</v>
      </c>
      <c r="AW98" s="443">
        <f>(AW4=sale_month)*(-perm_proceeds-SUM($F$97:AW97))</f>
        <v>0</v>
      </c>
      <c r="AX98" s="443">
        <f>(AX4=sale_month)*(-perm_proceeds-SUM($F$97:AX97))</f>
        <v>0</v>
      </c>
      <c r="AY98" s="443">
        <f>(AY4=sale_month)*(-perm_proceeds-SUM($F$97:AY97))</f>
        <v>0</v>
      </c>
      <c r="AZ98" s="443">
        <f>(AZ4=sale_month)*(-perm_proceeds-SUM($F$97:AZ97))</f>
        <v>0</v>
      </c>
      <c r="BA98" s="443">
        <f>(BA4=sale_month)*(-perm_proceeds-SUM($F$97:BA97))</f>
        <v>0</v>
      </c>
      <c r="BB98" s="443">
        <f>(BB4=sale_month)*(-perm_proceeds-SUM($F$97:BB97))</f>
        <v>0</v>
      </c>
      <c r="BC98" s="443">
        <f>(BC4=sale_month)*(-perm_proceeds-SUM($F$97:BC97))</f>
        <v>0</v>
      </c>
      <c r="BD98" s="443">
        <f>(BD4=sale_month)*(-perm_proceeds-SUM($F$97:BD97))</f>
        <v>0</v>
      </c>
      <c r="BE98" s="443">
        <f>(BE4=sale_month)*(-perm_proceeds-SUM($F$97:BE97))</f>
        <v>0</v>
      </c>
      <c r="BF98" s="443">
        <f>(BF4=sale_month)*(-perm_proceeds-SUM($F$97:BF97))</f>
        <v>0</v>
      </c>
      <c r="BG98" s="443">
        <f>(BG4=sale_month)*(-perm_proceeds-SUM($F$97:BG97))</f>
        <v>0</v>
      </c>
      <c r="BH98" s="443">
        <f>(BH4=sale_month)*(-perm_proceeds-SUM($F$97:BH97))</f>
        <v>0</v>
      </c>
      <c r="BI98" s="443">
        <f>(BI4=sale_month)*(-perm_proceeds-SUM($F$97:BI97))</f>
        <v>0</v>
      </c>
      <c r="BJ98" s="443">
        <f>(BJ4=sale_month)*(-perm_proceeds-SUM($F$97:BJ97))</f>
        <v>0</v>
      </c>
      <c r="BK98" s="443">
        <f>(BK4=sale_month)*(-perm_proceeds-SUM($F$97:BK97))</f>
        <v>0</v>
      </c>
      <c r="BL98" s="443">
        <f>(BL4=sale_month)*(-perm_proceeds-SUM($F$97:BL97))</f>
        <v>0</v>
      </c>
      <c r="BM98" s="443">
        <f>(BM4=sale_month)*(-perm_proceeds-SUM($F$97:BM97))</f>
        <v>0</v>
      </c>
      <c r="BN98" s="443">
        <f>(BN4=sale_month)*(-perm_proceeds-SUM($F$97:BN97))</f>
        <v>0</v>
      </c>
      <c r="BO98" s="443">
        <f>(BO4=sale_month)*(-perm_proceeds-SUM($F$97:BO97))</f>
        <v>0</v>
      </c>
      <c r="BP98" s="443">
        <f>(BP4=sale_month)*(-perm_proceeds-SUM($F$97:BP97))</f>
        <v>0</v>
      </c>
      <c r="BQ98" s="443">
        <f>(BQ4=sale_month)*(-perm_proceeds-SUM($F$97:BQ97))</f>
        <v>0</v>
      </c>
      <c r="BR98" s="443">
        <f>(BR4=sale_month)*(-perm_proceeds-SUM($F$97:BR97))</f>
        <v>0</v>
      </c>
      <c r="BS98" s="443">
        <f>(BS4=sale_month)*(-perm_proceeds-SUM($F$97:BS97))</f>
        <v>0</v>
      </c>
      <c r="BT98" s="443">
        <f>(BT4=sale_month)*(-perm_proceeds-SUM($F$97:BT97))</f>
        <v>0</v>
      </c>
      <c r="BU98" s="443">
        <f>(BU4=sale_month)*(-perm_proceeds-SUM($F$97:BU97))</f>
        <v>0</v>
      </c>
      <c r="BV98" s="443">
        <f>(BV4=sale_month)*(-perm_proceeds-SUM($F$97:BV97))</f>
        <v>0</v>
      </c>
      <c r="BW98" s="443">
        <f>(BW4=sale_month)*(-perm_proceeds-SUM($F$97:BW97))</f>
        <v>0</v>
      </c>
      <c r="BX98" s="443">
        <f>(BX4=sale_month)*(-perm_proceeds-SUM($F$97:BX97))</f>
        <v>0</v>
      </c>
      <c r="BY98" s="443">
        <f>(BY4=sale_month)*(-perm_proceeds-SUM($F$97:BY97))</f>
        <v>0</v>
      </c>
      <c r="BZ98" s="443">
        <f>(BZ4=sale_month)*(-perm_proceeds-SUM($F$97:BZ97))</f>
        <v>0</v>
      </c>
      <c r="CA98" s="443">
        <f>(CA4=sale_month)*(-perm_proceeds-SUM($F$97:CA97))</f>
        <v>0</v>
      </c>
      <c r="CB98" s="443">
        <f>(CB4=sale_month)*(-perm_proceeds-SUM($F$97:CB97))</f>
        <v>0</v>
      </c>
      <c r="CC98" s="443">
        <f>(CC4=sale_month)*(-perm_proceeds-SUM($F$97:CC97))</f>
        <v>0</v>
      </c>
      <c r="CD98" s="443">
        <f>(CD4=sale_month)*(-perm_proceeds-SUM($F$97:CD97))</f>
        <v>0</v>
      </c>
      <c r="CE98" s="443">
        <f>(CE4=sale_month)*(-perm_proceeds-SUM($F$97:CE97))</f>
        <v>0</v>
      </c>
      <c r="CF98" s="443">
        <f>(CF4=sale_month)*(-perm_proceeds-SUM($F$97:CF97))</f>
        <v>0</v>
      </c>
      <c r="CG98" s="443">
        <f>(CG4=sale_month)*(-perm_proceeds-SUM($F$97:CG97))</f>
        <v>0</v>
      </c>
      <c r="CH98" s="443">
        <f>(CH4=sale_month)*(-perm_proceeds-SUM($F$97:CH97))</f>
        <v>0</v>
      </c>
      <c r="CI98" s="443">
        <f>(CI4=sale_month)*(-perm_proceeds-SUM($F$97:CI97))</f>
        <v>0</v>
      </c>
      <c r="CJ98" s="443">
        <f>(CJ4=sale_month)*(-perm_proceeds-SUM($F$97:CJ97))</f>
        <v>0</v>
      </c>
      <c r="CK98" s="443">
        <f>(CK4=sale_month)*(-perm_proceeds-SUM($F$97:CK97))</f>
        <v>0</v>
      </c>
      <c r="CL98" s="443">
        <f>(CL4=sale_month)*(-perm_proceeds-SUM($F$97:CL97))</f>
        <v>0</v>
      </c>
      <c r="CM98" s="443">
        <f>(CM4=sale_month)*(-perm_proceeds-SUM($F$97:CM97))</f>
        <v>0</v>
      </c>
      <c r="CN98" s="443">
        <f>(CN4=sale_month)*(-perm_proceeds-SUM($F$97:CN97))</f>
        <v>0</v>
      </c>
      <c r="CO98" s="443">
        <f>(CO4=sale_month)*(-perm_proceeds-SUM($F$97:CO97))</f>
        <v>-45934519.248148225</v>
      </c>
      <c r="CP98" s="443">
        <f>(CP4=sale_month)*(-perm_proceeds-SUM($F$97:CP97))</f>
        <v>0</v>
      </c>
      <c r="CQ98" s="443">
        <f>(CQ4=sale_month)*(-perm_proceeds-SUM($F$97:CQ97))</f>
        <v>0</v>
      </c>
      <c r="CR98" s="443">
        <f>(CR4=sale_month)*(-perm_proceeds-SUM($F$97:CR97))</f>
        <v>0</v>
      </c>
      <c r="CS98" s="443">
        <f>(CS4=sale_month)*(-perm_proceeds-SUM($F$97:CS97))</f>
        <v>0</v>
      </c>
      <c r="CT98" s="443">
        <f>(CT4=sale_month)*(-perm_proceeds-SUM($F$97:CT97))</f>
        <v>0</v>
      </c>
      <c r="CU98" s="443">
        <f>(CU4=sale_month)*(-perm_proceeds-SUM($F$97:CU97))</f>
        <v>0</v>
      </c>
      <c r="CV98" s="443">
        <f>(CV4=sale_month)*(-perm_proceeds-SUM($F$97:CV97))</f>
        <v>0</v>
      </c>
      <c r="CW98" s="443">
        <f>(CW4=sale_month)*(-perm_proceeds-SUM($F$97:CW97))</f>
        <v>0</v>
      </c>
      <c r="CX98" s="443">
        <f>(CX4=sale_month)*(-perm_proceeds-SUM($F$97:CX97))</f>
        <v>0</v>
      </c>
      <c r="CY98" s="443">
        <f>(CY4=sale_month)*(-perm_proceeds-SUM($F$97:CY97))</f>
        <v>0</v>
      </c>
      <c r="CZ98" s="443">
        <f>(CZ4=sale_month)*(-perm_proceeds-SUM($F$97:CZ97))</f>
        <v>0</v>
      </c>
      <c r="DA98" s="443">
        <f>(DA4=sale_month)*(-perm_proceeds-SUM($F$97:DA97))</f>
        <v>0</v>
      </c>
      <c r="DB98" s="443">
        <f>(DB4=sale_month)*(-perm_proceeds-SUM($F$97:DB97))</f>
        <v>0</v>
      </c>
      <c r="DC98" s="443">
        <f>(DC4=sale_month)*(-perm_proceeds-SUM($F$97:DC97))</f>
        <v>0</v>
      </c>
      <c r="DD98" s="443">
        <f>(DD4=sale_month)*(-perm_proceeds-SUM($F$97:DD97))</f>
        <v>0</v>
      </c>
      <c r="DE98" s="443">
        <f>(DE4=sale_month)*(-perm_proceeds-SUM($F$97:DE97))</f>
        <v>0</v>
      </c>
      <c r="DF98" s="443">
        <f>(DF4=sale_month)*(-perm_proceeds-SUM($F$97:DF97))</f>
        <v>0</v>
      </c>
      <c r="DG98" s="443">
        <f>(DG4=sale_month)*(-perm_proceeds-SUM($F$97:DG97))</f>
        <v>0</v>
      </c>
      <c r="DH98" s="443">
        <f>(DH4=sale_month)*(-perm_proceeds-SUM($F$97:DH97))</f>
        <v>0</v>
      </c>
      <c r="DI98" s="443">
        <f>(DI4=sale_month)*(-perm_proceeds-SUM($F$97:DI97))</f>
        <v>0</v>
      </c>
      <c r="DJ98" s="443">
        <f>(DJ4=sale_month)*(-perm_proceeds-SUM($F$97:DJ97))</f>
        <v>0</v>
      </c>
      <c r="DK98" s="443">
        <f>(DK4=sale_month)*(-perm_proceeds-SUM($F$97:DK97))</f>
        <v>0</v>
      </c>
      <c r="DL98" s="443">
        <f>(DL4=sale_month)*(-perm_proceeds-SUM($F$97:DL97))</f>
        <v>0</v>
      </c>
      <c r="DM98" s="443">
        <f>(DM4=sale_month)*(-perm_proceeds-SUM($F$97:DM97))</f>
        <v>0</v>
      </c>
      <c r="DN98" s="443">
        <f>(DN4=sale_month)*(-perm_proceeds-SUM($F$97:DN97))</f>
        <v>0</v>
      </c>
      <c r="DO98" s="443">
        <f>(DO4=sale_month)*(-perm_proceeds-SUM($F$97:DO97))</f>
        <v>0</v>
      </c>
      <c r="DP98" s="443">
        <f>(DP4=sale_month)*(-perm_proceeds-SUM($F$97:DP97))</f>
        <v>0</v>
      </c>
      <c r="DQ98" s="443">
        <f>(DQ4=sale_month)*(-perm_proceeds-SUM($F$97:DQ97))</f>
        <v>0</v>
      </c>
      <c r="DR98" s="443">
        <f>(DR4=sale_month)*(-perm_proceeds-SUM($F$97:DR97))</f>
        <v>0</v>
      </c>
      <c r="DS98" s="443">
        <f>(DS4=sale_month)*(-perm_proceeds-SUM($F$97:DS97))</f>
        <v>0</v>
      </c>
      <c r="DT98" s="443">
        <f>(DT4=sale_month)*(-perm_proceeds-SUM($F$97:DT97))</f>
        <v>0</v>
      </c>
      <c r="DU98" s="443">
        <f>(DU4=sale_month)*(-perm_proceeds-SUM($F$97:DU97))</f>
        <v>0</v>
      </c>
    </row>
    <row r="99" spans="1:125" x14ac:dyDescent="0.25">
      <c r="D99" s="387"/>
      <c r="F99" s="388"/>
      <c r="G99" s="388"/>
      <c r="H99" s="388"/>
      <c r="I99" s="388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90"/>
      <c r="V99" s="390"/>
      <c r="W99" s="390"/>
      <c r="X99" s="390"/>
      <c r="Y99" s="390"/>
      <c r="Z99" s="390"/>
      <c r="AA99" s="390"/>
      <c r="AB99" s="390"/>
      <c r="AC99" s="390"/>
      <c r="AD99" s="390"/>
      <c r="AE99" s="390"/>
      <c r="AF99" s="390"/>
      <c r="AG99" s="390"/>
      <c r="AH99" s="390"/>
      <c r="AI99" s="390"/>
      <c r="AJ99" s="390"/>
      <c r="AK99" s="390"/>
      <c r="AL99" s="390"/>
      <c r="AM99" s="390"/>
      <c r="AN99" s="390"/>
      <c r="AO99" s="390"/>
      <c r="AP99" s="390"/>
      <c r="AQ99" s="390"/>
      <c r="AR99" s="390"/>
      <c r="AS99" s="390"/>
      <c r="AT99" s="390"/>
      <c r="AU99" s="390"/>
      <c r="AV99" s="390"/>
      <c r="AW99" s="390"/>
      <c r="AX99" s="390"/>
      <c r="AY99" s="390"/>
      <c r="AZ99" s="390"/>
      <c r="BA99" s="390"/>
      <c r="BB99" s="390"/>
      <c r="BC99" s="390"/>
      <c r="BD99" s="390"/>
      <c r="BE99" s="390"/>
      <c r="BF99" s="390"/>
      <c r="BG99" s="390"/>
      <c r="BH99" s="390"/>
      <c r="BI99" s="390"/>
      <c r="BJ99" s="390"/>
      <c r="BK99" s="390"/>
      <c r="BL99" s="390"/>
      <c r="BM99" s="390"/>
      <c r="BN99" s="390"/>
      <c r="BO99" s="390"/>
      <c r="BP99" s="390"/>
      <c r="BQ99" s="390"/>
      <c r="BR99" s="390"/>
      <c r="BS99" s="390"/>
      <c r="BT99" s="390"/>
      <c r="BU99" s="390"/>
      <c r="BV99" s="390"/>
      <c r="BW99" s="390"/>
      <c r="BX99" s="390"/>
      <c r="BY99" s="390"/>
      <c r="BZ99" s="390"/>
      <c r="CA99" s="390"/>
      <c r="CB99" s="390"/>
      <c r="CC99" s="390"/>
      <c r="CD99" s="390"/>
      <c r="CE99" s="390"/>
      <c r="CF99" s="390"/>
      <c r="CG99" s="390"/>
      <c r="CH99" s="390"/>
      <c r="CI99" s="390"/>
      <c r="CJ99" s="390"/>
      <c r="CK99" s="390"/>
      <c r="CL99" s="390"/>
      <c r="CM99" s="390"/>
      <c r="CN99" s="390"/>
      <c r="CO99" s="390"/>
      <c r="CP99" s="390"/>
      <c r="CQ99" s="390"/>
      <c r="CR99" s="390"/>
      <c r="CS99" s="390"/>
      <c r="CT99" s="390"/>
      <c r="CU99" s="390"/>
      <c r="CV99" s="390"/>
      <c r="CW99" s="390"/>
      <c r="CX99" s="390"/>
      <c r="CY99" s="390"/>
      <c r="CZ99" s="390"/>
      <c r="DA99" s="390"/>
      <c r="DB99" s="390"/>
      <c r="DC99" s="390"/>
      <c r="DD99" s="390"/>
      <c r="DE99" s="390"/>
      <c r="DF99" s="390"/>
      <c r="DG99" s="390"/>
      <c r="DH99" s="390"/>
      <c r="DI99" s="390"/>
      <c r="DJ99" s="390"/>
      <c r="DK99" s="390"/>
      <c r="DL99" s="390"/>
      <c r="DM99" s="390"/>
      <c r="DN99" s="390"/>
      <c r="DO99" s="390"/>
      <c r="DP99" s="390"/>
      <c r="DQ99" s="390"/>
      <c r="DR99" s="390"/>
      <c r="DS99" s="390"/>
      <c r="DT99" s="390"/>
      <c r="DU99" s="390"/>
    </row>
    <row r="100" spans="1:125" x14ac:dyDescent="0.25">
      <c r="A100" s="385" t="s">
        <v>533</v>
      </c>
      <c r="D100" s="463">
        <f>SUM(F100:HB100)</f>
        <v>17170572.192158204</v>
      </c>
      <c r="F100" s="469">
        <f t="shared" ref="F100:AK100" si="134">-F81+F56+F95+F96+F97+F98+F92+F106+F107+F108+F109</f>
        <v>-15820.442152306528</v>
      </c>
      <c r="G100" s="469">
        <f t="shared" si="134"/>
        <v>0</v>
      </c>
      <c r="H100" s="469">
        <f t="shared" si="134"/>
        <v>0</v>
      </c>
      <c r="I100" s="469">
        <f t="shared" si="134"/>
        <v>-1601600</v>
      </c>
      <c r="J100" s="475">
        <f t="shared" si="134"/>
        <v>-356854.17191853077</v>
      </c>
      <c r="K100" s="475">
        <f t="shared" si="134"/>
        <v>-386472.58540693863</v>
      </c>
      <c r="L100" s="475">
        <f t="shared" si="134"/>
        <v>-402191.2749999793</v>
      </c>
      <c r="M100" s="475">
        <f t="shared" si="134"/>
        <v>-11033528.401349967</v>
      </c>
      <c r="N100" s="475">
        <f t="shared" si="134"/>
        <v>-386472.58540693927</v>
      </c>
      <c r="O100" s="475">
        <f t="shared" si="134"/>
        <v>-356854.17191853048</v>
      </c>
      <c r="P100" s="475">
        <f t="shared" si="134"/>
        <v>-8267701.3258147696</v>
      </c>
      <c r="Q100" s="475">
        <f t="shared" si="134"/>
        <v>-1034113.4954349548</v>
      </c>
      <c r="R100" s="475">
        <f t="shared" si="134"/>
        <v>0</v>
      </c>
      <c r="S100" s="475">
        <f t="shared" si="134"/>
        <v>0</v>
      </c>
      <c r="T100" s="475">
        <f t="shared" si="134"/>
        <v>0</v>
      </c>
      <c r="U100" s="471">
        <f t="shared" si="134"/>
        <v>0</v>
      </c>
      <c r="V100" s="471">
        <f t="shared" si="134"/>
        <v>0</v>
      </c>
      <c r="W100" s="471">
        <f t="shared" si="134"/>
        <v>0</v>
      </c>
      <c r="X100" s="471">
        <f t="shared" si="134"/>
        <v>0</v>
      </c>
      <c r="Y100" s="471">
        <f t="shared" si="134"/>
        <v>0</v>
      </c>
      <c r="Z100" s="471">
        <f t="shared" si="134"/>
        <v>0</v>
      </c>
      <c r="AA100" s="471">
        <f t="shared" si="134"/>
        <v>0</v>
      </c>
      <c r="AB100" s="471">
        <f t="shared" si="134"/>
        <v>0</v>
      </c>
      <c r="AC100" s="471">
        <f t="shared" si="134"/>
        <v>0</v>
      </c>
      <c r="AD100" s="471">
        <f t="shared" si="134"/>
        <v>0</v>
      </c>
      <c r="AE100" s="471">
        <f t="shared" si="134"/>
        <v>0</v>
      </c>
      <c r="AF100" s="471">
        <f t="shared" si="134"/>
        <v>0</v>
      </c>
      <c r="AG100" s="471">
        <f t="shared" si="134"/>
        <v>0</v>
      </c>
      <c r="AH100" s="471">
        <f t="shared" si="134"/>
        <v>0</v>
      </c>
      <c r="AI100" s="471">
        <f t="shared" si="134"/>
        <v>0</v>
      </c>
      <c r="AJ100" s="471">
        <f t="shared" si="134"/>
        <v>0</v>
      </c>
      <c r="AK100" s="471">
        <f t="shared" si="134"/>
        <v>0</v>
      </c>
      <c r="AL100" s="471">
        <f t="shared" ref="AL100:BQ100" si="135">-AL81+AL56+AL95+AL96+AL97+AL98+AL92+AL106+AL107+AL108+AL109</f>
        <v>18649884.010827802</v>
      </c>
      <c r="AM100" s="471">
        <f t="shared" si="135"/>
        <v>133813.93137814384</v>
      </c>
      <c r="AN100" s="471">
        <f t="shared" si="135"/>
        <v>134602.53233435564</v>
      </c>
      <c r="AO100" s="471">
        <f t="shared" si="135"/>
        <v>135392.6576396639</v>
      </c>
      <c r="AP100" s="471">
        <f t="shared" si="135"/>
        <v>136184.31019247149</v>
      </c>
      <c r="AQ100" s="471">
        <f t="shared" si="135"/>
        <v>136977.49289656733</v>
      </c>
      <c r="AR100" s="471">
        <f t="shared" si="135"/>
        <v>137772.20866113831</v>
      </c>
      <c r="AS100" s="471">
        <f t="shared" si="135"/>
        <v>138568.46040077711</v>
      </c>
      <c r="AT100" s="471">
        <f t="shared" si="135"/>
        <v>139366.25103549333</v>
      </c>
      <c r="AU100" s="471">
        <f t="shared" si="135"/>
        <v>140165.58349072223</v>
      </c>
      <c r="AV100" s="471">
        <f t="shared" si="135"/>
        <v>140966.46069733496</v>
      </c>
      <c r="AW100" s="471">
        <f t="shared" si="135"/>
        <v>141768.88559164864</v>
      </c>
      <c r="AX100" s="471">
        <f t="shared" si="135"/>
        <v>142572.86111543537</v>
      </c>
      <c r="AY100" s="471">
        <f t="shared" si="135"/>
        <v>143378.39021593228</v>
      </c>
      <c r="AZ100" s="471">
        <f t="shared" si="135"/>
        <v>144185.47584585217</v>
      </c>
      <c r="BA100" s="471">
        <f t="shared" si="135"/>
        <v>144994.12096339179</v>
      </c>
      <c r="BB100" s="471">
        <f t="shared" si="135"/>
        <v>145804.32853224373</v>
      </c>
      <c r="BC100" s="471">
        <f t="shared" si="135"/>
        <v>146616.101521604</v>
      </c>
      <c r="BD100" s="471">
        <f t="shared" si="135"/>
        <v>147429.44290618383</v>
      </c>
      <c r="BE100" s="471">
        <f t="shared" si="135"/>
        <v>148244.35566621856</v>
      </c>
      <c r="BF100" s="471">
        <f t="shared" si="135"/>
        <v>149060.84278747812</v>
      </c>
      <c r="BG100" s="471">
        <f t="shared" si="135"/>
        <v>149878.90726127604</v>
      </c>
      <c r="BH100" s="471">
        <f t="shared" si="135"/>
        <v>150698.55208448065</v>
      </c>
      <c r="BI100" s="471">
        <f t="shared" si="135"/>
        <v>151519.78025952412</v>
      </c>
      <c r="BJ100" s="471">
        <f t="shared" si="135"/>
        <v>152342.59479441296</v>
      </c>
      <c r="BK100" s="471">
        <f t="shared" si="135"/>
        <v>153166.99870273791</v>
      </c>
      <c r="BL100" s="471">
        <f t="shared" si="135"/>
        <v>153992.99500368361</v>
      </c>
      <c r="BM100" s="471">
        <f t="shared" si="135"/>
        <v>154820.58672203915</v>
      </c>
      <c r="BN100" s="471">
        <f t="shared" si="135"/>
        <v>155649.77688820777</v>
      </c>
      <c r="BO100" s="471">
        <f t="shared" si="135"/>
        <v>156480.56853821757</v>
      </c>
      <c r="BP100" s="471">
        <f t="shared" si="135"/>
        <v>157312.96471373033</v>
      </c>
      <c r="BQ100" s="471">
        <f t="shared" si="135"/>
        <v>158146.9684620531</v>
      </c>
      <c r="BR100" s="471">
        <f t="shared" ref="BR100:CW100" si="136">-BR81+BR56+BR95+BR96+BR97+BR98+BR92+BR106+BR107+BR108+BR109</f>
        <v>158982.58283614716</v>
      </c>
      <c r="BS100" s="471">
        <f t="shared" si="136"/>
        <v>159819.81089463888</v>
      </c>
      <c r="BT100" s="471">
        <f t="shared" si="136"/>
        <v>160658.6557018297</v>
      </c>
      <c r="BU100" s="471">
        <f t="shared" si="136"/>
        <v>161499.12032770622</v>
      </c>
      <c r="BV100" s="471">
        <f t="shared" si="136"/>
        <v>162341.20784795005</v>
      </c>
      <c r="BW100" s="471">
        <f t="shared" si="136"/>
        <v>163184.92134394927</v>
      </c>
      <c r="BX100" s="471">
        <f t="shared" si="136"/>
        <v>164030.26390280679</v>
      </c>
      <c r="BY100" s="471">
        <f t="shared" si="136"/>
        <v>164877.23861735244</v>
      </c>
      <c r="BZ100" s="471">
        <f t="shared" si="136"/>
        <v>165725.84858615173</v>
      </c>
      <c r="CA100" s="471">
        <f t="shared" si="136"/>
        <v>166576.09691351745</v>
      </c>
      <c r="CB100" s="471">
        <f t="shared" si="136"/>
        <v>167427.98670951894</v>
      </c>
      <c r="CC100" s="471">
        <f t="shared" si="136"/>
        <v>168281.52108999278</v>
      </c>
      <c r="CD100" s="471">
        <f t="shared" si="136"/>
        <v>169136.7031765533</v>
      </c>
      <c r="CE100" s="471">
        <f t="shared" si="136"/>
        <v>169993.53609660279</v>
      </c>
      <c r="CF100" s="471">
        <f t="shared" si="136"/>
        <v>170852.02298334183</v>
      </c>
      <c r="CG100" s="471">
        <f t="shared" si="136"/>
        <v>171712.16697577969</v>
      </c>
      <c r="CH100" s="471">
        <f t="shared" si="136"/>
        <v>172573.97121874487</v>
      </c>
      <c r="CI100" s="471">
        <f t="shared" si="136"/>
        <v>173437.43886289548</v>
      </c>
      <c r="CJ100" s="471">
        <f t="shared" si="136"/>
        <v>174302.57306472899</v>
      </c>
      <c r="CK100" s="471">
        <f t="shared" si="136"/>
        <v>175169.37698659417</v>
      </c>
      <c r="CL100" s="471">
        <f t="shared" si="136"/>
        <v>176037.85379670042</v>
      </c>
      <c r="CM100" s="471">
        <f t="shared" si="136"/>
        <v>176908.00666912843</v>
      </c>
      <c r="CN100" s="471">
        <f t="shared" si="136"/>
        <v>177779.83878384082</v>
      </c>
      <c r="CO100" s="471">
        <f t="shared" si="136"/>
        <v>13969112.505043827</v>
      </c>
      <c r="CP100" s="471">
        <f t="shared" si="136"/>
        <v>0</v>
      </c>
      <c r="CQ100" s="471">
        <f t="shared" si="136"/>
        <v>0</v>
      </c>
      <c r="CR100" s="471">
        <f t="shared" si="136"/>
        <v>0</v>
      </c>
      <c r="CS100" s="471">
        <f t="shared" si="136"/>
        <v>0</v>
      </c>
      <c r="CT100" s="471">
        <f t="shared" si="136"/>
        <v>0</v>
      </c>
      <c r="CU100" s="471">
        <f t="shared" si="136"/>
        <v>0</v>
      </c>
      <c r="CV100" s="471">
        <f t="shared" si="136"/>
        <v>0</v>
      </c>
      <c r="CW100" s="471">
        <f t="shared" si="136"/>
        <v>0</v>
      </c>
      <c r="CX100" s="471">
        <f t="shared" ref="CX100:DU100" si="137">-CX81+CX56+CX95+CX96+CX97+CX98+CX92+CX106+CX107+CX108+CX109</f>
        <v>0</v>
      </c>
      <c r="CY100" s="471">
        <f t="shared" si="137"/>
        <v>0</v>
      </c>
      <c r="CZ100" s="471">
        <f t="shared" si="137"/>
        <v>0</v>
      </c>
      <c r="DA100" s="471">
        <f t="shared" si="137"/>
        <v>0</v>
      </c>
      <c r="DB100" s="471">
        <f t="shared" si="137"/>
        <v>0</v>
      </c>
      <c r="DC100" s="471">
        <f t="shared" si="137"/>
        <v>0</v>
      </c>
      <c r="DD100" s="471">
        <f t="shared" si="137"/>
        <v>0</v>
      </c>
      <c r="DE100" s="471">
        <f t="shared" si="137"/>
        <v>0</v>
      </c>
      <c r="DF100" s="471">
        <f t="shared" si="137"/>
        <v>0</v>
      </c>
      <c r="DG100" s="471">
        <f t="shared" si="137"/>
        <v>0</v>
      </c>
      <c r="DH100" s="471">
        <f t="shared" si="137"/>
        <v>0</v>
      </c>
      <c r="DI100" s="471">
        <f t="shared" si="137"/>
        <v>0</v>
      </c>
      <c r="DJ100" s="471">
        <f t="shared" si="137"/>
        <v>0</v>
      </c>
      <c r="DK100" s="471">
        <f t="shared" si="137"/>
        <v>0</v>
      </c>
      <c r="DL100" s="471">
        <f t="shared" si="137"/>
        <v>0</v>
      </c>
      <c r="DM100" s="471">
        <f t="shared" si="137"/>
        <v>0</v>
      </c>
      <c r="DN100" s="471">
        <f t="shared" si="137"/>
        <v>0</v>
      </c>
      <c r="DO100" s="471">
        <f t="shared" si="137"/>
        <v>0</v>
      </c>
      <c r="DP100" s="471">
        <f t="shared" si="137"/>
        <v>0</v>
      </c>
      <c r="DQ100" s="471">
        <f t="shared" si="137"/>
        <v>0</v>
      </c>
      <c r="DR100" s="471">
        <f t="shared" si="137"/>
        <v>0</v>
      </c>
      <c r="DS100" s="471">
        <f t="shared" si="137"/>
        <v>0</v>
      </c>
      <c r="DT100" s="471">
        <f t="shared" si="137"/>
        <v>0</v>
      </c>
      <c r="DU100" s="471">
        <f t="shared" si="137"/>
        <v>0</v>
      </c>
    </row>
    <row r="102" spans="1:125" x14ac:dyDescent="0.25">
      <c r="B102" t="s">
        <v>534</v>
      </c>
      <c r="F102" s="476">
        <f>XIRR(F73:DM73,F4:DM4)</f>
        <v>9.7391468286514266E-2</v>
      </c>
    </row>
    <row r="103" spans="1:125" x14ac:dyDescent="0.25">
      <c r="B103" t="s">
        <v>535</v>
      </c>
      <c r="F103" s="476">
        <f>XIRR(F100:DM100,F4:DM4)</f>
        <v>0.15538478493690497</v>
      </c>
    </row>
    <row r="104" spans="1:125" x14ac:dyDescent="0.25">
      <c r="B104" t="s">
        <v>373</v>
      </c>
      <c r="F104" s="477">
        <f>SUMIF(F100:DM100,"&gt;0")/-SUMIF(F100:DM100,"&lt;0")</f>
        <v>1.720193531614989</v>
      </c>
    </row>
    <row r="106" spans="1:125" x14ac:dyDescent="0.25">
      <c r="D106" s="387" t="inlineStr">
        <is>
          <t>Sub Loan Proceeds</t>
        </is>
      </c>
      <c r="F106" s="441">
        <f>(F4=refinance_date)*('(Z+) Financing'!$D$43)</f>
        <v>0</v>
      </c>
      <c r="G106" s="441">
        <f>(G4=refinance_date)*('(Z+) Financing'!$D$43)</f>
        <v>0</v>
      </c>
      <c r="H106" s="441">
        <f>(H4=refinance_date)*('(Z+) Financing'!$D$43)</f>
        <v>0</v>
      </c>
      <c r="I106" s="441">
        <f>(I4=refinance_date)*('(Z+) Financing'!$D$43)</f>
        <v>0</v>
      </c>
      <c r="J106" s="442">
        <f>(J4=refinance_date)*('(Z+) Financing'!$D$43)</f>
        <v>0</v>
      </c>
      <c r="K106" s="442">
        <f>(K4=refinance_date)*('(Z+) Financing'!$D$43)</f>
        <v>0</v>
      </c>
      <c r="L106" s="442">
        <f>(L4=refinance_date)*('(Z+) Financing'!$D$43)</f>
        <v>0</v>
      </c>
      <c r="M106" s="442">
        <f>(M4=refinance_date)*('(Z+) Financing'!$D$43)</f>
        <v>0</v>
      </c>
      <c r="N106" s="442">
        <f>(N4=refinance_date)*('(Z+) Financing'!$D$43)</f>
        <v>0</v>
      </c>
      <c r="O106" s="442">
        <f>(O4=refinance_date)*('(Z+) Financing'!$D$43)</f>
        <v>0</v>
      </c>
      <c r="P106" s="442">
        <f>(P4=refinance_date)*('(Z+) Financing'!$D$43)</f>
        <v>0</v>
      </c>
      <c r="Q106" s="442">
        <f>(Q4=refinance_date)*('(Z+) Financing'!$D$43)</f>
        <v>0</v>
      </c>
      <c r="R106" s="442">
        <f>(R4=refinance_date)*('(Z+) Financing'!$D$43)</f>
        <v>0</v>
      </c>
      <c r="S106" s="442">
        <f>(S4=refinance_date)*('(Z+) Financing'!$D$43)</f>
        <v>0</v>
      </c>
      <c r="T106" s="442">
        <f>(T4=refinance_date)*('(Z+) Financing'!$D$43)</f>
        <v>0</v>
      </c>
      <c r="U106" s="443">
        <f>(U4=refinance_date)*('(Z+) Financing'!$D$43)</f>
        <v>0</v>
      </c>
      <c r="V106" s="443">
        <f>(V4=refinance_date)*('(Z+) Financing'!$D$43)</f>
        <v>0</v>
      </c>
      <c r="W106" s="443">
        <f>(W4=refinance_date)*('(Z+) Financing'!$D$43)</f>
        <v>0</v>
      </c>
      <c r="X106" s="443">
        <f>(X4=refinance_date)*('(Z+) Financing'!$D$43)</f>
        <v>0</v>
      </c>
      <c r="Y106" s="443">
        <f>(Y4=refinance_date)*('(Z+) Financing'!$D$43)</f>
        <v>0</v>
      </c>
      <c r="Z106" s="443">
        <f>(Z4=refinance_date)*('(Z+) Financing'!$D$43)</f>
        <v>0</v>
      </c>
      <c r="AA106" s="443">
        <f>(AA4=refinance_date)*('(Z+) Financing'!$D$43)</f>
        <v>0</v>
      </c>
      <c r="AB106" s="443">
        <f>(AB4=refinance_date)*('(Z+) Financing'!$D$43)</f>
        <v>0</v>
      </c>
      <c r="AC106" s="443">
        <f>(AC4=refinance_date)*('(Z+) Financing'!$D$43)</f>
        <v>0</v>
      </c>
      <c r="AD106" s="443">
        <f>(AD4=refinance_date)*('(Z+) Financing'!$D$43)</f>
        <v>0</v>
      </c>
      <c r="AE106" s="443">
        <f>(AE4=refinance_date)*('(Z+) Financing'!$D$43)</f>
        <v>0</v>
      </c>
      <c r="AF106" s="443">
        <f>(AF4=refinance_date)*('(Z+) Financing'!$D$43)</f>
        <v>0</v>
      </c>
      <c r="AG106" s="443">
        <f>(AG4=refinance_date)*('(Z+) Financing'!$D$43)</f>
        <v>0</v>
      </c>
      <c r="AH106" s="443">
        <f>(AH4=refinance_date)*('(Z+) Financing'!$D$43)</f>
        <v>0</v>
      </c>
      <c r="AI106" s="443">
        <f>(AI4=refinance_date)*('(Z+) Financing'!$D$43)</f>
        <v>0</v>
      </c>
      <c r="AJ106" s="443">
        <f>(AJ4=refinance_date)*('(Z+) Financing'!$D$43)</f>
        <v>0</v>
      </c>
      <c r="AK106" s="443">
        <f>(AK4=refinance_date)*('(Z+) Financing'!$D$43)</f>
        <v>0</v>
      </c>
      <c r="AL106" s="443">
        <f>(AL4=refinance_date)*('(Z+) Financing'!$D$43)</f>
        <v>0</v>
      </c>
      <c r="AM106" s="443">
        <f>(AM4=refinance_date)*('(Z+) Financing'!$D$43)</f>
        <v>0</v>
      </c>
      <c r="AN106" s="443">
        <f>(AN4=refinance_date)*('(Z+) Financing'!$D$43)</f>
        <v>0</v>
      </c>
      <c r="AO106" s="443">
        <f>(AO4=refinance_date)*('(Z+) Financing'!$D$43)</f>
        <v>0</v>
      </c>
      <c r="AP106" s="443">
        <f>(AP4=refinance_date)*('(Z+) Financing'!$D$43)</f>
        <v>0</v>
      </c>
      <c r="AQ106" s="443">
        <f>(AQ4=refinance_date)*('(Z+) Financing'!$D$43)</f>
        <v>0</v>
      </c>
      <c r="AR106" s="443">
        <f>(AR4=refinance_date)*('(Z+) Financing'!$D$43)</f>
        <v>0</v>
      </c>
      <c r="AS106" s="443">
        <f>(AS4=refinance_date)*('(Z+) Financing'!$D$43)</f>
        <v>0</v>
      </c>
      <c r="AT106" s="443">
        <f>(AT4=refinance_date)*('(Z+) Financing'!$D$43)</f>
        <v>0</v>
      </c>
      <c r="AU106" s="443">
        <f>(AU4=refinance_date)*('(Z+) Financing'!$D$43)</f>
        <v>0</v>
      </c>
      <c r="AV106" s="443">
        <f>(AV4=refinance_date)*('(Z+) Financing'!$D$43)</f>
        <v>0</v>
      </c>
      <c r="AW106" s="443">
        <f>(AW4=refinance_date)*('(Z+) Financing'!$D$43)</f>
        <v>0</v>
      </c>
      <c r="AX106" s="443">
        <f>(AX4=refinance_date)*('(Z+) Financing'!$D$43)</f>
        <v>0</v>
      </c>
      <c r="AY106" s="443">
        <f>(AY4=refinance_date)*('(Z+) Financing'!$D$43)</f>
        <v>0</v>
      </c>
      <c r="AZ106" s="443">
        <f>(AZ4=refinance_date)*('(Z+) Financing'!$D$43)</f>
        <v>0</v>
      </c>
      <c r="BA106" s="443">
        <f>(BA4=refinance_date)*('(Z+) Financing'!$D$43)</f>
        <v>0</v>
      </c>
      <c r="BB106" s="443">
        <f>(BB4=refinance_date)*('(Z+) Financing'!$D$43)</f>
        <v>0</v>
      </c>
      <c r="BC106" s="443">
        <f>(BC4=refinance_date)*('(Z+) Financing'!$D$43)</f>
        <v>0</v>
      </c>
      <c r="BD106" s="443">
        <f>(BD4=refinance_date)*('(Z+) Financing'!$D$43)</f>
        <v>0</v>
      </c>
      <c r="BE106" s="443">
        <f>(BE4=refinance_date)*('(Z+) Financing'!$D$43)</f>
        <v>0</v>
      </c>
      <c r="BF106" s="443">
        <f>(BF4=refinance_date)*('(Z+) Financing'!$D$43)</f>
        <v>0</v>
      </c>
      <c r="BG106" s="443">
        <f>(BG4=refinance_date)*('(Z+) Financing'!$D$43)</f>
        <v>0</v>
      </c>
      <c r="BH106" s="443">
        <f>(BH4=refinance_date)*('(Z+) Financing'!$D$43)</f>
        <v>0</v>
      </c>
      <c r="BI106" s="443">
        <f>(BI4=refinance_date)*('(Z+) Financing'!$D$43)</f>
        <v>0</v>
      </c>
      <c r="BJ106" s="443">
        <f>(BJ4=refinance_date)*('(Z+) Financing'!$D$43)</f>
        <v>0</v>
      </c>
      <c r="BK106" s="443">
        <f>(BK4=refinance_date)*('(Z+) Financing'!$D$43)</f>
        <v>0</v>
      </c>
      <c r="BL106" s="443">
        <f>(BL4=refinance_date)*('(Z+) Financing'!$D$43)</f>
        <v>0</v>
      </c>
      <c r="BM106" s="443">
        <f>(BM4=refinance_date)*('(Z+) Financing'!$D$43)</f>
        <v>0</v>
      </c>
      <c r="BN106" s="443">
        <f>(BN4=refinance_date)*('(Z+) Financing'!$D$43)</f>
        <v>0</v>
      </c>
      <c r="BO106" s="443">
        <f>(BO4=refinance_date)*('(Z+) Financing'!$D$43)</f>
        <v>0</v>
      </c>
      <c r="BP106" s="443">
        <f>(BP4=refinance_date)*('(Z+) Financing'!$D$43)</f>
        <v>0</v>
      </c>
      <c r="BQ106" s="443">
        <f>(BQ4=refinance_date)*('(Z+) Financing'!$D$43)</f>
        <v>0</v>
      </c>
      <c r="BR106" s="443">
        <f>(BR4=refinance_date)*('(Z+) Financing'!$D$43)</f>
        <v>0</v>
      </c>
      <c r="BS106" s="443">
        <f>(BS4=refinance_date)*('(Z+) Financing'!$D$43)</f>
        <v>0</v>
      </c>
      <c r="BT106" s="443">
        <f>(BT4=refinance_date)*('(Z+) Financing'!$D$43)</f>
        <v>0</v>
      </c>
      <c r="BU106" s="443">
        <f>(BU4=refinance_date)*('(Z+) Financing'!$D$43)</f>
        <v>0</v>
      </c>
      <c r="BV106" s="443">
        <f>(BV4=refinance_date)*('(Z+) Financing'!$D$43)</f>
        <v>0</v>
      </c>
      <c r="BW106" s="443">
        <f>(BW4=refinance_date)*('(Z+) Financing'!$D$43)</f>
        <v>0</v>
      </c>
      <c r="BX106" s="443">
        <f>(BX4=refinance_date)*('(Z+) Financing'!$D$43)</f>
        <v>0</v>
      </c>
      <c r="BY106" s="443">
        <f>(BY4=refinance_date)*('(Z+) Financing'!$D$43)</f>
        <v>0</v>
      </c>
      <c r="BZ106" s="443">
        <f>(BZ4=refinance_date)*('(Z+) Financing'!$D$43)</f>
        <v>0</v>
      </c>
      <c r="CA106" s="443">
        <f>(CA4=refinance_date)*('(Z+) Financing'!$D$43)</f>
        <v>0</v>
      </c>
      <c r="CB106" s="443">
        <f>(CB4=refinance_date)*('(Z+) Financing'!$D$43)</f>
        <v>0</v>
      </c>
      <c r="CC106" s="443">
        <f>(CC4=refinance_date)*('(Z+) Financing'!$D$43)</f>
        <v>0</v>
      </c>
      <c r="CD106" s="443">
        <f>(CD4=refinance_date)*('(Z+) Financing'!$D$43)</f>
        <v>0</v>
      </c>
      <c r="CE106" s="443">
        <f>(CE4=refinance_date)*('(Z+) Financing'!$D$43)</f>
        <v>0</v>
      </c>
      <c r="CF106" s="443">
        <f>(CF4=refinance_date)*('(Z+) Financing'!$D$43)</f>
        <v>0</v>
      </c>
      <c r="CG106" s="443">
        <f>(CG4=refinance_date)*('(Z+) Financing'!$D$43)</f>
        <v>0</v>
      </c>
      <c r="CH106" s="443">
        <f>(CH4=refinance_date)*('(Z+) Financing'!$D$43)</f>
        <v>0</v>
      </c>
      <c r="CI106" s="443">
        <f>(CI4=refinance_date)*('(Z+) Financing'!$D$43)</f>
        <v>0</v>
      </c>
      <c r="CJ106" s="443">
        <f>(CJ4=refinance_date)*('(Z+) Financing'!$D$43)</f>
        <v>0</v>
      </c>
      <c r="CK106" s="443">
        <f>(CK4=refinance_date)*('(Z+) Financing'!$D$43)</f>
        <v>0</v>
      </c>
      <c r="CL106" s="443">
        <f>(CL4=refinance_date)*('(Z+) Financing'!$D$43)</f>
        <v>0</v>
      </c>
      <c r="CM106" s="443">
        <f>(CM4=refinance_date)*('(Z+) Financing'!$D$43)</f>
        <v>0</v>
      </c>
      <c r="CN106" s="443">
        <f>(CN4=refinance_date)*('(Z+) Financing'!$D$43)</f>
        <v>0</v>
      </c>
      <c r="CO106" s="443">
        <f>(CO4=refinance_date)*('(Z+) Financing'!$D$43)</f>
        <v>0</v>
      </c>
      <c r="CP106" s="443">
        <f>(CP4=refinance_date)*('(Z+) Financing'!$D$43)</f>
        <v>0</v>
      </c>
      <c r="CQ106" s="443">
        <f>(CQ4=refinance_date)*('(Z+) Financing'!$D$43)</f>
        <v>0</v>
      </c>
      <c r="CR106" s="443">
        <f>(CR4=refinance_date)*('(Z+) Financing'!$D$43)</f>
        <v>0</v>
      </c>
      <c r="CS106" s="443">
        <f>(CS4=refinance_date)*('(Z+) Financing'!$D$43)</f>
        <v>0</v>
      </c>
      <c r="CT106" s="443">
        <f>(CT4=refinance_date)*('(Z+) Financing'!$D$43)</f>
        <v>0</v>
      </c>
      <c r="CU106" s="443">
        <f>(CU4=refinance_date)*('(Z+) Financing'!$D$43)</f>
        <v>0</v>
      </c>
      <c r="CV106" s="443">
        <f>(CV4=refinance_date)*('(Z+) Financing'!$D$43)</f>
        <v>0</v>
      </c>
      <c r="CW106" s="443">
        <f>(CW4=refinance_date)*('(Z+) Financing'!$D$43)</f>
        <v>0</v>
      </c>
      <c r="CX106" s="443">
        <f>(CX4=refinance_date)*('(Z+) Financing'!$D$43)</f>
        <v>0</v>
      </c>
      <c r="CY106" s="443">
        <f>(CY4=refinance_date)*('(Z+) Financing'!$D$43)</f>
        <v>0</v>
      </c>
      <c r="CZ106" s="443">
        <f>(CZ4=refinance_date)*('(Z+) Financing'!$D$43)</f>
        <v>0</v>
      </c>
      <c r="DA106" s="443">
        <f>(DA4=refinance_date)*('(Z+) Financing'!$D$43)</f>
        <v>0</v>
      </c>
      <c r="DB106" s="443">
        <f>(DB4=refinance_date)*('(Z+) Financing'!$D$43)</f>
        <v>0</v>
      </c>
      <c r="DC106" s="443">
        <f>(DC4=refinance_date)*('(Z+) Financing'!$D$43)</f>
        <v>0</v>
      </c>
      <c r="DD106" s="443">
        <f>(DD4=refinance_date)*('(Z+) Financing'!$D$43)</f>
        <v>0</v>
      </c>
      <c r="DE106" s="443">
        <f>(DE4=refinance_date)*('(Z+) Financing'!$D$43)</f>
        <v>0</v>
      </c>
      <c r="DF106" s="443">
        <f>(DF4=refinance_date)*('(Z+) Financing'!$D$43)</f>
        <v>0</v>
      </c>
      <c r="DG106" s="443">
        <f>(DG4=refinance_date)*('(Z+) Financing'!$D$43)</f>
        <v>0</v>
      </c>
      <c r="DH106" s="443">
        <f>(DH4=refinance_date)*('(Z+) Financing'!$D$43)</f>
        <v>0</v>
      </c>
      <c r="DI106" s="443">
        <f>(DI4=refinance_date)*('(Z+) Financing'!$D$43)</f>
        <v>0</v>
      </c>
      <c r="DJ106" s="443">
        <f>(DJ4=refinance_date)*('(Z+) Financing'!$D$43)</f>
        <v>0</v>
      </c>
      <c r="DK106" s="443">
        <f>(DK4=refinance_date)*('(Z+) Financing'!$D$43)</f>
        <v>0</v>
      </c>
      <c r="DL106" s="443">
        <f>(DL4=refinance_date)*('(Z+) Financing'!$D$43)</f>
        <v>0</v>
      </c>
      <c r="DM106" s="443">
        <f>(DM4=refinance_date)*('(Z+) Financing'!$D$43)</f>
        <v>0</v>
      </c>
      <c r="DN106" s="443">
        <f>(DN4=refinance_date)*('(Z+) Financing'!$D$43)</f>
        <v>0</v>
      </c>
      <c r="DO106" s="443">
        <f>(DO4=refinance_date)*('(Z+) Financing'!$D$43)</f>
        <v>0</v>
      </c>
      <c r="DP106" s="443">
        <f>(DP4=refinance_date)*('(Z+) Financing'!$D$43)</f>
        <v>0</v>
      </c>
      <c r="DQ106" s="443">
        <f>(DQ4=refinance_date)*('(Z+) Financing'!$D$43)</f>
        <v>0</v>
      </c>
      <c r="DR106" s="443">
        <f>(DR4=refinance_date)*('(Z+) Financing'!$D$43)</f>
        <v>0</v>
      </c>
      <c r="DS106" s="443">
        <f>(DS4=refinance_date)*('(Z+) Financing'!$D$43)</f>
        <v>0</v>
      </c>
      <c r="DT106" s="443">
        <f>(DT4=refinance_date)*('(Z+) Financing'!$D$43)</f>
        <v>0</v>
      </c>
      <c r="DU106" s="443">
        <f>(DU4=refinance_date)*('(Z+) Financing'!$D$43)</f>
        <v>0</v>
      </c>
    </row>
    <row r="107" spans="1:125" x14ac:dyDescent="0.25">
      <c r="D107" s="387" t="inlineStr">
        <is>
          <t>Sub Interest</t>
        </is>
      </c>
      <c r="F107" s="441">
        <f>IF(AND(F4&gt;refinance_date,F4&lt;=sale_month),IF('(Z+) Financing'!$D$45&gt;0,IPMT('(Z+) Financing'!$D$44*365.25/360/12,ROUND(DAYS360(refinance_date,F4)/30,0),'(Z+) Financing'!$D$45*12,'(Z+) Financing'!$D$43),-'(Z+) Financing'!$D$43*'(Z+) Financing'!$D$44*365.25/360/12),0)</f>
        <v>0</v>
      </c>
      <c r="G107" s="441">
        <f>IF(AND(G4&gt;refinance_date,G4&lt;=sale_month),IF('(Z+) Financing'!$D$45&gt;0,IPMT('(Z+) Financing'!$D$44*365.25/360/12,ROUND(DAYS360(refinance_date,G4)/30,0),'(Z+) Financing'!$D$45*12,'(Z+) Financing'!$D$43),-'(Z+) Financing'!$D$43*'(Z+) Financing'!$D$44*365.25/360/12),0)</f>
        <v>0</v>
      </c>
      <c r="H107" s="441">
        <f>IF(AND(H4&gt;refinance_date,H4&lt;=sale_month),IF('(Z+) Financing'!$D$45&gt;0,IPMT('(Z+) Financing'!$D$44*365.25/360/12,ROUND(DAYS360(refinance_date,H4)/30,0),'(Z+) Financing'!$D$45*12,'(Z+) Financing'!$D$43),-'(Z+) Financing'!$D$43*'(Z+) Financing'!$D$44*365.25/360/12),0)</f>
        <v>0</v>
      </c>
      <c r="I107" s="441">
        <f>IF(AND(I4&gt;refinance_date,I4&lt;=sale_month),IF('(Z+) Financing'!$D$45&gt;0,IPMT('(Z+) Financing'!$D$44*365.25/360/12,ROUND(DAYS360(refinance_date,I4)/30,0),'(Z+) Financing'!$D$45*12,'(Z+) Financing'!$D$43),-'(Z+) Financing'!$D$43*'(Z+) Financing'!$D$44*365.25/360/12),0)</f>
        <v>0</v>
      </c>
      <c r="J107" s="442">
        <f>IF(AND(J4&gt;refinance_date,J4&lt;=sale_month),IF('(Z+) Financing'!$D$45&gt;0,IPMT('(Z+) Financing'!$D$44*365.25/360/12,ROUND(DAYS360(refinance_date,J4)/30,0),'(Z+) Financing'!$D$45*12,'(Z+) Financing'!$D$43),-'(Z+) Financing'!$D$43*'(Z+) Financing'!$D$44*365.25/360/12),0)</f>
        <v>0</v>
      </c>
      <c r="K107" s="442">
        <f>IF(AND(K4&gt;refinance_date,K4&lt;=sale_month),IF('(Z+) Financing'!$D$45&gt;0,IPMT('(Z+) Financing'!$D$44*365.25/360/12,ROUND(DAYS360(refinance_date,K4)/30,0),'(Z+) Financing'!$D$45*12,'(Z+) Financing'!$D$43),-'(Z+) Financing'!$D$43*'(Z+) Financing'!$D$44*365.25/360/12),0)</f>
        <v>0</v>
      </c>
      <c r="L107" s="442">
        <f>IF(AND(L4&gt;refinance_date,L4&lt;=sale_month),IF('(Z+) Financing'!$D$45&gt;0,IPMT('(Z+) Financing'!$D$44*365.25/360/12,ROUND(DAYS360(refinance_date,L4)/30,0),'(Z+) Financing'!$D$45*12,'(Z+) Financing'!$D$43),-'(Z+) Financing'!$D$43*'(Z+) Financing'!$D$44*365.25/360/12),0)</f>
        <v>0</v>
      </c>
      <c r="M107" s="442">
        <f>IF(AND(M4&gt;refinance_date,M4&lt;=sale_month),IF('(Z+) Financing'!$D$45&gt;0,IPMT('(Z+) Financing'!$D$44*365.25/360/12,ROUND(DAYS360(refinance_date,M4)/30,0),'(Z+) Financing'!$D$45*12,'(Z+) Financing'!$D$43),-'(Z+) Financing'!$D$43*'(Z+) Financing'!$D$44*365.25/360/12),0)</f>
        <v>0</v>
      </c>
      <c r="N107" s="442">
        <f>IF(AND(N4&gt;refinance_date,N4&lt;=sale_month),IF('(Z+) Financing'!$D$45&gt;0,IPMT('(Z+) Financing'!$D$44*365.25/360/12,ROUND(DAYS360(refinance_date,N4)/30,0),'(Z+) Financing'!$D$45*12,'(Z+) Financing'!$D$43),-'(Z+) Financing'!$D$43*'(Z+) Financing'!$D$44*365.25/360/12),0)</f>
        <v>0</v>
      </c>
      <c r="O107" s="442">
        <f>IF(AND(O4&gt;refinance_date,O4&lt;=sale_month),IF('(Z+) Financing'!$D$45&gt;0,IPMT('(Z+) Financing'!$D$44*365.25/360/12,ROUND(DAYS360(refinance_date,O4)/30,0),'(Z+) Financing'!$D$45*12,'(Z+) Financing'!$D$43),-'(Z+) Financing'!$D$43*'(Z+) Financing'!$D$44*365.25/360/12),0)</f>
        <v>0</v>
      </c>
      <c r="P107" s="442">
        <f>IF(AND(P4&gt;refinance_date,P4&lt;=sale_month),IF('(Z+) Financing'!$D$45&gt;0,IPMT('(Z+) Financing'!$D$44*365.25/360/12,ROUND(DAYS360(refinance_date,P4)/30,0),'(Z+) Financing'!$D$45*12,'(Z+) Financing'!$D$43),-'(Z+) Financing'!$D$43*'(Z+) Financing'!$D$44*365.25/360/12),0)</f>
        <v>0</v>
      </c>
      <c r="Q107" s="442">
        <f>IF(AND(Q4&gt;refinance_date,Q4&lt;=sale_month),IF('(Z+) Financing'!$D$45&gt;0,IPMT('(Z+) Financing'!$D$44*365.25/360/12,ROUND(DAYS360(refinance_date,Q4)/30,0),'(Z+) Financing'!$D$45*12,'(Z+) Financing'!$D$43),-'(Z+) Financing'!$D$43*'(Z+) Financing'!$D$44*365.25/360/12),0)</f>
        <v>0</v>
      </c>
      <c r="R107" s="442">
        <f>IF(AND(R4&gt;refinance_date,R4&lt;=sale_month),IF('(Z+) Financing'!$D$45&gt;0,IPMT('(Z+) Financing'!$D$44*365.25/360/12,ROUND(DAYS360(refinance_date,R4)/30,0),'(Z+) Financing'!$D$45*12,'(Z+) Financing'!$D$43),-'(Z+) Financing'!$D$43*'(Z+) Financing'!$D$44*365.25/360/12),0)</f>
        <v>0</v>
      </c>
      <c r="S107" s="442">
        <f>IF(AND(S4&gt;refinance_date,S4&lt;=sale_month),IF('(Z+) Financing'!$D$45&gt;0,IPMT('(Z+) Financing'!$D$44*365.25/360/12,ROUND(DAYS360(refinance_date,S4)/30,0),'(Z+) Financing'!$D$45*12,'(Z+) Financing'!$D$43),-'(Z+) Financing'!$D$43*'(Z+) Financing'!$D$44*365.25/360/12),0)</f>
        <v>0</v>
      </c>
      <c r="T107" s="442">
        <f>IF(AND(T4&gt;refinance_date,T4&lt;=sale_month),IF('(Z+) Financing'!$D$45&gt;0,IPMT('(Z+) Financing'!$D$44*365.25/360/12,ROUND(DAYS360(refinance_date,T4)/30,0),'(Z+) Financing'!$D$45*12,'(Z+) Financing'!$D$43),-'(Z+) Financing'!$D$43*'(Z+) Financing'!$D$44*365.25/360/12),0)</f>
        <v>0</v>
      </c>
      <c r="U107" s="443">
        <f>IF(AND(U4&gt;refinance_date,U4&lt;=sale_month),IF('(Z+) Financing'!$D$45&gt;0,IPMT('(Z+) Financing'!$D$44*365.25/360/12,ROUND(DAYS360(refinance_date,U4)/30,0),'(Z+) Financing'!$D$45*12,'(Z+) Financing'!$D$43),-'(Z+) Financing'!$D$43*'(Z+) Financing'!$D$44*365.25/360/12),0)</f>
        <v>0</v>
      </c>
      <c r="V107" s="443">
        <f>IF(AND(V4&gt;refinance_date,V4&lt;=sale_month),IF('(Z+) Financing'!$D$45&gt;0,IPMT('(Z+) Financing'!$D$44*365.25/360/12,ROUND(DAYS360(refinance_date,V4)/30,0),'(Z+) Financing'!$D$45*12,'(Z+) Financing'!$D$43),-'(Z+) Financing'!$D$43*'(Z+) Financing'!$D$44*365.25/360/12),0)</f>
        <v>0</v>
      </c>
      <c r="W107" s="443">
        <f>IF(AND(W4&gt;refinance_date,W4&lt;=sale_month),IF('(Z+) Financing'!$D$45&gt;0,IPMT('(Z+) Financing'!$D$44*365.25/360/12,ROUND(DAYS360(refinance_date,W4)/30,0),'(Z+) Financing'!$D$45*12,'(Z+) Financing'!$D$43),-'(Z+) Financing'!$D$43*'(Z+) Financing'!$D$44*365.25/360/12),0)</f>
        <v>0</v>
      </c>
      <c r="X107" s="443">
        <f>IF(AND(X4&gt;refinance_date,X4&lt;=sale_month),IF('(Z+) Financing'!$D$45&gt;0,IPMT('(Z+) Financing'!$D$44*365.25/360/12,ROUND(DAYS360(refinance_date,X4)/30,0),'(Z+) Financing'!$D$45*12,'(Z+) Financing'!$D$43),-'(Z+) Financing'!$D$43*'(Z+) Financing'!$D$44*365.25/360/12),0)</f>
        <v>0</v>
      </c>
      <c r="Y107" s="443">
        <f>IF(AND(Y4&gt;refinance_date,Y4&lt;=sale_month),IF('(Z+) Financing'!$D$45&gt;0,IPMT('(Z+) Financing'!$D$44*365.25/360/12,ROUND(DAYS360(refinance_date,Y4)/30,0),'(Z+) Financing'!$D$45*12,'(Z+) Financing'!$D$43),-'(Z+) Financing'!$D$43*'(Z+) Financing'!$D$44*365.25/360/12),0)</f>
        <v>0</v>
      </c>
      <c r="Z107" s="443">
        <f>IF(AND(Z4&gt;refinance_date,Z4&lt;=sale_month),IF('(Z+) Financing'!$D$45&gt;0,IPMT('(Z+) Financing'!$D$44*365.25/360/12,ROUND(DAYS360(refinance_date,Z4)/30,0),'(Z+) Financing'!$D$45*12,'(Z+) Financing'!$D$43),-'(Z+) Financing'!$D$43*'(Z+) Financing'!$D$44*365.25/360/12),0)</f>
        <v>0</v>
      </c>
      <c r="AA107" s="443">
        <f>IF(AND(AA4&gt;refinance_date,AA4&lt;=sale_month),IF('(Z+) Financing'!$D$45&gt;0,IPMT('(Z+) Financing'!$D$44*365.25/360/12,ROUND(DAYS360(refinance_date,AA4)/30,0),'(Z+) Financing'!$D$45*12,'(Z+) Financing'!$D$43),-'(Z+) Financing'!$D$43*'(Z+) Financing'!$D$44*365.25/360/12),0)</f>
        <v>0</v>
      </c>
      <c r="AB107" s="443">
        <f>IF(AND(AB4&gt;refinance_date,AB4&lt;=sale_month),IF('(Z+) Financing'!$D$45&gt;0,IPMT('(Z+) Financing'!$D$44*365.25/360/12,ROUND(DAYS360(refinance_date,AB4)/30,0),'(Z+) Financing'!$D$45*12,'(Z+) Financing'!$D$43),-'(Z+) Financing'!$D$43*'(Z+) Financing'!$D$44*365.25/360/12),0)</f>
        <v>0</v>
      </c>
      <c r="AC107" s="443">
        <f>IF(AND(AC4&gt;refinance_date,AC4&lt;=sale_month),IF('(Z+) Financing'!$D$45&gt;0,IPMT('(Z+) Financing'!$D$44*365.25/360/12,ROUND(DAYS360(refinance_date,AC4)/30,0),'(Z+) Financing'!$D$45*12,'(Z+) Financing'!$D$43),-'(Z+) Financing'!$D$43*'(Z+) Financing'!$D$44*365.25/360/12),0)</f>
        <v>0</v>
      </c>
      <c r="AD107" s="443">
        <f>IF(AND(AD4&gt;refinance_date,AD4&lt;=sale_month),IF('(Z+) Financing'!$D$45&gt;0,IPMT('(Z+) Financing'!$D$44*365.25/360/12,ROUND(DAYS360(refinance_date,AD4)/30,0),'(Z+) Financing'!$D$45*12,'(Z+) Financing'!$D$43),-'(Z+) Financing'!$D$43*'(Z+) Financing'!$D$44*365.25/360/12),0)</f>
        <v>0</v>
      </c>
      <c r="AE107" s="443">
        <f>IF(AND(AE4&gt;refinance_date,AE4&lt;=sale_month),IF('(Z+) Financing'!$D$45&gt;0,IPMT('(Z+) Financing'!$D$44*365.25/360/12,ROUND(DAYS360(refinance_date,AE4)/30,0),'(Z+) Financing'!$D$45*12,'(Z+) Financing'!$D$43),-'(Z+) Financing'!$D$43*'(Z+) Financing'!$D$44*365.25/360/12),0)</f>
        <v>0</v>
      </c>
      <c r="AF107" s="443">
        <f>IF(AND(AF4&gt;refinance_date,AF4&lt;=sale_month),IF('(Z+) Financing'!$D$45&gt;0,IPMT('(Z+) Financing'!$D$44*365.25/360/12,ROUND(DAYS360(refinance_date,AF4)/30,0),'(Z+) Financing'!$D$45*12,'(Z+) Financing'!$D$43),-'(Z+) Financing'!$D$43*'(Z+) Financing'!$D$44*365.25/360/12),0)</f>
        <v>0</v>
      </c>
      <c r="AG107" s="443">
        <f>IF(AND(AG4&gt;refinance_date,AG4&lt;=sale_month),IF('(Z+) Financing'!$D$45&gt;0,IPMT('(Z+) Financing'!$D$44*365.25/360/12,ROUND(DAYS360(refinance_date,AG4)/30,0),'(Z+) Financing'!$D$45*12,'(Z+) Financing'!$D$43),-'(Z+) Financing'!$D$43*'(Z+) Financing'!$D$44*365.25/360/12),0)</f>
        <v>0</v>
      </c>
      <c r="AH107" s="443">
        <f>IF(AND(AH4&gt;refinance_date,AH4&lt;=sale_month),IF('(Z+) Financing'!$D$45&gt;0,IPMT('(Z+) Financing'!$D$44*365.25/360/12,ROUND(DAYS360(refinance_date,AH4)/30,0),'(Z+) Financing'!$D$45*12,'(Z+) Financing'!$D$43),-'(Z+) Financing'!$D$43*'(Z+) Financing'!$D$44*365.25/360/12),0)</f>
        <v>0</v>
      </c>
      <c r="AI107" s="443">
        <f>IF(AND(AI4&gt;refinance_date,AI4&lt;=sale_month),IF('(Z+) Financing'!$D$45&gt;0,IPMT('(Z+) Financing'!$D$44*365.25/360/12,ROUND(DAYS360(refinance_date,AI4)/30,0),'(Z+) Financing'!$D$45*12,'(Z+) Financing'!$D$43),-'(Z+) Financing'!$D$43*'(Z+) Financing'!$D$44*365.25/360/12),0)</f>
        <v>0</v>
      </c>
      <c r="AJ107" s="443">
        <f>IF(AND(AJ4&gt;refinance_date,AJ4&lt;=sale_month),IF('(Z+) Financing'!$D$45&gt;0,IPMT('(Z+) Financing'!$D$44*365.25/360/12,ROUND(DAYS360(refinance_date,AJ4)/30,0),'(Z+) Financing'!$D$45*12,'(Z+) Financing'!$D$43),-'(Z+) Financing'!$D$43*'(Z+) Financing'!$D$44*365.25/360/12),0)</f>
        <v>0</v>
      </c>
      <c r="AK107" s="443">
        <f>IF(AND(AK4&gt;refinance_date,AK4&lt;=sale_month),IF('(Z+) Financing'!$D$45&gt;0,IPMT('(Z+) Financing'!$D$44*365.25/360/12,ROUND(DAYS360(refinance_date,AK4)/30,0),'(Z+) Financing'!$D$45*12,'(Z+) Financing'!$D$43),-'(Z+) Financing'!$D$43*'(Z+) Financing'!$D$44*365.25/360/12),0)</f>
        <v>0</v>
      </c>
      <c r="AL107" s="443">
        <f>IF(AND(AL4&gt;refinance_date,AL4&lt;=sale_month),IF('(Z+) Financing'!$D$45&gt;0,IPMT('(Z+) Financing'!$D$44*365.25/360/12,ROUND(DAYS360(refinance_date,AL4)/30,0),'(Z+) Financing'!$D$45*12,'(Z+) Financing'!$D$43),-'(Z+) Financing'!$D$43*'(Z+) Financing'!$D$44*365.25/360/12),0)</f>
        <v>0</v>
      </c>
      <c r="AM107" s="443">
        <f>IF(AND(AM4&gt;refinance_date,AM4&lt;=sale_month),IF('(Z+) Financing'!$D$45&gt;0,IPMT('(Z+) Financing'!$D$44*365.25/360/12,ROUND(DAYS360(refinance_date,AM4)/30,0),'(Z+) Financing'!$D$45*12,'(Z+) Financing'!$D$43),-'(Z+) Financing'!$D$43*'(Z+) Financing'!$D$44*365.25/360/12),0)</f>
        <v>0</v>
      </c>
      <c r="AN107" s="443">
        <f>IF(AND(AN4&gt;refinance_date,AN4&lt;=sale_month),IF('(Z+) Financing'!$D$45&gt;0,IPMT('(Z+) Financing'!$D$44*365.25/360/12,ROUND(DAYS360(refinance_date,AN4)/30,0),'(Z+) Financing'!$D$45*12,'(Z+) Financing'!$D$43),-'(Z+) Financing'!$D$43*'(Z+) Financing'!$D$44*365.25/360/12),0)</f>
        <v>0</v>
      </c>
      <c r="AO107" s="443">
        <f>IF(AND(AO4&gt;refinance_date,AO4&lt;=sale_month),IF('(Z+) Financing'!$D$45&gt;0,IPMT('(Z+) Financing'!$D$44*365.25/360/12,ROUND(DAYS360(refinance_date,AO4)/30,0),'(Z+) Financing'!$D$45*12,'(Z+) Financing'!$D$43),-'(Z+) Financing'!$D$43*'(Z+) Financing'!$D$44*365.25/360/12),0)</f>
        <v>0</v>
      </c>
      <c r="AP107" s="443">
        <f>IF(AND(AP4&gt;refinance_date,AP4&lt;=sale_month),IF('(Z+) Financing'!$D$45&gt;0,IPMT('(Z+) Financing'!$D$44*365.25/360/12,ROUND(DAYS360(refinance_date,AP4)/30,0),'(Z+) Financing'!$D$45*12,'(Z+) Financing'!$D$43),-'(Z+) Financing'!$D$43*'(Z+) Financing'!$D$44*365.25/360/12),0)</f>
        <v>0</v>
      </c>
      <c r="AQ107" s="443">
        <f>IF(AND(AQ4&gt;refinance_date,AQ4&lt;=sale_month),IF('(Z+) Financing'!$D$45&gt;0,IPMT('(Z+) Financing'!$D$44*365.25/360/12,ROUND(DAYS360(refinance_date,AQ4)/30,0),'(Z+) Financing'!$D$45*12,'(Z+) Financing'!$D$43),-'(Z+) Financing'!$D$43*'(Z+) Financing'!$D$44*365.25/360/12),0)</f>
        <v>0</v>
      </c>
      <c r="AR107" s="443">
        <f>IF(AND(AR4&gt;refinance_date,AR4&lt;=sale_month),IF('(Z+) Financing'!$D$45&gt;0,IPMT('(Z+) Financing'!$D$44*365.25/360/12,ROUND(DAYS360(refinance_date,AR4)/30,0),'(Z+) Financing'!$D$45*12,'(Z+) Financing'!$D$43),-'(Z+) Financing'!$D$43*'(Z+) Financing'!$D$44*365.25/360/12),0)</f>
        <v>0</v>
      </c>
      <c r="AS107" s="443">
        <f>IF(AND(AS4&gt;refinance_date,AS4&lt;=sale_month),IF('(Z+) Financing'!$D$45&gt;0,IPMT('(Z+) Financing'!$D$44*365.25/360/12,ROUND(DAYS360(refinance_date,AS4)/30,0),'(Z+) Financing'!$D$45*12,'(Z+) Financing'!$D$43),-'(Z+) Financing'!$D$43*'(Z+) Financing'!$D$44*365.25/360/12),0)</f>
        <v>0</v>
      </c>
      <c r="AT107" s="443">
        <f>IF(AND(AT4&gt;refinance_date,AT4&lt;=sale_month),IF('(Z+) Financing'!$D$45&gt;0,IPMT('(Z+) Financing'!$D$44*365.25/360/12,ROUND(DAYS360(refinance_date,AT4)/30,0),'(Z+) Financing'!$D$45*12,'(Z+) Financing'!$D$43),-'(Z+) Financing'!$D$43*'(Z+) Financing'!$D$44*365.25/360/12),0)</f>
        <v>0</v>
      </c>
      <c r="AU107" s="443">
        <f>IF(AND(AU4&gt;refinance_date,AU4&lt;=sale_month),IF('(Z+) Financing'!$D$45&gt;0,IPMT('(Z+) Financing'!$D$44*365.25/360/12,ROUND(DAYS360(refinance_date,AU4)/30,0),'(Z+) Financing'!$D$45*12,'(Z+) Financing'!$D$43),-'(Z+) Financing'!$D$43*'(Z+) Financing'!$D$44*365.25/360/12),0)</f>
        <v>0</v>
      </c>
      <c r="AV107" s="443">
        <f>IF(AND(AV4&gt;refinance_date,AV4&lt;=sale_month),IF('(Z+) Financing'!$D$45&gt;0,IPMT('(Z+) Financing'!$D$44*365.25/360/12,ROUND(DAYS360(refinance_date,AV4)/30,0),'(Z+) Financing'!$D$45*12,'(Z+) Financing'!$D$43),-'(Z+) Financing'!$D$43*'(Z+) Financing'!$D$44*365.25/360/12),0)</f>
        <v>0</v>
      </c>
      <c r="AW107" s="443">
        <f>IF(AND(AW4&gt;refinance_date,AW4&lt;=sale_month),IF('(Z+) Financing'!$D$45&gt;0,IPMT('(Z+) Financing'!$D$44*365.25/360/12,ROUND(DAYS360(refinance_date,AW4)/30,0),'(Z+) Financing'!$D$45*12,'(Z+) Financing'!$D$43),-'(Z+) Financing'!$D$43*'(Z+) Financing'!$D$44*365.25/360/12),0)</f>
        <v>0</v>
      </c>
      <c r="AX107" s="443">
        <f>IF(AND(AX4&gt;refinance_date,AX4&lt;=sale_month),IF('(Z+) Financing'!$D$45&gt;0,IPMT('(Z+) Financing'!$D$44*365.25/360/12,ROUND(DAYS360(refinance_date,AX4)/30,0),'(Z+) Financing'!$D$45*12,'(Z+) Financing'!$D$43),-'(Z+) Financing'!$D$43*'(Z+) Financing'!$D$44*365.25/360/12),0)</f>
        <v>0</v>
      </c>
      <c r="AY107" s="443">
        <f>IF(AND(AY4&gt;refinance_date,AY4&lt;=sale_month),IF('(Z+) Financing'!$D$45&gt;0,IPMT('(Z+) Financing'!$D$44*365.25/360/12,ROUND(DAYS360(refinance_date,AY4)/30,0),'(Z+) Financing'!$D$45*12,'(Z+) Financing'!$D$43),-'(Z+) Financing'!$D$43*'(Z+) Financing'!$D$44*365.25/360/12),0)</f>
        <v>0</v>
      </c>
      <c r="AZ107" s="443">
        <f>IF(AND(AZ4&gt;refinance_date,AZ4&lt;=sale_month),IF('(Z+) Financing'!$D$45&gt;0,IPMT('(Z+) Financing'!$D$44*365.25/360/12,ROUND(DAYS360(refinance_date,AZ4)/30,0),'(Z+) Financing'!$D$45*12,'(Z+) Financing'!$D$43),-'(Z+) Financing'!$D$43*'(Z+) Financing'!$D$44*365.25/360/12),0)</f>
        <v>0</v>
      </c>
      <c r="BA107" s="443">
        <f>IF(AND(BA4&gt;refinance_date,BA4&lt;=sale_month),IF('(Z+) Financing'!$D$45&gt;0,IPMT('(Z+) Financing'!$D$44*365.25/360/12,ROUND(DAYS360(refinance_date,BA4)/30,0),'(Z+) Financing'!$D$45*12,'(Z+) Financing'!$D$43),-'(Z+) Financing'!$D$43*'(Z+) Financing'!$D$44*365.25/360/12),0)</f>
        <v>0</v>
      </c>
      <c r="BB107" s="443">
        <f>IF(AND(BB4&gt;refinance_date,BB4&lt;=sale_month),IF('(Z+) Financing'!$D$45&gt;0,IPMT('(Z+) Financing'!$D$44*365.25/360/12,ROUND(DAYS360(refinance_date,BB4)/30,0),'(Z+) Financing'!$D$45*12,'(Z+) Financing'!$D$43),-'(Z+) Financing'!$D$43*'(Z+) Financing'!$D$44*365.25/360/12),0)</f>
        <v>0</v>
      </c>
      <c r="BC107" s="443">
        <f>IF(AND(BC4&gt;refinance_date,BC4&lt;=sale_month),IF('(Z+) Financing'!$D$45&gt;0,IPMT('(Z+) Financing'!$D$44*365.25/360/12,ROUND(DAYS360(refinance_date,BC4)/30,0),'(Z+) Financing'!$D$45*12,'(Z+) Financing'!$D$43),-'(Z+) Financing'!$D$43*'(Z+) Financing'!$D$44*365.25/360/12),0)</f>
        <v>0</v>
      </c>
      <c r="BD107" s="443">
        <f>IF(AND(BD4&gt;refinance_date,BD4&lt;=sale_month),IF('(Z+) Financing'!$D$45&gt;0,IPMT('(Z+) Financing'!$D$44*365.25/360/12,ROUND(DAYS360(refinance_date,BD4)/30,0),'(Z+) Financing'!$D$45*12,'(Z+) Financing'!$D$43),-'(Z+) Financing'!$D$43*'(Z+) Financing'!$D$44*365.25/360/12),0)</f>
        <v>0</v>
      </c>
      <c r="BE107" s="443">
        <f>IF(AND(BE4&gt;refinance_date,BE4&lt;=sale_month),IF('(Z+) Financing'!$D$45&gt;0,IPMT('(Z+) Financing'!$D$44*365.25/360/12,ROUND(DAYS360(refinance_date,BE4)/30,0),'(Z+) Financing'!$D$45*12,'(Z+) Financing'!$D$43),-'(Z+) Financing'!$D$43*'(Z+) Financing'!$D$44*365.25/360/12),0)</f>
        <v>0</v>
      </c>
      <c r="BF107" s="443">
        <f>IF(AND(BF4&gt;refinance_date,BF4&lt;=sale_month),IF('(Z+) Financing'!$D$45&gt;0,IPMT('(Z+) Financing'!$D$44*365.25/360/12,ROUND(DAYS360(refinance_date,BF4)/30,0),'(Z+) Financing'!$D$45*12,'(Z+) Financing'!$D$43),-'(Z+) Financing'!$D$43*'(Z+) Financing'!$D$44*365.25/360/12),0)</f>
        <v>0</v>
      </c>
      <c r="BG107" s="443">
        <f>IF(AND(BG4&gt;refinance_date,BG4&lt;=sale_month),IF('(Z+) Financing'!$D$45&gt;0,IPMT('(Z+) Financing'!$D$44*365.25/360/12,ROUND(DAYS360(refinance_date,BG4)/30,0),'(Z+) Financing'!$D$45*12,'(Z+) Financing'!$D$43),-'(Z+) Financing'!$D$43*'(Z+) Financing'!$D$44*365.25/360/12),0)</f>
        <v>0</v>
      </c>
      <c r="BH107" s="443">
        <f>IF(AND(BH4&gt;refinance_date,BH4&lt;=sale_month),IF('(Z+) Financing'!$D$45&gt;0,IPMT('(Z+) Financing'!$D$44*365.25/360/12,ROUND(DAYS360(refinance_date,BH4)/30,0),'(Z+) Financing'!$D$45*12,'(Z+) Financing'!$D$43),-'(Z+) Financing'!$D$43*'(Z+) Financing'!$D$44*365.25/360/12),0)</f>
        <v>0</v>
      </c>
      <c r="BI107" s="443">
        <f>IF(AND(BI4&gt;refinance_date,BI4&lt;=sale_month),IF('(Z+) Financing'!$D$45&gt;0,IPMT('(Z+) Financing'!$D$44*365.25/360/12,ROUND(DAYS360(refinance_date,BI4)/30,0),'(Z+) Financing'!$D$45*12,'(Z+) Financing'!$D$43),-'(Z+) Financing'!$D$43*'(Z+) Financing'!$D$44*365.25/360/12),0)</f>
        <v>0</v>
      </c>
      <c r="BJ107" s="443">
        <f>IF(AND(BJ4&gt;refinance_date,BJ4&lt;=sale_month),IF('(Z+) Financing'!$D$45&gt;0,IPMT('(Z+) Financing'!$D$44*365.25/360/12,ROUND(DAYS360(refinance_date,BJ4)/30,0),'(Z+) Financing'!$D$45*12,'(Z+) Financing'!$D$43),-'(Z+) Financing'!$D$43*'(Z+) Financing'!$D$44*365.25/360/12),0)</f>
        <v>0</v>
      </c>
      <c r="BK107" s="443">
        <f>IF(AND(BK4&gt;refinance_date,BK4&lt;=sale_month),IF('(Z+) Financing'!$D$45&gt;0,IPMT('(Z+) Financing'!$D$44*365.25/360/12,ROUND(DAYS360(refinance_date,BK4)/30,0),'(Z+) Financing'!$D$45*12,'(Z+) Financing'!$D$43),-'(Z+) Financing'!$D$43*'(Z+) Financing'!$D$44*365.25/360/12),0)</f>
        <v>0</v>
      </c>
      <c r="BL107" s="443">
        <f>IF(AND(BL4&gt;refinance_date,BL4&lt;=sale_month),IF('(Z+) Financing'!$D$45&gt;0,IPMT('(Z+) Financing'!$D$44*365.25/360/12,ROUND(DAYS360(refinance_date,BL4)/30,0),'(Z+) Financing'!$D$45*12,'(Z+) Financing'!$D$43),-'(Z+) Financing'!$D$43*'(Z+) Financing'!$D$44*365.25/360/12),0)</f>
        <v>0</v>
      </c>
      <c r="BM107" s="443">
        <f>IF(AND(BM4&gt;refinance_date,BM4&lt;=sale_month),IF('(Z+) Financing'!$D$45&gt;0,IPMT('(Z+) Financing'!$D$44*365.25/360/12,ROUND(DAYS360(refinance_date,BM4)/30,0),'(Z+) Financing'!$D$45*12,'(Z+) Financing'!$D$43),-'(Z+) Financing'!$D$43*'(Z+) Financing'!$D$44*365.25/360/12),0)</f>
        <v>0</v>
      </c>
      <c r="BN107" s="443">
        <f>IF(AND(BN4&gt;refinance_date,BN4&lt;=sale_month),IF('(Z+) Financing'!$D$45&gt;0,IPMT('(Z+) Financing'!$D$44*365.25/360/12,ROUND(DAYS360(refinance_date,BN4)/30,0),'(Z+) Financing'!$D$45*12,'(Z+) Financing'!$D$43),-'(Z+) Financing'!$D$43*'(Z+) Financing'!$D$44*365.25/360/12),0)</f>
        <v>0</v>
      </c>
      <c r="BO107" s="443">
        <f>IF(AND(BO4&gt;refinance_date,BO4&lt;=sale_month),IF('(Z+) Financing'!$D$45&gt;0,IPMT('(Z+) Financing'!$D$44*365.25/360/12,ROUND(DAYS360(refinance_date,BO4)/30,0),'(Z+) Financing'!$D$45*12,'(Z+) Financing'!$D$43),-'(Z+) Financing'!$D$43*'(Z+) Financing'!$D$44*365.25/360/12),0)</f>
        <v>0</v>
      </c>
      <c r="BP107" s="443">
        <f>IF(AND(BP4&gt;refinance_date,BP4&lt;=sale_month),IF('(Z+) Financing'!$D$45&gt;0,IPMT('(Z+) Financing'!$D$44*365.25/360/12,ROUND(DAYS360(refinance_date,BP4)/30,0),'(Z+) Financing'!$D$45*12,'(Z+) Financing'!$D$43),-'(Z+) Financing'!$D$43*'(Z+) Financing'!$D$44*365.25/360/12),0)</f>
        <v>0</v>
      </c>
      <c r="BQ107" s="443">
        <f>IF(AND(BQ4&gt;refinance_date,BQ4&lt;=sale_month),IF('(Z+) Financing'!$D$45&gt;0,IPMT('(Z+) Financing'!$D$44*365.25/360/12,ROUND(DAYS360(refinance_date,BQ4)/30,0),'(Z+) Financing'!$D$45*12,'(Z+) Financing'!$D$43),-'(Z+) Financing'!$D$43*'(Z+) Financing'!$D$44*365.25/360/12),0)</f>
        <v>0</v>
      </c>
      <c r="BR107" s="443">
        <f>IF(AND(BR4&gt;refinance_date,BR4&lt;=sale_month),IF('(Z+) Financing'!$D$45&gt;0,IPMT('(Z+) Financing'!$D$44*365.25/360/12,ROUND(DAYS360(refinance_date,BR4)/30,0),'(Z+) Financing'!$D$45*12,'(Z+) Financing'!$D$43),-'(Z+) Financing'!$D$43*'(Z+) Financing'!$D$44*365.25/360/12),0)</f>
        <v>0</v>
      </c>
      <c r="BS107" s="443">
        <f>IF(AND(BS4&gt;refinance_date,BS4&lt;=sale_month),IF('(Z+) Financing'!$D$45&gt;0,IPMT('(Z+) Financing'!$D$44*365.25/360/12,ROUND(DAYS360(refinance_date,BS4)/30,0),'(Z+) Financing'!$D$45*12,'(Z+) Financing'!$D$43),-'(Z+) Financing'!$D$43*'(Z+) Financing'!$D$44*365.25/360/12),0)</f>
        <v>0</v>
      </c>
      <c r="BT107" s="443">
        <f>IF(AND(BT4&gt;refinance_date,BT4&lt;=sale_month),IF('(Z+) Financing'!$D$45&gt;0,IPMT('(Z+) Financing'!$D$44*365.25/360/12,ROUND(DAYS360(refinance_date,BT4)/30,0),'(Z+) Financing'!$D$45*12,'(Z+) Financing'!$D$43),-'(Z+) Financing'!$D$43*'(Z+) Financing'!$D$44*365.25/360/12),0)</f>
        <v>0</v>
      </c>
      <c r="BU107" s="443">
        <f>IF(AND(BU4&gt;refinance_date,BU4&lt;=sale_month),IF('(Z+) Financing'!$D$45&gt;0,IPMT('(Z+) Financing'!$D$44*365.25/360/12,ROUND(DAYS360(refinance_date,BU4)/30,0),'(Z+) Financing'!$D$45*12,'(Z+) Financing'!$D$43),-'(Z+) Financing'!$D$43*'(Z+) Financing'!$D$44*365.25/360/12),0)</f>
        <v>0</v>
      </c>
      <c r="BV107" s="443">
        <f>IF(AND(BV4&gt;refinance_date,BV4&lt;=sale_month),IF('(Z+) Financing'!$D$45&gt;0,IPMT('(Z+) Financing'!$D$44*365.25/360/12,ROUND(DAYS360(refinance_date,BV4)/30,0),'(Z+) Financing'!$D$45*12,'(Z+) Financing'!$D$43),-'(Z+) Financing'!$D$43*'(Z+) Financing'!$D$44*365.25/360/12),0)</f>
        <v>0</v>
      </c>
      <c r="BW107" s="443">
        <f>IF(AND(BW4&gt;refinance_date,BW4&lt;=sale_month),IF('(Z+) Financing'!$D$45&gt;0,IPMT('(Z+) Financing'!$D$44*365.25/360/12,ROUND(DAYS360(refinance_date,BW4)/30,0),'(Z+) Financing'!$D$45*12,'(Z+) Financing'!$D$43),-'(Z+) Financing'!$D$43*'(Z+) Financing'!$D$44*365.25/360/12),0)</f>
        <v>0</v>
      </c>
      <c r="BX107" s="443">
        <f>IF(AND(BX4&gt;refinance_date,BX4&lt;=sale_month),IF('(Z+) Financing'!$D$45&gt;0,IPMT('(Z+) Financing'!$D$44*365.25/360/12,ROUND(DAYS360(refinance_date,BX4)/30,0),'(Z+) Financing'!$D$45*12,'(Z+) Financing'!$D$43),-'(Z+) Financing'!$D$43*'(Z+) Financing'!$D$44*365.25/360/12),0)</f>
        <v>0</v>
      </c>
      <c r="BY107" s="443">
        <f>IF(AND(BY4&gt;refinance_date,BY4&lt;=sale_month),IF('(Z+) Financing'!$D$45&gt;0,IPMT('(Z+) Financing'!$D$44*365.25/360/12,ROUND(DAYS360(refinance_date,BY4)/30,0),'(Z+) Financing'!$D$45*12,'(Z+) Financing'!$D$43),-'(Z+) Financing'!$D$43*'(Z+) Financing'!$D$44*365.25/360/12),0)</f>
        <v>0</v>
      </c>
      <c r="BZ107" s="443">
        <f>IF(AND(BZ4&gt;refinance_date,BZ4&lt;=sale_month),IF('(Z+) Financing'!$D$45&gt;0,IPMT('(Z+) Financing'!$D$44*365.25/360/12,ROUND(DAYS360(refinance_date,BZ4)/30,0),'(Z+) Financing'!$D$45*12,'(Z+) Financing'!$D$43),-'(Z+) Financing'!$D$43*'(Z+) Financing'!$D$44*365.25/360/12),0)</f>
        <v>0</v>
      </c>
      <c r="CA107" s="443">
        <f>IF(AND(CA4&gt;refinance_date,CA4&lt;=sale_month),IF('(Z+) Financing'!$D$45&gt;0,IPMT('(Z+) Financing'!$D$44*365.25/360/12,ROUND(DAYS360(refinance_date,CA4)/30,0),'(Z+) Financing'!$D$45*12,'(Z+) Financing'!$D$43),-'(Z+) Financing'!$D$43*'(Z+) Financing'!$D$44*365.25/360/12),0)</f>
        <v>0</v>
      </c>
      <c r="CB107" s="443">
        <f>IF(AND(CB4&gt;refinance_date,CB4&lt;=sale_month),IF('(Z+) Financing'!$D$45&gt;0,IPMT('(Z+) Financing'!$D$44*365.25/360/12,ROUND(DAYS360(refinance_date,CB4)/30,0),'(Z+) Financing'!$D$45*12,'(Z+) Financing'!$D$43),-'(Z+) Financing'!$D$43*'(Z+) Financing'!$D$44*365.25/360/12),0)</f>
        <v>0</v>
      </c>
      <c r="CC107" s="443">
        <f>IF(AND(CC4&gt;refinance_date,CC4&lt;=sale_month),IF('(Z+) Financing'!$D$45&gt;0,IPMT('(Z+) Financing'!$D$44*365.25/360/12,ROUND(DAYS360(refinance_date,CC4)/30,0),'(Z+) Financing'!$D$45*12,'(Z+) Financing'!$D$43),-'(Z+) Financing'!$D$43*'(Z+) Financing'!$D$44*365.25/360/12),0)</f>
        <v>0</v>
      </c>
      <c r="CD107" s="443">
        <f>IF(AND(CD4&gt;refinance_date,CD4&lt;=sale_month),IF('(Z+) Financing'!$D$45&gt;0,IPMT('(Z+) Financing'!$D$44*365.25/360/12,ROUND(DAYS360(refinance_date,CD4)/30,0),'(Z+) Financing'!$D$45*12,'(Z+) Financing'!$D$43),-'(Z+) Financing'!$D$43*'(Z+) Financing'!$D$44*365.25/360/12),0)</f>
        <v>0</v>
      </c>
      <c r="CE107" s="443">
        <f>IF(AND(CE4&gt;refinance_date,CE4&lt;=sale_month),IF('(Z+) Financing'!$D$45&gt;0,IPMT('(Z+) Financing'!$D$44*365.25/360/12,ROUND(DAYS360(refinance_date,CE4)/30,0),'(Z+) Financing'!$D$45*12,'(Z+) Financing'!$D$43),-'(Z+) Financing'!$D$43*'(Z+) Financing'!$D$44*365.25/360/12),0)</f>
        <v>0</v>
      </c>
      <c r="CF107" s="443">
        <f>IF(AND(CF4&gt;refinance_date,CF4&lt;=sale_month),IF('(Z+) Financing'!$D$45&gt;0,IPMT('(Z+) Financing'!$D$44*365.25/360/12,ROUND(DAYS360(refinance_date,CF4)/30,0),'(Z+) Financing'!$D$45*12,'(Z+) Financing'!$D$43),-'(Z+) Financing'!$D$43*'(Z+) Financing'!$D$44*365.25/360/12),0)</f>
        <v>0</v>
      </c>
      <c r="CG107" s="443">
        <f>IF(AND(CG4&gt;refinance_date,CG4&lt;=sale_month),IF('(Z+) Financing'!$D$45&gt;0,IPMT('(Z+) Financing'!$D$44*365.25/360/12,ROUND(DAYS360(refinance_date,CG4)/30,0),'(Z+) Financing'!$D$45*12,'(Z+) Financing'!$D$43),-'(Z+) Financing'!$D$43*'(Z+) Financing'!$D$44*365.25/360/12),0)</f>
        <v>0</v>
      </c>
      <c r="CH107" s="443">
        <f>IF(AND(CH4&gt;refinance_date,CH4&lt;=sale_month),IF('(Z+) Financing'!$D$45&gt;0,IPMT('(Z+) Financing'!$D$44*365.25/360/12,ROUND(DAYS360(refinance_date,CH4)/30,0),'(Z+) Financing'!$D$45*12,'(Z+) Financing'!$D$43),-'(Z+) Financing'!$D$43*'(Z+) Financing'!$D$44*365.25/360/12),0)</f>
        <v>0</v>
      </c>
      <c r="CI107" s="443">
        <f>IF(AND(CI4&gt;refinance_date,CI4&lt;=sale_month),IF('(Z+) Financing'!$D$45&gt;0,IPMT('(Z+) Financing'!$D$44*365.25/360/12,ROUND(DAYS360(refinance_date,CI4)/30,0),'(Z+) Financing'!$D$45*12,'(Z+) Financing'!$D$43),-'(Z+) Financing'!$D$43*'(Z+) Financing'!$D$44*365.25/360/12),0)</f>
        <v>0</v>
      </c>
      <c r="CJ107" s="443">
        <f>IF(AND(CJ4&gt;refinance_date,CJ4&lt;=sale_month),IF('(Z+) Financing'!$D$45&gt;0,IPMT('(Z+) Financing'!$D$44*365.25/360/12,ROUND(DAYS360(refinance_date,CJ4)/30,0),'(Z+) Financing'!$D$45*12,'(Z+) Financing'!$D$43),-'(Z+) Financing'!$D$43*'(Z+) Financing'!$D$44*365.25/360/12),0)</f>
        <v>0</v>
      </c>
      <c r="CK107" s="443">
        <f>IF(AND(CK4&gt;refinance_date,CK4&lt;=sale_month),IF('(Z+) Financing'!$D$45&gt;0,IPMT('(Z+) Financing'!$D$44*365.25/360/12,ROUND(DAYS360(refinance_date,CK4)/30,0),'(Z+) Financing'!$D$45*12,'(Z+) Financing'!$D$43),-'(Z+) Financing'!$D$43*'(Z+) Financing'!$D$44*365.25/360/12),0)</f>
        <v>0</v>
      </c>
      <c r="CL107" s="443">
        <f>IF(AND(CL4&gt;refinance_date,CL4&lt;=sale_month),IF('(Z+) Financing'!$D$45&gt;0,IPMT('(Z+) Financing'!$D$44*365.25/360/12,ROUND(DAYS360(refinance_date,CL4)/30,0),'(Z+) Financing'!$D$45*12,'(Z+) Financing'!$D$43),-'(Z+) Financing'!$D$43*'(Z+) Financing'!$D$44*365.25/360/12),0)</f>
        <v>0</v>
      </c>
      <c r="CM107" s="443">
        <f>IF(AND(CM4&gt;refinance_date,CM4&lt;=sale_month),IF('(Z+) Financing'!$D$45&gt;0,IPMT('(Z+) Financing'!$D$44*365.25/360/12,ROUND(DAYS360(refinance_date,CM4)/30,0),'(Z+) Financing'!$D$45*12,'(Z+) Financing'!$D$43),-'(Z+) Financing'!$D$43*'(Z+) Financing'!$D$44*365.25/360/12),0)</f>
        <v>0</v>
      </c>
      <c r="CN107" s="443">
        <f>IF(AND(CN4&gt;refinance_date,CN4&lt;=sale_month),IF('(Z+) Financing'!$D$45&gt;0,IPMT('(Z+) Financing'!$D$44*365.25/360/12,ROUND(DAYS360(refinance_date,CN4)/30,0),'(Z+) Financing'!$D$45*12,'(Z+) Financing'!$D$43),-'(Z+) Financing'!$D$43*'(Z+) Financing'!$D$44*365.25/360/12),0)</f>
        <v>0</v>
      </c>
      <c r="CO107" s="443">
        <f>IF(AND(CO4&gt;refinance_date,CO4&lt;=sale_month),IF('(Z+) Financing'!$D$45&gt;0,IPMT('(Z+) Financing'!$D$44*365.25/360/12,ROUND(DAYS360(refinance_date,CO4)/30,0),'(Z+) Financing'!$D$45*12,'(Z+) Financing'!$D$43),-'(Z+) Financing'!$D$43*'(Z+) Financing'!$D$44*365.25/360/12),0)</f>
        <v>0</v>
      </c>
      <c r="CP107" s="443">
        <f>IF(AND(CP4&gt;refinance_date,CP4&lt;=sale_month),IF('(Z+) Financing'!$D$45&gt;0,IPMT('(Z+) Financing'!$D$44*365.25/360/12,ROUND(DAYS360(refinance_date,CP4)/30,0),'(Z+) Financing'!$D$45*12,'(Z+) Financing'!$D$43),-'(Z+) Financing'!$D$43*'(Z+) Financing'!$D$44*365.25/360/12),0)</f>
        <v>0</v>
      </c>
      <c r="CQ107" s="443">
        <f>IF(AND(CQ4&gt;refinance_date,CQ4&lt;=sale_month),IF('(Z+) Financing'!$D$45&gt;0,IPMT('(Z+) Financing'!$D$44*365.25/360/12,ROUND(DAYS360(refinance_date,CQ4)/30,0),'(Z+) Financing'!$D$45*12,'(Z+) Financing'!$D$43),-'(Z+) Financing'!$D$43*'(Z+) Financing'!$D$44*365.25/360/12),0)</f>
        <v>0</v>
      </c>
      <c r="CR107" s="443">
        <f>IF(AND(CR4&gt;refinance_date,CR4&lt;=sale_month),IF('(Z+) Financing'!$D$45&gt;0,IPMT('(Z+) Financing'!$D$44*365.25/360/12,ROUND(DAYS360(refinance_date,CR4)/30,0),'(Z+) Financing'!$D$45*12,'(Z+) Financing'!$D$43),-'(Z+) Financing'!$D$43*'(Z+) Financing'!$D$44*365.25/360/12),0)</f>
        <v>0</v>
      </c>
      <c r="CS107" s="443">
        <f>IF(AND(CS4&gt;refinance_date,CS4&lt;=sale_month),IF('(Z+) Financing'!$D$45&gt;0,IPMT('(Z+) Financing'!$D$44*365.25/360/12,ROUND(DAYS360(refinance_date,CS4)/30,0),'(Z+) Financing'!$D$45*12,'(Z+) Financing'!$D$43),-'(Z+) Financing'!$D$43*'(Z+) Financing'!$D$44*365.25/360/12),0)</f>
        <v>0</v>
      </c>
      <c r="CT107" s="443">
        <f>IF(AND(CT4&gt;refinance_date,CT4&lt;=sale_month),IF('(Z+) Financing'!$D$45&gt;0,IPMT('(Z+) Financing'!$D$44*365.25/360/12,ROUND(DAYS360(refinance_date,CT4)/30,0),'(Z+) Financing'!$D$45*12,'(Z+) Financing'!$D$43),-'(Z+) Financing'!$D$43*'(Z+) Financing'!$D$44*365.25/360/12),0)</f>
        <v>0</v>
      </c>
      <c r="CU107" s="443">
        <f>IF(AND(CU4&gt;refinance_date,CU4&lt;=sale_month),IF('(Z+) Financing'!$D$45&gt;0,IPMT('(Z+) Financing'!$D$44*365.25/360/12,ROUND(DAYS360(refinance_date,CU4)/30,0),'(Z+) Financing'!$D$45*12,'(Z+) Financing'!$D$43),-'(Z+) Financing'!$D$43*'(Z+) Financing'!$D$44*365.25/360/12),0)</f>
        <v>0</v>
      </c>
      <c r="CV107" s="443">
        <f>IF(AND(CV4&gt;refinance_date,CV4&lt;=sale_month),IF('(Z+) Financing'!$D$45&gt;0,IPMT('(Z+) Financing'!$D$44*365.25/360/12,ROUND(DAYS360(refinance_date,CV4)/30,0),'(Z+) Financing'!$D$45*12,'(Z+) Financing'!$D$43),-'(Z+) Financing'!$D$43*'(Z+) Financing'!$D$44*365.25/360/12),0)</f>
        <v>0</v>
      </c>
      <c r="CW107" s="443">
        <f>IF(AND(CW4&gt;refinance_date,CW4&lt;=sale_month),IF('(Z+) Financing'!$D$45&gt;0,IPMT('(Z+) Financing'!$D$44*365.25/360/12,ROUND(DAYS360(refinance_date,CW4)/30,0),'(Z+) Financing'!$D$45*12,'(Z+) Financing'!$D$43),-'(Z+) Financing'!$D$43*'(Z+) Financing'!$D$44*365.25/360/12),0)</f>
        <v>0</v>
      </c>
      <c r="CX107" s="443">
        <f>IF(AND(CX4&gt;refinance_date,CX4&lt;=sale_month),IF('(Z+) Financing'!$D$45&gt;0,IPMT('(Z+) Financing'!$D$44*365.25/360/12,ROUND(DAYS360(refinance_date,CX4)/30,0),'(Z+) Financing'!$D$45*12,'(Z+) Financing'!$D$43),-'(Z+) Financing'!$D$43*'(Z+) Financing'!$D$44*365.25/360/12),0)</f>
        <v>0</v>
      </c>
      <c r="CY107" s="443">
        <f>IF(AND(CY4&gt;refinance_date,CY4&lt;=sale_month),IF('(Z+) Financing'!$D$45&gt;0,IPMT('(Z+) Financing'!$D$44*365.25/360/12,ROUND(DAYS360(refinance_date,CY4)/30,0),'(Z+) Financing'!$D$45*12,'(Z+) Financing'!$D$43),-'(Z+) Financing'!$D$43*'(Z+) Financing'!$D$44*365.25/360/12),0)</f>
        <v>0</v>
      </c>
      <c r="CZ107" s="443">
        <f>IF(AND(CZ4&gt;refinance_date,CZ4&lt;=sale_month),IF('(Z+) Financing'!$D$45&gt;0,IPMT('(Z+) Financing'!$D$44*365.25/360/12,ROUND(DAYS360(refinance_date,CZ4)/30,0),'(Z+) Financing'!$D$45*12,'(Z+) Financing'!$D$43),-'(Z+) Financing'!$D$43*'(Z+) Financing'!$D$44*365.25/360/12),0)</f>
        <v>0</v>
      </c>
      <c r="DA107" s="443">
        <f>IF(AND(DA4&gt;refinance_date,DA4&lt;=sale_month),IF('(Z+) Financing'!$D$45&gt;0,IPMT('(Z+) Financing'!$D$44*365.25/360/12,ROUND(DAYS360(refinance_date,DA4)/30,0),'(Z+) Financing'!$D$45*12,'(Z+) Financing'!$D$43),-'(Z+) Financing'!$D$43*'(Z+) Financing'!$D$44*365.25/360/12),0)</f>
        <v>0</v>
      </c>
      <c r="DB107" s="443">
        <f>IF(AND(DB4&gt;refinance_date,DB4&lt;=sale_month),IF('(Z+) Financing'!$D$45&gt;0,IPMT('(Z+) Financing'!$D$44*365.25/360/12,ROUND(DAYS360(refinance_date,DB4)/30,0),'(Z+) Financing'!$D$45*12,'(Z+) Financing'!$D$43),-'(Z+) Financing'!$D$43*'(Z+) Financing'!$D$44*365.25/360/12),0)</f>
        <v>0</v>
      </c>
      <c r="DC107" s="443">
        <f>IF(AND(DC4&gt;refinance_date,DC4&lt;=sale_month),IF('(Z+) Financing'!$D$45&gt;0,IPMT('(Z+) Financing'!$D$44*365.25/360/12,ROUND(DAYS360(refinance_date,DC4)/30,0),'(Z+) Financing'!$D$45*12,'(Z+) Financing'!$D$43),-'(Z+) Financing'!$D$43*'(Z+) Financing'!$D$44*365.25/360/12),0)</f>
        <v>0</v>
      </c>
      <c r="DD107" s="443">
        <f>IF(AND(DD4&gt;refinance_date,DD4&lt;=sale_month),IF('(Z+) Financing'!$D$45&gt;0,IPMT('(Z+) Financing'!$D$44*365.25/360/12,ROUND(DAYS360(refinance_date,DD4)/30,0),'(Z+) Financing'!$D$45*12,'(Z+) Financing'!$D$43),-'(Z+) Financing'!$D$43*'(Z+) Financing'!$D$44*365.25/360/12),0)</f>
        <v>0</v>
      </c>
      <c r="DE107" s="443">
        <f>IF(AND(DE4&gt;refinance_date,DE4&lt;=sale_month),IF('(Z+) Financing'!$D$45&gt;0,IPMT('(Z+) Financing'!$D$44*365.25/360/12,ROUND(DAYS360(refinance_date,DE4)/30,0),'(Z+) Financing'!$D$45*12,'(Z+) Financing'!$D$43),-'(Z+) Financing'!$D$43*'(Z+) Financing'!$D$44*365.25/360/12),0)</f>
        <v>0</v>
      </c>
      <c r="DF107" s="443">
        <f>IF(AND(DF4&gt;refinance_date,DF4&lt;=sale_month),IF('(Z+) Financing'!$D$45&gt;0,IPMT('(Z+) Financing'!$D$44*365.25/360/12,ROUND(DAYS360(refinance_date,DF4)/30,0),'(Z+) Financing'!$D$45*12,'(Z+) Financing'!$D$43),-'(Z+) Financing'!$D$43*'(Z+) Financing'!$D$44*365.25/360/12),0)</f>
        <v>0</v>
      </c>
      <c r="DG107" s="443">
        <f>IF(AND(DG4&gt;refinance_date,DG4&lt;=sale_month),IF('(Z+) Financing'!$D$45&gt;0,IPMT('(Z+) Financing'!$D$44*365.25/360/12,ROUND(DAYS360(refinance_date,DG4)/30,0),'(Z+) Financing'!$D$45*12,'(Z+) Financing'!$D$43),-'(Z+) Financing'!$D$43*'(Z+) Financing'!$D$44*365.25/360/12),0)</f>
        <v>0</v>
      </c>
      <c r="DH107" s="443">
        <f>IF(AND(DH4&gt;refinance_date,DH4&lt;=sale_month),IF('(Z+) Financing'!$D$45&gt;0,IPMT('(Z+) Financing'!$D$44*365.25/360/12,ROUND(DAYS360(refinance_date,DH4)/30,0),'(Z+) Financing'!$D$45*12,'(Z+) Financing'!$D$43),-'(Z+) Financing'!$D$43*'(Z+) Financing'!$D$44*365.25/360/12),0)</f>
        <v>0</v>
      </c>
      <c r="DI107" s="443">
        <f>IF(AND(DI4&gt;refinance_date,DI4&lt;=sale_month),IF('(Z+) Financing'!$D$45&gt;0,IPMT('(Z+) Financing'!$D$44*365.25/360/12,ROUND(DAYS360(refinance_date,DI4)/30,0),'(Z+) Financing'!$D$45*12,'(Z+) Financing'!$D$43),-'(Z+) Financing'!$D$43*'(Z+) Financing'!$D$44*365.25/360/12),0)</f>
        <v>0</v>
      </c>
      <c r="DJ107" s="443">
        <f>IF(AND(DJ4&gt;refinance_date,DJ4&lt;=sale_month),IF('(Z+) Financing'!$D$45&gt;0,IPMT('(Z+) Financing'!$D$44*365.25/360/12,ROUND(DAYS360(refinance_date,DJ4)/30,0),'(Z+) Financing'!$D$45*12,'(Z+) Financing'!$D$43),-'(Z+) Financing'!$D$43*'(Z+) Financing'!$D$44*365.25/360/12),0)</f>
        <v>0</v>
      </c>
      <c r="DK107" s="443">
        <f>IF(AND(DK4&gt;refinance_date,DK4&lt;=sale_month),IF('(Z+) Financing'!$D$45&gt;0,IPMT('(Z+) Financing'!$D$44*365.25/360/12,ROUND(DAYS360(refinance_date,DK4)/30,0),'(Z+) Financing'!$D$45*12,'(Z+) Financing'!$D$43),-'(Z+) Financing'!$D$43*'(Z+) Financing'!$D$44*365.25/360/12),0)</f>
        <v>0</v>
      </c>
      <c r="DL107" s="443">
        <f>IF(AND(DL4&gt;refinance_date,DL4&lt;=sale_month),IF('(Z+) Financing'!$D$45&gt;0,IPMT('(Z+) Financing'!$D$44*365.25/360/12,ROUND(DAYS360(refinance_date,DL4)/30,0),'(Z+) Financing'!$D$45*12,'(Z+) Financing'!$D$43),-'(Z+) Financing'!$D$43*'(Z+) Financing'!$D$44*365.25/360/12),0)</f>
        <v>0</v>
      </c>
      <c r="DM107" s="443">
        <f>IF(AND(DM4&gt;refinance_date,DM4&lt;=sale_month),IF('(Z+) Financing'!$D$45&gt;0,IPMT('(Z+) Financing'!$D$44*365.25/360/12,ROUND(DAYS360(refinance_date,DM4)/30,0),'(Z+) Financing'!$D$45*12,'(Z+) Financing'!$D$43),-'(Z+) Financing'!$D$43*'(Z+) Financing'!$D$44*365.25/360/12),0)</f>
        <v>0</v>
      </c>
      <c r="DN107" s="443">
        <f>IF(AND(DN4&gt;refinance_date,DN4&lt;=sale_month),IF('(Z+) Financing'!$D$45&gt;0,IPMT('(Z+) Financing'!$D$44*365.25/360/12,ROUND(DAYS360(refinance_date,DN4)/30,0),'(Z+) Financing'!$D$45*12,'(Z+) Financing'!$D$43),-'(Z+) Financing'!$D$43*'(Z+) Financing'!$D$44*365.25/360/12),0)</f>
        <v>0</v>
      </c>
      <c r="DO107" s="443">
        <f>IF(AND(DO4&gt;refinance_date,DO4&lt;=sale_month),IF('(Z+) Financing'!$D$45&gt;0,IPMT('(Z+) Financing'!$D$44*365.25/360/12,ROUND(DAYS360(refinance_date,DO4)/30,0),'(Z+) Financing'!$D$45*12,'(Z+) Financing'!$D$43),-'(Z+) Financing'!$D$43*'(Z+) Financing'!$D$44*365.25/360/12),0)</f>
        <v>0</v>
      </c>
      <c r="DP107" s="443">
        <f>IF(AND(DP4&gt;refinance_date,DP4&lt;=sale_month),IF('(Z+) Financing'!$D$45&gt;0,IPMT('(Z+) Financing'!$D$44*365.25/360/12,ROUND(DAYS360(refinance_date,DP4)/30,0),'(Z+) Financing'!$D$45*12,'(Z+) Financing'!$D$43),-'(Z+) Financing'!$D$43*'(Z+) Financing'!$D$44*365.25/360/12),0)</f>
        <v>0</v>
      </c>
      <c r="DQ107" s="443">
        <f>IF(AND(DQ4&gt;refinance_date,DQ4&lt;=sale_month),IF('(Z+) Financing'!$D$45&gt;0,IPMT('(Z+) Financing'!$D$44*365.25/360/12,ROUND(DAYS360(refinance_date,DQ4)/30,0),'(Z+) Financing'!$D$45*12,'(Z+) Financing'!$D$43),-'(Z+) Financing'!$D$43*'(Z+) Financing'!$D$44*365.25/360/12),0)</f>
        <v>0</v>
      </c>
      <c r="DR107" s="443">
        <f>IF(AND(DR4&gt;refinance_date,DR4&lt;=sale_month),IF('(Z+) Financing'!$D$45&gt;0,IPMT('(Z+) Financing'!$D$44*365.25/360/12,ROUND(DAYS360(refinance_date,DR4)/30,0),'(Z+) Financing'!$D$45*12,'(Z+) Financing'!$D$43),-'(Z+) Financing'!$D$43*'(Z+) Financing'!$D$44*365.25/360/12),0)</f>
        <v>0</v>
      </c>
      <c r="DS107" s="443">
        <f>IF(AND(DS4&gt;refinance_date,DS4&lt;=sale_month),IF('(Z+) Financing'!$D$45&gt;0,IPMT('(Z+) Financing'!$D$44*365.25/360/12,ROUND(DAYS360(refinance_date,DS4)/30,0),'(Z+) Financing'!$D$45*12,'(Z+) Financing'!$D$43),-'(Z+) Financing'!$D$43*'(Z+) Financing'!$D$44*365.25/360/12),0)</f>
        <v>0</v>
      </c>
      <c r="DT107" s="443">
        <f>IF(AND(DT4&gt;refinance_date,DT4&lt;=sale_month),IF('(Z+) Financing'!$D$45&gt;0,IPMT('(Z+) Financing'!$D$44*365.25/360/12,ROUND(DAYS360(refinance_date,DT4)/30,0),'(Z+) Financing'!$D$45*12,'(Z+) Financing'!$D$43),-'(Z+) Financing'!$D$43*'(Z+) Financing'!$D$44*365.25/360/12),0)</f>
        <v>0</v>
      </c>
      <c r="DU107" s="443">
        <f>IF(AND(DU4&gt;refinance_date,DU4&lt;=sale_month),IF('(Z+) Financing'!$D$45&gt;0,IPMT('(Z+) Financing'!$D$44*365.25/360/12,ROUND(DAYS360(refinance_date,DU4)/30,0),'(Z+) Financing'!$D$45*12,'(Z+) Financing'!$D$43),-'(Z+) Financing'!$D$43*'(Z+) Financing'!$D$44*365.25/360/12),0)</f>
        <v>0</v>
      </c>
    </row>
    <row r="108" spans="1:125" x14ac:dyDescent="0.25">
      <c r="D108" s="387" t="inlineStr">
        <is>
          <t>Sub Principal</t>
        </is>
      </c>
      <c r="F108" s="441">
        <f>IF(AND(F4&gt;refinance_date,F4&lt;=sale_month),IF('(Z+) Financing'!$D$45&gt;0,PMT('(Z+) Financing'!$D$44*365.25/360/12,'(Z+) Financing'!$D$45*12,'(Z+) Financing'!$D$43)-F107,0),0)</f>
        <v>0</v>
      </c>
      <c r="G108" s="441">
        <f>IF(AND(G4&gt;refinance_date,G4&lt;=sale_month),IF('(Z+) Financing'!$D$45&gt;0,PMT('(Z+) Financing'!$D$44*365.25/360/12,'(Z+) Financing'!$D$45*12,'(Z+) Financing'!$D$43)-G107,0),0)</f>
        <v>0</v>
      </c>
      <c r="H108" s="441">
        <f>IF(AND(H4&gt;refinance_date,H4&lt;=sale_month),IF('(Z+) Financing'!$D$45&gt;0,PMT('(Z+) Financing'!$D$44*365.25/360/12,'(Z+) Financing'!$D$45*12,'(Z+) Financing'!$D$43)-H107,0),0)</f>
        <v>0</v>
      </c>
      <c r="I108" s="441">
        <f>IF(AND(I4&gt;refinance_date,I4&lt;=sale_month),IF('(Z+) Financing'!$D$45&gt;0,PMT('(Z+) Financing'!$D$44*365.25/360/12,'(Z+) Financing'!$D$45*12,'(Z+) Financing'!$D$43)-I107,0),0)</f>
        <v>0</v>
      </c>
      <c r="J108" s="442">
        <f>IF(AND(J4&gt;refinance_date,J4&lt;=sale_month),IF('(Z+) Financing'!$D$45&gt;0,PMT('(Z+) Financing'!$D$44*365.25/360/12,'(Z+) Financing'!$D$45*12,'(Z+) Financing'!$D$43)-J107,0),0)</f>
        <v>0</v>
      </c>
      <c r="K108" s="442">
        <f>IF(AND(K4&gt;refinance_date,K4&lt;=sale_month),IF('(Z+) Financing'!$D$45&gt;0,PMT('(Z+) Financing'!$D$44*365.25/360/12,'(Z+) Financing'!$D$45*12,'(Z+) Financing'!$D$43)-K107,0),0)</f>
        <v>0</v>
      </c>
      <c r="L108" s="442">
        <f>IF(AND(L4&gt;refinance_date,L4&lt;=sale_month),IF('(Z+) Financing'!$D$45&gt;0,PMT('(Z+) Financing'!$D$44*365.25/360/12,'(Z+) Financing'!$D$45*12,'(Z+) Financing'!$D$43)-L107,0),0)</f>
        <v>0</v>
      </c>
      <c r="M108" s="442">
        <f>IF(AND(M4&gt;refinance_date,M4&lt;=sale_month),IF('(Z+) Financing'!$D$45&gt;0,PMT('(Z+) Financing'!$D$44*365.25/360/12,'(Z+) Financing'!$D$45*12,'(Z+) Financing'!$D$43)-M107,0),0)</f>
        <v>0</v>
      </c>
      <c r="N108" s="442">
        <f>IF(AND(N4&gt;refinance_date,N4&lt;=sale_month),IF('(Z+) Financing'!$D$45&gt;0,PMT('(Z+) Financing'!$D$44*365.25/360/12,'(Z+) Financing'!$D$45*12,'(Z+) Financing'!$D$43)-N107,0),0)</f>
        <v>0</v>
      </c>
      <c r="O108" s="442">
        <f>IF(AND(O4&gt;refinance_date,O4&lt;=sale_month),IF('(Z+) Financing'!$D$45&gt;0,PMT('(Z+) Financing'!$D$44*365.25/360/12,'(Z+) Financing'!$D$45*12,'(Z+) Financing'!$D$43)-O107,0),0)</f>
        <v>0</v>
      </c>
      <c r="P108" s="442">
        <f>IF(AND(P4&gt;refinance_date,P4&lt;=sale_month),IF('(Z+) Financing'!$D$45&gt;0,PMT('(Z+) Financing'!$D$44*365.25/360/12,'(Z+) Financing'!$D$45*12,'(Z+) Financing'!$D$43)-P107,0),0)</f>
        <v>0</v>
      </c>
      <c r="Q108" s="442">
        <f>IF(AND(Q4&gt;refinance_date,Q4&lt;=sale_month),IF('(Z+) Financing'!$D$45&gt;0,PMT('(Z+) Financing'!$D$44*365.25/360/12,'(Z+) Financing'!$D$45*12,'(Z+) Financing'!$D$43)-Q107,0),0)</f>
        <v>0</v>
      </c>
      <c r="R108" s="442">
        <f>IF(AND(R4&gt;refinance_date,R4&lt;=sale_month),IF('(Z+) Financing'!$D$45&gt;0,PMT('(Z+) Financing'!$D$44*365.25/360/12,'(Z+) Financing'!$D$45*12,'(Z+) Financing'!$D$43)-R107,0),0)</f>
        <v>0</v>
      </c>
      <c r="S108" s="442">
        <f>IF(AND(S4&gt;refinance_date,S4&lt;=sale_month),IF('(Z+) Financing'!$D$45&gt;0,PMT('(Z+) Financing'!$D$44*365.25/360/12,'(Z+) Financing'!$D$45*12,'(Z+) Financing'!$D$43)-S107,0),0)</f>
        <v>0</v>
      </c>
      <c r="T108" s="442">
        <f>IF(AND(T4&gt;refinance_date,T4&lt;=sale_month),IF('(Z+) Financing'!$D$45&gt;0,PMT('(Z+) Financing'!$D$44*365.25/360/12,'(Z+) Financing'!$D$45*12,'(Z+) Financing'!$D$43)-T107,0),0)</f>
        <v>0</v>
      </c>
      <c r="U108" s="443">
        <f>IF(AND(U4&gt;refinance_date,U4&lt;=sale_month),IF('(Z+) Financing'!$D$45&gt;0,PMT('(Z+) Financing'!$D$44*365.25/360/12,'(Z+) Financing'!$D$45*12,'(Z+) Financing'!$D$43)-U107,0),0)</f>
        <v>0</v>
      </c>
      <c r="V108" s="443">
        <f>IF(AND(V4&gt;refinance_date,V4&lt;=sale_month),IF('(Z+) Financing'!$D$45&gt;0,PMT('(Z+) Financing'!$D$44*365.25/360/12,'(Z+) Financing'!$D$45*12,'(Z+) Financing'!$D$43)-V107,0),0)</f>
        <v>0</v>
      </c>
      <c r="W108" s="443">
        <f>IF(AND(W4&gt;refinance_date,W4&lt;=sale_month),IF('(Z+) Financing'!$D$45&gt;0,PMT('(Z+) Financing'!$D$44*365.25/360/12,'(Z+) Financing'!$D$45*12,'(Z+) Financing'!$D$43)-W107,0),0)</f>
        <v>0</v>
      </c>
      <c r="X108" s="443">
        <f>IF(AND(X4&gt;refinance_date,X4&lt;=sale_month),IF('(Z+) Financing'!$D$45&gt;0,PMT('(Z+) Financing'!$D$44*365.25/360/12,'(Z+) Financing'!$D$45*12,'(Z+) Financing'!$D$43)-X107,0),0)</f>
        <v>0</v>
      </c>
      <c r="Y108" s="443">
        <f>IF(AND(Y4&gt;refinance_date,Y4&lt;=sale_month),IF('(Z+) Financing'!$D$45&gt;0,PMT('(Z+) Financing'!$D$44*365.25/360/12,'(Z+) Financing'!$D$45*12,'(Z+) Financing'!$D$43)-Y107,0),0)</f>
        <v>0</v>
      </c>
      <c r="Z108" s="443">
        <f>IF(AND(Z4&gt;refinance_date,Z4&lt;=sale_month),IF('(Z+) Financing'!$D$45&gt;0,PMT('(Z+) Financing'!$D$44*365.25/360/12,'(Z+) Financing'!$D$45*12,'(Z+) Financing'!$D$43)-Z107,0),0)</f>
        <v>0</v>
      </c>
      <c r="AA108" s="443">
        <f>IF(AND(AA4&gt;refinance_date,AA4&lt;=sale_month),IF('(Z+) Financing'!$D$45&gt;0,PMT('(Z+) Financing'!$D$44*365.25/360/12,'(Z+) Financing'!$D$45*12,'(Z+) Financing'!$D$43)-AA107,0),0)</f>
        <v>0</v>
      </c>
      <c r="AB108" s="443">
        <f>IF(AND(AB4&gt;refinance_date,AB4&lt;=sale_month),IF('(Z+) Financing'!$D$45&gt;0,PMT('(Z+) Financing'!$D$44*365.25/360/12,'(Z+) Financing'!$D$45*12,'(Z+) Financing'!$D$43)-AB107,0),0)</f>
        <v>0</v>
      </c>
      <c r="AC108" s="443">
        <f>IF(AND(AC4&gt;refinance_date,AC4&lt;=sale_month),IF('(Z+) Financing'!$D$45&gt;0,PMT('(Z+) Financing'!$D$44*365.25/360/12,'(Z+) Financing'!$D$45*12,'(Z+) Financing'!$D$43)-AC107,0),0)</f>
        <v>0</v>
      </c>
      <c r="AD108" s="443">
        <f>IF(AND(AD4&gt;refinance_date,AD4&lt;=sale_month),IF('(Z+) Financing'!$D$45&gt;0,PMT('(Z+) Financing'!$D$44*365.25/360/12,'(Z+) Financing'!$D$45*12,'(Z+) Financing'!$D$43)-AD107,0),0)</f>
        <v>0</v>
      </c>
      <c r="AE108" s="443">
        <f>IF(AND(AE4&gt;refinance_date,AE4&lt;=sale_month),IF('(Z+) Financing'!$D$45&gt;0,PMT('(Z+) Financing'!$D$44*365.25/360/12,'(Z+) Financing'!$D$45*12,'(Z+) Financing'!$D$43)-AE107,0),0)</f>
        <v>0</v>
      </c>
      <c r="AF108" s="443">
        <f>IF(AND(AF4&gt;refinance_date,AF4&lt;=sale_month),IF('(Z+) Financing'!$D$45&gt;0,PMT('(Z+) Financing'!$D$44*365.25/360/12,'(Z+) Financing'!$D$45*12,'(Z+) Financing'!$D$43)-AF107,0),0)</f>
        <v>0</v>
      </c>
      <c r="AG108" s="443">
        <f>IF(AND(AG4&gt;refinance_date,AG4&lt;=sale_month),IF('(Z+) Financing'!$D$45&gt;0,PMT('(Z+) Financing'!$D$44*365.25/360/12,'(Z+) Financing'!$D$45*12,'(Z+) Financing'!$D$43)-AG107,0),0)</f>
        <v>0</v>
      </c>
      <c r="AH108" s="443">
        <f>IF(AND(AH4&gt;refinance_date,AH4&lt;=sale_month),IF('(Z+) Financing'!$D$45&gt;0,PMT('(Z+) Financing'!$D$44*365.25/360/12,'(Z+) Financing'!$D$45*12,'(Z+) Financing'!$D$43)-AH107,0),0)</f>
        <v>0</v>
      </c>
      <c r="AI108" s="443">
        <f>IF(AND(AI4&gt;refinance_date,AI4&lt;=sale_month),IF('(Z+) Financing'!$D$45&gt;0,PMT('(Z+) Financing'!$D$44*365.25/360/12,'(Z+) Financing'!$D$45*12,'(Z+) Financing'!$D$43)-AI107,0),0)</f>
        <v>0</v>
      </c>
      <c r="AJ108" s="443">
        <f>IF(AND(AJ4&gt;refinance_date,AJ4&lt;=sale_month),IF('(Z+) Financing'!$D$45&gt;0,PMT('(Z+) Financing'!$D$44*365.25/360/12,'(Z+) Financing'!$D$45*12,'(Z+) Financing'!$D$43)-AJ107,0),0)</f>
        <v>0</v>
      </c>
      <c r="AK108" s="443">
        <f>IF(AND(AK4&gt;refinance_date,AK4&lt;=sale_month),IF('(Z+) Financing'!$D$45&gt;0,PMT('(Z+) Financing'!$D$44*365.25/360/12,'(Z+) Financing'!$D$45*12,'(Z+) Financing'!$D$43)-AK107,0),0)</f>
        <v>0</v>
      </c>
      <c r="AL108" s="443">
        <f>IF(AND(AL4&gt;refinance_date,AL4&lt;=sale_month),IF('(Z+) Financing'!$D$45&gt;0,PMT('(Z+) Financing'!$D$44*365.25/360/12,'(Z+) Financing'!$D$45*12,'(Z+) Financing'!$D$43)-AL107,0),0)</f>
        <v>0</v>
      </c>
      <c r="AM108" s="443">
        <f>IF(AND(AM4&gt;refinance_date,AM4&lt;=sale_month),IF('(Z+) Financing'!$D$45&gt;0,PMT('(Z+) Financing'!$D$44*365.25/360/12,'(Z+) Financing'!$D$45*12,'(Z+) Financing'!$D$43)-AM107,0),0)</f>
        <v>0</v>
      </c>
      <c r="AN108" s="443">
        <f>IF(AND(AN4&gt;refinance_date,AN4&lt;=sale_month),IF('(Z+) Financing'!$D$45&gt;0,PMT('(Z+) Financing'!$D$44*365.25/360/12,'(Z+) Financing'!$D$45*12,'(Z+) Financing'!$D$43)-AN107,0),0)</f>
        <v>0</v>
      </c>
      <c r="AO108" s="443">
        <f>IF(AND(AO4&gt;refinance_date,AO4&lt;=sale_month),IF('(Z+) Financing'!$D$45&gt;0,PMT('(Z+) Financing'!$D$44*365.25/360/12,'(Z+) Financing'!$D$45*12,'(Z+) Financing'!$D$43)-AO107,0),0)</f>
        <v>0</v>
      </c>
      <c r="AP108" s="443">
        <f>IF(AND(AP4&gt;refinance_date,AP4&lt;=sale_month),IF('(Z+) Financing'!$D$45&gt;0,PMT('(Z+) Financing'!$D$44*365.25/360/12,'(Z+) Financing'!$D$45*12,'(Z+) Financing'!$D$43)-AP107,0),0)</f>
        <v>0</v>
      </c>
      <c r="AQ108" s="443">
        <f>IF(AND(AQ4&gt;refinance_date,AQ4&lt;=sale_month),IF('(Z+) Financing'!$D$45&gt;0,PMT('(Z+) Financing'!$D$44*365.25/360/12,'(Z+) Financing'!$D$45*12,'(Z+) Financing'!$D$43)-AQ107,0),0)</f>
        <v>0</v>
      </c>
      <c r="AR108" s="443">
        <f>IF(AND(AR4&gt;refinance_date,AR4&lt;=sale_month),IF('(Z+) Financing'!$D$45&gt;0,PMT('(Z+) Financing'!$D$44*365.25/360/12,'(Z+) Financing'!$D$45*12,'(Z+) Financing'!$D$43)-AR107,0),0)</f>
        <v>0</v>
      </c>
      <c r="AS108" s="443">
        <f>IF(AND(AS4&gt;refinance_date,AS4&lt;=sale_month),IF('(Z+) Financing'!$D$45&gt;0,PMT('(Z+) Financing'!$D$44*365.25/360/12,'(Z+) Financing'!$D$45*12,'(Z+) Financing'!$D$43)-AS107,0),0)</f>
        <v>0</v>
      </c>
      <c r="AT108" s="443">
        <f>IF(AND(AT4&gt;refinance_date,AT4&lt;=sale_month),IF('(Z+) Financing'!$D$45&gt;0,PMT('(Z+) Financing'!$D$44*365.25/360/12,'(Z+) Financing'!$D$45*12,'(Z+) Financing'!$D$43)-AT107,0),0)</f>
        <v>0</v>
      </c>
      <c r="AU108" s="443">
        <f>IF(AND(AU4&gt;refinance_date,AU4&lt;=sale_month),IF('(Z+) Financing'!$D$45&gt;0,PMT('(Z+) Financing'!$D$44*365.25/360/12,'(Z+) Financing'!$D$45*12,'(Z+) Financing'!$D$43)-AU107,0),0)</f>
        <v>0</v>
      </c>
      <c r="AV108" s="443">
        <f>IF(AND(AV4&gt;refinance_date,AV4&lt;=sale_month),IF('(Z+) Financing'!$D$45&gt;0,PMT('(Z+) Financing'!$D$44*365.25/360/12,'(Z+) Financing'!$D$45*12,'(Z+) Financing'!$D$43)-AV107,0),0)</f>
        <v>0</v>
      </c>
      <c r="AW108" s="443">
        <f>IF(AND(AW4&gt;refinance_date,AW4&lt;=sale_month),IF('(Z+) Financing'!$D$45&gt;0,PMT('(Z+) Financing'!$D$44*365.25/360/12,'(Z+) Financing'!$D$45*12,'(Z+) Financing'!$D$43)-AW107,0),0)</f>
        <v>0</v>
      </c>
      <c r="AX108" s="443">
        <f>IF(AND(AX4&gt;refinance_date,AX4&lt;=sale_month),IF('(Z+) Financing'!$D$45&gt;0,PMT('(Z+) Financing'!$D$44*365.25/360/12,'(Z+) Financing'!$D$45*12,'(Z+) Financing'!$D$43)-AX107,0),0)</f>
        <v>0</v>
      </c>
      <c r="AY108" s="443">
        <f>IF(AND(AY4&gt;refinance_date,AY4&lt;=sale_month),IF('(Z+) Financing'!$D$45&gt;0,PMT('(Z+) Financing'!$D$44*365.25/360/12,'(Z+) Financing'!$D$45*12,'(Z+) Financing'!$D$43)-AY107,0),0)</f>
        <v>0</v>
      </c>
      <c r="AZ108" s="443">
        <f>IF(AND(AZ4&gt;refinance_date,AZ4&lt;=sale_month),IF('(Z+) Financing'!$D$45&gt;0,PMT('(Z+) Financing'!$D$44*365.25/360/12,'(Z+) Financing'!$D$45*12,'(Z+) Financing'!$D$43)-AZ107,0),0)</f>
        <v>0</v>
      </c>
      <c r="BA108" s="443">
        <f>IF(AND(BA4&gt;refinance_date,BA4&lt;=sale_month),IF('(Z+) Financing'!$D$45&gt;0,PMT('(Z+) Financing'!$D$44*365.25/360/12,'(Z+) Financing'!$D$45*12,'(Z+) Financing'!$D$43)-BA107,0),0)</f>
        <v>0</v>
      </c>
      <c r="BB108" s="443">
        <f>IF(AND(BB4&gt;refinance_date,BB4&lt;=sale_month),IF('(Z+) Financing'!$D$45&gt;0,PMT('(Z+) Financing'!$D$44*365.25/360/12,'(Z+) Financing'!$D$45*12,'(Z+) Financing'!$D$43)-BB107,0),0)</f>
        <v>0</v>
      </c>
      <c r="BC108" s="443">
        <f>IF(AND(BC4&gt;refinance_date,BC4&lt;=sale_month),IF('(Z+) Financing'!$D$45&gt;0,PMT('(Z+) Financing'!$D$44*365.25/360/12,'(Z+) Financing'!$D$45*12,'(Z+) Financing'!$D$43)-BC107,0),0)</f>
        <v>0</v>
      </c>
      <c r="BD108" s="443">
        <f>IF(AND(BD4&gt;refinance_date,BD4&lt;=sale_month),IF('(Z+) Financing'!$D$45&gt;0,PMT('(Z+) Financing'!$D$44*365.25/360/12,'(Z+) Financing'!$D$45*12,'(Z+) Financing'!$D$43)-BD107,0),0)</f>
        <v>0</v>
      </c>
      <c r="BE108" s="443">
        <f>IF(AND(BE4&gt;refinance_date,BE4&lt;=sale_month),IF('(Z+) Financing'!$D$45&gt;0,PMT('(Z+) Financing'!$D$44*365.25/360/12,'(Z+) Financing'!$D$45*12,'(Z+) Financing'!$D$43)-BE107,0),0)</f>
        <v>0</v>
      </c>
      <c r="BF108" s="443">
        <f>IF(AND(BF4&gt;refinance_date,BF4&lt;=sale_month),IF('(Z+) Financing'!$D$45&gt;0,PMT('(Z+) Financing'!$D$44*365.25/360/12,'(Z+) Financing'!$D$45*12,'(Z+) Financing'!$D$43)-BF107,0),0)</f>
        <v>0</v>
      </c>
      <c r="BG108" s="443">
        <f>IF(AND(BG4&gt;refinance_date,BG4&lt;=sale_month),IF('(Z+) Financing'!$D$45&gt;0,PMT('(Z+) Financing'!$D$44*365.25/360/12,'(Z+) Financing'!$D$45*12,'(Z+) Financing'!$D$43)-BG107,0),0)</f>
        <v>0</v>
      </c>
      <c r="BH108" s="443">
        <f>IF(AND(BH4&gt;refinance_date,BH4&lt;=sale_month),IF('(Z+) Financing'!$D$45&gt;0,PMT('(Z+) Financing'!$D$44*365.25/360/12,'(Z+) Financing'!$D$45*12,'(Z+) Financing'!$D$43)-BH107,0),0)</f>
        <v>0</v>
      </c>
      <c r="BI108" s="443">
        <f>IF(AND(BI4&gt;refinance_date,BI4&lt;=sale_month),IF('(Z+) Financing'!$D$45&gt;0,PMT('(Z+) Financing'!$D$44*365.25/360/12,'(Z+) Financing'!$D$45*12,'(Z+) Financing'!$D$43)-BI107,0),0)</f>
        <v>0</v>
      </c>
      <c r="BJ108" s="443">
        <f>IF(AND(BJ4&gt;refinance_date,BJ4&lt;=sale_month),IF('(Z+) Financing'!$D$45&gt;0,PMT('(Z+) Financing'!$D$44*365.25/360/12,'(Z+) Financing'!$D$45*12,'(Z+) Financing'!$D$43)-BJ107,0),0)</f>
        <v>0</v>
      </c>
      <c r="BK108" s="443">
        <f>IF(AND(BK4&gt;refinance_date,BK4&lt;=sale_month),IF('(Z+) Financing'!$D$45&gt;0,PMT('(Z+) Financing'!$D$44*365.25/360/12,'(Z+) Financing'!$D$45*12,'(Z+) Financing'!$D$43)-BK107,0),0)</f>
        <v>0</v>
      </c>
      <c r="BL108" s="443">
        <f>IF(AND(BL4&gt;refinance_date,BL4&lt;=sale_month),IF('(Z+) Financing'!$D$45&gt;0,PMT('(Z+) Financing'!$D$44*365.25/360/12,'(Z+) Financing'!$D$45*12,'(Z+) Financing'!$D$43)-BL107,0),0)</f>
        <v>0</v>
      </c>
      <c r="BM108" s="443">
        <f>IF(AND(BM4&gt;refinance_date,BM4&lt;=sale_month),IF('(Z+) Financing'!$D$45&gt;0,PMT('(Z+) Financing'!$D$44*365.25/360/12,'(Z+) Financing'!$D$45*12,'(Z+) Financing'!$D$43)-BM107,0),0)</f>
        <v>0</v>
      </c>
      <c r="BN108" s="443">
        <f>IF(AND(BN4&gt;refinance_date,BN4&lt;=sale_month),IF('(Z+) Financing'!$D$45&gt;0,PMT('(Z+) Financing'!$D$44*365.25/360/12,'(Z+) Financing'!$D$45*12,'(Z+) Financing'!$D$43)-BN107,0),0)</f>
        <v>0</v>
      </c>
      <c r="BO108" s="443">
        <f>IF(AND(BO4&gt;refinance_date,BO4&lt;=sale_month),IF('(Z+) Financing'!$D$45&gt;0,PMT('(Z+) Financing'!$D$44*365.25/360/12,'(Z+) Financing'!$D$45*12,'(Z+) Financing'!$D$43)-BO107,0),0)</f>
        <v>0</v>
      </c>
      <c r="BP108" s="443">
        <f>IF(AND(BP4&gt;refinance_date,BP4&lt;=sale_month),IF('(Z+) Financing'!$D$45&gt;0,PMT('(Z+) Financing'!$D$44*365.25/360/12,'(Z+) Financing'!$D$45*12,'(Z+) Financing'!$D$43)-BP107,0),0)</f>
        <v>0</v>
      </c>
      <c r="BQ108" s="443">
        <f>IF(AND(BQ4&gt;refinance_date,BQ4&lt;=sale_month),IF('(Z+) Financing'!$D$45&gt;0,PMT('(Z+) Financing'!$D$44*365.25/360/12,'(Z+) Financing'!$D$45*12,'(Z+) Financing'!$D$43)-BQ107,0),0)</f>
        <v>0</v>
      </c>
      <c r="BR108" s="443">
        <f>IF(AND(BR4&gt;refinance_date,BR4&lt;=sale_month),IF('(Z+) Financing'!$D$45&gt;0,PMT('(Z+) Financing'!$D$44*365.25/360/12,'(Z+) Financing'!$D$45*12,'(Z+) Financing'!$D$43)-BR107,0),0)</f>
        <v>0</v>
      </c>
      <c r="BS108" s="443">
        <f>IF(AND(BS4&gt;refinance_date,BS4&lt;=sale_month),IF('(Z+) Financing'!$D$45&gt;0,PMT('(Z+) Financing'!$D$44*365.25/360/12,'(Z+) Financing'!$D$45*12,'(Z+) Financing'!$D$43)-BS107,0),0)</f>
        <v>0</v>
      </c>
      <c r="BT108" s="443">
        <f>IF(AND(BT4&gt;refinance_date,BT4&lt;=sale_month),IF('(Z+) Financing'!$D$45&gt;0,PMT('(Z+) Financing'!$D$44*365.25/360/12,'(Z+) Financing'!$D$45*12,'(Z+) Financing'!$D$43)-BT107,0),0)</f>
        <v>0</v>
      </c>
      <c r="BU108" s="443">
        <f>IF(AND(BU4&gt;refinance_date,BU4&lt;=sale_month),IF('(Z+) Financing'!$D$45&gt;0,PMT('(Z+) Financing'!$D$44*365.25/360/12,'(Z+) Financing'!$D$45*12,'(Z+) Financing'!$D$43)-BU107,0),0)</f>
        <v>0</v>
      </c>
      <c r="BV108" s="443">
        <f>IF(AND(BV4&gt;refinance_date,BV4&lt;=sale_month),IF('(Z+) Financing'!$D$45&gt;0,PMT('(Z+) Financing'!$D$44*365.25/360/12,'(Z+) Financing'!$D$45*12,'(Z+) Financing'!$D$43)-BV107,0),0)</f>
        <v>0</v>
      </c>
      <c r="BW108" s="443">
        <f>IF(AND(BW4&gt;refinance_date,BW4&lt;=sale_month),IF('(Z+) Financing'!$D$45&gt;0,PMT('(Z+) Financing'!$D$44*365.25/360/12,'(Z+) Financing'!$D$45*12,'(Z+) Financing'!$D$43)-BW107,0),0)</f>
        <v>0</v>
      </c>
      <c r="BX108" s="443">
        <f>IF(AND(BX4&gt;refinance_date,BX4&lt;=sale_month),IF('(Z+) Financing'!$D$45&gt;0,PMT('(Z+) Financing'!$D$44*365.25/360/12,'(Z+) Financing'!$D$45*12,'(Z+) Financing'!$D$43)-BX107,0),0)</f>
        <v>0</v>
      </c>
      <c r="BY108" s="443">
        <f>IF(AND(BY4&gt;refinance_date,BY4&lt;=sale_month),IF('(Z+) Financing'!$D$45&gt;0,PMT('(Z+) Financing'!$D$44*365.25/360/12,'(Z+) Financing'!$D$45*12,'(Z+) Financing'!$D$43)-BY107,0),0)</f>
        <v>0</v>
      </c>
      <c r="BZ108" s="443">
        <f>IF(AND(BZ4&gt;refinance_date,BZ4&lt;=sale_month),IF('(Z+) Financing'!$D$45&gt;0,PMT('(Z+) Financing'!$D$44*365.25/360/12,'(Z+) Financing'!$D$45*12,'(Z+) Financing'!$D$43)-BZ107,0),0)</f>
        <v>0</v>
      </c>
      <c r="CA108" s="443">
        <f>IF(AND(CA4&gt;refinance_date,CA4&lt;=sale_month),IF('(Z+) Financing'!$D$45&gt;0,PMT('(Z+) Financing'!$D$44*365.25/360/12,'(Z+) Financing'!$D$45*12,'(Z+) Financing'!$D$43)-CA107,0),0)</f>
        <v>0</v>
      </c>
      <c r="CB108" s="443">
        <f>IF(AND(CB4&gt;refinance_date,CB4&lt;=sale_month),IF('(Z+) Financing'!$D$45&gt;0,PMT('(Z+) Financing'!$D$44*365.25/360/12,'(Z+) Financing'!$D$45*12,'(Z+) Financing'!$D$43)-CB107,0),0)</f>
        <v>0</v>
      </c>
      <c r="CC108" s="443">
        <f>IF(AND(CC4&gt;refinance_date,CC4&lt;=sale_month),IF('(Z+) Financing'!$D$45&gt;0,PMT('(Z+) Financing'!$D$44*365.25/360/12,'(Z+) Financing'!$D$45*12,'(Z+) Financing'!$D$43)-CC107,0),0)</f>
        <v>0</v>
      </c>
      <c r="CD108" s="443">
        <f>IF(AND(CD4&gt;refinance_date,CD4&lt;=sale_month),IF('(Z+) Financing'!$D$45&gt;0,PMT('(Z+) Financing'!$D$44*365.25/360/12,'(Z+) Financing'!$D$45*12,'(Z+) Financing'!$D$43)-CD107,0),0)</f>
        <v>0</v>
      </c>
      <c r="CE108" s="443">
        <f>IF(AND(CE4&gt;refinance_date,CE4&lt;=sale_month),IF('(Z+) Financing'!$D$45&gt;0,PMT('(Z+) Financing'!$D$44*365.25/360/12,'(Z+) Financing'!$D$45*12,'(Z+) Financing'!$D$43)-CE107,0),0)</f>
        <v>0</v>
      </c>
      <c r="CF108" s="443">
        <f>IF(AND(CF4&gt;refinance_date,CF4&lt;=sale_month),IF('(Z+) Financing'!$D$45&gt;0,PMT('(Z+) Financing'!$D$44*365.25/360/12,'(Z+) Financing'!$D$45*12,'(Z+) Financing'!$D$43)-CF107,0),0)</f>
        <v>0</v>
      </c>
      <c r="CG108" s="443">
        <f>IF(AND(CG4&gt;refinance_date,CG4&lt;=sale_month),IF('(Z+) Financing'!$D$45&gt;0,PMT('(Z+) Financing'!$D$44*365.25/360/12,'(Z+) Financing'!$D$45*12,'(Z+) Financing'!$D$43)-CG107,0),0)</f>
        <v>0</v>
      </c>
      <c r="CH108" s="443">
        <f>IF(AND(CH4&gt;refinance_date,CH4&lt;=sale_month),IF('(Z+) Financing'!$D$45&gt;0,PMT('(Z+) Financing'!$D$44*365.25/360/12,'(Z+) Financing'!$D$45*12,'(Z+) Financing'!$D$43)-CH107,0),0)</f>
        <v>0</v>
      </c>
      <c r="CI108" s="443">
        <f>IF(AND(CI4&gt;refinance_date,CI4&lt;=sale_month),IF('(Z+) Financing'!$D$45&gt;0,PMT('(Z+) Financing'!$D$44*365.25/360/12,'(Z+) Financing'!$D$45*12,'(Z+) Financing'!$D$43)-CI107,0),0)</f>
        <v>0</v>
      </c>
      <c r="CJ108" s="443">
        <f>IF(AND(CJ4&gt;refinance_date,CJ4&lt;=sale_month),IF('(Z+) Financing'!$D$45&gt;0,PMT('(Z+) Financing'!$D$44*365.25/360/12,'(Z+) Financing'!$D$45*12,'(Z+) Financing'!$D$43)-CJ107,0),0)</f>
        <v>0</v>
      </c>
      <c r="CK108" s="443">
        <f>IF(AND(CK4&gt;refinance_date,CK4&lt;=sale_month),IF('(Z+) Financing'!$D$45&gt;0,PMT('(Z+) Financing'!$D$44*365.25/360/12,'(Z+) Financing'!$D$45*12,'(Z+) Financing'!$D$43)-CK107,0),0)</f>
        <v>0</v>
      </c>
      <c r="CL108" s="443">
        <f>IF(AND(CL4&gt;refinance_date,CL4&lt;=sale_month),IF('(Z+) Financing'!$D$45&gt;0,PMT('(Z+) Financing'!$D$44*365.25/360/12,'(Z+) Financing'!$D$45*12,'(Z+) Financing'!$D$43)-CL107,0),0)</f>
        <v>0</v>
      </c>
      <c r="CM108" s="443">
        <f>IF(AND(CM4&gt;refinance_date,CM4&lt;=sale_month),IF('(Z+) Financing'!$D$45&gt;0,PMT('(Z+) Financing'!$D$44*365.25/360/12,'(Z+) Financing'!$D$45*12,'(Z+) Financing'!$D$43)-CM107,0),0)</f>
        <v>0</v>
      </c>
      <c r="CN108" s="443">
        <f>IF(AND(CN4&gt;refinance_date,CN4&lt;=sale_month),IF('(Z+) Financing'!$D$45&gt;0,PMT('(Z+) Financing'!$D$44*365.25/360/12,'(Z+) Financing'!$D$45*12,'(Z+) Financing'!$D$43)-CN107,0),0)</f>
        <v>0</v>
      </c>
      <c r="CO108" s="443">
        <f>IF(AND(CO4&gt;refinance_date,CO4&lt;=sale_month),IF('(Z+) Financing'!$D$45&gt;0,PMT('(Z+) Financing'!$D$44*365.25/360/12,'(Z+) Financing'!$D$45*12,'(Z+) Financing'!$D$43)-CO107,0),0)</f>
        <v>0</v>
      </c>
      <c r="CP108" s="443">
        <f>IF(AND(CP4&gt;refinance_date,CP4&lt;=sale_month),IF('(Z+) Financing'!$D$45&gt;0,PMT('(Z+) Financing'!$D$44*365.25/360/12,'(Z+) Financing'!$D$45*12,'(Z+) Financing'!$D$43)-CP107,0),0)</f>
        <v>0</v>
      </c>
      <c r="CQ108" s="443">
        <f>IF(AND(CQ4&gt;refinance_date,CQ4&lt;=sale_month),IF('(Z+) Financing'!$D$45&gt;0,PMT('(Z+) Financing'!$D$44*365.25/360/12,'(Z+) Financing'!$D$45*12,'(Z+) Financing'!$D$43)-CQ107,0),0)</f>
        <v>0</v>
      </c>
      <c r="CR108" s="443">
        <f>IF(AND(CR4&gt;refinance_date,CR4&lt;=sale_month),IF('(Z+) Financing'!$D$45&gt;0,PMT('(Z+) Financing'!$D$44*365.25/360/12,'(Z+) Financing'!$D$45*12,'(Z+) Financing'!$D$43)-CR107,0),0)</f>
        <v>0</v>
      </c>
      <c r="CS108" s="443">
        <f>IF(AND(CS4&gt;refinance_date,CS4&lt;=sale_month),IF('(Z+) Financing'!$D$45&gt;0,PMT('(Z+) Financing'!$D$44*365.25/360/12,'(Z+) Financing'!$D$45*12,'(Z+) Financing'!$D$43)-CS107,0),0)</f>
        <v>0</v>
      </c>
      <c r="CT108" s="443">
        <f>IF(AND(CT4&gt;refinance_date,CT4&lt;=sale_month),IF('(Z+) Financing'!$D$45&gt;0,PMT('(Z+) Financing'!$D$44*365.25/360/12,'(Z+) Financing'!$D$45*12,'(Z+) Financing'!$D$43)-CT107,0),0)</f>
        <v>0</v>
      </c>
      <c r="CU108" s="443">
        <f>IF(AND(CU4&gt;refinance_date,CU4&lt;=sale_month),IF('(Z+) Financing'!$D$45&gt;0,PMT('(Z+) Financing'!$D$44*365.25/360/12,'(Z+) Financing'!$D$45*12,'(Z+) Financing'!$D$43)-CU107,0),0)</f>
        <v>0</v>
      </c>
      <c r="CV108" s="443">
        <f>IF(AND(CV4&gt;refinance_date,CV4&lt;=sale_month),IF('(Z+) Financing'!$D$45&gt;0,PMT('(Z+) Financing'!$D$44*365.25/360/12,'(Z+) Financing'!$D$45*12,'(Z+) Financing'!$D$43)-CV107,0),0)</f>
        <v>0</v>
      </c>
      <c r="CW108" s="443">
        <f>IF(AND(CW4&gt;refinance_date,CW4&lt;=sale_month),IF('(Z+) Financing'!$D$45&gt;0,PMT('(Z+) Financing'!$D$44*365.25/360/12,'(Z+) Financing'!$D$45*12,'(Z+) Financing'!$D$43)-CW107,0),0)</f>
        <v>0</v>
      </c>
      <c r="CX108" s="443">
        <f>IF(AND(CX4&gt;refinance_date,CX4&lt;=sale_month),IF('(Z+) Financing'!$D$45&gt;0,PMT('(Z+) Financing'!$D$44*365.25/360/12,'(Z+) Financing'!$D$45*12,'(Z+) Financing'!$D$43)-CX107,0),0)</f>
        <v>0</v>
      </c>
      <c r="CY108" s="443">
        <f>IF(AND(CY4&gt;refinance_date,CY4&lt;=sale_month),IF('(Z+) Financing'!$D$45&gt;0,PMT('(Z+) Financing'!$D$44*365.25/360/12,'(Z+) Financing'!$D$45*12,'(Z+) Financing'!$D$43)-CY107,0),0)</f>
        <v>0</v>
      </c>
      <c r="CZ108" s="443">
        <f>IF(AND(CZ4&gt;refinance_date,CZ4&lt;=sale_month),IF('(Z+) Financing'!$D$45&gt;0,PMT('(Z+) Financing'!$D$44*365.25/360/12,'(Z+) Financing'!$D$45*12,'(Z+) Financing'!$D$43)-CZ107,0),0)</f>
        <v>0</v>
      </c>
      <c r="DA108" s="443">
        <f>IF(AND(DA4&gt;refinance_date,DA4&lt;=sale_month),IF('(Z+) Financing'!$D$45&gt;0,PMT('(Z+) Financing'!$D$44*365.25/360/12,'(Z+) Financing'!$D$45*12,'(Z+) Financing'!$D$43)-DA107,0),0)</f>
        <v>0</v>
      </c>
      <c r="DB108" s="443">
        <f>IF(AND(DB4&gt;refinance_date,DB4&lt;=sale_month),IF('(Z+) Financing'!$D$45&gt;0,PMT('(Z+) Financing'!$D$44*365.25/360/12,'(Z+) Financing'!$D$45*12,'(Z+) Financing'!$D$43)-DB107,0),0)</f>
        <v>0</v>
      </c>
      <c r="DC108" s="443">
        <f>IF(AND(DC4&gt;refinance_date,DC4&lt;=sale_month),IF('(Z+) Financing'!$D$45&gt;0,PMT('(Z+) Financing'!$D$44*365.25/360/12,'(Z+) Financing'!$D$45*12,'(Z+) Financing'!$D$43)-DC107,0),0)</f>
        <v>0</v>
      </c>
      <c r="DD108" s="443">
        <f>IF(AND(DD4&gt;refinance_date,DD4&lt;=sale_month),IF('(Z+) Financing'!$D$45&gt;0,PMT('(Z+) Financing'!$D$44*365.25/360/12,'(Z+) Financing'!$D$45*12,'(Z+) Financing'!$D$43)-DD107,0),0)</f>
        <v>0</v>
      </c>
      <c r="DE108" s="443">
        <f>IF(AND(DE4&gt;refinance_date,DE4&lt;=sale_month),IF('(Z+) Financing'!$D$45&gt;0,PMT('(Z+) Financing'!$D$44*365.25/360/12,'(Z+) Financing'!$D$45*12,'(Z+) Financing'!$D$43)-DE107,0),0)</f>
        <v>0</v>
      </c>
      <c r="DF108" s="443">
        <f>IF(AND(DF4&gt;refinance_date,DF4&lt;=sale_month),IF('(Z+) Financing'!$D$45&gt;0,PMT('(Z+) Financing'!$D$44*365.25/360/12,'(Z+) Financing'!$D$45*12,'(Z+) Financing'!$D$43)-DF107,0),0)</f>
        <v>0</v>
      </c>
      <c r="DG108" s="443">
        <f>IF(AND(DG4&gt;refinance_date,DG4&lt;=sale_month),IF('(Z+) Financing'!$D$45&gt;0,PMT('(Z+) Financing'!$D$44*365.25/360/12,'(Z+) Financing'!$D$45*12,'(Z+) Financing'!$D$43)-DG107,0),0)</f>
        <v>0</v>
      </c>
      <c r="DH108" s="443">
        <f>IF(AND(DH4&gt;refinance_date,DH4&lt;=sale_month),IF('(Z+) Financing'!$D$45&gt;0,PMT('(Z+) Financing'!$D$44*365.25/360/12,'(Z+) Financing'!$D$45*12,'(Z+) Financing'!$D$43)-DH107,0),0)</f>
        <v>0</v>
      </c>
      <c r="DI108" s="443">
        <f>IF(AND(DI4&gt;refinance_date,DI4&lt;=sale_month),IF('(Z+) Financing'!$D$45&gt;0,PMT('(Z+) Financing'!$D$44*365.25/360/12,'(Z+) Financing'!$D$45*12,'(Z+) Financing'!$D$43)-DI107,0),0)</f>
        <v>0</v>
      </c>
      <c r="DJ108" s="443">
        <f>IF(AND(DJ4&gt;refinance_date,DJ4&lt;=sale_month),IF('(Z+) Financing'!$D$45&gt;0,PMT('(Z+) Financing'!$D$44*365.25/360/12,'(Z+) Financing'!$D$45*12,'(Z+) Financing'!$D$43)-DJ107,0),0)</f>
        <v>0</v>
      </c>
      <c r="DK108" s="443">
        <f>IF(AND(DK4&gt;refinance_date,DK4&lt;=sale_month),IF('(Z+) Financing'!$D$45&gt;0,PMT('(Z+) Financing'!$D$44*365.25/360/12,'(Z+) Financing'!$D$45*12,'(Z+) Financing'!$D$43)-DK107,0),0)</f>
        <v>0</v>
      </c>
      <c r="DL108" s="443">
        <f>IF(AND(DL4&gt;refinance_date,DL4&lt;=sale_month),IF('(Z+) Financing'!$D$45&gt;0,PMT('(Z+) Financing'!$D$44*365.25/360/12,'(Z+) Financing'!$D$45*12,'(Z+) Financing'!$D$43)-DL107,0),0)</f>
        <v>0</v>
      </c>
      <c r="DM108" s="443">
        <f>IF(AND(DM4&gt;refinance_date,DM4&lt;=sale_month),IF('(Z+) Financing'!$D$45&gt;0,PMT('(Z+) Financing'!$D$44*365.25/360/12,'(Z+) Financing'!$D$45*12,'(Z+) Financing'!$D$43)-DM107,0),0)</f>
        <v>0</v>
      </c>
      <c r="DN108" s="443">
        <f>IF(AND(DN4&gt;refinance_date,DN4&lt;=sale_month),IF('(Z+) Financing'!$D$45&gt;0,PMT('(Z+) Financing'!$D$44*365.25/360/12,'(Z+) Financing'!$D$45*12,'(Z+) Financing'!$D$43)-DN107,0),0)</f>
        <v>0</v>
      </c>
      <c r="DO108" s="443">
        <f>IF(AND(DO4&gt;refinance_date,DO4&lt;=sale_month),IF('(Z+) Financing'!$D$45&gt;0,PMT('(Z+) Financing'!$D$44*365.25/360/12,'(Z+) Financing'!$D$45*12,'(Z+) Financing'!$D$43)-DO107,0),0)</f>
        <v>0</v>
      </c>
      <c r="DP108" s="443">
        <f>IF(AND(DP4&gt;refinance_date,DP4&lt;=sale_month),IF('(Z+) Financing'!$D$45&gt;0,PMT('(Z+) Financing'!$D$44*365.25/360/12,'(Z+) Financing'!$D$45*12,'(Z+) Financing'!$D$43)-DP107,0),0)</f>
        <v>0</v>
      </c>
      <c r="DQ108" s="443">
        <f>IF(AND(DQ4&gt;refinance_date,DQ4&lt;=sale_month),IF('(Z+) Financing'!$D$45&gt;0,PMT('(Z+) Financing'!$D$44*365.25/360/12,'(Z+) Financing'!$D$45*12,'(Z+) Financing'!$D$43)-DQ107,0),0)</f>
        <v>0</v>
      </c>
      <c r="DR108" s="443">
        <f>IF(AND(DR4&gt;refinance_date,DR4&lt;=sale_month),IF('(Z+) Financing'!$D$45&gt;0,PMT('(Z+) Financing'!$D$44*365.25/360/12,'(Z+) Financing'!$D$45*12,'(Z+) Financing'!$D$43)-DR107,0),0)</f>
        <v>0</v>
      </c>
      <c r="DS108" s="443">
        <f>IF(AND(DS4&gt;refinance_date,DS4&lt;=sale_month),IF('(Z+) Financing'!$D$45&gt;0,PMT('(Z+) Financing'!$D$44*365.25/360/12,'(Z+) Financing'!$D$45*12,'(Z+) Financing'!$D$43)-DS107,0),0)</f>
        <v>0</v>
      </c>
      <c r="DT108" s="443">
        <f>IF(AND(DT4&gt;refinance_date,DT4&lt;=sale_month),IF('(Z+) Financing'!$D$45&gt;0,PMT('(Z+) Financing'!$D$44*365.25/360/12,'(Z+) Financing'!$D$45*12,'(Z+) Financing'!$D$43)-DT107,0),0)</f>
        <v>0</v>
      </c>
      <c r="DU108" s="443">
        <f>IF(AND(DU4&gt;refinance_date,DU4&lt;=sale_month),IF('(Z+) Financing'!$D$45&gt;0,PMT('(Z+) Financing'!$D$44*365.25/360/12,'(Z+) Financing'!$D$45*12,'(Z+) Financing'!$D$43)-DU107,0),0)</f>
        <v>0</v>
      </c>
    </row>
    <row r="109" spans="1:125" x14ac:dyDescent="0.25">
      <c r="D109" s="387" t="inlineStr">
        <is>
          <t>Sub Payoff</t>
        </is>
      </c>
      <c r="F109" s="441">
        <f>(F4=sale_month)*(-'(Z+) Financing'!$D$43-SUM($F$108:F108))</f>
        <v>0</v>
      </c>
      <c r="G109" s="441">
        <f>(G4=sale_month)*(-'(Z+) Financing'!$D$43-SUM($F$108:G108))</f>
        <v>0</v>
      </c>
      <c r="H109" s="441">
        <f>(H4=sale_month)*(-'(Z+) Financing'!$D$43-SUM($F$108:H108))</f>
        <v>0</v>
      </c>
      <c r="I109" s="441">
        <f>(I4=sale_month)*(-'(Z+) Financing'!$D$43-SUM($F$108:I108))</f>
        <v>0</v>
      </c>
      <c r="J109" s="442">
        <f>(J4=sale_month)*(-'(Z+) Financing'!$D$43-SUM($F$108:J108))</f>
        <v>0</v>
      </c>
      <c r="K109" s="442">
        <f>(K4=sale_month)*(-'(Z+) Financing'!$D$43-SUM($F$108:K108))</f>
        <v>0</v>
      </c>
      <c r="L109" s="442">
        <f>(L4=sale_month)*(-'(Z+) Financing'!$D$43-SUM($F$108:L108))</f>
        <v>0</v>
      </c>
      <c r="M109" s="442">
        <f>(M4=sale_month)*(-'(Z+) Financing'!$D$43-SUM($F$108:M108))</f>
        <v>0</v>
      </c>
      <c r="N109" s="442">
        <f>(N4=sale_month)*(-'(Z+) Financing'!$D$43-SUM($F$108:N108))</f>
        <v>0</v>
      </c>
      <c r="O109" s="442">
        <f>(O4=sale_month)*(-'(Z+) Financing'!$D$43-SUM($F$108:O108))</f>
        <v>0</v>
      </c>
      <c r="P109" s="442">
        <f>(P4=sale_month)*(-'(Z+) Financing'!$D$43-SUM($F$108:P108))</f>
        <v>0</v>
      </c>
      <c r="Q109" s="442">
        <f>(Q4=sale_month)*(-'(Z+) Financing'!$D$43-SUM($F$108:Q108))</f>
        <v>0</v>
      </c>
      <c r="R109" s="442">
        <f>(R4=sale_month)*(-'(Z+) Financing'!$D$43-SUM($F$108:R108))</f>
        <v>0</v>
      </c>
      <c r="S109" s="442">
        <f>(S4=sale_month)*(-'(Z+) Financing'!$D$43-SUM($F$108:S108))</f>
        <v>0</v>
      </c>
      <c r="T109" s="442">
        <f>(T4=sale_month)*(-'(Z+) Financing'!$D$43-SUM($F$108:T108))</f>
        <v>0</v>
      </c>
      <c r="U109" s="443">
        <f>(U4=sale_month)*(-'(Z+) Financing'!$D$43-SUM($F$108:U108))</f>
        <v>0</v>
      </c>
      <c r="V109" s="443">
        <f>(V4=sale_month)*(-'(Z+) Financing'!$D$43-SUM($F$108:V108))</f>
        <v>0</v>
      </c>
      <c r="W109" s="443">
        <f>(W4=sale_month)*(-'(Z+) Financing'!$D$43-SUM($F$108:W108))</f>
        <v>0</v>
      </c>
      <c r="X109" s="443">
        <f>(X4=sale_month)*(-'(Z+) Financing'!$D$43-SUM($F$108:X108))</f>
        <v>0</v>
      </c>
      <c r="Y109" s="443">
        <f>(Y4=sale_month)*(-'(Z+) Financing'!$D$43-SUM($F$108:Y108))</f>
        <v>0</v>
      </c>
      <c r="Z109" s="443">
        <f>(Z4=sale_month)*(-'(Z+) Financing'!$D$43-SUM($F$108:Z108))</f>
        <v>0</v>
      </c>
      <c r="AA109" s="443">
        <f>(AA4=sale_month)*(-'(Z+) Financing'!$D$43-SUM($F$108:AA108))</f>
        <v>0</v>
      </c>
      <c r="AB109" s="443">
        <f>(AB4=sale_month)*(-'(Z+) Financing'!$D$43-SUM($F$108:AB108))</f>
        <v>0</v>
      </c>
      <c r="AC109" s="443">
        <f>(AC4=sale_month)*(-'(Z+) Financing'!$D$43-SUM($F$108:AC108))</f>
        <v>0</v>
      </c>
      <c r="AD109" s="443">
        <f>(AD4=sale_month)*(-'(Z+) Financing'!$D$43-SUM($F$108:AD108))</f>
        <v>0</v>
      </c>
      <c r="AE109" s="443">
        <f>(AE4=sale_month)*(-'(Z+) Financing'!$D$43-SUM($F$108:AE108))</f>
        <v>0</v>
      </c>
      <c r="AF109" s="443">
        <f>(AF4=sale_month)*(-'(Z+) Financing'!$D$43-SUM($F$108:AF108))</f>
        <v>0</v>
      </c>
      <c r="AG109" s="443">
        <f>(AG4=sale_month)*(-'(Z+) Financing'!$D$43-SUM($F$108:AG108))</f>
        <v>0</v>
      </c>
      <c r="AH109" s="443">
        <f>(AH4=sale_month)*(-'(Z+) Financing'!$D$43-SUM($F$108:AH108))</f>
        <v>0</v>
      </c>
      <c r="AI109" s="443">
        <f>(AI4=sale_month)*(-'(Z+) Financing'!$D$43-SUM($F$108:AI108))</f>
        <v>0</v>
      </c>
      <c r="AJ109" s="443">
        <f>(AJ4=sale_month)*(-'(Z+) Financing'!$D$43-SUM($F$108:AJ108))</f>
        <v>0</v>
      </c>
      <c r="AK109" s="443">
        <f>(AK4=sale_month)*(-'(Z+) Financing'!$D$43-SUM($F$108:AK108))</f>
        <v>0</v>
      </c>
      <c r="AL109" s="443">
        <f>(AL4=sale_month)*(-'(Z+) Financing'!$D$43-SUM($F$108:AL108))</f>
        <v>0</v>
      </c>
      <c r="AM109" s="443">
        <f>(AM4=sale_month)*(-'(Z+) Financing'!$D$43-SUM($F$108:AM108))</f>
        <v>0</v>
      </c>
      <c r="AN109" s="443">
        <f>(AN4=sale_month)*(-'(Z+) Financing'!$D$43-SUM($F$108:AN108))</f>
        <v>0</v>
      </c>
      <c r="AO109" s="443">
        <f>(AO4=sale_month)*(-'(Z+) Financing'!$D$43-SUM($F$108:AO108))</f>
        <v>0</v>
      </c>
      <c r="AP109" s="443">
        <f>(AP4=sale_month)*(-'(Z+) Financing'!$D$43-SUM($F$108:AP108))</f>
        <v>0</v>
      </c>
      <c r="AQ109" s="443">
        <f>(AQ4=sale_month)*(-'(Z+) Financing'!$D$43-SUM($F$108:AQ108))</f>
        <v>0</v>
      </c>
      <c r="AR109" s="443">
        <f>(AR4=sale_month)*(-'(Z+) Financing'!$D$43-SUM($F$108:AR108))</f>
        <v>0</v>
      </c>
      <c r="AS109" s="443">
        <f>(AS4=sale_month)*(-'(Z+) Financing'!$D$43-SUM($F$108:AS108))</f>
        <v>0</v>
      </c>
      <c r="AT109" s="443">
        <f>(AT4=sale_month)*(-'(Z+) Financing'!$D$43-SUM($F$108:AT108))</f>
        <v>0</v>
      </c>
      <c r="AU109" s="443">
        <f>(AU4=sale_month)*(-'(Z+) Financing'!$D$43-SUM($F$108:AU108))</f>
        <v>0</v>
      </c>
      <c r="AV109" s="443">
        <f>(AV4=sale_month)*(-'(Z+) Financing'!$D$43-SUM($F$108:AV108))</f>
        <v>0</v>
      </c>
      <c r="AW109" s="443">
        <f>(AW4=sale_month)*(-'(Z+) Financing'!$D$43-SUM($F$108:AW108))</f>
        <v>0</v>
      </c>
      <c r="AX109" s="443">
        <f>(AX4=sale_month)*(-'(Z+) Financing'!$D$43-SUM($F$108:AX108))</f>
        <v>0</v>
      </c>
      <c r="AY109" s="443">
        <f>(AY4=sale_month)*(-'(Z+) Financing'!$D$43-SUM($F$108:AY108))</f>
        <v>0</v>
      </c>
      <c r="AZ109" s="443">
        <f>(AZ4=sale_month)*(-'(Z+) Financing'!$D$43-SUM($F$108:AZ108))</f>
        <v>0</v>
      </c>
      <c r="BA109" s="443">
        <f>(BA4=sale_month)*(-'(Z+) Financing'!$D$43-SUM($F$108:BA108))</f>
        <v>0</v>
      </c>
      <c r="BB109" s="443">
        <f>(BB4=sale_month)*(-'(Z+) Financing'!$D$43-SUM($F$108:BB108))</f>
        <v>0</v>
      </c>
      <c r="BC109" s="443">
        <f>(BC4=sale_month)*(-'(Z+) Financing'!$D$43-SUM($F$108:BC108))</f>
        <v>0</v>
      </c>
      <c r="BD109" s="443">
        <f>(BD4=sale_month)*(-'(Z+) Financing'!$D$43-SUM($F$108:BD108))</f>
        <v>0</v>
      </c>
      <c r="BE109" s="443">
        <f>(BE4=sale_month)*(-'(Z+) Financing'!$D$43-SUM($F$108:BE108))</f>
        <v>0</v>
      </c>
      <c r="BF109" s="443">
        <f>(BF4=sale_month)*(-'(Z+) Financing'!$D$43-SUM($F$108:BF108))</f>
        <v>0</v>
      </c>
      <c r="BG109" s="443">
        <f>(BG4=sale_month)*(-'(Z+) Financing'!$D$43-SUM($F$108:BG108))</f>
        <v>0</v>
      </c>
      <c r="BH109" s="443">
        <f>(BH4=sale_month)*(-'(Z+) Financing'!$D$43-SUM($F$108:BH108))</f>
        <v>0</v>
      </c>
      <c r="BI109" s="443">
        <f>(BI4=sale_month)*(-'(Z+) Financing'!$D$43-SUM($F$108:BI108))</f>
        <v>0</v>
      </c>
      <c r="BJ109" s="443">
        <f>(BJ4=sale_month)*(-'(Z+) Financing'!$D$43-SUM($F$108:BJ108))</f>
        <v>0</v>
      </c>
      <c r="BK109" s="443">
        <f>(BK4=sale_month)*(-'(Z+) Financing'!$D$43-SUM($F$108:BK108))</f>
        <v>0</v>
      </c>
      <c r="BL109" s="443">
        <f>(BL4=sale_month)*(-'(Z+) Financing'!$D$43-SUM($F$108:BL108))</f>
        <v>0</v>
      </c>
      <c r="BM109" s="443">
        <f>(BM4=sale_month)*(-'(Z+) Financing'!$D$43-SUM($F$108:BM108))</f>
        <v>0</v>
      </c>
      <c r="BN109" s="443">
        <f>(BN4=sale_month)*(-'(Z+) Financing'!$D$43-SUM($F$108:BN108))</f>
        <v>0</v>
      </c>
      <c r="BO109" s="443">
        <f>(BO4=sale_month)*(-'(Z+) Financing'!$D$43-SUM($F$108:BO108))</f>
        <v>0</v>
      </c>
      <c r="BP109" s="443">
        <f>(BP4=sale_month)*(-'(Z+) Financing'!$D$43-SUM($F$108:BP108))</f>
        <v>0</v>
      </c>
      <c r="BQ109" s="443">
        <f>(BQ4=sale_month)*(-'(Z+) Financing'!$D$43-SUM($F$108:BQ108))</f>
        <v>0</v>
      </c>
      <c r="BR109" s="443">
        <f>(BR4=sale_month)*(-'(Z+) Financing'!$D$43-SUM($F$108:BR108))</f>
        <v>0</v>
      </c>
      <c r="BS109" s="443">
        <f>(BS4=sale_month)*(-'(Z+) Financing'!$D$43-SUM($F$108:BS108))</f>
        <v>0</v>
      </c>
      <c r="BT109" s="443">
        <f>(BT4=sale_month)*(-'(Z+) Financing'!$D$43-SUM($F$108:BT108))</f>
        <v>0</v>
      </c>
      <c r="BU109" s="443">
        <f>(BU4=sale_month)*(-'(Z+) Financing'!$D$43-SUM($F$108:BU108))</f>
        <v>0</v>
      </c>
      <c r="BV109" s="443">
        <f>(BV4=sale_month)*(-'(Z+) Financing'!$D$43-SUM($F$108:BV108))</f>
        <v>0</v>
      </c>
      <c r="BW109" s="443">
        <f>(BW4=sale_month)*(-'(Z+) Financing'!$D$43-SUM($F$108:BW108))</f>
        <v>0</v>
      </c>
      <c r="BX109" s="443">
        <f>(BX4=sale_month)*(-'(Z+) Financing'!$D$43-SUM($F$108:BX108))</f>
        <v>0</v>
      </c>
      <c r="BY109" s="443">
        <f>(BY4=sale_month)*(-'(Z+) Financing'!$D$43-SUM($F$108:BY108))</f>
        <v>0</v>
      </c>
      <c r="BZ109" s="443">
        <f>(BZ4=sale_month)*(-'(Z+) Financing'!$D$43-SUM($F$108:BZ108))</f>
        <v>0</v>
      </c>
      <c r="CA109" s="443">
        <f>(CA4=sale_month)*(-'(Z+) Financing'!$D$43-SUM($F$108:CA108))</f>
        <v>0</v>
      </c>
      <c r="CB109" s="443">
        <f>(CB4=sale_month)*(-'(Z+) Financing'!$D$43-SUM($F$108:CB108))</f>
        <v>0</v>
      </c>
      <c r="CC109" s="443">
        <f>(CC4=sale_month)*(-'(Z+) Financing'!$D$43-SUM($F$108:CC108))</f>
        <v>0</v>
      </c>
      <c r="CD109" s="443">
        <f>(CD4=sale_month)*(-'(Z+) Financing'!$D$43-SUM($F$108:CD108))</f>
        <v>0</v>
      </c>
      <c r="CE109" s="443">
        <f>(CE4=sale_month)*(-'(Z+) Financing'!$D$43-SUM($F$108:CE108))</f>
        <v>0</v>
      </c>
      <c r="CF109" s="443">
        <f>(CF4=sale_month)*(-'(Z+) Financing'!$D$43-SUM($F$108:CF108))</f>
        <v>0</v>
      </c>
      <c r="CG109" s="443">
        <f>(CG4=sale_month)*(-'(Z+) Financing'!$D$43-SUM($F$108:CG108))</f>
        <v>0</v>
      </c>
      <c r="CH109" s="443">
        <f>(CH4=sale_month)*(-'(Z+) Financing'!$D$43-SUM($F$108:CH108))</f>
        <v>0</v>
      </c>
      <c r="CI109" s="443">
        <f>(CI4=sale_month)*(-'(Z+) Financing'!$D$43-SUM($F$108:CI108))</f>
        <v>0</v>
      </c>
      <c r="CJ109" s="443">
        <f>(CJ4=sale_month)*(-'(Z+) Financing'!$D$43-SUM($F$108:CJ108))</f>
        <v>0</v>
      </c>
      <c r="CK109" s="443">
        <f>(CK4=sale_month)*(-'(Z+) Financing'!$D$43-SUM($F$108:CK108))</f>
        <v>0</v>
      </c>
      <c r="CL109" s="443">
        <f>(CL4=sale_month)*(-'(Z+) Financing'!$D$43-SUM($F$108:CL108))</f>
        <v>0</v>
      </c>
      <c r="CM109" s="443">
        <f>(CM4=sale_month)*(-'(Z+) Financing'!$D$43-SUM($F$108:CM108))</f>
        <v>0</v>
      </c>
      <c r="CN109" s="443">
        <f>(CN4=sale_month)*(-'(Z+) Financing'!$D$43-SUM($F$108:CN108))</f>
        <v>0</v>
      </c>
      <c r="CO109" s="443">
        <f>(CO4=sale_month)*(-'(Z+) Financing'!$D$43-SUM($F$108:CO108))</f>
        <v>0</v>
      </c>
      <c r="CP109" s="443">
        <f>(CP4=sale_month)*(-'(Z+) Financing'!$D$43-SUM($F$108:CP108))</f>
        <v>0</v>
      </c>
      <c r="CQ109" s="443">
        <f>(CQ4=sale_month)*(-'(Z+) Financing'!$D$43-SUM($F$108:CQ108))</f>
        <v>0</v>
      </c>
      <c r="CR109" s="443">
        <f>(CR4=sale_month)*(-'(Z+) Financing'!$D$43-SUM($F$108:CR108))</f>
        <v>0</v>
      </c>
      <c r="CS109" s="443">
        <f>(CS4=sale_month)*(-'(Z+) Financing'!$D$43-SUM($F$108:CS108))</f>
        <v>0</v>
      </c>
      <c r="CT109" s="443">
        <f>(CT4=sale_month)*(-'(Z+) Financing'!$D$43-SUM($F$108:CT108))</f>
        <v>0</v>
      </c>
      <c r="CU109" s="443">
        <f>(CU4=sale_month)*(-'(Z+) Financing'!$D$43-SUM($F$108:CU108))</f>
        <v>0</v>
      </c>
      <c r="CV109" s="443">
        <f>(CV4=sale_month)*(-'(Z+) Financing'!$D$43-SUM($F$108:CV108))</f>
        <v>0</v>
      </c>
      <c r="CW109" s="443">
        <f>(CW4=sale_month)*(-'(Z+) Financing'!$D$43-SUM($F$108:CW108))</f>
        <v>0</v>
      </c>
      <c r="CX109" s="443">
        <f>(CX4=sale_month)*(-'(Z+) Financing'!$D$43-SUM($F$108:CX108))</f>
        <v>0</v>
      </c>
      <c r="CY109" s="443">
        <f>(CY4=sale_month)*(-'(Z+) Financing'!$D$43-SUM($F$108:CY108))</f>
        <v>0</v>
      </c>
      <c r="CZ109" s="443">
        <f>(CZ4=sale_month)*(-'(Z+) Financing'!$D$43-SUM($F$108:CZ108))</f>
        <v>0</v>
      </c>
      <c r="DA109" s="443">
        <f>(DA4=sale_month)*(-'(Z+) Financing'!$D$43-SUM($F$108:DA108))</f>
        <v>0</v>
      </c>
      <c r="DB109" s="443">
        <f>(DB4=sale_month)*(-'(Z+) Financing'!$D$43-SUM($F$108:DB108))</f>
        <v>0</v>
      </c>
      <c r="DC109" s="443">
        <f>(DC4=sale_month)*(-'(Z+) Financing'!$D$43-SUM($F$108:DC108))</f>
        <v>0</v>
      </c>
      <c r="DD109" s="443">
        <f>(DD4=sale_month)*(-'(Z+) Financing'!$D$43-SUM($F$108:DD108))</f>
        <v>0</v>
      </c>
      <c r="DE109" s="443">
        <f>(DE4=sale_month)*(-'(Z+) Financing'!$D$43-SUM($F$108:DE108))</f>
        <v>0</v>
      </c>
      <c r="DF109" s="443">
        <f>(DF4=sale_month)*(-'(Z+) Financing'!$D$43-SUM($F$108:DF108))</f>
        <v>0</v>
      </c>
      <c r="DG109" s="443">
        <f>(DG4=sale_month)*(-'(Z+) Financing'!$D$43-SUM($F$108:DG108))</f>
        <v>0</v>
      </c>
      <c r="DH109" s="443">
        <f>(DH4=sale_month)*(-'(Z+) Financing'!$D$43-SUM($F$108:DH108))</f>
        <v>0</v>
      </c>
      <c r="DI109" s="443">
        <f>(DI4=sale_month)*(-'(Z+) Financing'!$D$43-SUM($F$108:DI108))</f>
        <v>0</v>
      </c>
      <c r="DJ109" s="443">
        <f>(DJ4=sale_month)*(-'(Z+) Financing'!$D$43-SUM($F$108:DJ108))</f>
        <v>0</v>
      </c>
      <c r="DK109" s="443">
        <f>(DK4=sale_month)*(-'(Z+) Financing'!$D$43-SUM($F$108:DK108))</f>
        <v>0</v>
      </c>
      <c r="DL109" s="443">
        <f>(DL4=sale_month)*(-'(Z+) Financing'!$D$43-SUM($F$108:DL108))</f>
        <v>0</v>
      </c>
      <c r="DM109" s="443">
        <f>(DM4=sale_month)*(-'(Z+) Financing'!$D$43-SUM($F$108:DM108))</f>
        <v>0</v>
      </c>
      <c r="DN109" s="443">
        <f>(DN4=sale_month)*(-'(Z+) Financing'!$D$43-SUM($F$108:DN108))</f>
        <v>0</v>
      </c>
      <c r="DO109" s="443">
        <f>(DO4=sale_month)*(-'(Z+) Financing'!$D$43-SUM($F$108:DO108))</f>
        <v>0</v>
      </c>
      <c r="DP109" s="443">
        <f>(DP4=sale_month)*(-'(Z+) Financing'!$D$43-SUM($F$108:DP108))</f>
        <v>0</v>
      </c>
      <c r="DQ109" s="443">
        <f>(DQ4=sale_month)*(-'(Z+) Financing'!$D$43-SUM($F$108:DQ108))</f>
        <v>0</v>
      </c>
      <c r="DR109" s="443">
        <f>(DR4=sale_month)*(-'(Z+) Financing'!$D$43-SUM($F$108:DR108))</f>
        <v>0</v>
      </c>
      <c r="DS109" s="443">
        <f>(DS4=sale_month)*(-'(Z+) Financing'!$D$43-SUM($F$108:DS108))</f>
        <v>0</v>
      </c>
      <c r="DT109" s="443">
        <f>(DT4=sale_month)*(-'(Z+) Financing'!$D$43-SUM($F$108:DT108))</f>
        <v>0</v>
      </c>
      <c r="DU109" s="443">
        <f>(DU4=sale_month)*(-'(Z+) Financing'!$D$43-SUM($F$108:DU108))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HeadingPairs>
  <TitlesOfParts>
    <vt:vector size="22" baseType="lpstr">
      <vt:lpstr>Inputs</vt:lpstr>
      <vt:lpstr>Dashboard</vt:lpstr>
      <vt:lpstr>(Z+) Dev Budget</vt:lpstr>
      <vt:lpstr>(Z+) OpEx</vt:lpstr>
      <vt:lpstr>(Z+) Financing</vt:lpstr>
      <vt:lpstr>(Z+) Rent Roll</vt:lpstr>
      <vt:lpstr>(Z+) Monthly CF</vt:lpstr>
      <vt:lpstr>const_start</vt:lpstr>
      <vt:lpstr>Constr_Finish_Date</vt:lpstr>
      <vt:lpstr>Constr_Finish_Mo</vt:lpstr>
      <vt:lpstr>Construction_Start_Date</vt:lpstr>
      <vt:lpstr>Diligence_Begin_Date</vt:lpstr>
      <vt:lpstr>Greenlight_Date</vt:lpstr>
      <vt:lpstr>Greenlight_Mo</vt:lpstr>
      <vt:lpstr>Land_Closing_Mo</vt:lpstr>
      <vt:lpstr>lease_up_period</vt:lpstr>
      <vt:lpstr>logistics_cost</vt:lpstr>
      <vt:lpstr>mod_costs</vt:lpstr>
      <vt:lpstr>perm_fees</vt:lpstr>
      <vt:lpstr>perm_proceeds</vt:lpstr>
      <vt:lpstr>refinance_date</vt:lpstr>
      <vt:lpstr>sale_month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Akhverdyan</dc:creator>
  <dc:description/>
  <cp:lastModifiedBy>Andrew Akhverdyan</cp:lastModifiedBy>
  <cp:revision>0</cp:revision>
  <dcterms:created xsi:type="dcterms:W3CDTF">2026-02-24T13:32:28Z</dcterms:created>
  <dcterms:modified xsi:type="dcterms:W3CDTF">2026-04-28T01:19:26Z</dcterms:modified>
  <dc:language>en-US</dc:language>
</cp:coreProperties>
</file>