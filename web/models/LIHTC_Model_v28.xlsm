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"/>
    </mc:Choice>
  </mc:AlternateContent>
  <xr:revisionPtr revIDLastSave="0" documentId="13_ncr:1_{EFAF42F0-0141-4EF6-B320-9EA454E70796}" xr6:coauthVersionLast="47" xr6:coauthVersionMax="47" xr10:uidLastSave="{00000000-0000-0000-0000-000000000000}"/>
  <bookViews>
    <workbookView xWindow="38290" yWindow="80" windowWidth="38620" windowHeight="21100" activeTab="2" xr2:uid="{9218A149-E66F-4CA3-967D-EB85BC4FEA05}"/>
  </bookViews>
  <sheets>
    <sheet name="Model Changelog" sheetId="11" r:id="rId1"/>
    <sheet name="Sheet1" sheetId="10" r:id="rId2"/>
    <sheet name="Pro_Forma" sheetId="1" r:id="rId3"/>
    <sheet name="Tiebreak" sheetId="2" r:id="rId4"/>
    <sheet name="Draws_Module" sheetId="6" r:id="rId5"/>
    <sheet name="Cell Mapping" sheetId="7" r:id="rId6"/>
    <sheet name="UA" sheetId="9" r:id="rId7"/>
    <sheet name="Market Inputs" sheetId="8" r:id="rId8"/>
  </sheets>
  <definedNames>
    <definedName name="_xleta.MAX" hidden="1" xlm="1">#NAME?</definedName>
    <definedName name="_xleta.MIN" hidden="1" xlm="1">#NAME?</definedName>
    <definedName name="_xleta.ROUNDDOWN" hidden="1" xlm="1">#NAME?</definedName>
    <definedName name="_xlpm.br" hidden="1" xlm="1">#NAME?</definedName>
    <definedName name="_xlpm.cat" hidden="1" xlm="1">#NAME?</definedName>
    <definedName name="_xlpm.colIdx" hidden="1" xlm="1">#NAME?</definedName>
    <definedName name="_xlpm.ind" hidden="1" xlm="1">#NAME?</definedName>
    <definedName name="_xlpm.index" hidden="1" xlm="1">#NAME?</definedName>
    <definedName name="_xlpm.indx" hidden="1" xlm="1">#NAME?</definedName>
    <definedName name="_xlpm.jur" hidden="1" xlm="1">#NAME?</definedName>
    <definedName name="_xlpm.rowIdx" hidden="1" xlm="1">#NAME?</definedName>
    <definedName name="_xlpm.ut" hidden="1" xlm="1">#NAME?</definedName>
    <definedName name="_xlnm.Print_Area" localSheetId="2">Pro_Forma!$B$1:$Z$92</definedName>
    <definedName name="solver_cvg" localSheetId="2" hidden="1">0.001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500</definedName>
    <definedName name="solver_lhs1" localSheetId="2" hidden="1">Pro_Forma!$R$39</definedName>
    <definedName name="solver_lhs2" localSheetId="2" hidden="1">Pro_Forma!$I$7</definedName>
    <definedName name="solver_lhs3" localSheetId="2" hidden="1">Pro_Forma!$C$24</definedName>
    <definedName name="solver_lhs4" localSheetId="2" hidden="1">Pro_Forma!$R$35:$R$36</definedName>
    <definedName name="solver_lhs5" localSheetId="2" hidden="1">Pro_Forma!$R$38</definedName>
    <definedName name="solver_lhs6" localSheetId="2" hidden="1">Pro_Forma!$I$3:$I$6</definedName>
    <definedName name="solver_lhs7" localSheetId="2" hidden="1">Pro_Forma!$R$35</definedName>
    <definedName name="solver_lhs8" localSheetId="2" hidden="1">Pro_Forma!#REF!</definedName>
    <definedName name="solver_lin" localSheetId="2" hidden="1">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2" localSheetId="2" hidden="1">1</definedName>
    <definedName name="solver_rel3" localSheetId="2" hidden="1">2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hs1" localSheetId="2" hidden="1">1</definedName>
    <definedName name="solver_rhs2" localSheetId="2" hidden="1">1</definedName>
    <definedName name="solver_rhs3" localSheetId="2" hidden="1">0</definedName>
    <definedName name="solver_rhs4" localSheetId="2" hidden="1">0</definedName>
    <definedName name="solver_rhs5" localSheetId="2" hidden="1">0</definedName>
    <definedName name="solver_rhs6" localSheetId="2" hidden="1">0</definedName>
    <definedName name="solver_rhs7" localSheetId="2" hidden="1">0.1</definedName>
    <definedName name="solver_rhs8" localSheetId="2" hidden="1">0.2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60</definedName>
    <definedName name="solver_tol" localSheetId="2" hidden="1">0.05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 calcMode="autoNoTable" iterate="1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11" i="1" l="1"/>
  <c r="M111" i="1"/>
  <c r="O111" i="1"/>
  <c r="AA65" i="1"/>
  <c r="J67" i="1"/>
  <c r="K67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M65" i="1"/>
  <c r="L65" i="1"/>
  <c r="L60" i="1"/>
  <c r="L59" i="1"/>
  <c r="L61" i="1"/>
  <c r="N120" i="1"/>
  <c r="O5" i="8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4" i="8"/>
  <c r="J119" i="1"/>
  <c r="J118" i="1"/>
  <c r="I117" i="1"/>
  <c r="O112" i="1"/>
  <c r="M108" i="1"/>
  <c r="M109" i="1"/>
  <c r="M110" i="1"/>
  <c r="M107" i="1"/>
  <c r="J108" i="1"/>
  <c r="C16" i="1"/>
  <c r="K131" i="1"/>
  <c r="H137" i="1"/>
  <c r="H109" i="1"/>
  <c r="H110" i="1"/>
  <c r="H111" i="1"/>
  <c r="H112" i="1"/>
  <c r="H113" i="1"/>
  <c r="H114" i="1"/>
  <c r="H115" i="1"/>
  <c r="H122" i="1"/>
  <c r="H123" i="1"/>
  <c r="H116" i="1"/>
  <c r="H124" i="1"/>
  <c r="H126" i="1"/>
  <c r="H128" i="1"/>
  <c r="H130" i="1"/>
  <c r="H125" i="1"/>
  <c r="C68" i="1"/>
  <c r="C44" i="1"/>
  <c r="W40" i="1"/>
  <c r="X39" i="1"/>
  <c r="X38" i="1"/>
  <c r="W35" i="1"/>
  <c r="W34" i="1"/>
  <c r="W33" i="1"/>
  <c r="W30" i="1"/>
  <c r="W28" i="1"/>
  <c r="C63" i="8" a="1"/>
  <c r="J117" i="1" l="1"/>
  <c r="W39" i="1"/>
  <c r="W38" i="1"/>
  <c r="W17" i="1" l="1"/>
  <c r="W22" i="1"/>
  <c r="W19" i="1"/>
  <c r="W18" i="1"/>
  <c r="W16" i="1"/>
  <c r="W15" i="1"/>
  <c r="Y23" i="1"/>
  <c r="Z23" i="1"/>
  <c r="X23" i="1"/>
  <c r="Z20" i="1"/>
  <c r="Y20" i="1"/>
  <c r="X20" i="1"/>
  <c r="S25" i="1"/>
  <c r="S11" i="1"/>
  <c r="C79" i="1"/>
  <c r="C20" i="6" s="1"/>
  <c r="D20" i="6" s="1"/>
  <c r="AE60" i="1"/>
  <c r="AE61" i="1"/>
  <c r="AE59" i="1"/>
  <c r="C64" i="1"/>
  <c r="C19" i="6" s="1"/>
  <c r="W8" i="1" l="1"/>
  <c r="C63" i="1" s="1"/>
  <c r="W5" i="1"/>
  <c r="C62" i="1" s="1"/>
  <c r="W20" i="1"/>
  <c r="W23" i="1"/>
  <c r="J11" i="10" l="1"/>
  <c r="J12" i="10" s="1"/>
  <c r="J9" i="10" s="1"/>
  <c r="J8" i="10" s="1"/>
  <c r="I11" i="10"/>
  <c r="I12" i="10" s="1"/>
  <c r="I9" i="10" s="1"/>
  <c r="I8" i="10" s="1"/>
  <c r="H11" i="10"/>
  <c r="H12" i="10" s="1"/>
  <c r="H9" i="10" s="1"/>
  <c r="H8" i="10" s="1"/>
  <c r="G11" i="10"/>
  <c r="G12" i="10" s="1"/>
  <c r="G9" i="10" s="1"/>
  <c r="G8" i="10" s="1"/>
  <c r="F11" i="10"/>
  <c r="F12" i="10" s="1"/>
  <c r="F9" i="10" s="1"/>
  <c r="F8" i="10" s="1"/>
  <c r="AE46" i="1"/>
  <c r="AE47" i="1"/>
  <c r="AE44" i="1"/>
  <c r="AE45" i="1"/>
  <c r="J17" i="1"/>
  <c r="B22" i="6" l="1"/>
  <c r="B24" i="6" s="1"/>
  <c r="C99" i="1"/>
  <c r="G25" i="2" l="1"/>
  <c r="G26" i="2"/>
  <c r="G28" i="2"/>
  <c r="G29" i="2"/>
  <c r="G30" i="2"/>
  <c r="G32" i="2"/>
  <c r="G33" i="2"/>
  <c r="G34" i="2"/>
  <c r="G36" i="2"/>
  <c r="G37" i="2"/>
  <c r="G38" i="2"/>
  <c r="G24" i="2"/>
  <c r="I4" i="1"/>
  <c r="C78" i="2" l="1"/>
  <c r="C79" i="2" s="1"/>
  <c r="C74" i="2"/>
  <c r="C75" i="2" s="1"/>
  <c r="C37" i="2"/>
  <c r="C38" i="2"/>
  <c r="C40" i="2" s="1"/>
  <c r="C28" i="2"/>
  <c r="C29" i="2" s="1"/>
  <c r="R37" i="1"/>
  <c r="R39" i="1" s="1"/>
  <c r="I45" i="1"/>
  <c r="J45" i="1" s="1"/>
  <c r="C87" i="1"/>
  <c r="D112" i="1"/>
  <c r="E55" i="1"/>
  <c r="C70" i="2"/>
  <c r="C72" i="2" s="1"/>
  <c r="P40" i="1"/>
  <c r="D12" i="1"/>
  <c r="C17" i="1" s="1"/>
  <c r="D18" i="1" s="1"/>
  <c r="AH29" i="1" a="1"/>
  <c r="AI48" i="1" a="1"/>
  <c r="AJ48" i="1" a="1"/>
  <c r="AK48" i="1" a="1"/>
  <c r="AL48" i="1" a="1"/>
  <c r="AI49" i="1" a="1"/>
  <c r="AJ49" i="1" a="1"/>
  <c r="AK49" i="1" a="1"/>
  <c r="AL49" i="1" a="1"/>
  <c r="AI50" i="1" a="1"/>
  <c r="AJ50" i="1" a="1"/>
  <c r="AK50" i="1" a="1"/>
  <c r="AL50" i="1" a="1"/>
  <c r="AI51" i="1" a="1"/>
  <c r="AJ51" i="1" a="1"/>
  <c r="AK51" i="1" a="1"/>
  <c r="AL51" i="1" a="1"/>
  <c r="AI52" i="1" a="1"/>
  <c r="AJ52" i="1" a="1"/>
  <c r="AK52" i="1" a="1"/>
  <c r="AL52" i="1" a="1"/>
  <c r="AI53" i="1" a="1"/>
  <c r="AJ53" i="1" a="1"/>
  <c r="AK53" i="1" a="1"/>
  <c r="AL53" i="1" a="1"/>
  <c r="AI54" i="1" a="1"/>
  <c r="AJ54" i="1" a="1"/>
  <c r="AK54" i="1" a="1"/>
  <c r="AL54" i="1" a="1"/>
  <c r="AJ47" i="1" a="1"/>
  <c r="AK47" i="1" a="1"/>
  <c r="AL47" i="1" a="1"/>
  <c r="AI47" i="1" a="1"/>
  <c r="J25" i="1"/>
  <c r="G39" i="2" s="1"/>
  <c r="J21" i="1"/>
  <c r="G35" i="2" s="1"/>
  <c r="G31" i="2"/>
  <c r="J13" i="1"/>
  <c r="L7" i="1"/>
  <c r="H22" i="1"/>
  <c r="H23" i="1" s="1"/>
  <c r="H24" i="1" s="1"/>
  <c r="H25" i="1" s="1"/>
  <c r="H18" i="1"/>
  <c r="H19" i="1" s="1"/>
  <c r="H20" i="1" s="1"/>
  <c r="H21" i="1" s="1"/>
  <c r="H14" i="1"/>
  <c r="H26" i="1" s="1"/>
  <c r="H10" i="1"/>
  <c r="H11" i="1" s="1"/>
  <c r="H12" i="1" s="1"/>
  <c r="H13" i="1" s="1"/>
  <c r="C76" i="1"/>
  <c r="C128" i="7"/>
  <c r="C127" i="7"/>
  <c r="C114" i="7"/>
  <c r="C113" i="7"/>
  <c r="C61" i="2"/>
  <c r="C5" i="7"/>
  <c r="C116" i="7"/>
  <c r="C111" i="7"/>
  <c r="C110" i="7"/>
  <c r="C108" i="7"/>
  <c r="C107" i="7"/>
  <c r="C105" i="7"/>
  <c r="C130" i="7"/>
  <c r="C125" i="7"/>
  <c r="C124" i="7"/>
  <c r="C122" i="7"/>
  <c r="C121" i="7"/>
  <c r="C119" i="7"/>
  <c r="C136" i="7"/>
  <c r="C118" i="7"/>
  <c r="C104" i="7"/>
  <c r="C101" i="7"/>
  <c r="C100" i="7"/>
  <c r="F19" i="2"/>
  <c r="F18" i="2"/>
  <c r="F17" i="2"/>
  <c r="F16" i="2"/>
  <c r="J4" i="1"/>
  <c r="H28" i="2" s="1"/>
  <c r="J5" i="1"/>
  <c r="K20" i="1" s="1"/>
  <c r="J6" i="1"/>
  <c r="K24" i="1" s="1"/>
  <c r="J3" i="1"/>
  <c r="K10" i="1" s="1"/>
  <c r="C98" i="7"/>
  <c r="C97" i="7"/>
  <c r="C96" i="7"/>
  <c r="C95" i="7"/>
  <c r="C94" i="7"/>
  <c r="C93" i="7"/>
  <c r="C92" i="7"/>
  <c r="C89" i="7"/>
  <c r="C88" i="7"/>
  <c r="C87" i="7"/>
  <c r="C86" i="7"/>
  <c r="C85" i="7"/>
  <c r="C84" i="7"/>
  <c r="C83" i="7"/>
  <c r="C80" i="7"/>
  <c r="C79" i="7"/>
  <c r="C78" i="7"/>
  <c r="C77" i="7"/>
  <c r="C76" i="7"/>
  <c r="C73" i="7"/>
  <c r="C72" i="7"/>
  <c r="C71" i="7"/>
  <c r="C68" i="7"/>
  <c r="C67" i="7"/>
  <c r="C66" i="7"/>
  <c r="C65" i="7"/>
  <c r="C64" i="7"/>
  <c r="C61" i="7"/>
  <c r="C60" i="7"/>
  <c r="C59" i="7"/>
  <c r="C58" i="7"/>
  <c r="C57" i="7"/>
  <c r="C56" i="7"/>
  <c r="C55" i="7"/>
  <c r="C52" i="7"/>
  <c r="C51" i="7"/>
  <c r="C50" i="7"/>
  <c r="C49" i="7"/>
  <c r="C48" i="7"/>
  <c r="C47" i="7"/>
  <c r="C46" i="7"/>
  <c r="C45" i="7"/>
  <c r="C44" i="7"/>
  <c r="C43" i="7"/>
  <c r="C40" i="7"/>
  <c r="C39" i="7"/>
  <c r="C38" i="7"/>
  <c r="C37" i="7"/>
  <c r="C36" i="7"/>
  <c r="C35" i="7"/>
  <c r="C34" i="7"/>
  <c r="C22" i="7"/>
  <c r="C23" i="7"/>
  <c r="C24" i="7"/>
  <c r="C25" i="7"/>
  <c r="C26" i="7"/>
  <c r="C27" i="7"/>
  <c r="C28" i="7"/>
  <c r="C29" i="7"/>
  <c r="C30" i="7"/>
  <c r="C31" i="7"/>
  <c r="C32" i="7"/>
  <c r="C33" i="7"/>
  <c r="C21" i="7"/>
  <c r="C13" i="7"/>
  <c r="C14" i="7"/>
  <c r="C15" i="7"/>
  <c r="C16" i="7"/>
  <c r="C17" i="7"/>
  <c r="C18" i="7"/>
  <c r="C7" i="7"/>
  <c r="C8" i="7"/>
  <c r="C9" i="7"/>
  <c r="C10" i="7"/>
  <c r="C6" i="7"/>
  <c r="C4" i="7"/>
  <c r="A219" i="6"/>
  <c r="C4" i="6"/>
  <c r="H46" i="1"/>
  <c r="C5" i="6"/>
  <c r="C80" i="6" s="1"/>
  <c r="C17" i="6"/>
  <c r="D17" i="6" s="1"/>
  <c r="D19" i="6"/>
  <c r="AF5" i="1"/>
  <c r="AG5" i="1" s="1"/>
  <c r="AH5" i="1" s="1"/>
  <c r="AI5" i="1" s="1"/>
  <c r="AJ5" i="1" s="1"/>
  <c r="AK5" i="1" s="1"/>
  <c r="AL5" i="1" s="1"/>
  <c r="AM5" i="1" s="1"/>
  <c r="AN5" i="1" s="1"/>
  <c r="AO5" i="1" s="1"/>
  <c r="AP5" i="1" s="1"/>
  <c r="AQ5" i="1" s="1"/>
  <c r="AD7" i="1"/>
  <c r="AD8" i="1" s="1"/>
  <c r="AD9" i="1" s="1"/>
  <c r="AD10" i="1" s="1"/>
  <c r="AD11" i="1" s="1"/>
  <c r="AD12" i="1" s="1"/>
  <c r="AD13" i="1" s="1"/>
  <c r="AD14" i="1" s="1"/>
  <c r="AD15" i="1" s="1"/>
  <c r="AD16" i="1" s="1"/>
  <c r="AD17" i="1" s="1"/>
  <c r="AD18" i="1" s="1"/>
  <c r="AD19" i="1" s="1"/>
  <c r="AD20" i="1" s="1"/>
  <c r="AD21" i="1" s="1"/>
  <c r="C33" i="1"/>
  <c r="S20" i="1"/>
  <c r="S14" i="1" s="1"/>
  <c r="D105" i="1"/>
  <c r="D110" i="1" s="1"/>
  <c r="J53" i="1"/>
  <c r="J57" i="1" s="1"/>
  <c r="J62" i="1" s="1"/>
  <c r="K53" i="1"/>
  <c r="K57" i="1" s="1"/>
  <c r="K62" i="1" s="1"/>
  <c r="C18" i="6"/>
  <c r="D18" i="6" s="1"/>
  <c r="C5" i="2"/>
  <c r="N42" i="1"/>
  <c r="K94" i="1" s="1"/>
  <c r="K96" i="1" s="1"/>
  <c r="M61" i="1"/>
  <c r="N61" i="1" s="1"/>
  <c r="O61" i="1" s="1"/>
  <c r="P61" i="1" s="1"/>
  <c r="Q61" i="1" s="1"/>
  <c r="R61" i="1" s="1"/>
  <c r="S61" i="1" s="1"/>
  <c r="T61" i="1" s="1"/>
  <c r="U61" i="1" s="1"/>
  <c r="V61" i="1" s="1"/>
  <c r="W61" i="1" s="1"/>
  <c r="X61" i="1" s="1"/>
  <c r="Y61" i="1" s="1"/>
  <c r="Z61" i="1" s="1"/>
  <c r="AA61" i="1" s="1"/>
  <c r="M60" i="1"/>
  <c r="N60" i="1" s="1"/>
  <c r="O60" i="1" s="1"/>
  <c r="P60" i="1" s="1"/>
  <c r="Q60" i="1" s="1"/>
  <c r="R60" i="1" s="1"/>
  <c r="S60" i="1" s="1"/>
  <c r="T60" i="1" s="1"/>
  <c r="U60" i="1" s="1"/>
  <c r="V60" i="1" s="1"/>
  <c r="W60" i="1" s="1"/>
  <c r="X60" i="1" s="1"/>
  <c r="Y60" i="1" s="1"/>
  <c r="Z60" i="1" s="1"/>
  <c r="AA60" i="1" s="1"/>
  <c r="M59" i="1"/>
  <c r="N59" i="1" s="1"/>
  <c r="O59" i="1" s="1"/>
  <c r="P59" i="1" s="1"/>
  <c r="Q59" i="1" s="1"/>
  <c r="R59" i="1" s="1"/>
  <c r="S59" i="1" s="1"/>
  <c r="T59" i="1" s="1"/>
  <c r="U59" i="1" s="1"/>
  <c r="V59" i="1" s="1"/>
  <c r="W59" i="1" s="1"/>
  <c r="X59" i="1" s="1"/>
  <c r="Y59" i="1" s="1"/>
  <c r="Z59" i="1" s="1"/>
  <c r="AA59" i="1" s="1"/>
  <c r="AB155" i="6"/>
  <c r="Z155" i="6" l="1"/>
  <c r="R155" i="6"/>
  <c r="A220" i="6"/>
  <c r="AB156" i="6"/>
  <c r="AB157" i="6" s="1"/>
  <c r="R16" i="1"/>
  <c r="C78" i="1"/>
  <c r="H15" i="1"/>
  <c r="H16" i="1" s="1"/>
  <c r="H17" i="1" s="1"/>
  <c r="AD52" i="1"/>
  <c r="H39" i="2"/>
  <c r="K16" i="1"/>
  <c r="K15" i="1"/>
  <c r="K22" i="1"/>
  <c r="K14" i="1"/>
  <c r="C112" i="7"/>
  <c r="H35" i="2"/>
  <c r="AJ55" i="1"/>
  <c r="L14" i="1" s="1"/>
  <c r="L15" i="1" s="1"/>
  <c r="L16" i="1" s="1"/>
  <c r="L17" i="1" s="1"/>
  <c r="K25" i="1"/>
  <c r="J46" i="1"/>
  <c r="H26" i="2"/>
  <c r="H24" i="2"/>
  <c r="H34" i="2"/>
  <c r="D56" i="6"/>
  <c r="H25" i="2"/>
  <c r="H29" i="2"/>
  <c r="C76" i="6"/>
  <c r="K23" i="1"/>
  <c r="C91" i="7"/>
  <c r="C14" i="1"/>
  <c r="S9" i="1" s="1"/>
  <c r="K12" i="1"/>
  <c r="C52" i="6"/>
  <c r="K11" i="1"/>
  <c r="D83" i="6"/>
  <c r="H31" i="2"/>
  <c r="H30" i="2"/>
  <c r="H32" i="2"/>
  <c r="H38" i="2"/>
  <c r="AI55" i="1"/>
  <c r="L10" i="1" s="1"/>
  <c r="M10" i="1" s="1"/>
  <c r="N10" i="1" s="1"/>
  <c r="O10" i="1" s="1"/>
  <c r="H33" i="2"/>
  <c r="H36" i="2"/>
  <c r="H37" i="2"/>
  <c r="K13" i="1"/>
  <c r="G27" i="2"/>
  <c r="H27" i="2" s="1"/>
  <c r="C37" i="6"/>
  <c r="C120" i="7"/>
  <c r="C63" i="7"/>
  <c r="C61" i="6"/>
  <c r="D76" i="6"/>
  <c r="C53" i="6"/>
  <c r="C73" i="6"/>
  <c r="C85" i="6"/>
  <c r="C39" i="6"/>
  <c r="D57" i="6"/>
  <c r="D85" i="6"/>
  <c r="C75" i="7"/>
  <c r="C78" i="6"/>
  <c r="D74" i="6"/>
  <c r="D68" i="6"/>
  <c r="C36" i="6"/>
  <c r="C42" i="7"/>
  <c r="AL55" i="1"/>
  <c r="L22" i="1" s="1"/>
  <c r="L23" i="1" s="1"/>
  <c r="AK55" i="1"/>
  <c r="L18" i="1" s="1"/>
  <c r="L19" i="1" s="1"/>
  <c r="L20" i="1" s="1"/>
  <c r="L21" i="1" s="1"/>
  <c r="D60" i="6"/>
  <c r="D61" i="6"/>
  <c r="I46" i="1"/>
  <c r="D72" i="6"/>
  <c r="C70" i="6"/>
  <c r="K18" i="1"/>
  <c r="D84" i="6"/>
  <c r="D62" i="6"/>
  <c r="K19" i="1"/>
  <c r="C57" i="6"/>
  <c r="C35" i="6"/>
  <c r="C69" i="6"/>
  <c r="C87" i="6"/>
  <c r="K17" i="1"/>
  <c r="K21" i="1"/>
  <c r="C77" i="6"/>
  <c r="C28" i="6"/>
  <c r="C31" i="6"/>
  <c r="C75" i="6"/>
  <c r="D52" i="6"/>
  <c r="D53" i="6"/>
  <c r="D73" i="6"/>
  <c r="C70" i="7"/>
  <c r="C106" i="7"/>
  <c r="C30" i="6"/>
  <c r="C40" i="6"/>
  <c r="C115" i="7"/>
  <c r="C38" i="6"/>
  <c r="C58" i="6"/>
  <c r="C123" i="7"/>
  <c r="C102" i="7"/>
  <c r="H94" i="1"/>
  <c r="C54" i="7"/>
  <c r="C129" i="7"/>
  <c r="C33" i="6"/>
  <c r="C126" i="7"/>
  <c r="V155" i="6"/>
  <c r="D69" i="6"/>
  <c r="C54" i="6"/>
  <c r="C86" i="6"/>
  <c r="D70" i="6"/>
  <c r="C43" i="6"/>
  <c r="C67" i="6"/>
  <c r="C51" i="6"/>
  <c r="C83" i="6"/>
  <c r="D77" i="6"/>
  <c r="C62" i="6"/>
  <c r="C41" i="6"/>
  <c r="D78" i="6"/>
  <c r="C44" i="6"/>
  <c r="D87" i="6"/>
  <c r="C59" i="6"/>
  <c r="C72" i="6"/>
  <c r="C12" i="7"/>
  <c r="C82" i="7"/>
  <c r="C45" i="6"/>
  <c r="D80" i="6"/>
  <c r="C65" i="6"/>
  <c r="C47" i="6"/>
  <c r="D81" i="6"/>
  <c r="C66" i="6"/>
  <c r="C49" i="6"/>
  <c r="D82" i="6"/>
  <c r="C55" i="6"/>
  <c r="C56" i="6"/>
  <c r="D59" i="6"/>
  <c r="D54" i="6"/>
  <c r="D86" i="6"/>
  <c r="C64" i="6"/>
  <c r="D67" i="6"/>
  <c r="C60" i="6"/>
  <c r="C71" i="6"/>
  <c r="C32" i="6"/>
  <c r="C74" i="6"/>
  <c r="D58" i="6"/>
  <c r="C34" i="6"/>
  <c r="D75" i="6"/>
  <c r="C79" i="6"/>
  <c r="C63" i="6"/>
  <c r="D71" i="6"/>
  <c r="D64" i="6"/>
  <c r="C46" i="6"/>
  <c r="C81" i="6"/>
  <c r="D65" i="6"/>
  <c r="C48" i="6"/>
  <c r="C82" i="6"/>
  <c r="D66" i="6"/>
  <c r="C42" i="6"/>
  <c r="D55" i="6"/>
  <c r="C50" i="6"/>
  <c r="D63" i="6"/>
  <c r="C109" i="7"/>
  <c r="C68" i="6"/>
  <c r="C84" i="6"/>
  <c r="C20" i="7"/>
  <c r="C29" i="6"/>
  <c r="D79" i="6"/>
  <c r="D50" i="6" l="1"/>
  <c r="D51" i="6"/>
  <c r="AF155" i="6"/>
  <c r="A221" i="6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B158" i="6"/>
  <c r="AB159" i="6" s="1"/>
  <c r="AB160" i="6" s="1"/>
  <c r="AB161" i="6" s="1"/>
  <c r="H95" i="1"/>
  <c r="D34" i="1"/>
  <c r="H6" i="1"/>
  <c r="G19" i="2" s="1"/>
  <c r="J19" i="2" s="1"/>
  <c r="E110" i="1"/>
  <c r="D44" i="1"/>
  <c r="E112" i="1"/>
  <c r="C13" i="1"/>
  <c r="D33" i="1"/>
  <c r="I26" i="1"/>
  <c r="C2" i="2" s="1"/>
  <c r="C41" i="1"/>
  <c r="E113" i="1"/>
  <c r="M19" i="1"/>
  <c r="N19" i="1" s="1"/>
  <c r="O19" i="1" s="1"/>
  <c r="M22" i="1"/>
  <c r="N22" i="1" s="1"/>
  <c r="O22" i="1" s="1"/>
  <c r="M14" i="1"/>
  <c r="N14" i="1" s="1"/>
  <c r="O14" i="1" s="1"/>
  <c r="M15" i="1"/>
  <c r="N15" i="1" s="1"/>
  <c r="O15" i="1" s="1"/>
  <c r="M21" i="1"/>
  <c r="N21" i="1" s="1"/>
  <c r="O21" i="1" s="1"/>
  <c r="M16" i="1"/>
  <c r="D37" i="1"/>
  <c r="E115" i="1"/>
  <c r="H3" i="1"/>
  <c r="E109" i="1"/>
  <c r="E106" i="1"/>
  <c r="H5" i="1"/>
  <c r="E105" i="1"/>
  <c r="L11" i="1"/>
  <c r="L12" i="1" s="1"/>
  <c r="E108" i="1"/>
  <c r="E107" i="1"/>
  <c r="M17" i="1"/>
  <c r="N17" i="1" s="1"/>
  <c r="O17" i="1" s="1"/>
  <c r="K26" i="1"/>
  <c r="M26" i="1" s="1"/>
  <c r="N26" i="1" s="1"/>
  <c r="M20" i="1"/>
  <c r="N20" i="1" s="1"/>
  <c r="O20" i="1" s="1"/>
  <c r="M23" i="1"/>
  <c r="N23" i="1" s="1"/>
  <c r="O23" i="1" s="1"/>
  <c r="L24" i="1"/>
  <c r="M18" i="1"/>
  <c r="N18" i="1" s="1"/>
  <c r="O18" i="1" s="1"/>
  <c r="D47" i="6"/>
  <c r="D35" i="6"/>
  <c r="D43" i="6"/>
  <c r="D32" i="6"/>
  <c r="D28" i="6"/>
  <c r="D30" i="6"/>
  <c r="D48" i="6"/>
  <c r="D31" i="6"/>
  <c r="D38" i="6"/>
  <c r="D37" i="6"/>
  <c r="D45" i="6"/>
  <c r="D41" i="6"/>
  <c r="D44" i="6"/>
  <c r="D39" i="6"/>
  <c r="D34" i="6"/>
  <c r="D49" i="6"/>
  <c r="D36" i="6"/>
  <c r="D33" i="6"/>
  <c r="D46" i="6"/>
  <c r="D29" i="6"/>
  <c r="D42" i="6"/>
  <c r="D40" i="6"/>
  <c r="O26" i="1" l="1"/>
  <c r="J120" i="1"/>
  <c r="AB162" i="6"/>
  <c r="AB163" i="6" s="1"/>
  <c r="AB164" i="6" s="1"/>
  <c r="AB165" i="6" s="1"/>
  <c r="AB166" i="6" s="1"/>
  <c r="AB167" i="6" s="1"/>
  <c r="AB168" i="6" s="1"/>
  <c r="AB169" i="6" s="1"/>
  <c r="AB170" i="6" s="1"/>
  <c r="AB171" i="6" s="1"/>
  <c r="AB172" i="6" s="1"/>
  <c r="AB173" i="6" s="1"/>
  <c r="AB174" i="6" s="1"/>
  <c r="AB175" i="6" s="1"/>
  <c r="AB176" i="6" s="1"/>
  <c r="AB177" i="6" s="1"/>
  <c r="AB178" i="6" s="1"/>
  <c r="AB179" i="6" s="1"/>
  <c r="AB180" i="6" s="1"/>
  <c r="AB181" i="6" s="1"/>
  <c r="AB182" i="6" s="1"/>
  <c r="AB183" i="6" s="1"/>
  <c r="AB184" i="6" s="1"/>
  <c r="AB185" i="6" s="1"/>
  <c r="AB186" i="6" s="1"/>
  <c r="AB187" i="6" s="1"/>
  <c r="AB188" i="6" s="1"/>
  <c r="AB189" i="6" s="1"/>
  <c r="AB190" i="6" s="1"/>
  <c r="AB191" i="6" s="1"/>
  <c r="AB192" i="6" s="1"/>
  <c r="AB193" i="6" s="1"/>
  <c r="AB194" i="6" s="1"/>
  <c r="AB195" i="6" s="1"/>
  <c r="AB196" i="6" s="1"/>
  <c r="AB197" i="6" s="1"/>
  <c r="AB198" i="6" s="1"/>
  <c r="AB199" i="6" s="1"/>
  <c r="AB200" i="6" s="1"/>
  <c r="AB201" i="6" s="1"/>
  <c r="AB202" i="6" s="1"/>
  <c r="AB203" i="6" s="1"/>
  <c r="AB204" i="6" s="1"/>
  <c r="AB205" i="6" s="1"/>
  <c r="AB206" i="6" s="1"/>
  <c r="AB207" i="6" s="1"/>
  <c r="AB208" i="6" s="1"/>
  <c r="AB209" i="6" s="1"/>
  <c r="AB210" i="6" s="1"/>
  <c r="AB211" i="6" s="1"/>
  <c r="AB212" i="6" s="1"/>
  <c r="AB213" i="6" s="1"/>
  <c r="AB214" i="6" s="1"/>
  <c r="A271" i="6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A393" i="6" s="1"/>
  <c r="A394" i="6" s="1"/>
  <c r="A395" i="6" s="1"/>
  <c r="A396" i="6" s="1"/>
  <c r="A397" i="6" s="1"/>
  <c r="A398" i="6" s="1"/>
  <c r="A399" i="6" s="1"/>
  <c r="A400" i="6" s="1"/>
  <c r="A401" i="6" s="1"/>
  <c r="A402" i="6" s="1"/>
  <c r="A403" i="6" s="1"/>
  <c r="A404" i="6" s="1"/>
  <c r="A405" i="6" s="1"/>
  <c r="A406" i="6" s="1"/>
  <c r="A407" i="6" s="1"/>
  <c r="A408" i="6" s="1"/>
  <c r="A409" i="6" s="1"/>
  <c r="A410" i="6" s="1"/>
  <c r="A411" i="6" s="1"/>
  <c r="A412" i="6" s="1"/>
  <c r="A413" i="6" s="1"/>
  <c r="A414" i="6" s="1"/>
  <c r="A415" i="6" s="1"/>
  <c r="A416" i="6" s="1"/>
  <c r="A417" i="6" s="1"/>
  <c r="A418" i="6" s="1"/>
  <c r="A419" i="6" s="1"/>
  <c r="A420" i="6" s="1"/>
  <c r="A421" i="6" s="1"/>
  <c r="A422" i="6" s="1"/>
  <c r="A423" i="6" s="1"/>
  <c r="A424" i="6" s="1"/>
  <c r="A425" i="6" s="1"/>
  <c r="A426" i="6" s="1"/>
  <c r="A427" i="6" s="1"/>
  <c r="A428" i="6" s="1"/>
  <c r="A429" i="6" s="1"/>
  <c r="A430" i="6" s="1"/>
  <c r="A431" i="6" s="1"/>
  <c r="A432" i="6" s="1"/>
  <c r="A433" i="6" s="1"/>
  <c r="A434" i="6" s="1"/>
  <c r="A435" i="6" s="1"/>
  <c r="A436" i="6" s="1"/>
  <c r="A437" i="6" s="1"/>
  <c r="A438" i="6" s="1"/>
  <c r="A439" i="6" s="1"/>
  <c r="A440" i="6" s="1"/>
  <c r="A441" i="6" s="1"/>
  <c r="A442" i="6" s="1"/>
  <c r="A443" i="6" s="1"/>
  <c r="A444" i="6" s="1"/>
  <c r="A445" i="6" s="1"/>
  <c r="A446" i="6" s="1"/>
  <c r="A447" i="6" s="1"/>
  <c r="A448" i="6" s="1"/>
  <c r="A449" i="6" s="1"/>
  <c r="A450" i="6" s="1"/>
  <c r="A451" i="6" s="1"/>
  <c r="A452" i="6" s="1"/>
  <c r="A453" i="6" s="1"/>
  <c r="A454" i="6" s="1"/>
  <c r="A455" i="6" s="1"/>
  <c r="A456" i="6" s="1"/>
  <c r="A457" i="6" s="1"/>
  <c r="A458" i="6" s="1"/>
  <c r="A459" i="6" s="1"/>
  <c r="A460" i="6" s="1"/>
  <c r="A461" i="6" s="1"/>
  <c r="A462" i="6" s="1"/>
  <c r="A463" i="6" s="1"/>
  <c r="A464" i="6" s="1"/>
  <c r="A465" i="6" s="1"/>
  <c r="A466" i="6" s="1"/>
  <c r="A467" i="6" s="1"/>
  <c r="A468" i="6" s="1"/>
  <c r="A469" i="6" s="1"/>
  <c r="A470" i="6" s="1"/>
  <c r="A471" i="6" s="1"/>
  <c r="A472" i="6" s="1"/>
  <c r="A473" i="6" s="1"/>
  <c r="A474" i="6" s="1"/>
  <c r="A475" i="6" s="1"/>
  <c r="A476" i="6" s="1"/>
  <c r="A477" i="6" s="1"/>
  <c r="A478" i="6" s="1"/>
  <c r="A479" i="6" s="1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A495" i="6" s="1"/>
  <c r="A496" i="6" s="1"/>
  <c r="N16" i="1"/>
  <c r="O16" i="1" s="1"/>
  <c r="I23" i="1"/>
  <c r="I37" i="2" s="1"/>
  <c r="I22" i="1"/>
  <c r="I10" i="1"/>
  <c r="G18" i="2"/>
  <c r="J18" i="2" s="1"/>
  <c r="I19" i="1"/>
  <c r="I33" i="2" s="1"/>
  <c r="I11" i="1"/>
  <c r="I25" i="2" s="1"/>
  <c r="I18" i="1"/>
  <c r="H4" i="1"/>
  <c r="M12" i="1"/>
  <c r="N12" i="1" s="1"/>
  <c r="O12" i="1" s="1"/>
  <c r="L13" i="1"/>
  <c r="G16" i="2"/>
  <c r="J16" i="2" s="1"/>
  <c r="K45" i="1"/>
  <c r="C6" i="6"/>
  <c r="C7" i="6" s="1"/>
  <c r="M11" i="1"/>
  <c r="N11" i="1" s="1"/>
  <c r="O11" i="1" s="1"/>
  <c r="L25" i="1"/>
  <c r="M25" i="1" s="1"/>
  <c r="N25" i="1" s="1"/>
  <c r="O25" i="1" s="1"/>
  <c r="M24" i="1"/>
  <c r="N24" i="1" s="1"/>
  <c r="O24" i="1" s="1"/>
  <c r="P198" i="6" l="1"/>
  <c r="R198" i="6" s="1"/>
  <c r="P204" i="6"/>
  <c r="R204" i="6" s="1"/>
  <c r="P205" i="6"/>
  <c r="R205" i="6" s="1"/>
  <c r="P214" i="6"/>
  <c r="R214" i="6" s="1"/>
  <c r="P193" i="6"/>
  <c r="R193" i="6" s="1"/>
  <c r="P199" i="6"/>
  <c r="R199" i="6" s="1"/>
  <c r="P212" i="6"/>
  <c r="R212" i="6" s="1"/>
  <c r="P200" i="6"/>
  <c r="R200" i="6" s="1"/>
  <c r="P206" i="6"/>
  <c r="R206" i="6" s="1"/>
  <c r="P194" i="6"/>
  <c r="R194" i="6" s="1"/>
  <c r="P207" i="6"/>
  <c r="R207" i="6" s="1"/>
  <c r="P213" i="6"/>
  <c r="R213" i="6" s="1"/>
  <c r="P195" i="6"/>
  <c r="R195" i="6" s="1"/>
  <c r="P202" i="6"/>
  <c r="R202" i="6" s="1"/>
  <c r="P196" i="6"/>
  <c r="R196" i="6" s="1"/>
  <c r="P203" i="6"/>
  <c r="R203" i="6" s="1"/>
  <c r="P210" i="6"/>
  <c r="R210" i="6" s="1"/>
  <c r="P211" i="6"/>
  <c r="R211" i="6" s="1"/>
  <c r="P197" i="6"/>
  <c r="R197" i="6" s="1"/>
  <c r="P209" i="6"/>
  <c r="R209" i="6" s="1"/>
  <c r="P201" i="6"/>
  <c r="R201" i="6" s="1"/>
  <c r="P208" i="6"/>
  <c r="R208" i="6" s="1"/>
  <c r="A497" i="6"/>
  <c r="A498" i="6" s="1"/>
  <c r="A499" i="6" s="1"/>
  <c r="A500" i="6" s="1"/>
  <c r="A501" i="6" s="1"/>
  <c r="A502" i="6" s="1"/>
  <c r="A503" i="6" s="1"/>
  <c r="A504" i="6" s="1"/>
  <c r="A505" i="6" s="1"/>
  <c r="A506" i="6" s="1"/>
  <c r="A507" i="6" s="1"/>
  <c r="A508" i="6" s="1"/>
  <c r="A509" i="6" s="1"/>
  <c r="A510" i="6" s="1"/>
  <c r="A511" i="6" s="1"/>
  <c r="A512" i="6" s="1"/>
  <c r="A513" i="6" s="1"/>
  <c r="A514" i="6" s="1"/>
  <c r="A515" i="6" s="1"/>
  <c r="A516" i="6" s="1"/>
  <c r="A517" i="6" s="1"/>
  <c r="A518" i="6" s="1"/>
  <c r="A519" i="6" s="1"/>
  <c r="A520" i="6" s="1"/>
  <c r="A521" i="6" s="1"/>
  <c r="A522" i="6" s="1"/>
  <c r="A523" i="6" s="1"/>
  <c r="A524" i="6" s="1"/>
  <c r="A525" i="6" s="1"/>
  <c r="A526" i="6" s="1"/>
  <c r="A527" i="6" s="1"/>
  <c r="A528" i="6" s="1"/>
  <c r="A529" i="6" s="1"/>
  <c r="A530" i="6" s="1"/>
  <c r="A531" i="6" s="1"/>
  <c r="A532" i="6" s="1"/>
  <c r="A533" i="6" s="1"/>
  <c r="A534" i="6" s="1"/>
  <c r="A535" i="6" s="1"/>
  <c r="A536" i="6" s="1"/>
  <c r="A537" i="6" s="1"/>
  <c r="A538" i="6" s="1"/>
  <c r="A539" i="6" s="1"/>
  <c r="A540" i="6" s="1"/>
  <c r="A541" i="6" s="1"/>
  <c r="A542" i="6" s="1"/>
  <c r="A543" i="6" s="1"/>
  <c r="A544" i="6" s="1"/>
  <c r="A545" i="6" s="1"/>
  <c r="A546" i="6" s="1"/>
  <c r="A547" i="6" s="1"/>
  <c r="A548" i="6" s="1"/>
  <c r="A549" i="6" s="1"/>
  <c r="A550" i="6" s="1"/>
  <c r="A551" i="6" s="1"/>
  <c r="A552" i="6" s="1"/>
  <c r="A553" i="6" s="1"/>
  <c r="A554" i="6" s="1"/>
  <c r="A555" i="6" s="1"/>
  <c r="A556" i="6" s="1"/>
  <c r="A557" i="6" s="1"/>
  <c r="A558" i="6" s="1"/>
  <c r="A559" i="6" s="1"/>
  <c r="A560" i="6" s="1"/>
  <c r="A561" i="6" s="1"/>
  <c r="A562" i="6" s="1"/>
  <c r="A563" i="6" s="1"/>
  <c r="A564" i="6" s="1"/>
  <c r="A565" i="6" s="1"/>
  <c r="A566" i="6" s="1"/>
  <c r="A567" i="6" s="1"/>
  <c r="A568" i="6" s="1"/>
  <c r="A569" i="6" s="1"/>
  <c r="A570" i="6" s="1"/>
  <c r="A571" i="6" s="1"/>
  <c r="A572" i="6" s="1"/>
  <c r="A573" i="6" s="1"/>
  <c r="A574" i="6" s="1"/>
  <c r="A575" i="6" s="1"/>
  <c r="A576" i="6" s="1"/>
  <c r="A577" i="6" s="1"/>
  <c r="A578" i="6" s="1"/>
  <c r="A579" i="6" s="1"/>
  <c r="A580" i="6" s="1"/>
  <c r="A581" i="6" s="1"/>
  <c r="A582" i="6" s="1"/>
  <c r="A583" i="6" s="1"/>
  <c r="A584" i="6" s="1"/>
  <c r="A585" i="6" s="1"/>
  <c r="A586" i="6" s="1"/>
  <c r="A587" i="6" s="1"/>
  <c r="A588" i="6" s="1"/>
  <c r="A589" i="6" s="1"/>
  <c r="A590" i="6" s="1"/>
  <c r="A591" i="6" s="1"/>
  <c r="A592" i="6" s="1"/>
  <c r="A593" i="6" s="1"/>
  <c r="A594" i="6" s="1"/>
  <c r="A595" i="6" s="1"/>
  <c r="A596" i="6" s="1"/>
  <c r="A597" i="6" s="1"/>
  <c r="A598" i="6" s="1"/>
  <c r="A599" i="6" s="1"/>
  <c r="A600" i="6" s="1"/>
  <c r="A601" i="6" s="1"/>
  <c r="A602" i="6" s="1"/>
  <c r="A603" i="6" s="1"/>
  <c r="A604" i="6" s="1"/>
  <c r="A605" i="6" s="1"/>
  <c r="A606" i="6" s="1"/>
  <c r="A607" i="6" s="1"/>
  <c r="A608" i="6" s="1"/>
  <c r="A609" i="6" s="1"/>
  <c r="A610" i="6" s="1"/>
  <c r="A611" i="6" s="1"/>
  <c r="A612" i="6" s="1"/>
  <c r="A613" i="6" s="1"/>
  <c r="A614" i="6" s="1"/>
  <c r="A615" i="6" s="1"/>
  <c r="A616" i="6" s="1"/>
  <c r="A617" i="6" s="1"/>
  <c r="A618" i="6" s="1"/>
  <c r="A619" i="6" s="1"/>
  <c r="A620" i="6" s="1"/>
  <c r="A621" i="6" s="1"/>
  <c r="A622" i="6" s="1"/>
  <c r="A623" i="6" s="1"/>
  <c r="A624" i="6" s="1"/>
  <c r="A625" i="6" s="1"/>
  <c r="A626" i="6" s="1"/>
  <c r="A627" i="6" s="1"/>
  <c r="A628" i="6" s="1"/>
  <c r="A629" i="6" s="1"/>
  <c r="A630" i="6" s="1"/>
  <c r="A631" i="6" s="1"/>
  <c r="A632" i="6" s="1"/>
  <c r="A633" i="6" s="1"/>
  <c r="A634" i="6" s="1"/>
  <c r="A635" i="6" s="1"/>
  <c r="A636" i="6" s="1"/>
  <c r="A637" i="6" s="1"/>
  <c r="A638" i="6" s="1"/>
  <c r="A639" i="6" s="1"/>
  <c r="A640" i="6" s="1"/>
  <c r="A641" i="6" s="1"/>
  <c r="A642" i="6" s="1"/>
  <c r="A643" i="6" s="1"/>
  <c r="A644" i="6" s="1"/>
  <c r="A645" i="6" s="1"/>
  <c r="A646" i="6" s="1"/>
  <c r="A647" i="6" s="1"/>
  <c r="A648" i="6" s="1"/>
  <c r="A649" i="6" s="1"/>
  <c r="A650" i="6" s="1"/>
  <c r="A651" i="6" s="1"/>
  <c r="A652" i="6" s="1"/>
  <c r="A653" i="6" s="1"/>
  <c r="A654" i="6" s="1"/>
  <c r="A655" i="6" s="1"/>
  <c r="A656" i="6" s="1"/>
  <c r="A657" i="6" s="1"/>
  <c r="A658" i="6" s="1"/>
  <c r="A659" i="6" s="1"/>
  <c r="A660" i="6" s="1"/>
  <c r="A661" i="6" s="1"/>
  <c r="A662" i="6" s="1"/>
  <c r="A663" i="6" s="1"/>
  <c r="A664" i="6" s="1"/>
  <c r="A665" i="6" s="1"/>
  <c r="A666" i="6" s="1"/>
  <c r="A667" i="6" s="1"/>
  <c r="A668" i="6" s="1"/>
  <c r="A669" i="6" s="1"/>
  <c r="A670" i="6" s="1"/>
  <c r="A671" i="6" s="1"/>
  <c r="A672" i="6" s="1"/>
  <c r="A673" i="6" s="1"/>
  <c r="A674" i="6" s="1"/>
  <c r="A675" i="6" s="1"/>
  <c r="A676" i="6" s="1"/>
  <c r="A677" i="6" s="1"/>
  <c r="A678" i="6" s="1"/>
  <c r="A679" i="6" s="1"/>
  <c r="A680" i="6" s="1"/>
  <c r="A681" i="6" s="1"/>
  <c r="A682" i="6" s="1"/>
  <c r="A683" i="6" s="1"/>
  <c r="A684" i="6" s="1"/>
  <c r="A685" i="6" s="1"/>
  <c r="A686" i="6" s="1"/>
  <c r="A687" i="6" s="1"/>
  <c r="A688" i="6" s="1"/>
  <c r="A689" i="6" s="1"/>
  <c r="A690" i="6" s="1"/>
  <c r="A691" i="6" s="1"/>
  <c r="A692" i="6" s="1"/>
  <c r="A693" i="6" s="1"/>
  <c r="A694" i="6" s="1"/>
  <c r="A695" i="6" s="1"/>
  <c r="A696" i="6" s="1"/>
  <c r="A697" i="6" s="1"/>
  <c r="A698" i="6" s="1"/>
  <c r="A699" i="6" s="1"/>
  <c r="A700" i="6" s="1"/>
  <c r="A701" i="6" s="1"/>
  <c r="I32" i="2"/>
  <c r="I24" i="2"/>
  <c r="I36" i="2"/>
  <c r="I15" i="1"/>
  <c r="I29" i="2" s="1"/>
  <c r="I14" i="1"/>
  <c r="C23" i="2" s="1"/>
  <c r="C25" i="2" s="1"/>
  <c r="H7" i="1"/>
  <c r="G17" i="2"/>
  <c r="J17" i="2" s="1"/>
  <c r="J21" i="2" s="1"/>
  <c r="C11" i="2" s="1"/>
  <c r="C13" i="2" s="1"/>
  <c r="M13" i="1"/>
  <c r="N13" i="1" s="1"/>
  <c r="T212" i="6"/>
  <c r="V212" i="6" s="1"/>
  <c r="T206" i="6"/>
  <c r="V206" i="6" s="1"/>
  <c r="H135" i="6"/>
  <c r="T209" i="6"/>
  <c r="V209" i="6" s="1"/>
  <c r="T200" i="6"/>
  <c r="V200" i="6" s="1"/>
  <c r="T207" i="6"/>
  <c r="V207" i="6" s="1"/>
  <c r="H138" i="6"/>
  <c r="X205" i="6"/>
  <c r="Z205" i="6" s="1"/>
  <c r="X199" i="6"/>
  <c r="Z199" i="6" s="1"/>
  <c r="X210" i="6"/>
  <c r="Z210" i="6" s="1"/>
  <c r="H140" i="6"/>
  <c r="H133" i="6"/>
  <c r="H137" i="6"/>
  <c r="C139" i="6"/>
  <c r="X201" i="6"/>
  <c r="Z201" i="6" s="1"/>
  <c r="T198" i="6"/>
  <c r="V198" i="6" s="1"/>
  <c r="C140" i="6"/>
  <c r="C132" i="6"/>
  <c r="G150" i="6"/>
  <c r="X198" i="6"/>
  <c r="Z198" i="6" s="1"/>
  <c r="X203" i="6"/>
  <c r="Z203" i="6" s="1"/>
  <c r="H146" i="6"/>
  <c r="X195" i="6"/>
  <c r="Z195" i="6" s="1"/>
  <c r="G151" i="6"/>
  <c r="X204" i="6"/>
  <c r="Z204" i="6" s="1"/>
  <c r="T199" i="6"/>
  <c r="V199" i="6" s="1"/>
  <c r="G148" i="6"/>
  <c r="C130" i="6"/>
  <c r="G131" i="6"/>
  <c r="T193" i="6"/>
  <c r="V193" i="6" s="1"/>
  <c r="X211" i="6"/>
  <c r="Z211" i="6" s="1"/>
  <c r="H134" i="6"/>
  <c r="H131" i="6"/>
  <c r="C135" i="6"/>
  <c r="C150" i="6"/>
  <c r="T197" i="6"/>
  <c r="V197" i="6" s="1"/>
  <c r="X207" i="6"/>
  <c r="Z207" i="6" s="1"/>
  <c r="G144" i="6"/>
  <c r="H141" i="6"/>
  <c r="C148" i="6"/>
  <c r="T208" i="6"/>
  <c r="V208" i="6" s="1"/>
  <c r="H142" i="6"/>
  <c r="T203" i="6"/>
  <c r="V203" i="6" s="1"/>
  <c r="C131" i="6"/>
  <c r="H147" i="6"/>
  <c r="H132" i="6"/>
  <c r="C143" i="6"/>
  <c r="G135" i="6"/>
  <c r="G134" i="6"/>
  <c r="H143" i="6"/>
  <c r="C138" i="6"/>
  <c r="H150" i="6"/>
  <c r="X197" i="6"/>
  <c r="Z197" i="6" s="1"/>
  <c r="G130" i="6"/>
  <c r="G145" i="6"/>
  <c r="C134" i="6"/>
  <c r="T196" i="6"/>
  <c r="V196" i="6" s="1"/>
  <c r="X214" i="6"/>
  <c r="Z214" i="6" s="1"/>
  <c r="G149" i="6"/>
  <c r="X206" i="6"/>
  <c r="Z206" i="6" s="1"/>
  <c r="X208" i="6"/>
  <c r="Z208" i="6" s="1"/>
  <c r="X209" i="6"/>
  <c r="Z209" i="6" s="1"/>
  <c r="C136" i="6"/>
  <c r="H136" i="6"/>
  <c r="G140" i="6"/>
  <c r="H151" i="6"/>
  <c r="T201" i="6"/>
  <c r="V201" i="6" s="1"/>
  <c r="G138" i="6"/>
  <c r="C147" i="6"/>
  <c r="C145" i="6"/>
  <c r="C144" i="6"/>
  <c r="G143" i="6"/>
  <c r="H148" i="6"/>
  <c r="H149" i="6"/>
  <c r="G136" i="6"/>
  <c r="H145" i="6"/>
  <c r="X196" i="6"/>
  <c r="Z196" i="6" s="1"/>
  <c r="C142" i="6"/>
  <c r="C133" i="6"/>
  <c r="X202" i="6"/>
  <c r="Z202" i="6" s="1"/>
  <c r="G139" i="6"/>
  <c r="H139" i="6"/>
  <c r="X193" i="6"/>
  <c r="Z193" i="6" s="1"/>
  <c r="H130" i="6"/>
  <c r="G133" i="6"/>
  <c r="C151" i="6"/>
  <c r="T214" i="6"/>
  <c r="V214" i="6" s="1"/>
  <c r="G141" i="6"/>
  <c r="G142" i="6"/>
  <c r="T211" i="6"/>
  <c r="V211" i="6" s="1"/>
  <c r="G137" i="6"/>
  <c r="G146" i="6"/>
  <c r="T205" i="6"/>
  <c r="V205" i="6" s="1"/>
  <c r="X194" i="6"/>
  <c r="Z194" i="6" s="1"/>
  <c r="G132" i="6"/>
  <c r="T194" i="6"/>
  <c r="V194" i="6" s="1"/>
  <c r="X212" i="6"/>
  <c r="Z212" i="6" s="1"/>
  <c r="T195" i="6"/>
  <c r="V195" i="6" s="1"/>
  <c r="X213" i="6"/>
  <c r="Z213" i="6" s="1"/>
  <c r="X200" i="6"/>
  <c r="Z200" i="6" s="1"/>
  <c r="G147" i="6"/>
  <c r="T202" i="6"/>
  <c r="V202" i="6" s="1"/>
  <c r="T210" i="6"/>
  <c r="V210" i="6" s="1"/>
  <c r="H144" i="6"/>
  <c r="C149" i="6"/>
  <c r="C137" i="6"/>
  <c r="T213" i="6"/>
  <c r="V213" i="6" s="1"/>
  <c r="C146" i="6"/>
  <c r="T204" i="6"/>
  <c r="V204" i="6" s="1"/>
  <c r="C141" i="6"/>
  <c r="K46" i="1"/>
  <c r="L45" i="1"/>
  <c r="A702" i="6" l="1"/>
  <c r="A703" i="6" s="1"/>
  <c r="A704" i="6" s="1"/>
  <c r="A705" i="6" s="1"/>
  <c r="A706" i="6" s="1"/>
  <c r="A707" i="6" s="1"/>
  <c r="A708" i="6" s="1"/>
  <c r="A709" i="6" s="1"/>
  <c r="A710" i="6" s="1"/>
  <c r="A711" i="6" s="1"/>
  <c r="A712" i="6" s="1"/>
  <c r="A713" i="6" s="1"/>
  <c r="A714" i="6" s="1"/>
  <c r="A715" i="6" s="1"/>
  <c r="A716" i="6" s="1"/>
  <c r="A717" i="6" s="1"/>
  <c r="A718" i="6" s="1"/>
  <c r="A719" i="6" s="1"/>
  <c r="A720" i="6" s="1"/>
  <c r="A721" i="6" s="1"/>
  <c r="O13" i="1"/>
  <c r="I28" i="2"/>
  <c r="S36" i="1"/>
  <c r="S35" i="1"/>
  <c r="C30" i="2"/>
  <c r="C31" i="2" s="1"/>
  <c r="C41" i="2"/>
  <c r="C47" i="2" s="1"/>
  <c r="G21" i="2"/>
  <c r="C16" i="2" s="1"/>
  <c r="I7" i="1"/>
  <c r="S39" i="1"/>
  <c r="AF214" i="6"/>
  <c r="M45" i="1"/>
  <c r="L46" i="1"/>
  <c r="S38" i="1" l="1"/>
  <c r="S37" i="1" s="1"/>
  <c r="Q39" i="1" s="1"/>
  <c r="C42" i="2"/>
  <c r="N45" i="1"/>
  <c r="M46" i="1"/>
  <c r="C48" i="2"/>
  <c r="C60" i="2"/>
  <c r="C62" i="2" s="1"/>
  <c r="C52" i="2"/>
  <c r="I25" i="1" l="1"/>
  <c r="I24" i="1" s="1"/>
  <c r="K6" i="1" s="1"/>
  <c r="N46" i="1"/>
  <c r="O45" i="1"/>
  <c r="C64" i="2"/>
  <c r="I39" i="2" l="1"/>
  <c r="I38" i="2"/>
  <c r="M6" i="1"/>
  <c r="I21" i="1"/>
  <c r="O46" i="1"/>
  <c r="P45" i="1"/>
  <c r="I35" i="2" l="1"/>
  <c r="I20" i="1"/>
  <c r="I17" i="1"/>
  <c r="P46" i="1"/>
  <c r="Q45" i="1"/>
  <c r="I34" i="2" l="1"/>
  <c r="K5" i="1"/>
  <c r="M5" i="1" s="1"/>
  <c r="I31" i="2"/>
  <c r="I16" i="1"/>
  <c r="I13" i="1"/>
  <c r="Q46" i="1"/>
  <c r="R45" i="1"/>
  <c r="K4" i="1" l="1"/>
  <c r="M4" i="1" s="1"/>
  <c r="I30" i="2"/>
  <c r="I27" i="2"/>
  <c r="I12" i="1"/>
  <c r="S45" i="1"/>
  <c r="R46" i="1"/>
  <c r="M28" i="1" l="1"/>
  <c r="I28" i="1"/>
  <c r="N112" i="1" s="1"/>
  <c r="L28" i="1"/>
  <c r="I26" i="2"/>
  <c r="C17" i="2" s="1"/>
  <c r="C18" i="2" s="1"/>
  <c r="C20" i="2" s="1"/>
  <c r="C66" i="2" s="1"/>
  <c r="C6" i="2" s="1"/>
  <c r="N27" i="1"/>
  <c r="K3" i="1"/>
  <c r="M3" i="1" s="1"/>
  <c r="J27" i="1"/>
  <c r="N28" i="1"/>
  <c r="K7" i="1" s="1"/>
  <c r="M7" i="1" s="1"/>
  <c r="J28" i="1"/>
  <c r="M27" i="1"/>
  <c r="L27" i="1"/>
  <c r="I27" i="1"/>
  <c r="J134" i="1" s="1"/>
  <c r="K27" i="1"/>
  <c r="K28" i="1" s="1"/>
  <c r="S46" i="1"/>
  <c r="T45" i="1"/>
  <c r="O108" i="1" l="1"/>
  <c r="O109" i="1"/>
  <c r="O110" i="1"/>
  <c r="O107" i="1"/>
  <c r="I108" i="1"/>
  <c r="H108" i="1" s="1"/>
  <c r="J129" i="1"/>
  <c r="I120" i="1"/>
  <c r="H120" i="1" s="1"/>
  <c r="H27" i="1"/>
  <c r="I134" i="1"/>
  <c r="H134" i="1" s="1"/>
  <c r="C39" i="1"/>
  <c r="J137" i="1"/>
  <c r="H38" i="1" s="1"/>
  <c r="I119" i="1"/>
  <c r="H119" i="1" s="1"/>
  <c r="J125" i="1"/>
  <c r="J130" i="1"/>
  <c r="J128" i="1"/>
  <c r="J126" i="1"/>
  <c r="J124" i="1"/>
  <c r="J116" i="1"/>
  <c r="J123" i="1"/>
  <c r="J122" i="1"/>
  <c r="J109" i="1"/>
  <c r="J110" i="1"/>
  <c r="J111" i="1"/>
  <c r="J112" i="1"/>
  <c r="J113" i="1"/>
  <c r="J114" i="1"/>
  <c r="J115" i="1"/>
  <c r="I127" i="1"/>
  <c r="H127" i="1" s="1"/>
  <c r="I118" i="1"/>
  <c r="C42" i="1"/>
  <c r="H28" i="1"/>
  <c r="S17" i="1"/>
  <c r="D114" i="1"/>
  <c r="E114" i="1" s="1"/>
  <c r="C38" i="1"/>
  <c r="E18" i="1"/>
  <c r="AD51" i="1"/>
  <c r="H31" i="1"/>
  <c r="U45" i="1"/>
  <c r="T46" i="1"/>
  <c r="I129" i="1" l="1"/>
  <c r="H129" i="1" s="1"/>
  <c r="O27" i="1"/>
  <c r="I121" i="1"/>
  <c r="H118" i="1"/>
  <c r="O28" i="1"/>
  <c r="D36" i="1"/>
  <c r="C36" i="1" s="1"/>
  <c r="AM4" i="1"/>
  <c r="AG4" i="1"/>
  <c r="AK4" i="1"/>
  <c r="AP4" i="1"/>
  <c r="AF4" i="1"/>
  <c r="AL4" i="1"/>
  <c r="AJ4" i="1"/>
  <c r="AN4" i="1"/>
  <c r="AH4" i="1"/>
  <c r="AQ4" i="1"/>
  <c r="AI4" i="1"/>
  <c r="AO4" i="1"/>
  <c r="AE4" i="1"/>
  <c r="AD49" i="1"/>
  <c r="L47" i="1"/>
  <c r="U46" i="1"/>
  <c r="V45" i="1"/>
  <c r="H121" i="1" l="1"/>
  <c r="J121" i="1"/>
  <c r="C46" i="1"/>
  <c r="D46" i="1" s="1"/>
  <c r="C49" i="1"/>
  <c r="D49" i="1" s="1"/>
  <c r="C40" i="1"/>
  <c r="F17" i="6"/>
  <c r="M47" i="1"/>
  <c r="W45" i="1"/>
  <c r="V46" i="1"/>
  <c r="S21" i="1" l="1"/>
  <c r="B678" i="6" s="1"/>
  <c r="S18" i="1"/>
  <c r="D67" i="1" s="1"/>
  <c r="D40" i="1"/>
  <c r="F16" i="6"/>
  <c r="D118" i="6"/>
  <c r="D115" i="6"/>
  <c r="D151" i="6"/>
  <c r="D92" i="6"/>
  <c r="D101" i="6"/>
  <c r="D128" i="6"/>
  <c r="D143" i="6"/>
  <c r="D120" i="6"/>
  <c r="D119" i="6"/>
  <c r="D139" i="6"/>
  <c r="D105" i="6"/>
  <c r="D130" i="6"/>
  <c r="D124" i="6"/>
  <c r="D131" i="6"/>
  <c r="D107" i="6"/>
  <c r="D137" i="6"/>
  <c r="D125" i="6"/>
  <c r="D142" i="6"/>
  <c r="D110" i="6"/>
  <c r="D117" i="6"/>
  <c r="D114" i="6"/>
  <c r="D113" i="6"/>
  <c r="D111" i="6"/>
  <c r="D141" i="6"/>
  <c r="D104" i="6"/>
  <c r="D134" i="6"/>
  <c r="D103" i="6"/>
  <c r="D126" i="6"/>
  <c r="D127" i="6"/>
  <c r="D106" i="6"/>
  <c r="D148" i="6"/>
  <c r="D147" i="6"/>
  <c r="D121" i="6"/>
  <c r="D132" i="6"/>
  <c r="D93" i="6"/>
  <c r="D116" i="6"/>
  <c r="D129" i="6"/>
  <c r="D138" i="6"/>
  <c r="D122" i="6"/>
  <c r="D95" i="6"/>
  <c r="D99" i="6"/>
  <c r="D144" i="6"/>
  <c r="D96" i="6"/>
  <c r="D133" i="6"/>
  <c r="D97" i="6"/>
  <c r="D109" i="6"/>
  <c r="D150" i="6"/>
  <c r="D102" i="6"/>
  <c r="D123" i="6"/>
  <c r="D135" i="6"/>
  <c r="D145" i="6"/>
  <c r="D100" i="6"/>
  <c r="D140" i="6"/>
  <c r="D94" i="6"/>
  <c r="D112" i="6"/>
  <c r="D136" i="6"/>
  <c r="D149" i="6"/>
  <c r="D146" i="6"/>
  <c r="D108" i="6"/>
  <c r="D98" i="6"/>
  <c r="N47" i="1"/>
  <c r="X45" i="1"/>
  <c r="W46" i="1"/>
  <c r="C124" i="6" l="1"/>
  <c r="C129" i="6"/>
  <c r="C123" i="6"/>
  <c r="C128" i="6"/>
  <c r="C125" i="6"/>
  <c r="C126" i="6"/>
  <c r="C122" i="6"/>
  <c r="C127" i="6"/>
  <c r="B314" i="6"/>
  <c r="B517" i="6"/>
  <c r="B289" i="6"/>
  <c r="B438" i="6"/>
  <c r="B243" i="6"/>
  <c r="H117" i="6" s="1"/>
  <c r="B649" i="6"/>
  <c r="B572" i="6"/>
  <c r="F7" i="6"/>
  <c r="I155" i="6" s="1"/>
  <c r="D78" i="1"/>
  <c r="B580" i="6"/>
  <c r="B460" i="6"/>
  <c r="B588" i="6"/>
  <c r="B453" i="6"/>
  <c r="B426" i="6"/>
  <c r="B375" i="6"/>
  <c r="B531" i="6"/>
  <c r="B554" i="6"/>
  <c r="B576" i="6"/>
  <c r="B646" i="6"/>
  <c r="B608" i="6"/>
  <c r="B613" i="6"/>
  <c r="B605" i="6"/>
  <c r="B361" i="6"/>
  <c r="B493" i="6"/>
  <c r="B583" i="6"/>
  <c r="B623" i="6"/>
  <c r="B396" i="6"/>
  <c r="B318" i="6"/>
  <c r="B414" i="6"/>
  <c r="B706" i="6"/>
  <c r="B584" i="6"/>
  <c r="B680" i="6"/>
  <c r="B435" i="6"/>
  <c r="B348" i="6"/>
  <c r="B659" i="6"/>
  <c r="B686" i="6"/>
  <c r="B509" i="6"/>
  <c r="B353" i="6"/>
  <c r="B410" i="6"/>
  <c r="B456" i="6"/>
  <c r="B551" i="6"/>
  <c r="B601" i="6"/>
  <c r="B366" i="6"/>
  <c r="B564" i="6"/>
  <c r="B570" i="6"/>
  <c r="B225" i="6"/>
  <c r="H99" i="6" s="1"/>
  <c r="B552" i="6"/>
  <c r="B622" i="6"/>
  <c r="B540" i="6"/>
  <c r="B234" i="6"/>
  <c r="H108" i="6" s="1"/>
  <c r="B311" i="6"/>
  <c r="B253" i="6"/>
  <c r="H127" i="6" s="1"/>
  <c r="B629" i="6"/>
  <c r="B716" i="6"/>
  <c r="B479" i="6"/>
  <c r="B427" i="6"/>
  <c r="B333" i="6"/>
  <c r="B259" i="6"/>
  <c r="B637" i="6"/>
  <c r="B310" i="6"/>
  <c r="B419" i="6"/>
  <c r="B565" i="6"/>
  <c r="B529" i="6"/>
  <c r="B401" i="6"/>
  <c r="B625" i="6"/>
  <c r="B656" i="6"/>
  <c r="B429" i="6"/>
  <c r="B373" i="6"/>
  <c r="B233" i="6"/>
  <c r="H107" i="6" s="1"/>
  <c r="B218" i="6"/>
  <c r="H92" i="6" s="1"/>
  <c r="B452" i="6"/>
  <c r="B510" i="6"/>
  <c r="B512" i="6"/>
  <c r="B283" i="6"/>
  <c r="B405" i="6"/>
  <c r="B313" i="6"/>
  <c r="B290" i="6"/>
  <c r="B266" i="6"/>
  <c r="B268" i="6"/>
  <c r="B351" i="6"/>
  <c r="B406" i="6"/>
  <c r="B269" i="6"/>
  <c r="B446" i="6"/>
  <c r="B404" i="6"/>
  <c r="B467" i="6"/>
  <c r="B469" i="6"/>
  <c r="B449" i="6"/>
  <c r="B643" i="6"/>
  <c r="B355" i="6"/>
  <c r="B320" i="6"/>
  <c r="B359" i="6"/>
  <c r="B645" i="6"/>
  <c r="B440" i="6"/>
  <c r="B712" i="6"/>
  <c r="B300" i="6"/>
  <c r="B399" i="6"/>
  <c r="B256" i="6"/>
  <c r="B533" i="6"/>
  <c r="B644" i="6"/>
  <c r="B356" i="6"/>
  <c r="B715" i="6"/>
  <c r="B462" i="6"/>
  <c r="B249" i="6"/>
  <c r="H123" i="6" s="1"/>
  <c r="B325" i="6"/>
  <c r="B721" i="6"/>
  <c r="C118" i="6"/>
  <c r="C116" i="6"/>
  <c r="C119" i="6"/>
  <c r="C121" i="6"/>
  <c r="C120" i="6"/>
  <c r="C117" i="6"/>
  <c r="B718" i="6"/>
  <c r="B607" i="6"/>
  <c r="B671" i="6"/>
  <c r="B604" i="6"/>
  <c r="B485" i="6"/>
  <c r="B324" i="6"/>
  <c r="B506" i="6"/>
  <c r="B708" i="6"/>
  <c r="B618" i="6"/>
  <c r="B662" i="6"/>
  <c r="B642" i="6"/>
  <c r="B579" i="6"/>
  <c r="B255" i="6"/>
  <c r="H129" i="6" s="1"/>
  <c r="B620" i="6"/>
  <c r="B673" i="6"/>
  <c r="B499" i="6"/>
  <c r="B248" i="6"/>
  <c r="H122" i="6" s="1"/>
  <c r="B520" i="6"/>
  <c r="B219" i="6"/>
  <c r="H93" i="6" s="1"/>
  <c r="B329" i="6"/>
  <c r="B236" i="6"/>
  <c r="H110" i="6" s="1"/>
  <c r="B388" i="6"/>
  <c r="B254" i="6"/>
  <c r="H128" i="6" s="1"/>
  <c r="B291" i="6"/>
  <c r="B263" i="6"/>
  <c r="B669" i="6"/>
  <c r="B699" i="6"/>
  <c r="B606" i="6"/>
  <c r="B371" i="6"/>
  <c r="B433" i="6"/>
  <c r="B378" i="6"/>
  <c r="B658" i="6"/>
  <c r="B641" i="6"/>
  <c r="B611" i="6"/>
  <c r="B317" i="6"/>
  <c r="B458" i="6"/>
  <c r="B701" i="6"/>
  <c r="B702" i="6"/>
  <c r="B502" i="6"/>
  <c r="B370" i="6"/>
  <c r="B695" i="6"/>
  <c r="B496" i="6"/>
  <c r="B312" i="6"/>
  <c r="B602" i="6"/>
  <c r="B326" i="6"/>
  <c r="B437" i="6"/>
  <c r="B492" i="6"/>
  <c r="B258" i="6"/>
  <c r="B630" i="6"/>
  <c r="B267" i="6"/>
  <c r="B445" i="6"/>
  <c r="B685" i="6"/>
  <c r="B486" i="6"/>
  <c r="B238" i="6"/>
  <c r="H112" i="6" s="1"/>
  <c r="B441" i="6"/>
  <c r="B352" i="6"/>
  <c r="B413" i="6"/>
  <c r="B327" i="6"/>
  <c r="B691" i="6"/>
  <c r="B270" i="6"/>
  <c r="B515" i="6"/>
  <c r="B557" i="6"/>
  <c r="B397" i="6"/>
  <c r="B599" i="6"/>
  <c r="B689" i="6"/>
  <c r="B544" i="6"/>
  <c r="B664" i="6"/>
  <c r="B589" i="6"/>
  <c r="B500" i="6"/>
  <c r="B295" i="6"/>
  <c r="B335" i="6"/>
  <c r="B481" i="6"/>
  <c r="B494" i="6"/>
  <c r="B598" i="6"/>
  <c r="B490" i="6"/>
  <c r="B545" i="6"/>
  <c r="B443" i="6"/>
  <c r="B422" i="6"/>
  <c r="B617" i="6"/>
  <c r="B358" i="6"/>
  <c r="B448" i="6"/>
  <c r="B227" i="6"/>
  <c r="H101" i="6" s="1"/>
  <c r="B261" i="6"/>
  <c r="B301" i="6"/>
  <c r="B334" i="6"/>
  <c r="B710" i="6"/>
  <c r="B573" i="6"/>
  <c r="B416" i="6"/>
  <c r="B369" i="6"/>
  <c r="B229" i="6"/>
  <c r="H103" i="6" s="1"/>
  <c r="B242" i="6"/>
  <c r="B457" i="6"/>
  <c r="B347" i="6"/>
  <c r="B577" i="6"/>
  <c r="B581" i="6"/>
  <c r="B450" i="6"/>
  <c r="B402" i="6"/>
  <c r="B319" i="6"/>
  <c r="B246" i="6"/>
  <c r="H120" i="6" s="1"/>
  <c r="B667" i="6"/>
  <c r="B535" i="6"/>
  <c r="B694" i="6"/>
  <c r="B331" i="6"/>
  <c r="B595" i="6"/>
  <c r="B338" i="6"/>
  <c r="B298" i="6"/>
  <c r="B713" i="6"/>
  <c r="B666" i="6"/>
  <c r="B230" i="6"/>
  <c r="H104" i="6" s="1"/>
  <c r="B228" i="6"/>
  <c r="H102" i="6" s="1"/>
  <c r="B392" i="6"/>
  <c r="B265" i="6"/>
  <c r="B425" i="6"/>
  <c r="B344" i="6"/>
  <c r="B345" i="6"/>
  <c r="B337" i="6"/>
  <c r="B303" i="6"/>
  <c r="B575" i="6"/>
  <c r="B439" i="6"/>
  <c r="B260" i="6"/>
  <c r="B719" i="6"/>
  <c r="B503" i="6"/>
  <c r="B428" i="6"/>
  <c r="B514" i="6"/>
  <c r="B241" i="6"/>
  <c r="H115" i="6" s="1"/>
  <c r="B415" i="6"/>
  <c r="B464" i="6"/>
  <c r="B518" i="6"/>
  <c r="B491" i="6"/>
  <c r="B539" i="6"/>
  <c r="B621" i="6"/>
  <c r="B264" i="6"/>
  <c r="B372" i="6"/>
  <c r="B332" i="6"/>
  <c r="B488" i="6"/>
  <c r="B231" i="6"/>
  <c r="H105" i="6" s="1"/>
  <c r="B600" i="6"/>
  <c r="B679" i="6"/>
  <c r="B357" i="6"/>
  <c r="B522" i="6"/>
  <c r="B282" i="6"/>
  <c r="B558" i="6"/>
  <c r="B655" i="6"/>
  <c r="B432" i="6"/>
  <c r="B386" i="6"/>
  <c r="B587" i="6"/>
  <c r="B612" i="6"/>
  <c r="B368" i="6"/>
  <c r="B528" i="6"/>
  <c r="B547" i="6"/>
  <c r="B315" i="6"/>
  <c r="B532" i="6"/>
  <c r="B634" i="6"/>
  <c r="B307" i="6"/>
  <c r="B663" i="6"/>
  <c r="B400" i="6"/>
  <c r="B245" i="6"/>
  <c r="H119" i="6" s="1"/>
  <c r="B473" i="6"/>
  <c r="B424" i="6"/>
  <c r="B677" i="6"/>
  <c r="B561" i="6"/>
  <c r="B720" i="6"/>
  <c r="B442" i="6"/>
  <c r="B593" i="6"/>
  <c r="B384" i="6"/>
  <c r="B511" i="6"/>
  <c r="B272" i="6"/>
  <c r="B459" i="6"/>
  <c r="B683" i="6"/>
  <c r="B250" i="6"/>
  <c r="H124" i="6" s="1"/>
  <c r="B398" i="6"/>
  <c r="B688" i="6"/>
  <c r="B483" i="6"/>
  <c r="B251" i="6"/>
  <c r="H125" i="6" s="1"/>
  <c r="B536" i="6"/>
  <c r="B709" i="6"/>
  <c r="B342" i="6"/>
  <c r="B252" i="6"/>
  <c r="H126" i="6" s="1"/>
  <c r="B377" i="6"/>
  <c r="B274" i="6"/>
  <c r="B393" i="6"/>
  <c r="B482" i="6"/>
  <c r="B455" i="6"/>
  <c r="B527" i="6"/>
  <c r="B571" i="6"/>
  <c r="B279" i="6"/>
  <c r="B586" i="6"/>
  <c r="B567" i="6"/>
  <c r="B550" i="6"/>
  <c r="B417" i="6"/>
  <c r="B610" i="6"/>
  <c r="B304" i="6"/>
  <c r="B474" i="6"/>
  <c r="B560" i="6"/>
  <c r="B497" i="6"/>
  <c r="B447" i="6"/>
  <c r="B672" i="6"/>
  <c r="B336" i="6"/>
  <c r="B306" i="6"/>
  <c r="B693" i="6"/>
  <c r="B660" i="6"/>
  <c r="B475" i="6"/>
  <c r="B376" i="6"/>
  <c r="B635" i="6"/>
  <c r="B553" i="6"/>
  <c r="B682" i="6"/>
  <c r="B477" i="6"/>
  <c r="B389" i="6"/>
  <c r="B223" i="6"/>
  <c r="H97" i="6" s="1"/>
  <c r="B690" i="6"/>
  <c r="B668" i="6"/>
  <c r="B654" i="6"/>
  <c r="B480" i="6"/>
  <c r="B471" i="6"/>
  <c r="B538" i="6"/>
  <c r="B501" i="6"/>
  <c r="B434" i="6"/>
  <c r="B582" i="6"/>
  <c r="B367" i="6"/>
  <c r="B468" i="6"/>
  <c r="B609" i="6"/>
  <c r="B566" i="6"/>
  <c r="B343" i="6"/>
  <c r="B257" i="6"/>
  <c r="B563" i="6"/>
  <c r="B330" i="6"/>
  <c r="B578" i="6"/>
  <c r="B489" i="6"/>
  <c r="B556" i="6"/>
  <c r="B484" i="6"/>
  <c r="B498" i="6"/>
  <c r="B305" i="6"/>
  <c r="B381" i="6"/>
  <c r="B232" i="6"/>
  <c r="H106" i="6" s="1"/>
  <c r="B273" i="6"/>
  <c r="B633" i="6"/>
  <c r="B281" i="6"/>
  <c r="B707" i="6"/>
  <c r="B222" i="6"/>
  <c r="H96" i="6" s="1"/>
  <c r="B614" i="6"/>
  <c r="B340" i="6"/>
  <c r="B418" i="6"/>
  <c r="B296" i="6"/>
  <c r="B463" i="6"/>
  <c r="B619" i="6"/>
  <c r="B624" i="6"/>
  <c r="B391" i="6"/>
  <c r="B523" i="6"/>
  <c r="B521" i="6"/>
  <c r="B382" i="6"/>
  <c r="B674" i="6"/>
  <c r="B451" i="6"/>
  <c r="B714" i="6"/>
  <c r="B628" i="6"/>
  <c r="B363" i="6"/>
  <c r="B537" i="6"/>
  <c r="B640" i="6"/>
  <c r="B308" i="6"/>
  <c r="B594" i="6"/>
  <c r="B574" i="6"/>
  <c r="B390" i="6"/>
  <c r="B585" i="6"/>
  <c r="B504" i="6"/>
  <c r="B239" i="6"/>
  <c r="H113" i="6" s="1"/>
  <c r="B454" i="6"/>
  <c r="B487" i="6"/>
  <c r="B339" i="6"/>
  <c r="B220" i="6"/>
  <c r="H94" i="6" s="1"/>
  <c r="B590" i="6"/>
  <c r="B247" i="6"/>
  <c r="H121" i="6" s="1"/>
  <c r="B525" i="6"/>
  <c r="B591" i="6"/>
  <c r="B632" i="6"/>
  <c r="B478" i="6"/>
  <c r="B542" i="6"/>
  <c r="B385" i="6"/>
  <c r="B395" i="6"/>
  <c r="B341" i="6"/>
  <c r="B322" i="6"/>
  <c r="B350" i="6"/>
  <c r="B285" i="6"/>
  <c r="B530" i="6"/>
  <c r="B603" i="6"/>
  <c r="B508" i="6"/>
  <c r="B661" i="6"/>
  <c r="B687" i="6"/>
  <c r="B275" i="6"/>
  <c r="B409" i="6"/>
  <c r="B224" i="6"/>
  <c r="H98" i="6" s="1"/>
  <c r="B244" i="6"/>
  <c r="H118" i="6" s="1"/>
  <c r="B513" i="6"/>
  <c r="B411" i="6"/>
  <c r="B226" i="6"/>
  <c r="H100" i="6" s="1"/>
  <c r="B316" i="6"/>
  <c r="B698" i="6"/>
  <c r="B616" i="6"/>
  <c r="B364" i="6"/>
  <c r="B541" i="6"/>
  <c r="B615" i="6"/>
  <c r="B505" i="6"/>
  <c r="B631" i="6"/>
  <c r="B299" i="6"/>
  <c r="B235" i="6"/>
  <c r="H109" i="6" s="1"/>
  <c r="B379" i="6"/>
  <c r="B423" i="6"/>
  <c r="B293" i="6"/>
  <c r="B277" i="6"/>
  <c r="B461" i="6"/>
  <c r="B292" i="6"/>
  <c r="B408" i="6"/>
  <c r="B648" i="6"/>
  <c r="B365" i="6"/>
  <c r="B697" i="6"/>
  <c r="B271" i="6"/>
  <c r="B652" i="6"/>
  <c r="B681" i="6"/>
  <c r="B676" i="6"/>
  <c r="B495" i="6"/>
  <c r="B546" i="6"/>
  <c r="B638" i="6"/>
  <c r="B374" i="6"/>
  <c r="B321" i="6"/>
  <c r="B559" i="6"/>
  <c r="B420" i="6"/>
  <c r="B394" i="6"/>
  <c r="B657" i="6"/>
  <c r="B705" i="6"/>
  <c r="B430" i="6"/>
  <c r="B309" i="6"/>
  <c r="B262" i="6"/>
  <c r="B383" i="6"/>
  <c r="B692" i="6"/>
  <c r="B276" i="6"/>
  <c r="B431" i="6"/>
  <c r="B472" i="6"/>
  <c r="B287" i="6"/>
  <c r="B387" i="6"/>
  <c r="B636" i="6"/>
  <c r="B302" i="6"/>
  <c r="B711" i="6"/>
  <c r="B360" i="6"/>
  <c r="B670" i="6"/>
  <c r="B436" i="6"/>
  <c r="B470" i="6"/>
  <c r="B569" i="6"/>
  <c r="B626" i="6"/>
  <c r="B524" i="6"/>
  <c r="B597" i="6"/>
  <c r="B568" i="6"/>
  <c r="B221" i="6"/>
  <c r="H95" i="6" s="1"/>
  <c r="B280" i="6"/>
  <c r="B596" i="6"/>
  <c r="B562" i="6"/>
  <c r="B346" i="6"/>
  <c r="B639" i="6"/>
  <c r="B297" i="6"/>
  <c r="B403" i="6"/>
  <c r="B466" i="6"/>
  <c r="B294" i="6"/>
  <c r="B717" i="6"/>
  <c r="B288" i="6"/>
  <c r="B354" i="6"/>
  <c r="B549" i="6"/>
  <c r="B380" i="6"/>
  <c r="B700" i="6"/>
  <c r="B328" i="6"/>
  <c r="B278" i="6"/>
  <c r="B653" i="6"/>
  <c r="B704" i="6"/>
  <c r="B362" i="6"/>
  <c r="B703" i="6"/>
  <c r="B647" i="6"/>
  <c r="B555" i="6"/>
  <c r="B519" i="6"/>
  <c r="B407" i="6"/>
  <c r="B516" i="6"/>
  <c r="B592" i="6"/>
  <c r="B421" i="6"/>
  <c r="B237" i="6"/>
  <c r="H111" i="6" s="1"/>
  <c r="B548" i="6"/>
  <c r="B444" i="6"/>
  <c r="B627" i="6"/>
  <c r="B675" i="6"/>
  <c r="B476" i="6"/>
  <c r="B240" i="6"/>
  <c r="H114" i="6" s="1"/>
  <c r="B526" i="6"/>
  <c r="B650" i="6"/>
  <c r="B323" i="6"/>
  <c r="B696" i="6"/>
  <c r="B284" i="6"/>
  <c r="B651" i="6"/>
  <c r="B684" i="6"/>
  <c r="B286" i="6"/>
  <c r="B349" i="6"/>
  <c r="B507" i="6"/>
  <c r="B543" i="6"/>
  <c r="B412" i="6"/>
  <c r="B665" i="6"/>
  <c r="B534" i="6"/>
  <c r="B465" i="6"/>
  <c r="C114" i="6"/>
  <c r="C108" i="6"/>
  <c r="C93" i="6"/>
  <c r="C97" i="6"/>
  <c r="C96" i="6"/>
  <c r="C115" i="6"/>
  <c r="C105" i="6"/>
  <c r="C92" i="6"/>
  <c r="C101" i="6"/>
  <c r="C112" i="6"/>
  <c r="C98" i="6"/>
  <c r="C102" i="6"/>
  <c r="C110" i="6"/>
  <c r="C103" i="6"/>
  <c r="C100" i="6"/>
  <c r="C95" i="6"/>
  <c r="C104" i="6"/>
  <c r="C107" i="6"/>
  <c r="C99" i="6"/>
  <c r="C94" i="6"/>
  <c r="C111" i="6"/>
  <c r="C106" i="6"/>
  <c r="C109" i="6"/>
  <c r="C113" i="6"/>
  <c r="O47" i="1"/>
  <c r="X46" i="1"/>
  <c r="Y45" i="1"/>
  <c r="H116" i="6" l="1"/>
  <c r="P64" i="1"/>
  <c r="S64" i="1"/>
  <c r="T64" i="1"/>
  <c r="N64" i="1"/>
  <c r="O64" i="1"/>
  <c r="X64" i="1"/>
  <c r="R64" i="1"/>
  <c r="U64" i="1"/>
  <c r="L64" i="1"/>
  <c r="Q64" i="1"/>
  <c r="V64" i="1"/>
  <c r="W64" i="1"/>
  <c r="M64" i="1"/>
  <c r="P47" i="1"/>
  <c r="Z45" i="1"/>
  <c r="AA45" i="1" s="1"/>
  <c r="Y46" i="1"/>
  <c r="Y64" i="1"/>
  <c r="H37" i="1" l="1"/>
  <c r="I11" i="6"/>
  <c r="C35" i="1"/>
  <c r="Q47" i="1"/>
  <c r="AA46" i="1"/>
  <c r="AA64" i="1"/>
  <c r="Z46" i="1"/>
  <c r="Z64" i="1"/>
  <c r="M32" i="1" l="1"/>
  <c r="J131" i="1"/>
  <c r="I10" i="6"/>
  <c r="I12" i="6" s="1"/>
  <c r="D35" i="1"/>
  <c r="F20" i="6"/>
  <c r="R47" i="1"/>
  <c r="S47" i="1" l="1"/>
  <c r="T47" i="1" l="1"/>
  <c r="U47" i="1" l="1"/>
  <c r="V47" i="1" l="1"/>
  <c r="W47" i="1" l="1"/>
  <c r="X47" i="1" l="1"/>
  <c r="Y47" i="1" l="1"/>
  <c r="Z47" i="1" l="1"/>
  <c r="D41" i="1"/>
  <c r="AA47" i="1" l="1"/>
  <c r="AF193" i="6" l="1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I17" i="6"/>
  <c r="D79" i="1" l="1"/>
  <c r="AA3" i="1" l="1"/>
  <c r="D68" i="1"/>
  <c r="L85" i="1"/>
  <c r="AA9" i="1" l="1"/>
  <c r="AA8" i="1"/>
  <c r="F12" i="6"/>
  <c r="L86" i="1"/>
  <c r="D93" i="1" l="1"/>
  <c r="D92" i="1" l="1"/>
  <c r="G125" i="6" l="1"/>
  <c r="G126" i="6"/>
  <c r="G127" i="6"/>
  <c r="G128" i="6"/>
  <c r="G129" i="6"/>
  <c r="P188" i="6"/>
  <c r="T188" i="6"/>
  <c r="X188" i="6"/>
  <c r="P189" i="6"/>
  <c r="T189" i="6"/>
  <c r="X189" i="6"/>
  <c r="P190" i="6"/>
  <c r="T190" i="6"/>
  <c r="X190" i="6"/>
  <c r="P191" i="6"/>
  <c r="T191" i="6"/>
  <c r="X191" i="6"/>
  <c r="P192" i="6"/>
  <c r="T192" i="6"/>
  <c r="X192" i="6"/>
  <c r="V188" i="6" l="1"/>
  <c r="R191" i="6"/>
  <c r="Z188" i="6"/>
  <c r="V192" i="6"/>
  <c r="R188" i="6"/>
  <c r="Z192" i="6"/>
  <c r="Z191" i="6"/>
  <c r="Z189" i="6"/>
  <c r="V189" i="6"/>
  <c r="R190" i="6"/>
  <c r="V190" i="6"/>
  <c r="R189" i="6"/>
  <c r="Z190" i="6"/>
  <c r="V191" i="6"/>
  <c r="R192" i="6"/>
  <c r="AF188" i="6" l="1"/>
  <c r="AF191" i="6"/>
  <c r="AF189" i="6"/>
  <c r="AF192" i="6"/>
  <c r="AF190" i="6"/>
  <c r="G119" i="6" l="1"/>
  <c r="G120" i="6"/>
  <c r="G121" i="6"/>
  <c r="G122" i="6"/>
  <c r="G123" i="6"/>
  <c r="G124" i="6"/>
  <c r="P182" i="6"/>
  <c r="T182" i="6"/>
  <c r="X182" i="6"/>
  <c r="P183" i="6"/>
  <c r="T183" i="6"/>
  <c r="X183" i="6"/>
  <c r="P184" i="6"/>
  <c r="T184" i="6"/>
  <c r="X184" i="6"/>
  <c r="P185" i="6"/>
  <c r="T185" i="6"/>
  <c r="X185" i="6"/>
  <c r="P186" i="6"/>
  <c r="T186" i="6"/>
  <c r="X186" i="6"/>
  <c r="P187" i="6"/>
  <c r="T187" i="6"/>
  <c r="X187" i="6"/>
  <c r="R182" i="6" l="1"/>
  <c r="Z182" i="6"/>
  <c r="R184" i="6"/>
  <c r="R187" i="6"/>
  <c r="Z183" i="6"/>
  <c r="Z186" i="6"/>
  <c r="V187" i="6"/>
  <c r="Z185" i="6"/>
  <c r="V183" i="6"/>
  <c r="R185" i="6"/>
  <c r="V182" i="6"/>
  <c r="R186" i="6"/>
  <c r="V185" i="6"/>
  <c r="Z184" i="6"/>
  <c r="R183" i="6"/>
  <c r="V184" i="6"/>
  <c r="V186" i="6"/>
  <c r="Z187" i="6"/>
  <c r="AF184" i="6" l="1"/>
  <c r="AF185" i="6"/>
  <c r="AF183" i="6"/>
  <c r="AF186" i="6"/>
  <c r="AF182" i="6"/>
  <c r="AF187" i="6"/>
  <c r="I133" i="1" l="1"/>
  <c r="I131" i="1" s="1"/>
  <c r="H133" i="1" l="1"/>
  <c r="H131" i="1" s="1"/>
  <c r="G118" i="6" l="1"/>
  <c r="P181" i="6"/>
  <c r="T181" i="6"/>
  <c r="X181" i="6"/>
  <c r="V181" i="6" l="1"/>
  <c r="R181" i="6"/>
  <c r="Z181" i="6"/>
  <c r="AF181" i="6" l="1"/>
  <c r="M112" i="1" l="1"/>
  <c r="N113" i="1"/>
  <c r="O113" i="1" l="1"/>
  <c r="H32" i="1" s="1"/>
  <c r="M113" i="1"/>
  <c r="H33" i="1" l="1"/>
  <c r="L49" i="1" s="1"/>
  <c r="L48" i="1"/>
  <c r="H34" i="1" l="1"/>
  <c r="L50" i="1"/>
  <c r="M48" i="1"/>
  <c r="M49" i="1" l="1"/>
  <c r="M50" i="1" s="1"/>
  <c r="N48" i="1"/>
  <c r="N49" i="1" l="1"/>
  <c r="N50" i="1" s="1"/>
  <c r="O48" i="1"/>
  <c r="O49" i="1" l="1"/>
  <c r="O50" i="1" s="1"/>
  <c r="P48" i="1"/>
  <c r="P49" i="1" l="1"/>
  <c r="P50" i="1" s="1"/>
  <c r="Q48" i="1"/>
  <c r="Q49" i="1" l="1"/>
  <c r="Q50" i="1" s="1"/>
  <c r="R48" i="1"/>
  <c r="R49" i="1" l="1"/>
  <c r="R50" i="1" s="1"/>
  <c r="S48" i="1"/>
  <c r="S49" i="1" l="1"/>
  <c r="S50" i="1" s="1"/>
  <c r="T48" i="1"/>
  <c r="T49" i="1" l="1"/>
  <c r="T50" i="1" s="1"/>
  <c r="U48" i="1"/>
  <c r="U49" i="1" l="1"/>
  <c r="U50" i="1" s="1"/>
  <c r="V48" i="1"/>
  <c r="V49" i="1" l="1"/>
  <c r="V50" i="1" s="1"/>
  <c r="W48" i="1"/>
  <c r="W49" i="1" l="1"/>
  <c r="W50" i="1" s="1"/>
  <c r="X48" i="1"/>
  <c r="X49" i="1" l="1"/>
  <c r="X50" i="1" s="1"/>
  <c r="Y48" i="1"/>
  <c r="Y49" i="1" l="1"/>
  <c r="Y50" i="1" s="1"/>
  <c r="Z48" i="1"/>
  <c r="Z49" i="1" l="1"/>
  <c r="Z50" i="1" s="1"/>
  <c r="AA48" i="1"/>
  <c r="AA49" i="1" s="1"/>
  <c r="AA50" i="1" s="1"/>
  <c r="J106" i="1" l="1"/>
  <c r="I106" i="1" l="1"/>
  <c r="H35" i="1"/>
  <c r="L52" i="1" l="1"/>
  <c r="H36" i="1"/>
  <c r="H39" i="1" s="1"/>
  <c r="I35" i="1"/>
  <c r="M52" i="1" l="1"/>
  <c r="L53" i="1"/>
  <c r="S13" i="1"/>
  <c r="S15" i="1" s="1"/>
  <c r="N52" i="1" l="1"/>
  <c r="M53" i="1"/>
  <c r="W14" i="1"/>
  <c r="H41" i="1"/>
  <c r="J132" i="1" s="1"/>
  <c r="N53" i="1" l="1"/>
  <c r="O52" i="1"/>
  <c r="L56" i="1"/>
  <c r="I132" i="1"/>
  <c r="O53" i="1" l="1"/>
  <c r="P52" i="1"/>
  <c r="C48" i="1"/>
  <c r="D48" i="1" s="1"/>
  <c r="M56" i="1"/>
  <c r="L57" i="1"/>
  <c r="L62" i="1" s="1"/>
  <c r="L67" i="1" s="1"/>
  <c r="S31" i="1" s="1"/>
  <c r="S32" i="1" s="1"/>
  <c r="H132" i="1"/>
  <c r="P53" i="1" l="1"/>
  <c r="Q52" i="1"/>
  <c r="N56" i="1"/>
  <c r="M57" i="1"/>
  <c r="M62" i="1" s="1"/>
  <c r="M67" i="1" s="1"/>
  <c r="R52" i="1" l="1"/>
  <c r="Q53" i="1"/>
  <c r="O56" i="1"/>
  <c r="N57" i="1"/>
  <c r="N62" i="1" s="1"/>
  <c r="N67" i="1" s="1"/>
  <c r="S52" i="1" l="1"/>
  <c r="R53" i="1"/>
  <c r="P56" i="1"/>
  <c r="O57" i="1"/>
  <c r="O62" i="1" s="1"/>
  <c r="O67" i="1" s="1"/>
  <c r="T52" i="1" l="1"/>
  <c r="S53" i="1"/>
  <c r="Q56" i="1"/>
  <c r="P57" i="1"/>
  <c r="P62" i="1" s="1"/>
  <c r="P67" i="1" s="1"/>
  <c r="T53" i="1" l="1"/>
  <c r="U52" i="1"/>
  <c r="R56" i="1"/>
  <c r="Q57" i="1"/>
  <c r="Q62" i="1" s="1"/>
  <c r="Q67" i="1" s="1"/>
  <c r="U53" i="1" l="1"/>
  <c r="V52" i="1"/>
  <c r="S56" i="1"/>
  <c r="R57" i="1"/>
  <c r="R62" i="1" s="1"/>
  <c r="R67" i="1" s="1"/>
  <c r="V53" i="1" l="1"/>
  <c r="W52" i="1"/>
  <c r="T56" i="1"/>
  <c r="S57" i="1"/>
  <c r="S62" i="1" s="1"/>
  <c r="S67" i="1" s="1"/>
  <c r="X52" i="1" l="1"/>
  <c r="W53" i="1"/>
  <c r="U56" i="1"/>
  <c r="T57" i="1"/>
  <c r="T62" i="1" s="1"/>
  <c r="T67" i="1" s="1"/>
  <c r="X53" i="1" l="1"/>
  <c r="Y52" i="1"/>
  <c r="V56" i="1"/>
  <c r="U57" i="1"/>
  <c r="U62" i="1" s="1"/>
  <c r="U67" i="1" s="1"/>
  <c r="Y53" i="1" l="1"/>
  <c r="Z52" i="1"/>
  <c r="W56" i="1"/>
  <c r="V57" i="1"/>
  <c r="V62" i="1" s="1"/>
  <c r="V67" i="1" s="1"/>
  <c r="Z53" i="1" l="1"/>
  <c r="AA52" i="1"/>
  <c r="AA53" i="1" s="1"/>
  <c r="X56" i="1"/>
  <c r="W57" i="1"/>
  <c r="W62" i="1" s="1"/>
  <c r="W67" i="1" s="1"/>
  <c r="M31" i="1" l="1"/>
  <c r="M33" i="1" s="1"/>
  <c r="M35" i="1" s="1"/>
  <c r="M37" i="1" s="1"/>
  <c r="Y56" i="1"/>
  <c r="X57" i="1"/>
  <c r="X62" i="1" s="1"/>
  <c r="X67" i="1" s="1"/>
  <c r="Z56" i="1" l="1"/>
  <c r="Y57" i="1"/>
  <c r="Y62" i="1" s="1"/>
  <c r="Y67" i="1" s="1"/>
  <c r="AA56" i="1" l="1"/>
  <c r="AA57" i="1" s="1"/>
  <c r="AA62" i="1" s="1"/>
  <c r="Z57" i="1"/>
  <c r="Z62" i="1" s="1"/>
  <c r="Z67" i="1" s="1"/>
  <c r="F5" i="6" l="1"/>
  <c r="I5" i="6"/>
  <c r="F6" i="6"/>
  <c r="I6" i="6"/>
  <c r="I7" i="6"/>
  <c r="F8" i="6"/>
  <c r="F9" i="6"/>
  <c r="F10" i="6"/>
  <c r="F15" i="6"/>
  <c r="I15" i="6"/>
  <c r="I16" i="6"/>
  <c r="F18" i="6"/>
  <c r="I18" i="6"/>
  <c r="F19" i="6"/>
  <c r="I19" i="6"/>
  <c r="C22" i="6"/>
  <c r="I22" i="6"/>
  <c r="C23" i="6"/>
  <c r="I23" i="6"/>
  <c r="C24" i="6"/>
  <c r="I24" i="6"/>
  <c r="B92" i="6"/>
  <c r="E92" i="6"/>
  <c r="I92" i="6"/>
  <c r="E93" i="6"/>
  <c r="G93" i="6"/>
  <c r="I93" i="6"/>
  <c r="E94" i="6"/>
  <c r="G94" i="6"/>
  <c r="I94" i="6"/>
  <c r="E95" i="6"/>
  <c r="G95" i="6"/>
  <c r="I95" i="6"/>
  <c r="E96" i="6"/>
  <c r="G96" i="6"/>
  <c r="I96" i="6"/>
  <c r="E97" i="6"/>
  <c r="G97" i="6"/>
  <c r="I97" i="6"/>
  <c r="E98" i="6"/>
  <c r="G98" i="6"/>
  <c r="I98" i="6"/>
  <c r="E99" i="6"/>
  <c r="G99" i="6"/>
  <c r="I99" i="6"/>
  <c r="E100" i="6"/>
  <c r="G100" i="6"/>
  <c r="I100" i="6"/>
  <c r="E101" i="6"/>
  <c r="G101" i="6"/>
  <c r="I101" i="6"/>
  <c r="E102" i="6"/>
  <c r="G102" i="6"/>
  <c r="I102" i="6"/>
  <c r="E103" i="6"/>
  <c r="G103" i="6"/>
  <c r="I103" i="6"/>
  <c r="E104" i="6"/>
  <c r="G104" i="6"/>
  <c r="I104" i="6"/>
  <c r="E105" i="6"/>
  <c r="G105" i="6"/>
  <c r="I105" i="6"/>
  <c r="E106" i="6"/>
  <c r="G106" i="6"/>
  <c r="I106" i="6"/>
  <c r="E107" i="6"/>
  <c r="G107" i="6"/>
  <c r="I107" i="6"/>
  <c r="E108" i="6"/>
  <c r="G108" i="6"/>
  <c r="I108" i="6"/>
  <c r="E109" i="6"/>
  <c r="G109" i="6"/>
  <c r="I109" i="6"/>
  <c r="E110" i="6"/>
  <c r="G110" i="6"/>
  <c r="I110" i="6"/>
  <c r="E111" i="6"/>
  <c r="G111" i="6"/>
  <c r="I111" i="6"/>
  <c r="E112" i="6"/>
  <c r="G112" i="6"/>
  <c r="I112" i="6"/>
  <c r="E113" i="6"/>
  <c r="G113" i="6"/>
  <c r="I113" i="6"/>
  <c r="E114" i="6"/>
  <c r="G114" i="6"/>
  <c r="I114" i="6"/>
  <c r="E115" i="6"/>
  <c r="G115" i="6"/>
  <c r="I115" i="6"/>
  <c r="E116" i="6"/>
  <c r="G116" i="6"/>
  <c r="I116" i="6"/>
  <c r="E117" i="6"/>
  <c r="G117" i="6"/>
  <c r="I117" i="6"/>
  <c r="E118" i="6"/>
  <c r="I118" i="6"/>
  <c r="E119" i="6"/>
  <c r="I119" i="6"/>
  <c r="E120" i="6"/>
  <c r="I120" i="6"/>
  <c r="E121" i="6"/>
  <c r="I121" i="6"/>
  <c r="E122" i="6"/>
  <c r="I122" i="6"/>
  <c r="E123" i="6"/>
  <c r="I123" i="6"/>
  <c r="E124" i="6"/>
  <c r="I124" i="6"/>
  <c r="E125" i="6"/>
  <c r="I125" i="6"/>
  <c r="E126" i="6"/>
  <c r="I126" i="6"/>
  <c r="E127" i="6"/>
  <c r="I127" i="6"/>
  <c r="E128" i="6"/>
  <c r="I128" i="6"/>
  <c r="E129" i="6"/>
  <c r="I129" i="6"/>
  <c r="E130" i="6"/>
  <c r="I130" i="6"/>
  <c r="E131" i="6"/>
  <c r="I131" i="6"/>
  <c r="E132" i="6"/>
  <c r="I132" i="6"/>
  <c r="E133" i="6"/>
  <c r="I133" i="6"/>
  <c r="E134" i="6"/>
  <c r="I134" i="6"/>
  <c r="E135" i="6"/>
  <c r="I135" i="6"/>
  <c r="E136" i="6"/>
  <c r="I136" i="6"/>
  <c r="E137" i="6"/>
  <c r="I137" i="6"/>
  <c r="E138" i="6"/>
  <c r="I138" i="6"/>
  <c r="E139" i="6"/>
  <c r="I139" i="6"/>
  <c r="E140" i="6"/>
  <c r="I140" i="6"/>
  <c r="E141" i="6"/>
  <c r="I141" i="6"/>
  <c r="E142" i="6"/>
  <c r="I142" i="6"/>
  <c r="E143" i="6"/>
  <c r="I143" i="6"/>
  <c r="E144" i="6"/>
  <c r="I144" i="6"/>
  <c r="E145" i="6"/>
  <c r="I145" i="6"/>
  <c r="E146" i="6"/>
  <c r="I146" i="6"/>
  <c r="E147" i="6"/>
  <c r="I147" i="6"/>
  <c r="E148" i="6"/>
  <c r="I148" i="6"/>
  <c r="E149" i="6"/>
  <c r="I149" i="6"/>
  <c r="E150" i="6"/>
  <c r="I150" i="6"/>
  <c r="E151" i="6"/>
  <c r="I151" i="6"/>
  <c r="B155" i="6"/>
  <c r="C155" i="6"/>
  <c r="D155" i="6"/>
  <c r="E155" i="6"/>
  <c r="F155" i="6"/>
  <c r="G155" i="6"/>
  <c r="H155" i="6"/>
  <c r="J155" i="6"/>
  <c r="K155" i="6"/>
  <c r="Q155" i="6"/>
  <c r="S155" i="6"/>
  <c r="U155" i="6"/>
  <c r="W155" i="6"/>
  <c r="Y155" i="6"/>
  <c r="AA155" i="6"/>
  <c r="AC155" i="6"/>
  <c r="AD155" i="6"/>
  <c r="AE155" i="6"/>
  <c r="AG155" i="6"/>
  <c r="B156" i="6"/>
  <c r="C156" i="6"/>
  <c r="D156" i="6"/>
  <c r="E156" i="6"/>
  <c r="F156" i="6"/>
  <c r="G156" i="6"/>
  <c r="H156" i="6"/>
  <c r="I156" i="6"/>
  <c r="J156" i="6"/>
  <c r="K156" i="6"/>
  <c r="P156" i="6"/>
  <c r="Q156" i="6"/>
  <c r="R156" i="6"/>
  <c r="S156" i="6"/>
  <c r="T156" i="6"/>
  <c r="U156" i="6"/>
  <c r="V156" i="6"/>
  <c r="W156" i="6"/>
  <c r="X156" i="6"/>
  <c r="Y156" i="6"/>
  <c r="Z156" i="6"/>
  <c r="AA156" i="6"/>
  <c r="AC156" i="6"/>
  <c r="AD156" i="6"/>
  <c r="AE156" i="6"/>
  <c r="AF156" i="6"/>
  <c r="AG156" i="6"/>
  <c r="B157" i="6"/>
  <c r="C157" i="6"/>
  <c r="D157" i="6"/>
  <c r="E157" i="6"/>
  <c r="F157" i="6"/>
  <c r="G157" i="6"/>
  <c r="H157" i="6"/>
  <c r="I157" i="6"/>
  <c r="J157" i="6"/>
  <c r="K157" i="6"/>
  <c r="P157" i="6"/>
  <c r="Q157" i="6"/>
  <c r="R157" i="6"/>
  <c r="S157" i="6"/>
  <c r="T157" i="6"/>
  <c r="U157" i="6"/>
  <c r="V157" i="6"/>
  <c r="W157" i="6"/>
  <c r="X157" i="6"/>
  <c r="Y157" i="6"/>
  <c r="Z157" i="6"/>
  <c r="AA157" i="6"/>
  <c r="AC157" i="6"/>
  <c r="AD157" i="6"/>
  <c r="AE157" i="6"/>
  <c r="AF157" i="6"/>
  <c r="AG157" i="6"/>
  <c r="B158" i="6"/>
  <c r="C158" i="6"/>
  <c r="D158" i="6"/>
  <c r="E158" i="6"/>
  <c r="F158" i="6"/>
  <c r="G158" i="6"/>
  <c r="H158" i="6"/>
  <c r="I158" i="6"/>
  <c r="J158" i="6"/>
  <c r="K158" i="6"/>
  <c r="P158" i="6"/>
  <c r="Q158" i="6"/>
  <c r="R158" i="6"/>
  <c r="S158" i="6"/>
  <c r="T158" i="6"/>
  <c r="U158" i="6"/>
  <c r="V158" i="6"/>
  <c r="W158" i="6"/>
  <c r="X158" i="6"/>
  <c r="Y158" i="6"/>
  <c r="Z158" i="6"/>
  <c r="AA158" i="6"/>
  <c r="AC158" i="6"/>
  <c r="AD158" i="6"/>
  <c r="AE158" i="6"/>
  <c r="AF158" i="6"/>
  <c r="AG158" i="6"/>
  <c r="B159" i="6"/>
  <c r="C159" i="6"/>
  <c r="D159" i="6"/>
  <c r="E159" i="6"/>
  <c r="F159" i="6"/>
  <c r="G159" i="6"/>
  <c r="H159" i="6"/>
  <c r="I159" i="6"/>
  <c r="J159" i="6"/>
  <c r="K159" i="6"/>
  <c r="P159" i="6"/>
  <c r="Q159" i="6"/>
  <c r="R159" i="6"/>
  <c r="S159" i="6"/>
  <c r="T159" i="6"/>
  <c r="U159" i="6"/>
  <c r="V159" i="6"/>
  <c r="W159" i="6"/>
  <c r="X159" i="6"/>
  <c r="Y159" i="6"/>
  <c r="Z159" i="6"/>
  <c r="AA159" i="6"/>
  <c r="AC159" i="6"/>
  <c r="AD159" i="6"/>
  <c r="AE159" i="6"/>
  <c r="AF159" i="6"/>
  <c r="AG159" i="6"/>
  <c r="B160" i="6"/>
  <c r="C160" i="6"/>
  <c r="D160" i="6"/>
  <c r="E160" i="6"/>
  <c r="F160" i="6"/>
  <c r="G160" i="6"/>
  <c r="H160" i="6"/>
  <c r="I160" i="6"/>
  <c r="J160" i="6"/>
  <c r="K160" i="6"/>
  <c r="P160" i="6"/>
  <c r="Q160" i="6"/>
  <c r="R160" i="6"/>
  <c r="S160" i="6"/>
  <c r="T160" i="6"/>
  <c r="U160" i="6"/>
  <c r="V160" i="6"/>
  <c r="W160" i="6"/>
  <c r="X160" i="6"/>
  <c r="Y160" i="6"/>
  <c r="Z160" i="6"/>
  <c r="AA160" i="6"/>
  <c r="AC160" i="6"/>
  <c r="AD160" i="6"/>
  <c r="AE160" i="6"/>
  <c r="AF160" i="6"/>
  <c r="AG160" i="6"/>
  <c r="B161" i="6"/>
  <c r="C161" i="6"/>
  <c r="D161" i="6"/>
  <c r="E161" i="6"/>
  <c r="F161" i="6"/>
  <c r="G161" i="6"/>
  <c r="H161" i="6"/>
  <c r="I161" i="6"/>
  <c r="J161" i="6"/>
  <c r="K161" i="6"/>
  <c r="P161" i="6"/>
  <c r="Q161" i="6"/>
  <c r="R161" i="6"/>
  <c r="S161" i="6"/>
  <c r="T161" i="6"/>
  <c r="U161" i="6"/>
  <c r="V161" i="6"/>
  <c r="W161" i="6"/>
  <c r="X161" i="6"/>
  <c r="Y161" i="6"/>
  <c r="Z161" i="6"/>
  <c r="AA161" i="6"/>
  <c r="AC161" i="6"/>
  <c r="AD161" i="6"/>
  <c r="AE161" i="6"/>
  <c r="AF161" i="6"/>
  <c r="AG161" i="6"/>
  <c r="B162" i="6"/>
  <c r="C162" i="6"/>
  <c r="D162" i="6"/>
  <c r="E162" i="6"/>
  <c r="F162" i="6"/>
  <c r="G162" i="6"/>
  <c r="H162" i="6"/>
  <c r="I162" i="6"/>
  <c r="J162" i="6"/>
  <c r="K162" i="6"/>
  <c r="P162" i="6"/>
  <c r="Q162" i="6"/>
  <c r="R162" i="6"/>
  <c r="S162" i="6"/>
  <c r="T162" i="6"/>
  <c r="U162" i="6"/>
  <c r="V162" i="6"/>
  <c r="W162" i="6"/>
  <c r="X162" i="6"/>
  <c r="Y162" i="6"/>
  <c r="Z162" i="6"/>
  <c r="AA162" i="6"/>
  <c r="AC162" i="6"/>
  <c r="AD162" i="6"/>
  <c r="AE162" i="6"/>
  <c r="AF162" i="6"/>
  <c r="AG162" i="6"/>
  <c r="B163" i="6"/>
  <c r="C163" i="6"/>
  <c r="D163" i="6"/>
  <c r="E163" i="6"/>
  <c r="F163" i="6"/>
  <c r="G163" i="6"/>
  <c r="H163" i="6"/>
  <c r="I163" i="6"/>
  <c r="J163" i="6"/>
  <c r="K163" i="6"/>
  <c r="P163" i="6"/>
  <c r="Q163" i="6"/>
  <c r="R163" i="6"/>
  <c r="S163" i="6"/>
  <c r="T163" i="6"/>
  <c r="U163" i="6"/>
  <c r="V163" i="6"/>
  <c r="W163" i="6"/>
  <c r="X163" i="6"/>
  <c r="Y163" i="6"/>
  <c r="Z163" i="6"/>
  <c r="AA163" i="6"/>
  <c r="AC163" i="6"/>
  <c r="AD163" i="6"/>
  <c r="AE163" i="6"/>
  <c r="AF163" i="6"/>
  <c r="AG163" i="6"/>
  <c r="B164" i="6"/>
  <c r="C164" i="6"/>
  <c r="D164" i="6"/>
  <c r="E164" i="6"/>
  <c r="F164" i="6"/>
  <c r="G164" i="6"/>
  <c r="H164" i="6"/>
  <c r="I164" i="6"/>
  <c r="J164" i="6"/>
  <c r="K164" i="6"/>
  <c r="P164" i="6"/>
  <c r="Q164" i="6"/>
  <c r="R164" i="6"/>
  <c r="S164" i="6"/>
  <c r="T164" i="6"/>
  <c r="U164" i="6"/>
  <c r="V164" i="6"/>
  <c r="W164" i="6"/>
  <c r="X164" i="6"/>
  <c r="Y164" i="6"/>
  <c r="Z164" i="6"/>
  <c r="AA164" i="6"/>
  <c r="AC164" i="6"/>
  <c r="AD164" i="6"/>
  <c r="AE164" i="6"/>
  <c r="AF164" i="6"/>
  <c r="AG164" i="6"/>
  <c r="B165" i="6"/>
  <c r="C165" i="6"/>
  <c r="D165" i="6"/>
  <c r="E165" i="6"/>
  <c r="F165" i="6"/>
  <c r="G165" i="6"/>
  <c r="H165" i="6"/>
  <c r="I165" i="6"/>
  <c r="J165" i="6"/>
  <c r="K165" i="6"/>
  <c r="P165" i="6"/>
  <c r="Q165" i="6"/>
  <c r="R165" i="6"/>
  <c r="S165" i="6"/>
  <c r="T165" i="6"/>
  <c r="U165" i="6"/>
  <c r="V165" i="6"/>
  <c r="W165" i="6"/>
  <c r="X165" i="6"/>
  <c r="Y165" i="6"/>
  <c r="Z165" i="6"/>
  <c r="AA165" i="6"/>
  <c r="AC165" i="6"/>
  <c r="AD165" i="6"/>
  <c r="AE165" i="6"/>
  <c r="AF165" i="6"/>
  <c r="AG165" i="6"/>
  <c r="B166" i="6"/>
  <c r="C166" i="6"/>
  <c r="D166" i="6"/>
  <c r="E166" i="6"/>
  <c r="F166" i="6"/>
  <c r="G166" i="6"/>
  <c r="H166" i="6"/>
  <c r="I166" i="6"/>
  <c r="J166" i="6"/>
  <c r="K166" i="6"/>
  <c r="P166" i="6"/>
  <c r="Q166" i="6"/>
  <c r="R166" i="6"/>
  <c r="S166" i="6"/>
  <c r="T166" i="6"/>
  <c r="U166" i="6"/>
  <c r="V166" i="6"/>
  <c r="W166" i="6"/>
  <c r="X166" i="6"/>
  <c r="Y166" i="6"/>
  <c r="Z166" i="6"/>
  <c r="AA166" i="6"/>
  <c r="AC166" i="6"/>
  <c r="AD166" i="6"/>
  <c r="AE166" i="6"/>
  <c r="AF166" i="6"/>
  <c r="AG166" i="6"/>
  <c r="B167" i="6"/>
  <c r="C167" i="6"/>
  <c r="D167" i="6"/>
  <c r="E167" i="6"/>
  <c r="F167" i="6"/>
  <c r="G167" i="6"/>
  <c r="H167" i="6"/>
  <c r="I167" i="6"/>
  <c r="J167" i="6"/>
  <c r="K167" i="6"/>
  <c r="P167" i="6"/>
  <c r="Q167" i="6"/>
  <c r="R167" i="6"/>
  <c r="S167" i="6"/>
  <c r="T167" i="6"/>
  <c r="U167" i="6"/>
  <c r="V167" i="6"/>
  <c r="W167" i="6"/>
  <c r="X167" i="6"/>
  <c r="Y167" i="6"/>
  <c r="Z167" i="6"/>
  <c r="AA167" i="6"/>
  <c r="AC167" i="6"/>
  <c r="AD167" i="6"/>
  <c r="AE167" i="6"/>
  <c r="AF167" i="6"/>
  <c r="AG167" i="6"/>
  <c r="B168" i="6"/>
  <c r="C168" i="6"/>
  <c r="D168" i="6"/>
  <c r="E168" i="6"/>
  <c r="F168" i="6"/>
  <c r="G168" i="6"/>
  <c r="H168" i="6"/>
  <c r="I168" i="6"/>
  <c r="J168" i="6"/>
  <c r="K168" i="6"/>
  <c r="P168" i="6"/>
  <c r="Q168" i="6"/>
  <c r="R168" i="6"/>
  <c r="S168" i="6"/>
  <c r="T168" i="6"/>
  <c r="U168" i="6"/>
  <c r="V168" i="6"/>
  <c r="W168" i="6"/>
  <c r="X168" i="6"/>
  <c r="Y168" i="6"/>
  <c r="Z168" i="6"/>
  <c r="AA168" i="6"/>
  <c r="AC168" i="6"/>
  <c r="AD168" i="6"/>
  <c r="AE168" i="6"/>
  <c r="AF168" i="6"/>
  <c r="AG168" i="6"/>
  <c r="B169" i="6"/>
  <c r="C169" i="6"/>
  <c r="D169" i="6"/>
  <c r="E169" i="6"/>
  <c r="F169" i="6"/>
  <c r="G169" i="6"/>
  <c r="H169" i="6"/>
  <c r="I169" i="6"/>
  <c r="J169" i="6"/>
  <c r="K169" i="6"/>
  <c r="P169" i="6"/>
  <c r="Q169" i="6"/>
  <c r="R169" i="6"/>
  <c r="S169" i="6"/>
  <c r="T169" i="6"/>
  <c r="U169" i="6"/>
  <c r="V169" i="6"/>
  <c r="W169" i="6"/>
  <c r="X169" i="6"/>
  <c r="Y169" i="6"/>
  <c r="Z169" i="6"/>
  <c r="AA169" i="6"/>
  <c r="AC169" i="6"/>
  <c r="AD169" i="6"/>
  <c r="AE169" i="6"/>
  <c r="AF169" i="6"/>
  <c r="AG169" i="6"/>
  <c r="B170" i="6"/>
  <c r="C170" i="6"/>
  <c r="D170" i="6"/>
  <c r="E170" i="6"/>
  <c r="F170" i="6"/>
  <c r="G170" i="6"/>
  <c r="H170" i="6"/>
  <c r="I170" i="6"/>
  <c r="J170" i="6"/>
  <c r="K170" i="6"/>
  <c r="P170" i="6"/>
  <c r="Q170" i="6"/>
  <c r="R170" i="6"/>
  <c r="S170" i="6"/>
  <c r="T170" i="6"/>
  <c r="U170" i="6"/>
  <c r="V170" i="6"/>
  <c r="W170" i="6"/>
  <c r="X170" i="6"/>
  <c r="Y170" i="6"/>
  <c r="Z170" i="6"/>
  <c r="AA170" i="6"/>
  <c r="AC170" i="6"/>
  <c r="AD170" i="6"/>
  <c r="AE170" i="6"/>
  <c r="AF170" i="6"/>
  <c r="AG170" i="6"/>
  <c r="B171" i="6"/>
  <c r="C171" i="6"/>
  <c r="D171" i="6"/>
  <c r="E171" i="6"/>
  <c r="F171" i="6"/>
  <c r="G171" i="6"/>
  <c r="H171" i="6"/>
  <c r="I171" i="6"/>
  <c r="J171" i="6"/>
  <c r="K171" i="6"/>
  <c r="P171" i="6"/>
  <c r="Q171" i="6"/>
  <c r="R171" i="6"/>
  <c r="S171" i="6"/>
  <c r="T171" i="6"/>
  <c r="U171" i="6"/>
  <c r="V171" i="6"/>
  <c r="W171" i="6"/>
  <c r="X171" i="6"/>
  <c r="Y171" i="6"/>
  <c r="Z171" i="6"/>
  <c r="AA171" i="6"/>
  <c r="AC171" i="6"/>
  <c r="AD171" i="6"/>
  <c r="AE171" i="6"/>
  <c r="AF171" i="6"/>
  <c r="AG171" i="6"/>
  <c r="B172" i="6"/>
  <c r="C172" i="6"/>
  <c r="D172" i="6"/>
  <c r="E172" i="6"/>
  <c r="F172" i="6"/>
  <c r="G172" i="6"/>
  <c r="H172" i="6"/>
  <c r="I172" i="6"/>
  <c r="J172" i="6"/>
  <c r="K172" i="6"/>
  <c r="P172" i="6"/>
  <c r="Q172" i="6"/>
  <c r="R172" i="6"/>
  <c r="S172" i="6"/>
  <c r="T172" i="6"/>
  <c r="U172" i="6"/>
  <c r="V172" i="6"/>
  <c r="W172" i="6"/>
  <c r="X172" i="6"/>
  <c r="Y172" i="6"/>
  <c r="Z172" i="6"/>
  <c r="AA172" i="6"/>
  <c r="AC172" i="6"/>
  <c r="AD172" i="6"/>
  <c r="AE172" i="6"/>
  <c r="AF172" i="6"/>
  <c r="AG172" i="6"/>
  <c r="B173" i="6"/>
  <c r="C173" i="6"/>
  <c r="D173" i="6"/>
  <c r="E173" i="6"/>
  <c r="F173" i="6"/>
  <c r="G173" i="6"/>
  <c r="H173" i="6"/>
  <c r="I173" i="6"/>
  <c r="J173" i="6"/>
  <c r="K173" i="6"/>
  <c r="P173" i="6"/>
  <c r="Q173" i="6"/>
  <c r="R173" i="6"/>
  <c r="S173" i="6"/>
  <c r="T173" i="6"/>
  <c r="U173" i="6"/>
  <c r="V173" i="6"/>
  <c r="W173" i="6"/>
  <c r="X173" i="6"/>
  <c r="Y173" i="6"/>
  <c r="Z173" i="6"/>
  <c r="AA173" i="6"/>
  <c r="AC173" i="6"/>
  <c r="AD173" i="6"/>
  <c r="AE173" i="6"/>
  <c r="AF173" i="6"/>
  <c r="AG173" i="6"/>
  <c r="B174" i="6"/>
  <c r="C174" i="6"/>
  <c r="D174" i="6"/>
  <c r="E174" i="6"/>
  <c r="F174" i="6"/>
  <c r="G174" i="6"/>
  <c r="H174" i="6"/>
  <c r="I174" i="6"/>
  <c r="J174" i="6"/>
  <c r="K174" i="6"/>
  <c r="P174" i="6"/>
  <c r="Q174" i="6"/>
  <c r="R174" i="6"/>
  <c r="S174" i="6"/>
  <c r="T174" i="6"/>
  <c r="U174" i="6"/>
  <c r="V174" i="6"/>
  <c r="W174" i="6"/>
  <c r="X174" i="6"/>
  <c r="Y174" i="6"/>
  <c r="Z174" i="6"/>
  <c r="AA174" i="6"/>
  <c r="AC174" i="6"/>
  <c r="AD174" i="6"/>
  <c r="AE174" i="6"/>
  <c r="AF174" i="6"/>
  <c r="AG174" i="6"/>
  <c r="B175" i="6"/>
  <c r="C175" i="6"/>
  <c r="D175" i="6"/>
  <c r="E175" i="6"/>
  <c r="F175" i="6"/>
  <c r="G175" i="6"/>
  <c r="H175" i="6"/>
  <c r="I175" i="6"/>
  <c r="J175" i="6"/>
  <c r="K175" i="6"/>
  <c r="P175" i="6"/>
  <c r="Q175" i="6"/>
  <c r="R175" i="6"/>
  <c r="S175" i="6"/>
  <c r="T175" i="6"/>
  <c r="U175" i="6"/>
  <c r="V175" i="6"/>
  <c r="W175" i="6"/>
  <c r="X175" i="6"/>
  <c r="Y175" i="6"/>
  <c r="Z175" i="6"/>
  <c r="AA175" i="6"/>
  <c r="AC175" i="6"/>
  <c r="AD175" i="6"/>
  <c r="AE175" i="6"/>
  <c r="AF175" i="6"/>
  <c r="AG175" i="6"/>
  <c r="B176" i="6"/>
  <c r="C176" i="6"/>
  <c r="D176" i="6"/>
  <c r="E176" i="6"/>
  <c r="F176" i="6"/>
  <c r="G176" i="6"/>
  <c r="H176" i="6"/>
  <c r="I176" i="6"/>
  <c r="J176" i="6"/>
  <c r="K176" i="6"/>
  <c r="P176" i="6"/>
  <c r="Q176" i="6"/>
  <c r="R176" i="6"/>
  <c r="S176" i="6"/>
  <c r="T176" i="6"/>
  <c r="U176" i="6"/>
  <c r="V176" i="6"/>
  <c r="W176" i="6"/>
  <c r="X176" i="6"/>
  <c r="Y176" i="6"/>
  <c r="Z176" i="6"/>
  <c r="AA176" i="6"/>
  <c r="AC176" i="6"/>
  <c r="AD176" i="6"/>
  <c r="AE176" i="6"/>
  <c r="AF176" i="6"/>
  <c r="AG176" i="6"/>
  <c r="B177" i="6"/>
  <c r="C177" i="6"/>
  <c r="D177" i="6"/>
  <c r="E177" i="6"/>
  <c r="F177" i="6"/>
  <c r="G177" i="6"/>
  <c r="H177" i="6"/>
  <c r="I177" i="6"/>
  <c r="J177" i="6"/>
  <c r="K177" i="6"/>
  <c r="P177" i="6"/>
  <c r="Q177" i="6"/>
  <c r="R177" i="6"/>
  <c r="S177" i="6"/>
  <c r="T177" i="6"/>
  <c r="U177" i="6"/>
  <c r="V177" i="6"/>
  <c r="W177" i="6"/>
  <c r="X177" i="6"/>
  <c r="Y177" i="6"/>
  <c r="Z177" i="6"/>
  <c r="AA177" i="6"/>
  <c r="AC177" i="6"/>
  <c r="AD177" i="6"/>
  <c r="AE177" i="6"/>
  <c r="AF177" i="6"/>
  <c r="AG177" i="6"/>
  <c r="B178" i="6"/>
  <c r="C178" i="6"/>
  <c r="D178" i="6"/>
  <c r="E178" i="6"/>
  <c r="F178" i="6"/>
  <c r="G178" i="6"/>
  <c r="H178" i="6"/>
  <c r="I178" i="6"/>
  <c r="J178" i="6"/>
  <c r="K178" i="6"/>
  <c r="P178" i="6"/>
  <c r="Q178" i="6"/>
  <c r="R178" i="6"/>
  <c r="S178" i="6"/>
  <c r="T178" i="6"/>
  <c r="U178" i="6"/>
  <c r="V178" i="6"/>
  <c r="W178" i="6"/>
  <c r="X178" i="6"/>
  <c r="Y178" i="6"/>
  <c r="Z178" i="6"/>
  <c r="AA178" i="6"/>
  <c r="AC178" i="6"/>
  <c r="AD178" i="6"/>
  <c r="AE178" i="6"/>
  <c r="AF178" i="6"/>
  <c r="AG178" i="6"/>
  <c r="B179" i="6"/>
  <c r="C179" i="6"/>
  <c r="D179" i="6"/>
  <c r="E179" i="6"/>
  <c r="F179" i="6"/>
  <c r="G179" i="6"/>
  <c r="H179" i="6"/>
  <c r="I179" i="6"/>
  <c r="J179" i="6"/>
  <c r="K179" i="6"/>
  <c r="P179" i="6"/>
  <c r="Q179" i="6"/>
  <c r="R179" i="6"/>
  <c r="S179" i="6"/>
  <c r="T179" i="6"/>
  <c r="U179" i="6"/>
  <c r="V179" i="6"/>
  <c r="W179" i="6"/>
  <c r="X179" i="6"/>
  <c r="Y179" i="6"/>
  <c r="Z179" i="6"/>
  <c r="AA179" i="6"/>
  <c r="AC179" i="6"/>
  <c r="AD179" i="6"/>
  <c r="AE179" i="6"/>
  <c r="AF179" i="6"/>
  <c r="AG179" i="6"/>
  <c r="B180" i="6"/>
  <c r="C180" i="6"/>
  <c r="D180" i="6"/>
  <c r="E180" i="6"/>
  <c r="F180" i="6"/>
  <c r="G180" i="6"/>
  <c r="H180" i="6"/>
  <c r="I180" i="6"/>
  <c r="J180" i="6"/>
  <c r="K180" i="6"/>
  <c r="P180" i="6"/>
  <c r="Q180" i="6"/>
  <c r="R180" i="6"/>
  <c r="S180" i="6"/>
  <c r="T180" i="6"/>
  <c r="U180" i="6"/>
  <c r="V180" i="6"/>
  <c r="W180" i="6"/>
  <c r="X180" i="6"/>
  <c r="Y180" i="6"/>
  <c r="Z180" i="6"/>
  <c r="AA180" i="6"/>
  <c r="AC180" i="6"/>
  <c r="AD180" i="6"/>
  <c r="AE180" i="6"/>
  <c r="AF180" i="6"/>
  <c r="AG180" i="6"/>
  <c r="B181" i="6"/>
  <c r="C181" i="6"/>
  <c r="D181" i="6"/>
  <c r="E181" i="6"/>
  <c r="F181" i="6"/>
  <c r="G181" i="6"/>
  <c r="H181" i="6"/>
  <c r="I181" i="6"/>
  <c r="J181" i="6"/>
  <c r="K181" i="6"/>
  <c r="Q181" i="6"/>
  <c r="S181" i="6"/>
  <c r="U181" i="6"/>
  <c r="W181" i="6"/>
  <c r="Y181" i="6"/>
  <c r="AA181" i="6"/>
  <c r="AC181" i="6"/>
  <c r="AD181" i="6"/>
  <c r="AE181" i="6"/>
  <c r="AG181" i="6"/>
  <c r="B182" i="6"/>
  <c r="C182" i="6"/>
  <c r="D182" i="6"/>
  <c r="E182" i="6"/>
  <c r="F182" i="6"/>
  <c r="G182" i="6"/>
  <c r="H182" i="6"/>
  <c r="I182" i="6"/>
  <c r="J182" i="6"/>
  <c r="K182" i="6"/>
  <c r="Q182" i="6"/>
  <c r="S182" i="6"/>
  <c r="U182" i="6"/>
  <c r="W182" i="6"/>
  <c r="Y182" i="6"/>
  <c r="AA182" i="6"/>
  <c r="AC182" i="6"/>
  <c r="AD182" i="6"/>
  <c r="AE182" i="6"/>
  <c r="AG182" i="6"/>
  <c r="B183" i="6"/>
  <c r="C183" i="6"/>
  <c r="D183" i="6"/>
  <c r="E183" i="6"/>
  <c r="F183" i="6"/>
  <c r="G183" i="6"/>
  <c r="H183" i="6"/>
  <c r="I183" i="6"/>
  <c r="J183" i="6"/>
  <c r="K183" i="6"/>
  <c r="Q183" i="6"/>
  <c r="S183" i="6"/>
  <c r="U183" i="6"/>
  <c r="W183" i="6"/>
  <c r="Y183" i="6"/>
  <c r="AA183" i="6"/>
  <c r="AC183" i="6"/>
  <c r="AD183" i="6"/>
  <c r="AE183" i="6"/>
  <c r="AG183" i="6"/>
  <c r="B184" i="6"/>
  <c r="C184" i="6"/>
  <c r="D184" i="6"/>
  <c r="E184" i="6"/>
  <c r="F184" i="6"/>
  <c r="G184" i="6"/>
  <c r="H184" i="6"/>
  <c r="I184" i="6"/>
  <c r="J184" i="6"/>
  <c r="K184" i="6"/>
  <c r="Q184" i="6"/>
  <c r="S184" i="6"/>
  <c r="U184" i="6"/>
  <c r="W184" i="6"/>
  <c r="Y184" i="6"/>
  <c r="AA184" i="6"/>
  <c r="AC184" i="6"/>
  <c r="AD184" i="6"/>
  <c r="AE184" i="6"/>
  <c r="AG184" i="6"/>
  <c r="B185" i="6"/>
  <c r="C185" i="6"/>
  <c r="D185" i="6"/>
  <c r="E185" i="6"/>
  <c r="F185" i="6"/>
  <c r="G185" i="6"/>
  <c r="H185" i="6"/>
  <c r="I185" i="6"/>
  <c r="J185" i="6"/>
  <c r="K185" i="6"/>
  <c r="Q185" i="6"/>
  <c r="S185" i="6"/>
  <c r="U185" i="6"/>
  <c r="W185" i="6"/>
  <c r="Y185" i="6"/>
  <c r="AA185" i="6"/>
  <c r="AC185" i="6"/>
  <c r="AD185" i="6"/>
  <c r="AE185" i="6"/>
  <c r="AG185" i="6"/>
  <c r="B186" i="6"/>
  <c r="C186" i="6"/>
  <c r="D186" i="6"/>
  <c r="E186" i="6"/>
  <c r="F186" i="6"/>
  <c r="G186" i="6"/>
  <c r="H186" i="6"/>
  <c r="I186" i="6"/>
  <c r="J186" i="6"/>
  <c r="K186" i="6"/>
  <c r="Q186" i="6"/>
  <c r="S186" i="6"/>
  <c r="U186" i="6"/>
  <c r="W186" i="6"/>
  <c r="Y186" i="6"/>
  <c r="AA186" i="6"/>
  <c r="AC186" i="6"/>
  <c r="AD186" i="6"/>
  <c r="AE186" i="6"/>
  <c r="AG186" i="6"/>
  <c r="B187" i="6"/>
  <c r="C187" i="6"/>
  <c r="D187" i="6"/>
  <c r="E187" i="6"/>
  <c r="F187" i="6"/>
  <c r="G187" i="6"/>
  <c r="H187" i="6"/>
  <c r="I187" i="6"/>
  <c r="J187" i="6"/>
  <c r="K187" i="6"/>
  <c r="Q187" i="6"/>
  <c r="S187" i="6"/>
  <c r="U187" i="6"/>
  <c r="W187" i="6"/>
  <c r="Y187" i="6"/>
  <c r="AA187" i="6"/>
  <c r="AC187" i="6"/>
  <c r="AD187" i="6"/>
  <c r="AE187" i="6"/>
  <c r="AG187" i="6"/>
  <c r="B188" i="6"/>
  <c r="C188" i="6"/>
  <c r="D188" i="6"/>
  <c r="E188" i="6"/>
  <c r="F188" i="6"/>
  <c r="G188" i="6"/>
  <c r="H188" i="6"/>
  <c r="I188" i="6"/>
  <c r="J188" i="6"/>
  <c r="K188" i="6"/>
  <c r="Q188" i="6"/>
  <c r="S188" i="6"/>
  <c r="U188" i="6"/>
  <c r="W188" i="6"/>
  <c r="Y188" i="6"/>
  <c r="AA188" i="6"/>
  <c r="AC188" i="6"/>
  <c r="AD188" i="6"/>
  <c r="AE188" i="6"/>
  <c r="AG188" i="6"/>
  <c r="B189" i="6"/>
  <c r="C189" i="6"/>
  <c r="D189" i="6"/>
  <c r="E189" i="6"/>
  <c r="F189" i="6"/>
  <c r="G189" i="6"/>
  <c r="H189" i="6"/>
  <c r="I189" i="6"/>
  <c r="J189" i="6"/>
  <c r="K189" i="6"/>
  <c r="Q189" i="6"/>
  <c r="S189" i="6"/>
  <c r="U189" i="6"/>
  <c r="W189" i="6"/>
  <c r="Y189" i="6"/>
  <c r="AA189" i="6"/>
  <c r="AC189" i="6"/>
  <c r="AD189" i="6"/>
  <c r="AE189" i="6"/>
  <c r="AG189" i="6"/>
  <c r="B190" i="6"/>
  <c r="C190" i="6"/>
  <c r="D190" i="6"/>
  <c r="E190" i="6"/>
  <c r="F190" i="6"/>
  <c r="G190" i="6"/>
  <c r="H190" i="6"/>
  <c r="I190" i="6"/>
  <c r="J190" i="6"/>
  <c r="K190" i="6"/>
  <c r="Q190" i="6"/>
  <c r="S190" i="6"/>
  <c r="U190" i="6"/>
  <c r="W190" i="6"/>
  <c r="Y190" i="6"/>
  <c r="AA190" i="6"/>
  <c r="AC190" i="6"/>
  <c r="AD190" i="6"/>
  <c r="AE190" i="6"/>
  <c r="AG190" i="6"/>
  <c r="B191" i="6"/>
  <c r="C191" i="6"/>
  <c r="D191" i="6"/>
  <c r="E191" i="6"/>
  <c r="F191" i="6"/>
  <c r="G191" i="6"/>
  <c r="H191" i="6"/>
  <c r="I191" i="6"/>
  <c r="J191" i="6"/>
  <c r="K191" i="6"/>
  <c r="Q191" i="6"/>
  <c r="S191" i="6"/>
  <c r="U191" i="6"/>
  <c r="W191" i="6"/>
  <c r="Y191" i="6"/>
  <c r="AA191" i="6"/>
  <c r="AC191" i="6"/>
  <c r="AD191" i="6"/>
  <c r="AE191" i="6"/>
  <c r="AG191" i="6"/>
  <c r="B192" i="6"/>
  <c r="C192" i="6"/>
  <c r="D192" i="6"/>
  <c r="E192" i="6"/>
  <c r="F192" i="6"/>
  <c r="G192" i="6"/>
  <c r="H192" i="6"/>
  <c r="I192" i="6"/>
  <c r="J192" i="6"/>
  <c r="K192" i="6"/>
  <c r="Q192" i="6"/>
  <c r="S192" i="6"/>
  <c r="U192" i="6"/>
  <c r="W192" i="6"/>
  <c r="Y192" i="6"/>
  <c r="AA192" i="6"/>
  <c r="AC192" i="6"/>
  <c r="AD192" i="6"/>
  <c r="AE192" i="6"/>
  <c r="AG192" i="6"/>
  <c r="B193" i="6"/>
  <c r="C193" i="6"/>
  <c r="D193" i="6"/>
  <c r="E193" i="6"/>
  <c r="F193" i="6"/>
  <c r="G193" i="6"/>
  <c r="H193" i="6"/>
  <c r="I193" i="6"/>
  <c r="J193" i="6"/>
  <c r="K193" i="6"/>
  <c r="Q193" i="6"/>
  <c r="S193" i="6"/>
  <c r="U193" i="6"/>
  <c r="W193" i="6"/>
  <c r="Y193" i="6"/>
  <c r="AA193" i="6"/>
  <c r="AC193" i="6"/>
  <c r="AD193" i="6"/>
  <c r="AE193" i="6"/>
  <c r="AG193" i="6"/>
  <c r="B194" i="6"/>
  <c r="C194" i="6"/>
  <c r="D194" i="6"/>
  <c r="E194" i="6"/>
  <c r="F194" i="6"/>
  <c r="G194" i="6"/>
  <c r="H194" i="6"/>
  <c r="I194" i="6"/>
  <c r="J194" i="6"/>
  <c r="K194" i="6"/>
  <c r="Q194" i="6"/>
  <c r="S194" i="6"/>
  <c r="U194" i="6"/>
  <c r="W194" i="6"/>
  <c r="Y194" i="6"/>
  <c r="AA194" i="6"/>
  <c r="AC194" i="6"/>
  <c r="AD194" i="6"/>
  <c r="AE194" i="6"/>
  <c r="AG194" i="6"/>
  <c r="B195" i="6"/>
  <c r="C195" i="6"/>
  <c r="D195" i="6"/>
  <c r="E195" i="6"/>
  <c r="F195" i="6"/>
  <c r="G195" i="6"/>
  <c r="H195" i="6"/>
  <c r="I195" i="6"/>
  <c r="J195" i="6"/>
  <c r="K195" i="6"/>
  <c r="Q195" i="6"/>
  <c r="S195" i="6"/>
  <c r="U195" i="6"/>
  <c r="W195" i="6"/>
  <c r="Y195" i="6"/>
  <c r="AA195" i="6"/>
  <c r="AC195" i="6"/>
  <c r="AD195" i="6"/>
  <c r="AE195" i="6"/>
  <c r="AG195" i="6"/>
  <c r="B196" i="6"/>
  <c r="C196" i="6"/>
  <c r="D196" i="6"/>
  <c r="E196" i="6"/>
  <c r="F196" i="6"/>
  <c r="G196" i="6"/>
  <c r="H196" i="6"/>
  <c r="I196" i="6"/>
  <c r="J196" i="6"/>
  <c r="K196" i="6"/>
  <c r="Q196" i="6"/>
  <c r="S196" i="6"/>
  <c r="U196" i="6"/>
  <c r="W196" i="6"/>
  <c r="Y196" i="6"/>
  <c r="AA196" i="6"/>
  <c r="AC196" i="6"/>
  <c r="AD196" i="6"/>
  <c r="AE196" i="6"/>
  <c r="AG196" i="6"/>
  <c r="B197" i="6"/>
  <c r="C197" i="6"/>
  <c r="D197" i="6"/>
  <c r="E197" i="6"/>
  <c r="F197" i="6"/>
  <c r="G197" i="6"/>
  <c r="H197" i="6"/>
  <c r="I197" i="6"/>
  <c r="J197" i="6"/>
  <c r="K197" i="6"/>
  <c r="Q197" i="6"/>
  <c r="S197" i="6"/>
  <c r="U197" i="6"/>
  <c r="W197" i="6"/>
  <c r="Y197" i="6"/>
  <c r="AA197" i="6"/>
  <c r="AC197" i="6"/>
  <c r="AD197" i="6"/>
  <c r="AE197" i="6"/>
  <c r="AG197" i="6"/>
  <c r="B198" i="6"/>
  <c r="C198" i="6"/>
  <c r="D198" i="6"/>
  <c r="E198" i="6"/>
  <c r="F198" i="6"/>
  <c r="G198" i="6"/>
  <c r="H198" i="6"/>
  <c r="I198" i="6"/>
  <c r="J198" i="6"/>
  <c r="K198" i="6"/>
  <c r="Q198" i="6"/>
  <c r="S198" i="6"/>
  <c r="U198" i="6"/>
  <c r="W198" i="6"/>
  <c r="Y198" i="6"/>
  <c r="AA198" i="6"/>
  <c r="AC198" i="6"/>
  <c r="AD198" i="6"/>
  <c r="AE198" i="6"/>
  <c r="AG198" i="6"/>
  <c r="B199" i="6"/>
  <c r="C199" i="6"/>
  <c r="D199" i="6"/>
  <c r="E199" i="6"/>
  <c r="F199" i="6"/>
  <c r="G199" i="6"/>
  <c r="H199" i="6"/>
  <c r="I199" i="6"/>
  <c r="J199" i="6"/>
  <c r="K199" i="6"/>
  <c r="Q199" i="6"/>
  <c r="S199" i="6"/>
  <c r="U199" i="6"/>
  <c r="W199" i="6"/>
  <c r="Y199" i="6"/>
  <c r="AA199" i="6"/>
  <c r="AC199" i="6"/>
  <c r="AD199" i="6"/>
  <c r="AE199" i="6"/>
  <c r="AG199" i="6"/>
  <c r="B200" i="6"/>
  <c r="C200" i="6"/>
  <c r="D200" i="6"/>
  <c r="E200" i="6"/>
  <c r="F200" i="6"/>
  <c r="G200" i="6"/>
  <c r="H200" i="6"/>
  <c r="I200" i="6"/>
  <c r="J200" i="6"/>
  <c r="K200" i="6"/>
  <c r="Q200" i="6"/>
  <c r="S200" i="6"/>
  <c r="U200" i="6"/>
  <c r="W200" i="6"/>
  <c r="Y200" i="6"/>
  <c r="AA200" i="6"/>
  <c r="AC200" i="6"/>
  <c r="AD200" i="6"/>
  <c r="AE200" i="6"/>
  <c r="AG200" i="6"/>
  <c r="B201" i="6"/>
  <c r="C201" i="6"/>
  <c r="D201" i="6"/>
  <c r="E201" i="6"/>
  <c r="F201" i="6"/>
  <c r="G201" i="6"/>
  <c r="H201" i="6"/>
  <c r="I201" i="6"/>
  <c r="J201" i="6"/>
  <c r="K201" i="6"/>
  <c r="Q201" i="6"/>
  <c r="S201" i="6"/>
  <c r="U201" i="6"/>
  <c r="W201" i="6"/>
  <c r="Y201" i="6"/>
  <c r="AA201" i="6"/>
  <c r="AC201" i="6"/>
  <c r="AD201" i="6"/>
  <c r="AE201" i="6"/>
  <c r="AG201" i="6"/>
  <c r="B202" i="6"/>
  <c r="C202" i="6"/>
  <c r="D202" i="6"/>
  <c r="E202" i="6"/>
  <c r="F202" i="6"/>
  <c r="G202" i="6"/>
  <c r="H202" i="6"/>
  <c r="I202" i="6"/>
  <c r="J202" i="6"/>
  <c r="K202" i="6"/>
  <c r="Q202" i="6"/>
  <c r="S202" i="6"/>
  <c r="U202" i="6"/>
  <c r="W202" i="6"/>
  <c r="Y202" i="6"/>
  <c r="AA202" i="6"/>
  <c r="AC202" i="6"/>
  <c r="AD202" i="6"/>
  <c r="AE202" i="6"/>
  <c r="AG202" i="6"/>
  <c r="B203" i="6"/>
  <c r="C203" i="6"/>
  <c r="D203" i="6"/>
  <c r="E203" i="6"/>
  <c r="F203" i="6"/>
  <c r="G203" i="6"/>
  <c r="H203" i="6"/>
  <c r="I203" i="6"/>
  <c r="J203" i="6"/>
  <c r="K203" i="6"/>
  <c r="Q203" i="6"/>
  <c r="S203" i="6"/>
  <c r="U203" i="6"/>
  <c r="W203" i="6"/>
  <c r="Y203" i="6"/>
  <c r="AA203" i="6"/>
  <c r="AC203" i="6"/>
  <c r="AD203" i="6"/>
  <c r="AE203" i="6"/>
  <c r="AG203" i="6"/>
  <c r="B204" i="6"/>
  <c r="C204" i="6"/>
  <c r="D204" i="6"/>
  <c r="E204" i="6"/>
  <c r="F204" i="6"/>
  <c r="G204" i="6"/>
  <c r="H204" i="6"/>
  <c r="I204" i="6"/>
  <c r="J204" i="6"/>
  <c r="K204" i="6"/>
  <c r="Q204" i="6"/>
  <c r="S204" i="6"/>
  <c r="U204" i="6"/>
  <c r="W204" i="6"/>
  <c r="Y204" i="6"/>
  <c r="AA204" i="6"/>
  <c r="AC204" i="6"/>
  <c r="AD204" i="6"/>
  <c r="AE204" i="6"/>
  <c r="AG204" i="6"/>
  <c r="B205" i="6"/>
  <c r="C205" i="6"/>
  <c r="D205" i="6"/>
  <c r="E205" i="6"/>
  <c r="F205" i="6"/>
  <c r="G205" i="6"/>
  <c r="H205" i="6"/>
  <c r="I205" i="6"/>
  <c r="J205" i="6"/>
  <c r="K205" i="6"/>
  <c r="Q205" i="6"/>
  <c r="S205" i="6"/>
  <c r="U205" i="6"/>
  <c r="W205" i="6"/>
  <c r="Y205" i="6"/>
  <c r="AA205" i="6"/>
  <c r="AC205" i="6"/>
  <c r="AD205" i="6"/>
  <c r="AE205" i="6"/>
  <c r="AG205" i="6"/>
  <c r="B206" i="6"/>
  <c r="C206" i="6"/>
  <c r="D206" i="6"/>
  <c r="E206" i="6"/>
  <c r="F206" i="6"/>
  <c r="G206" i="6"/>
  <c r="H206" i="6"/>
  <c r="I206" i="6"/>
  <c r="J206" i="6"/>
  <c r="K206" i="6"/>
  <c r="Q206" i="6"/>
  <c r="S206" i="6"/>
  <c r="U206" i="6"/>
  <c r="W206" i="6"/>
  <c r="Y206" i="6"/>
  <c r="AA206" i="6"/>
  <c r="AC206" i="6"/>
  <c r="AD206" i="6"/>
  <c r="AE206" i="6"/>
  <c r="AG206" i="6"/>
  <c r="B207" i="6"/>
  <c r="C207" i="6"/>
  <c r="D207" i="6"/>
  <c r="E207" i="6"/>
  <c r="F207" i="6"/>
  <c r="G207" i="6"/>
  <c r="H207" i="6"/>
  <c r="I207" i="6"/>
  <c r="J207" i="6"/>
  <c r="K207" i="6"/>
  <c r="Q207" i="6"/>
  <c r="S207" i="6"/>
  <c r="U207" i="6"/>
  <c r="W207" i="6"/>
  <c r="Y207" i="6"/>
  <c r="AA207" i="6"/>
  <c r="AC207" i="6"/>
  <c r="AD207" i="6"/>
  <c r="AE207" i="6"/>
  <c r="AG207" i="6"/>
  <c r="B208" i="6"/>
  <c r="C208" i="6"/>
  <c r="D208" i="6"/>
  <c r="E208" i="6"/>
  <c r="F208" i="6"/>
  <c r="G208" i="6"/>
  <c r="H208" i="6"/>
  <c r="I208" i="6"/>
  <c r="J208" i="6"/>
  <c r="K208" i="6"/>
  <c r="Q208" i="6"/>
  <c r="S208" i="6"/>
  <c r="U208" i="6"/>
  <c r="W208" i="6"/>
  <c r="Y208" i="6"/>
  <c r="AA208" i="6"/>
  <c r="AC208" i="6"/>
  <c r="AD208" i="6"/>
  <c r="AE208" i="6"/>
  <c r="AG208" i="6"/>
  <c r="B209" i="6"/>
  <c r="C209" i="6"/>
  <c r="D209" i="6"/>
  <c r="E209" i="6"/>
  <c r="F209" i="6"/>
  <c r="G209" i="6"/>
  <c r="H209" i="6"/>
  <c r="I209" i="6"/>
  <c r="J209" i="6"/>
  <c r="K209" i="6"/>
  <c r="Q209" i="6"/>
  <c r="S209" i="6"/>
  <c r="U209" i="6"/>
  <c r="W209" i="6"/>
  <c r="Y209" i="6"/>
  <c r="AA209" i="6"/>
  <c r="AC209" i="6"/>
  <c r="AD209" i="6"/>
  <c r="AE209" i="6"/>
  <c r="AG209" i="6"/>
  <c r="B210" i="6"/>
  <c r="C210" i="6"/>
  <c r="D210" i="6"/>
  <c r="E210" i="6"/>
  <c r="F210" i="6"/>
  <c r="G210" i="6"/>
  <c r="H210" i="6"/>
  <c r="I210" i="6"/>
  <c r="J210" i="6"/>
  <c r="K210" i="6"/>
  <c r="Q210" i="6"/>
  <c r="S210" i="6"/>
  <c r="U210" i="6"/>
  <c r="W210" i="6"/>
  <c r="Y210" i="6"/>
  <c r="AA210" i="6"/>
  <c r="AC210" i="6"/>
  <c r="AD210" i="6"/>
  <c r="AE210" i="6"/>
  <c r="AG210" i="6"/>
  <c r="B211" i="6"/>
  <c r="C211" i="6"/>
  <c r="D211" i="6"/>
  <c r="E211" i="6"/>
  <c r="F211" i="6"/>
  <c r="G211" i="6"/>
  <c r="H211" i="6"/>
  <c r="I211" i="6"/>
  <c r="J211" i="6"/>
  <c r="K211" i="6"/>
  <c r="Q211" i="6"/>
  <c r="S211" i="6"/>
  <c r="U211" i="6"/>
  <c r="W211" i="6"/>
  <c r="Y211" i="6"/>
  <c r="AA211" i="6"/>
  <c r="AC211" i="6"/>
  <c r="AD211" i="6"/>
  <c r="AE211" i="6"/>
  <c r="AG211" i="6"/>
  <c r="B212" i="6"/>
  <c r="C212" i="6"/>
  <c r="D212" i="6"/>
  <c r="E212" i="6"/>
  <c r="F212" i="6"/>
  <c r="G212" i="6"/>
  <c r="H212" i="6"/>
  <c r="I212" i="6"/>
  <c r="J212" i="6"/>
  <c r="K212" i="6"/>
  <c r="Q212" i="6"/>
  <c r="S212" i="6"/>
  <c r="U212" i="6"/>
  <c r="W212" i="6"/>
  <c r="Y212" i="6"/>
  <c r="AA212" i="6"/>
  <c r="AC212" i="6"/>
  <c r="AD212" i="6"/>
  <c r="AE212" i="6"/>
  <c r="AG212" i="6"/>
  <c r="B213" i="6"/>
  <c r="C213" i="6"/>
  <c r="D213" i="6"/>
  <c r="E213" i="6"/>
  <c r="F213" i="6"/>
  <c r="G213" i="6"/>
  <c r="H213" i="6"/>
  <c r="I213" i="6"/>
  <c r="J213" i="6"/>
  <c r="K213" i="6"/>
  <c r="Q213" i="6"/>
  <c r="S213" i="6"/>
  <c r="U213" i="6"/>
  <c r="W213" i="6"/>
  <c r="Y213" i="6"/>
  <c r="AA213" i="6"/>
  <c r="AC213" i="6"/>
  <c r="AD213" i="6"/>
  <c r="AE213" i="6"/>
  <c r="AG213" i="6"/>
  <c r="B214" i="6"/>
  <c r="C214" i="6"/>
  <c r="D214" i="6"/>
  <c r="E214" i="6"/>
  <c r="F214" i="6"/>
  <c r="G214" i="6"/>
  <c r="H214" i="6"/>
  <c r="I214" i="6"/>
  <c r="J214" i="6"/>
  <c r="K214" i="6"/>
  <c r="Q214" i="6"/>
  <c r="S214" i="6"/>
  <c r="U214" i="6"/>
  <c r="W214" i="6"/>
  <c r="Y214" i="6"/>
  <c r="AA214" i="6"/>
  <c r="AC214" i="6"/>
  <c r="AD214" i="6"/>
  <c r="AE214" i="6"/>
  <c r="AG214" i="6"/>
  <c r="AD5" i="1"/>
  <c r="W6" i="1"/>
  <c r="W9" i="1"/>
  <c r="W10" i="1"/>
  <c r="W11" i="1"/>
  <c r="W21" i="1"/>
  <c r="C24" i="1"/>
  <c r="W24" i="1"/>
  <c r="C25" i="1"/>
  <c r="W25" i="1"/>
  <c r="C26" i="1"/>
  <c r="W26" i="1"/>
  <c r="C27" i="1"/>
  <c r="W27" i="1"/>
  <c r="C28" i="1"/>
  <c r="C29" i="1"/>
  <c r="W29" i="1"/>
  <c r="C30" i="1"/>
  <c r="W31" i="1"/>
  <c r="W32" i="1"/>
  <c r="W36" i="1"/>
  <c r="AD37" i="1"/>
  <c r="AD38" i="1"/>
  <c r="M39" i="1"/>
  <c r="AD39" i="1"/>
  <c r="M40" i="1"/>
  <c r="AD40" i="1"/>
  <c r="M41" i="1"/>
  <c r="W41" i="1"/>
  <c r="M42" i="1"/>
  <c r="W42" i="1"/>
  <c r="C43" i="1"/>
  <c r="D43" i="1"/>
  <c r="C45" i="1"/>
  <c r="D45" i="1"/>
  <c r="C47" i="1"/>
  <c r="D47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D60" i="1"/>
  <c r="E60" i="1"/>
  <c r="D62" i="1"/>
  <c r="E62" i="1"/>
  <c r="D63" i="1"/>
  <c r="E63" i="1"/>
  <c r="D64" i="1"/>
  <c r="E64" i="1"/>
  <c r="E65" i="1"/>
  <c r="D66" i="1"/>
  <c r="E66" i="1"/>
  <c r="AA66" i="1"/>
  <c r="E67" i="1"/>
  <c r="AA67" i="1"/>
  <c r="D69" i="1"/>
  <c r="E69" i="1"/>
  <c r="D70" i="1"/>
  <c r="E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D71" i="1"/>
  <c r="E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D72" i="1"/>
  <c r="E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A73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C75" i="1"/>
  <c r="D75" i="1"/>
  <c r="E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D76" i="1"/>
  <c r="E76" i="1"/>
  <c r="D77" i="1"/>
  <c r="E77" i="1"/>
  <c r="E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E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D80" i="1"/>
  <c r="E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D81" i="1"/>
  <c r="E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D82" i="1"/>
  <c r="E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D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D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D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D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D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D94" i="1"/>
  <c r="I94" i="1"/>
  <c r="J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J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D97" i="1"/>
  <c r="D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D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D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D101" i="1"/>
  <c r="H102" i="1"/>
  <c r="H103" i="1"/>
  <c r="H104" i="1"/>
  <c r="D116" i="1"/>
  <c r="E116" i="1"/>
  <c r="D117" i="1"/>
  <c r="E117" i="1"/>
  <c r="D118" i="1"/>
  <c r="E118" i="1"/>
  <c r="D121" i="1"/>
  <c r="D123" i="1"/>
  <c r="D124" i="1"/>
  <c r="D125" i="1"/>
  <c r="D126" i="1"/>
  <c r="D127" i="1"/>
  <c r="D130" i="1"/>
  <c r="D131" i="1"/>
  <c r="D132" i="1"/>
  <c r="D133" i="1"/>
  <c r="D134" i="1"/>
  <c r="D135" i="1"/>
  <c r="H135" i="1"/>
  <c r="I135" i="1"/>
  <c r="J135" i="1"/>
  <c r="D136" i="1"/>
  <c r="H136" i="1"/>
  <c r="I136" i="1"/>
  <c r="J136" i="1"/>
  <c r="D137" i="1"/>
  <c r="H138" i="1"/>
  <c r="I138" i="1"/>
  <c r="J138" i="1"/>
  <c r="C7" i="2"/>
  <c r="C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Cazalis</author>
    <author>admin</author>
  </authors>
  <commentList>
    <comment ref="C43" authorId="0" shapeId="0" xr:uid="{5DD00B90-6933-B14E-BCFC-69126C1D826D}">
      <text>
        <r>
          <rPr>
            <b/>
            <sz val="10"/>
            <color rgb="FF000000"/>
            <rFont val="Tahoma"/>
            <family val="2"/>
          </rPr>
          <t>Nicolas Cazalis:</t>
        </r>
        <r>
          <rPr>
            <sz val="10"/>
            <color rgb="FF000000"/>
            <rFont val="Tahoma"/>
            <family val="2"/>
          </rPr>
          <t xml:space="preserve">
Bond issuer fees</t>
        </r>
      </text>
    </comment>
    <comment ref="C44" authorId="0" shapeId="0" xr:uid="{F8CDE433-BC91-CC4F-93FF-C4577FCC492C}">
      <text>
        <r>
          <rPr>
            <b/>
            <sz val="10"/>
            <color rgb="FF000000"/>
            <rFont val="Tahoma"/>
            <family val="2"/>
          </rPr>
          <t>Nicolas Cazalis:</t>
        </r>
        <r>
          <rPr>
            <sz val="10"/>
            <color rgb="FF000000"/>
            <rFont val="Tahoma"/>
            <family val="2"/>
          </rPr>
          <t xml:space="preserve">
Application and financial consultant, market study, CPA certs, CDLAC app fees, owner counsel</t>
        </r>
      </text>
    </comment>
    <comment ref="C45" authorId="0" shapeId="0" xr:uid="{71B5CF84-14CB-E647-AC16-9FF214CD2F1A}">
      <text>
        <r>
          <rPr>
            <b/>
            <sz val="10"/>
            <color rgb="FF000000"/>
            <rFont val="Tahoma"/>
            <family val="2"/>
          </rPr>
          <t>Nicolas Cazalis: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Deposits after award</t>
        </r>
      </text>
    </comment>
    <comment ref="C51" authorId="0" shapeId="0" xr:uid="{15B9D7BC-E5E6-B64A-9CFC-E5F17C3DFFD5}">
      <text>
        <r>
          <rPr>
            <b/>
            <sz val="10"/>
            <color rgb="FF000000"/>
            <rFont val="Tahoma"/>
            <family val="2"/>
          </rPr>
          <t>Nicolas Cazalis:</t>
        </r>
        <r>
          <rPr>
            <sz val="10"/>
            <color rgb="FF000000"/>
            <rFont val="Tahoma"/>
            <family val="2"/>
          </rPr>
          <t xml:space="preserve">
Perm lender and bond counsel, origination, agency fees, title</t>
        </r>
      </text>
    </comment>
    <comment ref="C53" authorId="1" shapeId="0" xr:uid="{9CDC2531-1AAF-4592-B48A-C9D8879BB334}">
      <text>
        <r>
          <rPr>
            <b/>
            <sz val="9"/>
            <color rgb="FF000000"/>
            <rFont val="Tahoma"/>
            <family val="2"/>
          </rPr>
          <t>admin: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Construction loan interest expense after completion is not counted in elegible basis</t>
        </r>
      </text>
    </comment>
    <comment ref="C54" authorId="0" shapeId="0" xr:uid="{54F66216-9337-A642-988A-74EC45032E1D}">
      <text>
        <r>
          <rPr>
            <b/>
            <sz val="10"/>
            <color rgb="FF000000"/>
            <rFont val="Tahoma"/>
            <family val="2"/>
          </rPr>
          <t>Nicolas Cazalis: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Construction lender legal, appraisal, enviro, title, inspections, origination fee</t>
        </r>
      </text>
    </comment>
    <comment ref="D66" authorId="1" shapeId="0" xr:uid="{3E95F6F9-DD56-48EA-A248-7E5C476DF526}">
      <text>
        <r>
          <rPr>
            <b/>
            <sz val="9"/>
            <color rgb="FF000000"/>
            <rFont val="Tahoma"/>
            <family val="2"/>
          </rPr>
          <t>admin: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If negative, SoLa gets reimbursed for its land/SC contribution or gets paid out for the sale of land</t>
        </r>
      </text>
    </comment>
    <comment ref="H94" authorId="1" shapeId="0" xr:uid="{05F34F33-7069-41BE-9B78-2C8F9FF59517}">
      <text>
        <r>
          <rPr>
            <b/>
            <sz val="9"/>
            <color rgb="FF000000"/>
            <rFont val="Tahoma"/>
            <family val="2"/>
          </rPr>
          <t>admin: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Deposit, DD, soft costs needed to entitle</t>
        </r>
      </text>
    </comment>
    <comment ref="B97" authorId="1" shapeId="0" xr:uid="{26F5C502-1ABA-4561-B9AE-BA8117850A72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Must not be more than $2.5m</t>
        </r>
      </text>
    </comment>
    <comment ref="J129" authorId="0" shapeId="0" xr:uid="{8F85AA68-83C3-480C-A9A4-D56D16C8EE0B}">
      <text>
        <r>
          <rPr>
            <b/>
            <sz val="9"/>
            <color indexed="81"/>
            <rFont val="Tahoma"/>
            <family val="2"/>
          </rPr>
          <t>Nicolas Cazalis:</t>
        </r>
        <r>
          <rPr>
            <sz val="9"/>
            <color indexed="81"/>
            <rFont val="Tahoma"/>
            <family val="2"/>
          </rPr>
          <t xml:space="preserve">
insert scep fee here if LA, 67.94/unit/year</t>
        </r>
      </text>
    </comment>
    <comment ref="J134" authorId="0" shapeId="0" xr:uid="{8943765C-71E0-48BB-BAE9-9AD4F2667468}">
      <text>
        <r>
          <rPr>
            <b/>
            <sz val="9"/>
            <color indexed="81"/>
            <rFont val="Tahoma"/>
            <family val="2"/>
          </rPr>
          <t>Nicolas Cazalis:</t>
        </r>
        <r>
          <rPr>
            <sz val="9"/>
            <color indexed="81"/>
            <rFont val="Tahoma"/>
            <family val="2"/>
          </rPr>
          <t xml:space="preserve">
$173/unit/year if City of LA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50" authorId="0" shapeId="0" xr:uid="{14D82666-1630-4493-8140-AB9203434EED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<sst xmlns="http://schemas.openxmlformats.org/spreadsheetml/2006/main" count="5381" uniqueCount="790">
  <si>
    <t>Uses</t>
  </si>
  <si>
    <t>Acquisition Costs</t>
  </si>
  <si>
    <t>Hard Costs</t>
  </si>
  <si>
    <t>Due Diligence</t>
  </si>
  <si>
    <t>Consultants</t>
  </si>
  <si>
    <t>Muni Fees</t>
  </si>
  <si>
    <t>Misc &amp; Carrying Costs</t>
  </si>
  <si>
    <t>Property Taxes</t>
  </si>
  <si>
    <t>Developer Fee</t>
  </si>
  <si>
    <t>Hard Cost Contingency</t>
  </si>
  <si>
    <t>Soft Cost Contingency</t>
  </si>
  <si>
    <t>Total</t>
  </si>
  <si>
    <t>Per Unit</t>
  </si>
  <si>
    <t>Budget</t>
  </si>
  <si>
    <t>Pro Forma</t>
  </si>
  <si>
    <t>Sources - Construction</t>
  </si>
  <si>
    <t>Base Rent</t>
  </si>
  <si>
    <t>Units</t>
  </si>
  <si>
    <t>Operating Expense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</si>
  <si>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</si>
  <si>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</si>
  <si>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</si>
  <si>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</si>
  <si>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</si>
  <si>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</si>
  <si>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</si>
  <si>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</si>
  <si>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</si>
  <si>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</si>
  <si>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Year 11</t>
  </si>
  <si>
    <t>Year 12</t>
  </si>
  <si>
    <t>Year 13</t>
  </si>
  <si>
    <t>Year 14</t>
  </si>
  <si>
    <t>Year 15</t>
  </si>
  <si>
    <t>NOI</t>
  </si>
  <si>
    <t>Tax Exempt Construction Loan</t>
  </si>
  <si>
    <t>Taxable Construction Loan</t>
  </si>
  <si>
    <t>Developer Equity/Loan</t>
  </si>
  <si>
    <t>Tax Credit Equity</t>
  </si>
  <si>
    <t>Deferred Dev. Fee</t>
  </si>
  <si>
    <t>Sources - Permanent</t>
  </si>
  <si>
    <t>Permanent Loan</t>
  </si>
  <si>
    <t>Eligible Basis</t>
  </si>
  <si>
    <t>Vacancy</t>
  </si>
  <si>
    <t>Effective Gross Income</t>
  </si>
  <si>
    <t>Other Income</t>
  </si>
  <si>
    <t>Debt Service</t>
  </si>
  <si>
    <t>Operating Cash Flow</t>
  </si>
  <si>
    <t>Net Income</t>
  </si>
  <si>
    <t>LP AM Fee</t>
  </si>
  <si>
    <t>Admin GP Fee</t>
  </si>
  <si>
    <t>MGP Fee (Nonprofit)</t>
  </si>
  <si>
    <t>Operating Reserves</t>
  </si>
  <si>
    <t>Rate</t>
  </si>
  <si>
    <t>Amount</t>
  </si>
  <si>
    <t>Tax Credit</t>
  </si>
  <si>
    <t>High Cost Adjustment</t>
  </si>
  <si>
    <t>Tax Credit Factor</t>
  </si>
  <si>
    <t>1B</t>
  </si>
  <si>
    <t>AMI</t>
  </si>
  <si>
    <t>Rent</t>
  </si>
  <si>
    <t>Util Allow</t>
  </si>
  <si>
    <t>Rent Roll</t>
  </si>
  <si>
    <t xml:space="preserve">1B </t>
  </si>
  <si>
    <t>MGR</t>
  </si>
  <si>
    <t>EGI</t>
  </si>
  <si>
    <t>Rent Growth</t>
  </si>
  <si>
    <t>Sale Analysis</t>
  </si>
  <si>
    <t>Reversion NOI</t>
  </si>
  <si>
    <t>Cap Rate</t>
  </si>
  <si>
    <t>Value</t>
  </si>
  <si>
    <t>Closing Costs</t>
  </si>
  <si>
    <t>Net Value</t>
  </si>
  <si>
    <t>Remaining Balance</t>
  </si>
  <si>
    <t>Net Proceeds</t>
  </si>
  <si>
    <t>LP Split</t>
  </si>
  <si>
    <t>GP Split</t>
  </si>
  <si>
    <t>Capitalized Dev Fee</t>
  </si>
  <si>
    <t>Land/Soft Costs Contributed - Dev</t>
  </si>
  <si>
    <t>Applicable Percentage</t>
  </si>
  <si>
    <t>Developer Cash Contr. (Equity/Loan)</t>
  </si>
  <si>
    <t>Tiebreaker</t>
  </si>
  <si>
    <t>Public Benefit Numerator</t>
  </si>
  <si>
    <t>Denominator (estimate)</t>
  </si>
  <si>
    <t>A. Unit Production Benefit</t>
  </si>
  <si>
    <t>Adjusted Units</t>
  </si>
  <si>
    <t>Benefit Multiplier</t>
  </si>
  <si>
    <t>Unit Production Benefit</t>
  </si>
  <si>
    <t>B. Rent Savings Benefit</t>
  </si>
  <si>
    <t>FMR</t>
  </si>
  <si>
    <t>Average Rent</t>
  </si>
  <si>
    <t>Monthly Rent Savings</t>
  </si>
  <si>
    <t>Rent Savings Benefit</t>
  </si>
  <si>
    <t>C. Population Benefit</t>
  </si>
  <si>
    <t>ELI Households</t>
  </si>
  <si>
    <t>ELI Benefit</t>
  </si>
  <si>
    <t>D. Location Benefit  - Resource Area</t>
  </si>
  <si>
    <t>Project meets the CDLAC new construction definition</t>
  </si>
  <si>
    <t>Yes</t>
  </si>
  <si>
    <t>Project is Large Family housing type</t>
  </si>
  <si>
    <t>No</t>
  </si>
  <si>
    <t>Project is Permanent Supportive Housing</t>
  </si>
  <si>
    <t>Opportunity Area Designation</t>
  </si>
  <si>
    <t>Project is located in a neighborhood experiencing neighborhood change*</t>
  </si>
  <si>
    <t>Bedroom-Adjusted Low Income Units</t>
  </si>
  <si>
    <t>Resource Area Benefit</t>
  </si>
  <si>
    <t>D. Location Benefit  - Transit/Walkability</t>
  </si>
  <si>
    <t>Transit Site Amenity Points</t>
  </si>
  <si>
    <t>Bedroom-Adjusted Low-Income Units</t>
  </si>
  <si>
    <t>Transit Benefit</t>
  </si>
  <si>
    <t>Walkable Amenity Count</t>
  </si>
  <si>
    <t>Walkability Benefit</t>
  </si>
  <si>
    <t>Project has:</t>
  </si>
  <si>
    <t>an award of HCD TOD funding</t>
  </si>
  <si>
    <t>an award of HCD AHSC funding</t>
  </si>
  <si>
    <t>a transit stop within ¼ mile with service every 30 min</t>
  </si>
  <si>
    <t>a transit stop within ½ mile with service every 15 min</t>
  </si>
  <si>
    <t>Mass Transit Benefit</t>
  </si>
  <si>
    <t>Transit/Walkability Benefit</t>
  </si>
  <si>
    <t>Total Public Benefit Numerator</t>
  </si>
  <si>
    <t>Denominator</t>
  </si>
  <si>
    <t>Statewide Basis Delta</t>
  </si>
  <si>
    <t>Statewide Median Basis Limit</t>
  </si>
  <si>
    <t>25% of Statewide Basis Delta</t>
  </si>
  <si>
    <t>Construction Type Adjustment</t>
  </si>
  <si>
    <t>Type III</t>
  </si>
  <si>
    <t>Return Summary</t>
  </si>
  <si>
    <t>GP MOIC</t>
  </si>
  <si>
    <t>GP Net Profit</t>
  </si>
  <si>
    <t>GP IRR (15-yr)</t>
  </si>
  <si>
    <t>LIHTC &amp; Legal Consulting</t>
  </si>
  <si>
    <t>Stabilized Value</t>
  </si>
  <si>
    <t>Stabilized Operations</t>
  </si>
  <si>
    <t>Tiebreak Score</t>
  </si>
  <si>
    <t>Deferred Dev Fee</t>
  </si>
  <si>
    <t>Beginning Balance</t>
  </si>
  <si>
    <t>Payment</t>
  </si>
  <si>
    <t>Ending Balance</t>
  </si>
  <si>
    <t>Developer Cash Flow</t>
  </si>
  <si>
    <t>Fund Cash Flow</t>
  </si>
  <si>
    <t>Fund IRR</t>
  </si>
  <si>
    <t>Depreciable Basis + Acq</t>
  </si>
  <si>
    <t>Bond Test Limit</t>
  </si>
  <si>
    <t>Ground Lessor</t>
  </si>
  <si>
    <t>Remaining CF</t>
  </si>
  <si>
    <t xml:space="preserve"> </t>
  </si>
  <si>
    <t>Ground Lease Pmt</t>
  </si>
  <si>
    <t>Adjusted NOI</t>
  </si>
  <si>
    <t>Ground Lease Underwriting</t>
  </si>
  <si>
    <t>Land Lease Reserve</t>
  </si>
  <si>
    <t>Land Costs</t>
  </si>
  <si>
    <t>Surplus Proceeds</t>
  </si>
  <si>
    <t>Lease Rate</t>
  </si>
  <si>
    <t>30Y Treasury</t>
  </si>
  <si>
    <t>Escalation</t>
  </si>
  <si>
    <t>Starting Lease</t>
  </si>
  <si>
    <t>Ground Lease Payment</t>
  </si>
  <si>
    <t>0B</t>
  </si>
  <si>
    <t>2B</t>
  </si>
  <si>
    <t>Acres</t>
  </si>
  <si>
    <t>DU/Ac</t>
  </si>
  <si>
    <t>SF</t>
  </si>
  <si>
    <t>Total Cash Flow</t>
  </si>
  <si>
    <t>Total IRR</t>
  </si>
  <si>
    <t>Perm Loan Costs</t>
  </si>
  <si>
    <t>Constr Loan Closing Costs</t>
  </si>
  <si>
    <t>Project Name</t>
  </si>
  <si>
    <t>B-Bond</t>
  </si>
  <si>
    <t>B-Bond Assumptions</t>
  </si>
  <si>
    <t>Interest Rate</t>
  </si>
  <si>
    <t>DSCR</t>
  </si>
  <si>
    <t>Cash Flow Sweep</t>
  </si>
  <si>
    <t>B-Bond Interest</t>
  </si>
  <si>
    <t>Proceeds</t>
  </si>
  <si>
    <t>Residual NOI</t>
  </si>
  <si>
    <t>Accrual</t>
  </si>
  <si>
    <t>On/Off</t>
  </si>
  <si>
    <t>Gap before Dev Equity/Deferrals</t>
  </si>
  <si>
    <t>Base Deferred Dev Fee</t>
  </si>
  <si>
    <t>Excess Funding Adjustment</t>
  </si>
  <si>
    <t>Dev Fee Helper Calcs</t>
  </si>
  <si>
    <t>Developer Fees</t>
  </si>
  <si>
    <t>Acq Deposit</t>
  </si>
  <si>
    <t>Architect</t>
  </si>
  <si>
    <t>Due Diligence Reports</t>
  </si>
  <si>
    <t>CDLAC App Costs</t>
  </si>
  <si>
    <t>Startup Costs (At Risk)</t>
  </si>
  <si>
    <t>Equity Required</t>
  </si>
  <si>
    <t>Residual need before Dev/Deferred (permanent)</t>
  </si>
  <si>
    <t>Developer cash cap at permanent</t>
  </si>
  <si>
    <t>Developer Equity/Loan (residual, capped)</t>
  </si>
  <si>
    <t>Permanent Deferred Dev. Fee (bounded by construction DDF &amp; residual)</t>
  </si>
  <si>
    <t>Dev Fee Calc</t>
  </si>
  <si>
    <t>15% of unadjusted eligible basis</t>
  </si>
  <si>
    <t>5% of unadjusted eligible acq basis</t>
  </si>
  <si>
    <t>Unadjusted Eligible basis &gt;6,666,667</t>
  </si>
  <si>
    <t>5% of above</t>
  </si>
  <si>
    <t>Plus $1m</t>
  </si>
  <si>
    <t>Maximum Capitalized Dev Fee</t>
  </si>
  <si>
    <t>Max of 2,500,000</t>
  </si>
  <si>
    <t>HUD FMR</t>
  </si>
  <si>
    <t>Start Month (date)</t>
  </si>
  <si>
    <t>Developer Cash Cap</t>
  </si>
  <si>
    <t>Tax Credit Equity Cap</t>
  </si>
  <si>
    <t>Curve Mode (Manual/S-curve)</t>
  </si>
  <si>
    <t>S-curve</t>
  </si>
  <si>
    <t>Ground Lessor Cap</t>
  </si>
  <si>
    <t>S-curve steepness k</t>
  </si>
  <si>
    <t>Dev Fee pattern early/mid/late %</t>
  </si>
  <si>
    <t>25% / 25% / 50%</t>
  </si>
  <si>
    <t>% of Tax Credit Equity during construction</t>
  </si>
  <si>
    <t>Deferred Dev Fee Cap (Construction)</t>
  </si>
  <si>
    <t>Rates</t>
  </si>
  <si>
    <t>TE monthly rate</t>
  </si>
  <si>
    <t>Taxable monthly rate</t>
  </si>
  <si>
    <t>B-Bond monthly rate</t>
  </si>
  <si>
    <t>Month #</t>
  </si>
  <si>
    <t>% Manual</t>
  </si>
  <si>
    <t>% S-curve (logistic diff)</t>
  </si>
  <si>
    <t>% Used (normalized)</t>
  </si>
  <si>
    <t>Monthly Spending by Category (side-by-side)</t>
  </si>
  <si>
    <t>Consultants/Muni/Due/LIHTC/Closing</t>
  </si>
  <si>
    <t>Property Taxes &amp; Misc/Carrying</t>
  </si>
  <si>
    <t>Contingency</t>
  </si>
  <si>
    <t>Total Uses</t>
  </si>
  <si>
    <t>Monthly Waterfall of Sources &amp; Interest (DevCash → TaxEq → Ground → TE → Taxable → B-Bond → Deferred)</t>
  </si>
  <si>
    <t>Mo</t>
  </si>
  <si>
    <t>DevCash Beg</t>
  </si>
  <si>
    <t>DevCash Draw</t>
  </si>
  <si>
    <t>DevCash End</t>
  </si>
  <si>
    <t>TaxEq Beg</t>
  </si>
  <si>
    <t>TaxEq Draw</t>
  </si>
  <si>
    <t>TaxEq End</t>
  </si>
  <si>
    <t>Ground Beg</t>
  </si>
  <si>
    <t>Ground Draw</t>
  </si>
  <si>
    <t>Ground End</t>
  </si>
  <si>
    <t>TE Beg</t>
  </si>
  <si>
    <t>TE Draw</t>
  </si>
  <si>
    <t>TE Int</t>
  </si>
  <si>
    <t>TE End</t>
  </si>
  <si>
    <t>Tax Beg</t>
  </si>
  <si>
    <t>Tax Draw</t>
  </si>
  <si>
    <t>Tax Int</t>
  </si>
  <si>
    <t>Tax End</t>
  </si>
  <si>
    <t>B Beg</t>
  </si>
  <si>
    <t>B Draw</t>
  </si>
  <si>
    <t>B Int</t>
  </si>
  <si>
    <t>B End</t>
  </si>
  <si>
    <t>DefDF Beg</t>
  </si>
  <si>
    <t>DefDF Draw</t>
  </si>
  <si>
    <t>DefDF End</t>
  </si>
  <si>
    <t>Total Beg</t>
  </si>
  <si>
    <t>Total Int</t>
  </si>
  <si>
    <t>Total End</t>
  </si>
  <si>
    <t>Costs Deferred to Conversion</t>
  </si>
  <si>
    <t>Tax Exempt Interest</t>
  </si>
  <si>
    <t>Taxable Interest</t>
  </si>
  <si>
    <t>Tax-Exempt Loan less IR</t>
  </si>
  <si>
    <t>B-Bond Loan less IR</t>
  </si>
  <si>
    <t>Taxable Loan less IR</t>
  </si>
  <si>
    <t>Check</t>
  </si>
  <si>
    <t>Sum of draws</t>
  </si>
  <si>
    <t>Sum of uses</t>
  </si>
  <si>
    <t>Unlevered Uses</t>
  </si>
  <si>
    <t>Unlevered Sources</t>
  </si>
  <si>
    <t>Delta</t>
  </si>
  <si>
    <t>Equity Close</t>
  </si>
  <si>
    <t>Deal Kickoff</t>
  </si>
  <si>
    <t>Total Duration (m)</t>
  </si>
  <si>
    <t>Conversion Time (m)</t>
  </si>
  <si>
    <t>Construction Time (m)</t>
  </si>
  <si>
    <t>Developer Fee Phase-In</t>
  </si>
  <si>
    <t>Close</t>
  </si>
  <si>
    <t>Construction</t>
  </si>
  <si>
    <t>Conversion</t>
  </si>
  <si>
    <t>Construction Phase Dev Fee</t>
  </si>
  <si>
    <t>Spent at Close</t>
  </si>
  <si>
    <t>Interest Expense</t>
  </si>
  <si>
    <t>Month</t>
  </si>
  <si>
    <t>Timeline</t>
  </si>
  <si>
    <t>Date</t>
  </si>
  <si>
    <t>Start Date</t>
  </si>
  <si>
    <t>Interest Expense by Period</t>
  </si>
  <si>
    <t>Before TCO</t>
  </si>
  <si>
    <t xml:space="preserve">After TCO </t>
  </si>
  <si>
    <t>Pre-TCO Interest</t>
  </si>
  <si>
    <t>Post-TCO Interest</t>
  </si>
  <si>
    <t>3B</t>
  </si>
  <si>
    <t>Mix</t>
  </si>
  <si>
    <t>Avg SF</t>
  </si>
  <si>
    <t>Land Cost/SF x DU/Ac</t>
  </si>
  <si>
    <t>100% AMI</t>
  </si>
  <si>
    <t>Unit Summary</t>
  </si>
  <si>
    <t>Construction Draw &amp; Interest Module</t>
  </si>
  <si>
    <t>Construction Spend Curve</t>
  </si>
  <si>
    <t>Land Lease Schedule</t>
  </si>
  <si>
    <t>%</t>
  </si>
  <si>
    <t>County</t>
  </si>
  <si>
    <t>CTCAC 100% AMI Rents</t>
  </si>
  <si>
    <t>CDLAC Region</t>
  </si>
  <si>
    <t>4B</t>
  </si>
  <si>
    <t>Alameda</t>
  </si>
  <si>
    <t>Bay Area Region</t>
  </si>
  <si>
    <t>Alpine</t>
  </si>
  <si>
    <t>None</t>
  </si>
  <si>
    <t>Amador</t>
  </si>
  <si>
    <t>Butte</t>
  </si>
  <si>
    <t>Northern Region</t>
  </si>
  <si>
    <t>Calaveras</t>
  </si>
  <si>
    <t>Colusa</t>
  </si>
  <si>
    <t>Contra Costa</t>
  </si>
  <si>
    <t>Del Norte</t>
  </si>
  <si>
    <t>El Dorado</t>
  </si>
  <si>
    <t>Fresno</t>
  </si>
  <si>
    <t>Inland Region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</si>
  <si>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</si>
  <si>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</si>
  <si>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</si>
  <si>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</si>
  <si>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</si>
  <si>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</si>
  <si>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</si>
  <si>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</si>
  <si>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</si>
  <si>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City of Los Angeles (if within city limits); Balance of Los Angeles County (if outside city limits)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</si>
  <si>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</si>
  <si>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</si>
  <si>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</si>
  <si>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</si>
  <si>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</si>
  <si>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</si>
  <si>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</si>
  <si>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</si>
  <si>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Coastal Region</t>
  </si>
  <si>
    <t>Napa</t>
  </si>
  <si>
    <t>Nevada</t>
  </si>
  <si>
    <t>Orange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</si>
  <si>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</si>
  <si>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</si>
  <si>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</si>
  <si>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</si>
  <si>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</si>
  <si>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</si>
  <si>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</si>
  <si>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</si>
  <si>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</si>
  <si>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</si>
  <si>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</si>
  <si>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</si>
  <si>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</si>
  <si>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Santa Cruz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</si>
  <si>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</si>
  <si>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</si>
  <si>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</si>
  <si>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</si>
  <si>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</si>
  <si>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</si>
  <si>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</si>
  <si>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</si>
  <si>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</si>
  <si>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</si>
  <si>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</si>
  <si>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</si>
  <si>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</si>
  <si>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</si>
  <si>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Operating Cost Minimum</t>
  </si>
  <si>
    <t>Total Operating Expense/Unit</t>
  </si>
  <si>
    <t>Unit Count</t>
  </si>
  <si>
    <t>Unit Mix begin</t>
  </si>
  <si>
    <t>Unit Mix end</t>
  </si>
  <si>
    <t>Unit mix</t>
  </si>
  <si>
    <t>Costs Deferred:Conversion</t>
  </si>
  <si>
    <t>Equity:Project</t>
  </si>
  <si>
    <t>Land costs</t>
  </si>
  <si>
    <t>0B Rent roll units begin</t>
  </si>
  <si>
    <t>0B Rent roll units end</t>
  </si>
  <si>
    <t>1B Rent roll units</t>
  </si>
  <si>
    <t>0B Rent roll units</t>
  </si>
  <si>
    <t>1B Rent roll units begin</t>
  </si>
  <si>
    <t>1B Rent roll units end</t>
  </si>
  <si>
    <t>2B Rent roll units begin</t>
  </si>
  <si>
    <t>2B Rent roll units end</t>
  </si>
  <si>
    <t>2B Rent roll units</t>
  </si>
  <si>
    <t>manager's unit</t>
  </si>
  <si>
    <t>0B utility allowance begin</t>
  </si>
  <si>
    <t>0B utility allowance end</t>
  </si>
  <si>
    <t>0B utility allowance</t>
  </si>
  <si>
    <t>1B utility allowance begin</t>
  </si>
  <si>
    <t>1B utility allowance end</t>
  </si>
  <si>
    <t>1B utility allowance</t>
  </si>
  <si>
    <t>2B utility allowance begin</t>
  </si>
  <si>
    <t>2B utility allowance end</t>
  </si>
  <si>
    <t>2B utility allowance</t>
  </si>
  <si>
    <t>manager's utility allowance</t>
  </si>
  <si>
    <t>Total Construction Sources</t>
  </si>
  <si>
    <t>Total Permanent Sources</t>
  </si>
  <si>
    <t>Total Developer Fee</t>
  </si>
  <si>
    <t>Total Startup Costs</t>
  </si>
  <si>
    <t>Pro_Forma</t>
  </si>
  <si>
    <t>Prevailing Wage Adjustment</t>
  </si>
  <si>
    <t>Total Affordable Units</t>
  </si>
  <si>
    <t>3B utility allowance begin</t>
  </si>
  <si>
    <t>3B utility allowance end</t>
  </si>
  <si>
    <t>3B utility allowance</t>
  </si>
  <si>
    <t>3B Rent roll units begin</t>
  </si>
  <si>
    <t>3B Rent roll units end</t>
  </si>
  <si>
    <t>3B Rent roll units</t>
  </si>
  <si>
    <t>y=178.5x+103967</t>
  </si>
  <si>
    <t>y=157.72x+112970</t>
  </si>
  <si>
    <t>NRSF</t>
  </si>
  <si>
    <t>FAR</t>
  </si>
  <si>
    <t>PHA</t>
  </si>
  <si>
    <t>Jurisdiction/City</t>
  </si>
  <si>
    <t>Effective Date</t>
  </si>
  <si>
    <t>Unit Type</t>
  </si>
  <si>
    <t>Unit Type (Standardized)</t>
  </si>
  <si>
    <t>Utility</t>
  </si>
  <si>
    <t>Fuel/Notes</t>
  </si>
  <si>
    <t>Utility_Full</t>
  </si>
  <si>
    <t>0BR</t>
  </si>
  <si>
    <t>1BR</t>
  </si>
  <si>
    <t>2BR</t>
  </si>
  <si>
    <t>3BR</t>
  </si>
  <si>
    <t>4BR</t>
  </si>
  <si>
    <t>5BR</t>
  </si>
  <si>
    <t>6BR</t>
  </si>
  <si>
    <t>7BR</t>
  </si>
  <si>
    <t>Source URL</t>
  </si>
  <si>
    <t>Status</t>
  </si>
  <si>
    <t>Housing Authority of the City of Los Angeles (HACLA)</t>
  </si>
  <si>
    <t>2024-12-01</t>
  </si>
  <si>
    <t>Multifamily</t>
  </si>
  <si>
    <t>Air Conditioning</t>
  </si>
  <si>
    <t>Electric</t>
  </si>
  <si>
    <t>Air Conditioning - Electric</t>
  </si>
  <si>
    <t>HACLA UA table (user screenshot, Dec 1 2024)</t>
  </si>
  <si>
    <t>Populated</t>
  </si>
  <si>
    <t>Evaporative Cooler</t>
  </si>
  <si>
    <t>Air Conditioning - Evaporative Cooler</t>
  </si>
  <si>
    <t>https://hacla.org/sites/default/files/Section%208/Utility%20Allowances/Utility%20Allowance%20Effective%202024-12-01.pdf</t>
  </si>
  <si>
    <t>Pending / Zero-fill</t>
  </si>
  <si>
    <t>Cooking</t>
  </si>
  <si>
    <t>Cooking - Electric</t>
  </si>
  <si>
    <t>Natural Gas</t>
  </si>
  <si>
    <t>Cooking - Natural Gas</t>
  </si>
  <si>
    <t>Dishwasher</t>
  </si>
  <si>
    <t>Allowance</t>
  </si>
  <si>
    <t>Dishwasher - Allowance</t>
  </si>
  <si>
    <t>Dryer</t>
  </si>
  <si>
    <t>Dryer - Allowance</t>
  </si>
  <si>
    <t>Freezer</t>
  </si>
  <si>
    <t>Freezer - Allowance</t>
  </si>
  <si>
    <t>Other - Specify</t>
  </si>
  <si>
    <t>Lifeline / Baseline Credit</t>
  </si>
  <si>
    <t>Other - Specify - Lifeline / Baseline Credit</t>
  </si>
  <si>
    <t>Solar/PV Credit</t>
  </si>
  <si>
    <t>Other - Specify - Solar/PV Credit</t>
  </si>
  <si>
    <t>Utility Customer Charge / Fee</t>
  </si>
  <si>
    <t>Other - Specify - Utility Customer Charge / Fee</t>
  </si>
  <si>
    <t>Other Electric</t>
  </si>
  <si>
    <t>Electric (Lights/Plugs)</t>
  </si>
  <si>
    <t>Other Electric - Electric (Lights/Plugs)</t>
  </si>
  <si>
    <t>Range/Microwave</t>
  </si>
  <si>
    <t>Range/Microwave - Allowance</t>
  </si>
  <si>
    <t>Refrigerator</t>
  </si>
  <si>
    <t>Refrigerator - Allowance</t>
  </si>
  <si>
    <t>Sewer</t>
  </si>
  <si>
    <t>—</t>
  </si>
  <si>
    <t>Space Heating</t>
  </si>
  <si>
    <t>Space Heating - Electric</t>
  </si>
  <si>
    <t>Electric - Heat Pump</t>
  </si>
  <si>
    <t>Space Heating - Electric - Heat Pump</t>
  </si>
  <si>
    <t>Space Heating - Natural Gas</t>
  </si>
  <si>
    <t>Oil/Propane</t>
  </si>
  <si>
    <t>Space Heating - Oil/Propane</t>
  </si>
  <si>
    <t>Other/Specify</t>
  </si>
  <si>
    <t>Space Heating - Other/Specify</t>
  </si>
  <si>
    <t>Trash Collection</t>
  </si>
  <si>
    <t>Washer</t>
  </si>
  <si>
    <t>Washer - Allowance</t>
  </si>
  <si>
    <t>Water</t>
  </si>
  <si>
    <t>Water Heating</t>
  </si>
  <si>
    <t>Water Heating - Electric</t>
  </si>
  <si>
    <t>Water Heating - Natural Gas</t>
  </si>
  <si>
    <t>Water Heating - Oil/Propane</t>
  </si>
  <si>
    <t>Single-Family Detached</t>
  </si>
  <si>
    <t>Single-Family</t>
  </si>
  <si>
    <t>Housing Authority of the County of San Diego (HACSD)</t>
  </si>
  <si>
    <t>San Diego County</t>
  </si>
  <si>
    <t>2025-03-01</t>
  </si>
  <si>
    <t>Other</t>
  </si>
  <si>
    <t>https://www.sandiegocounty.gov/content/dam/sdc/sdhcd/new-docs/Rental_assistance/Utility_Allowance_Schedule_HUD_52667_03-2025.pdf</t>
  </si>
  <si>
    <t>Los Angeles County Development Authority (LACDA)</t>
  </si>
  <si>
    <t>Los Angeles County</t>
  </si>
  <si>
    <t>2025-07-01</t>
  </si>
  <si>
    <t>Multi-Family</t>
  </si>
  <si>
    <t>Oakland Housing Authority (OHA)</t>
  </si>
  <si>
    <t>Oakland</t>
  </si>
  <si>
    <t>2025-09-01</t>
  </si>
  <si>
    <t>https://www.oakha.org/propertyowners/paymentstandards/</t>
  </si>
  <si>
    <t>OHA Section 8 Utility &amp; Appliance Allowances (effective 2025-09-01)</t>
  </si>
  <si>
    <t>SRO / Rooming</t>
  </si>
  <si>
    <t>SRO/Rooming</t>
  </si>
  <si>
    <t>OHA SRO Utility &amp; Appliance Allowances (effective 2025-09-01)</t>
  </si>
  <si>
    <t>Orange County Housing Authority (OCHA)</t>
  </si>
  <si>
    <t>Orange County</t>
  </si>
  <si>
    <t>2025-10-01</t>
  </si>
  <si>
    <t>https://www.ochousing.org/sites/ocha/files/2025-10/2026%20Utility%20Allowance%20Schedule%20-%20Public%20Use.pdf</t>
  </si>
  <si>
    <t>Sacramento Housing &amp; Redevelopment Agency (SHRA)</t>
  </si>
  <si>
    <t>Sacramento (City/County)</t>
  </si>
  <si>
    <t>2025-04-01</t>
  </si>
  <si>
    <t>Apartment Walk-Up</t>
  </si>
  <si>
    <t>https://www.shra.org/housing-choice-voucher-program/</t>
  </si>
  <si>
    <t>SHRA Energy Efficient Multi-Family (Apt/Townhouse/Duplex) — user screenshot, 2025-04-01</t>
  </si>
  <si>
    <t>San Diego Housing Commission (SDHC)</t>
  </si>
  <si>
    <t>https://sdhc.org/wp-content/uploads/2022/Utility-Allowance-Chart.pdf</t>
  </si>
  <si>
    <t>San Francisco Housing Authority (SFHA)</t>
  </si>
  <si>
    <t>2025-01-01</t>
  </si>
  <si>
    <t>Santa Clara County Housing Authority (SCCHA)</t>
  </si>
  <si>
    <t>Santa Clara County</t>
  </si>
  <si>
    <t>LACDA Utility Allowance Schedule (Std) — user high-res table, 2025-07-01</t>
  </si>
  <si>
    <t>Single-Family (All Electric)</t>
  </si>
  <si>
    <t>LACDA Utility Allowance Schedule (All Electric) — user high-res table, 2025-07-01</t>
  </si>
  <si>
    <t>Multi-Family (All Electric)</t>
  </si>
  <si>
    <t>Code Enforcement Program</t>
  </si>
  <si>
    <t>Other - Specify - Code Enforcement Program</t>
  </si>
  <si>
    <t>Rent Stabilization Fee</t>
  </si>
  <si>
    <t>Other - Specify - Rent Stabilization Fee</t>
  </si>
  <si>
    <t>Net RPSF</t>
  </si>
  <si>
    <t>Target Income Mix</t>
  </si>
  <si>
    <t>Utility Allowance</t>
  </si>
  <si>
    <t>NOI Coverage</t>
  </si>
  <si>
    <t>Derived Ground rent</t>
  </si>
  <si>
    <t>Architect &amp; Engineering</t>
  </si>
  <si>
    <t>Entitlement &amp; Permitting</t>
  </si>
  <si>
    <t>Housing Authority of the City of Santa Ana</t>
  </si>
  <si>
    <t>Santa Ana</t>
  </si>
  <si>
    <t>2024-10-01</t>
  </si>
  <si>
    <t>Santa Ana UA Schedules (effective 2024-10-01) – uploaded PDF</t>
  </si>
  <si>
    <t>Other - Specify - Utility Customer Charge / Fee (Gas)</t>
  </si>
  <si>
    <t>Housing Authority of the County of Riverside</t>
  </si>
  <si>
    <t>Riverside County</t>
  </si>
  <si>
    <t>Riverside EE Apt (MF) – UA chart 7/1/2025 – uploaded PDF</t>
  </si>
  <si>
    <t>Space Heating - Bottle Gas/Propane</t>
  </si>
  <si>
    <t>Cooking - Bottle Gas/Propane</t>
  </si>
  <si>
    <t>Other Electric - Electric (Lights/Plugs) - Non-SCE (avg)</t>
  </si>
  <si>
    <t>Other Electric - SCE (Monthly Credit)</t>
  </si>
  <si>
    <t>Water Heating - Bottle Gas/Propane</t>
  </si>
  <si>
    <t>Other - Specify - Electric Charge (Riverside PU) 45.21</t>
  </si>
  <si>
    <t>Other - Specify - Electric Charge (Non-SCE/Non-RevPU) 27.54</t>
  </si>
  <si>
    <t>Other - Specify - Natural Gas Monthly Charge 5.10</t>
  </si>
  <si>
    <t>Lowrise Apt (2–4 Units)</t>
  </si>
  <si>
    <t>SFHA UA 2025 – uploaded PDF</t>
  </si>
  <si>
    <t>Other - Specify - Natural Gas Monthly Customer Charge / Credit</t>
  </si>
  <si>
    <t>Detached Single-Family</t>
  </si>
  <si>
    <t>SCCHA 2026 UA Schedule (effective 10/01/2025) – uploaded worksheet</t>
  </si>
  <si>
    <t>Space Heating - LPG/Propane</t>
  </si>
  <si>
    <t>Cooking - LPG/Propane</t>
  </si>
  <si>
    <t>Water Heating - LPG/Propane</t>
  </si>
  <si>
    <t>Semi-Detached/Row/Townhouse (MF)</t>
  </si>
  <si>
    <t>Single Family Detached / Manufactured</t>
  </si>
  <si>
    <t>Old Multi-Family</t>
  </si>
  <si>
    <t>D. Location Benefit  - Community Revitalization Area</t>
  </si>
  <si>
    <t xml:space="preserve">Project is in Community Revitalization Area </t>
  </si>
  <si>
    <t>Community Revitalization Area Benefit</t>
  </si>
  <si>
    <t>CDLAC/CTCAC Deposits</t>
  </si>
  <si>
    <t>Modular Costs</t>
  </si>
  <si>
    <t>Lot SF/Acres</t>
  </si>
  <si>
    <t>Aff. Units</t>
  </si>
  <si>
    <t>Monthly Absorption</t>
  </si>
  <si>
    <t>Perm Delay</t>
  </si>
  <si>
    <t>Bond Issuance &amp; Legal</t>
  </si>
  <si>
    <t>LIHTC Consulting &amp; App</t>
  </si>
  <si>
    <t>CDLAC/TCAC Fees</t>
  </si>
  <si>
    <t>Soft Debt</t>
  </si>
  <si>
    <t>Max Out</t>
  </si>
  <si>
    <t>Fund Yield</t>
  </si>
  <si>
    <t>Total Yield</t>
  </si>
  <si>
    <t>Return on Cost</t>
  </si>
  <si>
    <t>Construction Cost Index</t>
  </si>
  <si>
    <t>Adjusted Threshold Basis Limit</t>
  </si>
  <si>
    <t>2-Bedroom Threshold Basis Limit</t>
  </si>
  <si>
    <t>Spent to Date</t>
  </si>
  <si>
    <t>Total Profit + Fees</t>
  </si>
  <si>
    <t>Podium Levels</t>
  </si>
  <si>
    <t>Award</t>
  </si>
  <si>
    <t>Costs to obtain Award</t>
  </si>
  <si>
    <t>Subtotal</t>
  </si>
  <si>
    <t>Working Capital Uses</t>
  </si>
  <si>
    <t>Total Working Capital Uses</t>
  </si>
  <si>
    <t>Post-Award Costs</t>
  </si>
  <si>
    <t>Application Costs</t>
  </si>
  <si>
    <t>Financial Consulting</t>
  </si>
  <si>
    <t>QCT/DDA</t>
  </si>
  <si>
    <t>QCT</t>
  </si>
  <si>
    <t>Award to Close</t>
  </si>
  <si>
    <t>Start to Award</t>
  </si>
  <si>
    <t>Interest</t>
  </si>
  <si>
    <t>Land Lease Reserve by Period</t>
  </si>
  <si>
    <t>Deferred Developer Fee</t>
  </si>
  <si>
    <t>Resource Area</t>
  </si>
  <si>
    <t>CRA</t>
  </si>
  <si>
    <t>Neighborhood Change Area</t>
  </si>
  <si>
    <t>Low</t>
  </si>
  <si>
    <t>Construction Type</t>
  </si>
  <si>
    <t>Prevailing Wage</t>
  </si>
  <si>
    <t>Modular</t>
  </si>
  <si>
    <t>On-site PNRSF</t>
  </si>
  <si>
    <t>Sponsor Funds Needed</t>
  </si>
  <si>
    <t>Amortization</t>
  </si>
  <si>
    <t>Expense Growth</t>
  </si>
  <si>
    <t>Federal</t>
  </si>
  <si>
    <t>State</t>
  </si>
  <si>
    <t>Maximum Credits</t>
  </si>
  <si>
    <t>State Credit Ask</t>
  </si>
  <si>
    <t>State Tax Credit Equity</t>
  </si>
  <si>
    <t>Total Tax Credit Equity</t>
  </si>
  <si>
    <t>Federal Tax Credit Equity</t>
  </si>
  <si>
    <t>Tax Credits</t>
  </si>
  <si>
    <t>Adjusted Eligible Basis</t>
  </si>
  <si>
    <t>Average Rent Calc</t>
  </si>
  <si>
    <t>Summary - Low-Income Units</t>
  </si>
  <si>
    <t>Summary - All Units</t>
  </si>
  <si>
    <t>Perm Loan/B-Bond Costs</t>
  </si>
  <si>
    <t>At Close</t>
  </si>
  <si>
    <t>At Stabilization</t>
  </si>
  <si>
    <t>BIPOC?</t>
  </si>
  <si>
    <t>Marketing</t>
  </si>
  <si>
    <t>Insurance</t>
  </si>
  <si>
    <t>FF&amp;E</t>
  </si>
  <si>
    <t>Podium Cost PSF</t>
  </si>
  <si>
    <t>Net Sale Proceeds</t>
  </si>
  <si>
    <t>Residual Cash Flow</t>
  </si>
  <si>
    <t>Residential Stories</t>
  </si>
  <si>
    <t>Type IIb</t>
  </si>
  <si>
    <t>Type Ib</t>
  </si>
  <si>
    <t>Site Assumptions</t>
  </si>
  <si>
    <t>Project Assumptions</t>
  </si>
  <si>
    <t>Scenario 1</t>
  </si>
  <si>
    <t>Scenario 2</t>
  </si>
  <si>
    <t>Scenario 3</t>
  </si>
  <si>
    <t>Scenario 4</t>
  </si>
  <si>
    <t>Scenario 5</t>
  </si>
  <si>
    <t>Unit Mix</t>
  </si>
  <si>
    <t>Income Mix</t>
  </si>
  <si>
    <t>Costs</t>
  </si>
  <si>
    <t>Construction Loan</t>
  </si>
  <si>
    <t>Equity</t>
  </si>
  <si>
    <t>Federal Pricing</t>
  </si>
  <si>
    <t>State Pricing</t>
  </si>
  <si>
    <t>Hard Costs + Demo/Offsite</t>
  </si>
  <si>
    <t>Net Rent Limit</t>
  </si>
  <si>
    <t>Actual Rent</t>
  </si>
  <si>
    <t>Change</t>
  </si>
  <si>
    <t>Added actual rent function, NOI based on that</t>
  </si>
  <si>
    <t>Updated rents to 2026 HUD</t>
  </si>
  <si>
    <t>Gross Rent Lim</t>
  </si>
  <si>
    <t>Avg Rent</t>
  </si>
  <si>
    <t>Avg RPSF</t>
  </si>
  <si>
    <t>Construction Loan - Tax-Exempt</t>
  </si>
  <si>
    <t>Construction Loan - Taxable</t>
  </si>
  <si>
    <t>Permanent Financing</t>
  </si>
  <si>
    <t>Taxable Spread</t>
  </si>
  <si>
    <t>Tax-Exempt Spread</t>
  </si>
  <si>
    <t>Index Rate</t>
  </si>
  <si>
    <t>Tax-Exempt Rate</t>
  </si>
  <si>
    <t>Taxable Rate</t>
  </si>
  <si>
    <t>Tax-Exempt Loan</t>
  </si>
  <si>
    <t>Tax-Exempt?</t>
  </si>
  <si>
    <t>Taxable Loan</t>
  </si>
  <si>
    <t>Total Permanent Loan</t>
  </si>
  <si>
    <t>Blended Rate</t>
  </si>
  <si>
    <t xml:space="preserve">Permanent Loan </t>
  </si>
  <si>
    <t>Construction Financing</t>
  </si>
  <si>
    <t>Total Construction Loan</t>
  </si>
  <si>
    <t>Year 16</t>
  </si>
  <si>
    <t>Exit Year</t>
  </si>
  <si>
    <t>SOFR</t>
  </si>
  <si>
    <t>US10Y</t>
  </si>
  <si>
    <t>Max Gap Investor Cash Flow</t>
  </si>
  <si>
    <t>Max Gap Inv IRR</t>
  </si>
  <si>
    <t>Land Acquisition / Addtl deposit</t>
  </si>
  <si>
    <t>Distribution of Interest</t>
  </si>
  <si>
    <t>Distribution of Principal</t>
  </si>
  <si>
    <t>Accrued Return</t>
  </si>
  <si>
    <t>LIHTC mods</t>
  </si>
  <si>
    <t>5.5% discount</t>
  </si>
  <si>
    <t>Residual Receipts</t>
  </si>
  <si>
    <t>Interest Type</t>
  </si>
  <si>
    <t>Simple</t>
  </si>
  <si>
    <t>Updated lien priority of dev fee/ b bond/ soft debt</t>
  </si>
  <si>
    <t>Updated soft debt interest calc to toggle simple/compounding</t>
  </si>
  <si>
    <t>Sponsor Funds</t>
  </si>
  <si>
    <t>Helper Calcs</t>
  </si>
  <si>
    <t>Gap ex state credits</t>
  </si>
  <si>
    <t>Gap Financing Selector</t>
  </si>
  <si>
    <t>Fannie</t>
  </si>
  <si>
    <t>Freddie</t>
  </si>
  <si>
    <t>Private</t>
  </si>
  <si>
    <t>MMD</t>
  </si>
  <si>
    <t>Reinvestment Rate</t>
  </si>
  <si>
    <t>Reinvestment Earnings</t>
  </si>
  <si>
    <t>Arbitrage</t>
  </si>
  <si>
    <t>Additional Interest Expense</t>
  </si>
  <si>
    <t>Bond Analysis</t>
  </si>
  <si>
    <t>Eligible Bond Interest</t>
  </si>
  <si>
    <t>Origination fee</t>
  </si>
  <si>
    <t>SD Beg</t>
  </si>
  <si>
    <t>SD Draw</t>
  </si>
  <si>
    <t>SD Int</t>
  </si>
  <si>
    <t>SD End</t>
  </si>
  <si>
    <t>Soft Debt less IR</t>
  </si>
  <si>
    <t>Soft Debt Interest</t>
  </si>
  <si>
    <t>Soft Debt Monthly rate</t>
  </si>
  <si>
    <t>Construction Phase?</t>
  </si>
  <si>
    <t>Basis Eligible Interest</t>
  </si>
  <si>
    <t>Non-Eligible Interest</t>
  </si>
  <si>
    <t>Basis-Eligible Interest</t>
  </si>
  <si>
    <t>Agency Review Fee</t>
  </si>
  <si>
    <t>Conversion Fee</t>
  </si>
  <si>
    <t>Standby Fee</t>
  </si>
  <si>
    <t>Bank underwriting fee</t>
  </si>
  <si>
    <t>Bond Underwriter Fee</t>
  </si>
  <si>
    <t>Rating Agency &amp; Trustee</t>
  </si>
  <si>
    <t>Bond/UW Counsel</t>
  </si>
  <si>
    <t>Title/3rd Party/DD</t>
  </si>
  <si>
    <t>Total Permanent Loan Costs</t>
  </si>
  <si>
    <t>Bond Issuer</t>
  </si>
  <si>
    <t xml:space="preserve">Tax-Exempt Index </t>
  </si>
  <si>
    <t>Taxable Bonds Invested</t>
  </si>
  <si>
    <t>Tax-Exempt Bonds Invested</t>
  </si>
  <si>
    <t>Construction Period Bond Reinvestment</t>
  </si>
  <si>
    <t>Added perm debt selector</t>
  </si>
  <si>
    <t>Added bond reinvestment calcs</t>
  </si>
  <si>
    <t>More accurate perm closing cost estimate</t>
  </si>
  <si>
    <t>Owner LIHTC Consulting/Legal</t>
  </si>
  <si>
    <t>Construction Loan Costs</t>
  </si>
  <si>
    <t>Tax-Exempt Bond Request / % of basis</t>
  </si>
  <si>
    <t>DDA</t>
  </si>
  <si>
    <t>840 G St, San Diego</t>
  </si>
  <si>
    <t>Advertising</t>
  </si>
  <si>
    <t>Legal</t>
  </si>
  <si>
    <t>Accounting/Audit</t>
  </si>
  <si>
    <t>Security</t>
  </si>
  <si>
    <t>Gas</t>
  </si>
  <si>
    <t>Electricity</t>
  </si>
  <si>
    <t>Water/Sewer</t>
  </si>
  <si>
    <t>Maintenance Payroll</t>
  </si>
  <si>
    <t>Manager Unit Expense</t>
  </si>
  <si>
    <t>Payroll Taxes/Benefit</t>
  </si>
  <si>
    <t>Painting</t>
  </si>
  <si>
    <t>Repairs</t>
  </si>
  <si>
    <t>Trash Removal</t>
  </si>
  <si>
    <t>Exterminating</t>
  </si>
  <si>
    <t>Grounds</t>
  </si>
  <si>
    <t>Elevator</t>
  </si>
  <si>
    <t>Resident Services</t>
  </si>
  <si>
    <t>Supplies</t>
  </si>
  <si>
    <t>On-Site Manager</t>
  </si>
  <si>
    <t>PUPM</t>
  </si>
  <si>
    <t>PUPY</t>
  </si>
  <si>
    <t>Office Admin</t>
  </si>
  <si>
    <t>Cleaning</t>
  </si>
  <si>
    <t>Operating Expense Calc</t>
  </si>
  <si>
    <t>Operating Expense Worksheet</t>
  </si>
  <si>
    <t>Total Operating Expense</t>
  </si>
  <si>
    <t>Replacement Reserves</t>
  </si>
  <si>
    <t>Total Expense w/ Reserves</t>
  </si>
  <si>
    <t>Real Estate Taxes</t>
  </si>
  <si>
    <t>Total Resi Operating Expense</t>
  </si>
  <si>
    <t>Bond Monitoring</t>
  </si>
  <si>
    <t>Covenant Monitoring</t>
  </si>
  <si>
    <t>Fees</t>
  </si>
  <si>
    <t>Parking</t>
  </si>
  <si>
    <t>Late Fees</t>
  </si>
  <si>
    <t>NSF Fee</t>
  </si>
  <si>
    <t>Damages</t>
  </si>
  <si>
    <t>Demo/Offsites/Non-Eligible</t>
  </si>
  <si>
    <t>Cost/Space</t>
  </si>
  <si>
    <t>Plug</t>
  </si>
  <si>
    <t>Management Fee</t>
  </si>
  <si>
    <t>Reserves</t>
  </si>
  <si>
    <t>LP Management Fee</t>
  </si>
  <si>
    <t>MGP Management Fee</t>
  </si>
  <si>
    <t>Partnership Fees</t>
  </si>
  <si>
    <t>AGP Management Fee</t>
  </si>
  <si>
    <t xml:space="preserve">Laundry </t>
  </si>
  <si>
    <t>Annual</t>
  </si>
  <si>
    <t>Spaces (Non Eligible)</t>
  </si>
  <si>
    <t>City Fees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</si>
</sst>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_(* #,##0.0_);_(* \(#,##0.0\);_(* &quot;-&quot;??_);_(@_)"/>
    <numFmt numFmtId="167" formatCode="&quot;$&quot;#,##0"/>
    <numFmt numFmtId="168" formatCode="_(&quot;$&quot;* #,##0_);_(&quot;$&quot;* \(#,##0\);_(&quot;$&quot;* &quot;-&quot;??_);_(@_)"/>
    <numFmt numFmtId="169" formatCode="0.0&quot;x&quot;"/>
    <numFmt numFmtId="170" formatCode="&quot;$&quot;0&quot;/u&quot;"/>
    <numFmt numFmtId="171" formatCode="\$#,##0"/>
    <numFmt numFmtId="172" formatCode="0.000%"/>
    <numFmt numFmtId="173" formatCode="m/yyyy"/>
    <numFmt numFmtId="174" formatCode="&quot;$&quot;0&quot;/SF&quot;"/>
    <numFmt numFmtId="175" formatCode="0%&quot; AMI&quot;"/>
    <numFmt numFmtId="176" formatCode="0.000"/>
    <numFmt numFmtId="177" formatCode="0.0%&quot; AMI&quot;"/>
    <numFmt numFmtId="178" formatCode="0.00&quot; ac&quot;"/>
    <numFmt numFmtId="179" formatCode="&quot;$&quot;#,##0&quot;/unit&quot;"/>
    <numFmt numFmtId="180" formatCode="0&quot; spaces&quot;"/>
    <numFmt numFmtId="181" formatCode="&quot;$&quot;#,##0&quot;/space&quot;"/>
    <numFmt numFmtId="182" formatCode="0.00&quot;/unit&quot;"/>
    <numFmt numFmtId="183" formatCode="_(* #,##0_);_(* \(#,##0\);_(* \-??_);_(@_)"/>
    <numFmt numFmtId="184" formatCode="_(* #,##0.000_);_(* \(#,##0.000\);_(* &quot;-&quot;??_);_(@_)"/>
    <numFmt numFmtId="185" formatCode="&quot;$&quot;#,##0.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9"/>
      <color theme="1"/>
      <name val="Calibri"/>
      <family val="2"/>
      <scheme val="minor"/>
    </font>
    <font>
      <sz val="11"/>
      <name val="Calibri"/>
      <family val="2"/>
    </font>
    <font>
      <sz val="11"/>
      <color rgb="FF3333FF"/>
      <name val="Calibri"/>
      <family val="2"/>
      <scheme val="minor"/>
    </font>
    <font>
      <i/>
      <sz val="11"/>
      <color rgb="FF0000FF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rgb="FF0000FF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346">
    <xf numFmtId="0" fontId="0" fillId="0" borderId="0" xfId="0"/>
    <xf numFmtId="0" fontId="2" fillId="0" borderId="0" xfId="0" applyFont="1"/>
    <xf numFmtId="164" fontId="0" fillId="0" borderId="0" xfId="1" applyNumberFormat="1" applyFont="1"/>
    <xf numFmtId="164" fontId="0" fillId="0" borderId="0" xfId="0" applyNumberFormat="1"/>
    <xf numFmtId="10" fontId="4" fillId="0" borderId="0" xfId="0" applyNumberFormat="1" applyFont="1"/>
    <xf numFmtId="0" fontId="2" fillId="0" borderId="1" xfId="0" applyFont="1" applyBorder="1"/>
    <xf numFmtId="0" fontId="0" fillId="0" borderId="4" xfId="0" applyBorder="1"/>
    <xf numFmtId="164" fontId="4" fillId="0" borderId="0" xfId="1" applyNumberFormat="1" applyFont="1" applyBorder="1"/>
    <xf numFmtId="164" fontId="0" fillId="0" borderId="5" xfId="1" applyNumberFormat="1" applyFont="1" applyBorder="1"/>
    <xf numFmtId="164" fontId="0" fillId="0" borderId="0" xfId="1" applyNumberFormat="1" applyFont="1" applyBorder="1"/>
    <xf numFmtId="164" fontId="4" fillId="0" borderId="5" xfId="1" applyNumberFormat="1" applyFont="1" applyBorder="1"/>
    <xf numFmtId="0" fontId="2" fillId="0" borderId="9" xfId="0" applyFont="1" applyBorder="1"/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64" fontId="2" fillId="0" borderId="2" xfId="0" applyNumberFormat="1" applyFont="1" applyBorder="1"/>
    <xf numFmtId="164" fontId="2" fillId="0" borderId="3" xfId="0" applyNumberFormat="1" applyFont="1" applyBorder="1"/>
    <xf numFmtId="164" fontId="0" fillId="0" borderId="5" xfId="0" applyNumberFormat="1" applyBorder="1"/>
    <xf numFmtId="0" fontId="2" fillId="0" borderId="10" xfId="0" applyFont="1" applyBorder="1"/>
    <xf numFmtId="164" fontId="2" fillId="0" borderId="11" xfId="0" applyNumberFormat="1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0" fillId="0" borderId="11" xfId="0" applyBorder="1"/>
    <xf numFmtId="164" fontId="0" fillId="0" borderId="8" xfId="0" applyNumberFormat="1" applyBorder="1"/>
    <xf numFmtId="164" fontId="2" fillId="0" borderId="10" xfId="1" applyNumberFormat="1" applyFont="1" applyBorder="1"/>
    <xf numFmtId="164" fontId="2" fillId="0" borderId="11" xfId="1" applyNumberFormat="1" applyFont="1" applyBorder="1"/>
    <xf numFmtId="0" fontId="2" fillId="0" borderId="2" xfId="0" applyFont="1" applyBorder="1"/>
    <xf numFmtId="0" fontId="2" fillId="0" borderId="11" xfId="0" applyFont="1" applyBorder="1"/>
    <xf numFmtId="0" fontId="0" fillId="0" borderId="1" xfId="0" applyBorder="1"/>
    <xf numFmtId="164" fontId="0" fillId="0" borderId="3" xfId="1" applyNumberFormat="1" applyFont="1" applyBorder="1"/>
    <xf numFmtId="9" fontId="4" fillId="0" borderId="0" xfId="0" applyNumberFormat="1" applyFont="1"/>
    <xf numFmtId="0" fontId="2" fillId="0" borderId="12" xfId="0" applyFont="1" applyBorder="1"/>
    <xf numFmtId="164" fontId="2" fillId="0" borderId="12" xfId="0" applyNumberFormat="1" applyFont="1" applyBorder="1"/>
    <xf numFmtId="164" fontId="0" fillId="0" borderId="8" xfId="1" applyNumberFormat="1" applyFont="1" applyBorder="1"/>
    <xf numFmtId="0" fontId="4" fillId="0" borderId="0" xfId="0" applyFont="1"/>
    <xf numFmtId="165" fontId="4" fillId="0" borderId="0" xfId="0" applyNumberFormat="1" applyFont="1"/>
    <xf numFmtId="165" fontId="0" fillId="0" borderId="5" xfId="0" applyNumberFormat="1" applyBorder="1"/>
    <xf numFmtId="165" fontId="4" fillId="0" borderId="5" xfId="0" applyNumberFormat="1" applyFont="1" applyBorder="1"/>
    <xf numFmtId="10" fontId="4" fillId="0" borderId="5" xfId="0" applyNumberFormat="1" applyFont="1" applyBorder="1"/>
    <xf numFmtId="0" fontId="5" fillId="2" borderId="0" xfId="0" applyFont="1" applyFill="1"/>
    <xf numFmtId="0" fontId="5" fillId="2" borderId="0" xfId="0" applyFont="1" applyFill="1" applyAlignment="1">
      <alignment horizontal="centerContinuous"/>
    </xf>
    <xf numFmtId="164" fontId="0" fillId="0" borderId="0" xfId="1" applyNumberFormat="1" applyFont="1" applyBorder="1" applyAlignment="1"/>
    <xf numFmtId="0" fontId="2" fillId="0" borderId="0" xfId="0" applyFont="1" applyAlignment="1">
      <alignment horizontal="centerContinuous"/>
    </xf>
    <xf numFmtId="165" fontId="2" fillId="0" borderId="2" xfId="2" applyNumberFormat="1" applyFont="1" applyBorder="1" applyAlignment="1">
      <alignment horizontal="right"/>
    </xf>
    <xf numFmtId="0" fontId="2" fillId="3" borderId="0" xfId="0" applyFont="1" applyFill="1"/>
    <xf numFmtId="164" fontId="0" fillId="3" borderId="0" xfId="1" applyNumberFormat="1" applyFont="1" applyFill="1"/>
    <xf numFmtId="168" fontId="0" fillId="0" borderId="0" xfId="3" applyNumberFormat="1" applyFont="1"/>
    <xf numFmtId="168" fontId="2" fillId="0" borderId="2" xfId="3" applyNumberFormat="1" applyFont="1" applyBorder="1"/>
    <xf numFmtId="0" fontId="0" fillId="3" borderId="0" xfId="0" applyFill="1"/>
    <xf numFmtId="168" fontId="2" fillId="0" borderId="2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68" fontId="2" fillId="0" borderId="0" xfId="0" applyNumberFormat="1" applyFont="1"/>
    <xf numFmtId="164" fontId="2" fillId="0" borderId="0" xfId="0" applyNumberFormat="1" applyFont="1"/>
    <xf numFmtId="168" fontId="2" fillId="0" borderId="0" xfId="3" applyNumberFormat="1" applyFont="1"/>
    <xf numFmtId="0" fontId="0" fillId="0" borderId="2" xfId="0" applyBorder="1"/>
    <xf numFmtId="0" fontId="2" fillId="0" borderId="13" xfId="0" applyFont="1" applyBorder="1"/>
    <xf numFmtId="168" fontId="2" fillId="0" borderId="13" xfId="0" applyNumberFormat="1" applyFont="1" applyBorder="1"/>
    <xf numFmtId="10" fontId="0" fillId="0" borderId="0" xfId="2" applyNumberFormat="1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5" fillId="4" borderId="0" xfId="0" applyFont="1" applyFill="1"/>
    <xf numFmtId="0" fontId="6" fillId="4" borderId="0" xfId="0" applyFont="1" applyFill="1"/>
    <xf numFmtId="0" fontId="5" fillId="4" borderId="0" xfId="0" applyFont="1" applyFill="1" applyAlignment="1">
      <alignment horizontal="center"/>
    </xf>
    <xf numFmtId="164" fontId="2" fillId="0" borderId="10" xfId="0" applyNumberFormat="1" applyFont="1" applyBorder="1"/>
    <xf numFmtId="165" fontId="2" fillId="0" borderId="11" xfId="2" applyNumberFormat="1" applyFont="1" applyBorder="1"/>
    <xf numFmtId="164" fontId="0" fillId="0" borderId="2" xfId="0" applyNumberFormat="1" applyBorder="1"/>
    <xf numFmtId="164" fontId="0" fillId="0" borderId="7" xfId="0" applyNumberFormat="1" applyBorder="1"/>
    <xf numFmtId="165" fontId="2" fillId="0" borderId="11" xfId="0" applyNumberFormat="1" applyFont="1" applyBorder="1"/>
    <xf numFmtId="0" fontId="0" fillId="0" borderId="9" xfId="0" applyBorder="1"/>
    <xf numFmtId="164" fontId="0" fillId="0" borderId="10" xfId="0" applyNumberFormat="1" applyBorder="1"/>
    <xf numFmtId="164" fontId="1" fillId="0" borderId="11" xfId="1" applyNumberFormat="1" applyFont="1" applyBorder="1"/>
    <xf numFmtId="165" fontId="9" fillId="0" borderId="0" xfId="2" applyNumberFormat="1" applyFont="1"/>
    <xf numFmtId="10" fontId="0" fillId="0" borderId="5" xfId="2" applyNumberFormat="1" applyFont="1" applyBorder="1"/>
    <xf numFmtId="165" fontId="4" fillId="0" borderId="8" xfId="0" applyNumberFormat="1" applyFont="1" applyBorder="1"/>
    <xf numFmtId="164" fontId="2" fillId="0" borderId="5" xfId="0" applyNumberFormat="1" applyFont="1" applyBorder="1"/>
    <xf numFmtId="0" fontId="2" fillId="0" borderId="4" xfId="0" applyFont="1" applyBorder="1"/>
    <xf numFmtId="1" fontId="0" fillId="0" borderId="0" xfId="0" applyNumberFormat="1"/>
    <xf numFmtId="169" fontId="0" fillId="0" borderId="5" xfId="0" applyNumberFormat="1" applyBorder="1"/>
    <xf numFmtId="43" fontId="0" fillId="0" borderId="0" xfId="0" applyNumberFormat="1"/>
    <xf numFmtId="10" fontId="2" fillId="0" borderId="10" xfId="2" applyNumberFormat="1" applyFont="1" applyBorder="1"/>
    <xf numFmtId="165" fontId="0" fillId="0" borderId="0" xfId="0" applyNumberFormat="1"/>
    <xf numFmtId="164" fontId="2" fillId="0" borderId="0" xfId="1" applyNumberFormat="1" applyFont="1"/>
    <xf numFmtId="164" fontId="2" fillId="0" borderId="7" xfId="1" applyNumberFormat="1" applyFont="1" applyBorder="1"/>
    <xf numFmtId="0" fontId="2" fillId="0" borderId="5" xfId="0" applyFont="1" applyBorder="1"/>
    <xf numFmtId="0" fontId="0" fillId="0" borderId="0" xfId="0" applyAlignment="1">
      <alignment horizontal="right"/>
    </xf>
    <xf numFmtId="0" fontId="2" fillId="0" borderId="6" xfId="0" applyFont="1" applyBorder="1"/>
    <xf numFmtId="165" fontId="2" fillId="0" borderId="8" xfId="2" applyNumberFormat="1" applyFont="1" applyBorder="1"/>
    <xf numFmtId="164" fontId="2" fillId="0" borderId="2" xfId="1" applyNumberFormat="1" applyFont="1" applyBorder="1"/>
    <xf numFmtId="164" fontId="0" fillId="0" borderId="7" xfId="1" applyNumberFormat="1" applyFont="1" applyBorder="1"/>
    <xf numFmtId="164" fontId="0" fillId="0" borderId="2" xfId="1" applyNumberFormat="1" applyFont="1" applyBorder="1"/>
    <xf numFmtId="164" fontId="1" fillId="0" borderId="0" xfId="1" applyNumberFormat="1" applyFont="1"/>
    <xf numFmtId="165" fontId="6" fillId="0" borderId="0" xfId="0" applyNumberFormat="1" applyFont="1"/>
    <xf numFmtId="164" fontId="0" fillId="0" borderId="4" xfId="1" applyNumberFormat="1" applyFont="1" applyBorder="1"/>
    <xf numFmtId="164" fontId="2" fillId="0" borderId="6" xfId="1" applyNumberFormat="1" applyFont="1" applyBorder="1"/>
    <xf numFmtId="164" fontId="2" fillId="0" borderId="8" xfId="1" applyNumberFormat="1" applyFont="1" applyBorder="1"/>
    <xf numFmtId="164" fontId="2" fillId="0" borderId="9" xfId="1" applyNumberFormat="1" applyFont="1" applyBorder="1"/>
    <xf numFmtId="164" fontId="0" fillId="0" borderId="10" xfId="1" applyNumberFormat="1" applyFont="1" applyBorder="1"/>
    <xf numFmtId="164" fontId="0" fillId="0" borderId="11" xfId="1" applyNumberFormat="1" applyFont="1" applyBorder="1"/>
    <xf numFmtId="165" fontId="4" fillId="0" borderId="5" xfId="2" applyNumberFormat="1" applyFont="1" applyBorder="1"/>
    <xf numFmtId="43" fontId="4" fillId="0" borderId="5" xfId="1" applyFont="1" applyBorder="1"/>
    <xf numFmtId="9" fontId="4" fillId="0" borderId="5" xfId="2" applyFont="1" applyBorder="1"/>
    <xf numFmtId="0" fontId="2" fillId="0" borderId="7" xfId="0" applyFont="1" applyBorder="1"/>
    <xf numFmtId="164" fontId="2" fillId="0" borderId="8" xfId="0" applyNumberFormat="1" applyFont="1" applyBorder="1"/>
    <xf numFmtId="0" fontId="0" fillId="5" borderId="4" xfId="0" applyFill="1" applyBorder="1"/>
    <xf numFmtId="164" fontId="0" fillId="5" borderId="5" xfId="0" applyNumberFormat="1" applyFill="1" applyBorder="1"/>
    <xf numFmtId="164" fontId="10" fillId="0" borderId="0" xfId="1" applyNumberFormat="1" applyFont="1" applyBorder="1"/>
    <xf numFmtId="43" fontId="0" fillId="0" borderId="5" xfId="0" applyNumberFormat="1" applyBorder="1"/>
    <xf numFmtId="0" fontId="0" fillId="0" borderId="4" xfId="0" applyBorder="1" applyAlignment="1">
      <alignment horizontal="left" indent="1"/>
    </xf>
    <xf numFmtId="168" fontId="10" fillId="0" borderId="0" xfId="3" applyNumberFormat="1" applyFont="1"/>
    <xf numFmtId="0" fontId="0" fillId="6" borderId="0" xfId="0" applyFill="1" applyAlignment="1">
      <alignment horizontal="right" vertical="center"/>
    </xf>
    <xf numFmtId="0" fontId="12" fillId="0" borderId="0" xfId="0" applyFont="1"/>
    <xf numFmtId="171" fontId="0" fillId="6" borderId="0" xfId="0" applyNumberFormat="1" applyFill="1" applyAlignment="1">
      <alignment horizontal="right" vertical="center"/>
    </xf>
    <xf numFmtId="172" fontId="0" fillId="0" borderId="0" xfId="0" applyNumberFormat="1"/>
    <xf numFmtId="0" fontId="0" fillId="0" borderId="0" xfId="0" applyAlignment="1">
      <alignment horizontal="center" vertical="center" wrapText="1"/>
    </xf>
    <xf numFmtId="0" fontId="12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171" fontId="0" fillId="0" borderId="14" xfId="0" applyNumberFormat="1" applyBorder="1"/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2" fillId="7" borderId="14" xfId="0" applyFont="1" applyFill="1" applyBorder="1" applyAlignment="1">
      <alignment horizontal="center" vertical="center" wrapText="1"/>
    </xf>
    <xf numFmtId="171" fontId="0" fillId="7" borderId="14" xfId="0" applyNumberFormat="1" applyFill="1" applyBorder="1"/>
    <xf numFmtId="0" fontId="12" fillId="8" borderId="14" xfId="0" applyFont="1" applyFill="1" applyBorder="1" applyAlignment="1">
      <alignment horizontal="center" vertical="center" wrapText="1"/>
    </xf>
    <xf numFmtId="171" fontId="0" fillId="8" borderId="14" xfId="0" applyNumberFormat="1" applyFill="1" applyBorder="1"/>
    <xf numFmtId="0" fontId="12" fillId="9" borderId="14" xfId="0" applyFont="1" applyFill="1" applyBorder="1" applyAlignment="1">
      <alignment horizontal="center" vertical="center" wrapText="1"/>
    </xf>
    <xf numFmtId="171" fontId="0" fillId="9" borderId="14" xfId="0" applyNumberFormat="1" applyFill="1" applyBorder="1"/>
    <xf numFmtId="0" fontId="12" fillId="10" borderId="14" xfId="0" applyFont="1" applyFill="1" applyBorder="1" applyAlignment="1">
      <alignment horizontal="center" vertical="center" wrapText="1"/>
    </xf>
    <xf numFmtId="171" fontId="0" fillId="10" borderId="14" xfId="0" applyNumberFormat="1" applyFill="1" applyBorder="1"/>
    <xf numFmtId="0" fontId="12" fillId="11" borderId="14" xfId="0" applyFont="1" applyFill="1" applyBorder="1" applyAlignment="1">
      <alignment horizontal="center" vertical="center" wrapText="1"/>
    </xf>
    <xf numFmtId="171" fontId="0" fillId="11" borderId="14" xfId="0" applyNumberFormat="1" applyFill="1" applyBorder="1"/>
    <xf numFmtId="0" fontId="12" fillId="12" borderId="14" xfId="0" applyFont="1" applyFill="1" applyBorder="1" applyAlignment="1">
      <alignment horizontal="center" vertical="center" wrapText="1"/>
    </xf>
    <xf numFmtId="171" fontId="0" fillId="12" borderId="14" xfId="0" applyNumberFormat="1" applyFill="1" applyBorder="1"/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left" vertical="center"/>
    </xf>
    <xf numFmtId="0" fontId="12" fillId="0" borderId="2" xfId="0" applyFont="1" applyBorder="1" applyAlignment="1">
      <alignment horizontal="left" vertical="center"/>
    </xf>
    <xf numFmtId="171" fontId="0" fillId="0" borderId="0" xfId="0" applyNumberFormat="1"/>
    <xf numFmtId="0" fontId="2" fillId="6" borderId="2" xfId="0" applyFont="1" applyFill="1" applyBorder="1" applyAlignment="1">
      <alignment horizontal="right" vertical="center"/>
    </xf>
    <xf numFmtId="6" fontId="0" fillId="0" borderId="2" xfId="0" applyNumberFormat="1" applyBorder="1"/>
    <xf numFmtId="165" fontId="0" fillId="6" borderId="0" xfId="2" applyNumberFormat="1" applyFont="1" applyFill="1" applyAlignment="1">
      <alignment horizontal="right" vertical="center"/>
    </xf>
    <xf numFmtId="171" fontId="0" fillId="0" borderId="0" xfId="0" applyNumberFormat="1" applyAlignment="1">
      <alignment horizontal="right" vertical="center"/>
    </xf>
    <xf numFmtId="165" fontId="15" fillId="6" borderId="0" xfId="2" applyNumberFormat="1" applyFont="1" applyFill="1" applyAlignment="1">
      <alignment horizontal="right" vertical="center"/>
    </xf>
    <xf numFmtId="173" fontId="0" fillId="0" borderId="7" xfId="0" applyNumberFormat="1" applyBorder="1"/>
    <xf numFmtId="0" fontId="15" fillId="6" borderId="0" xfId="0" applyFont="1" applyFill="1" applyAlignment="1">
      <alignment horizontal="right" vertical="center"/>
    </xf>
    <xf numFmtId="14" fontId="0" fillId="6" borderId="0" xfId="0" applyNumberFormat="1" applyFill="1" applyAlignment="1">
      <alignment horizontal="right" vertical="center"/>
    </xf>
    <xf numFmtId="0" fontId="0" fillId="0" borderId="2" xfId="0" applyBorder="1" applyAlignment="1">
      <alignment horizontal="left" vertical="center"/>
    </xf>
    <xf numFmtId="171" fontId="0" fillId="0" borderId="2" xfId="0" applyNumberFormat="1" applyBorder="1"/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164" fontId="0" fillId="0" borderId="0" xfId="1" applyNumberFormat="1" applyFont="1" applyBorder="1" applyAlignment="1">
      <alignment horizontal="right"/>
    </xf>
    <xf numFmtId="0" fontId="2" fillId="0" borderId="9" xfId="0" applyFont="1" applyBorder="1" applyAlignment="1">
      <alignment horizontal="left"/>
    </xf>
    <xf numFmtId="164" fontId="2" fillId="0" borderId="10" xfId="1" applyNumberFormat="1" applyFont="1" applyBorder="1" applyAlignment="1">
      <alignment horizontal="right"/>
    </xf>
    <xf numFmtId="0" fontId="0" fillId="0" borderId="15" xfId="0" applyBorder="1"/>
    <xf numFmtId="0" fontId="0" fillId="0" borderId="16" xfId="0" applyBorder="1" applyAlignment="1">
      <alignment horizontal="right"/>
    </xf>
    <xf numFmtId="164" fontId="0" fillId="0" borderId="16" xfId="1" applyNumberFormat="1" applyFont="1" applyBorder="1"/>
    <xf numFmtId="0" fontId="0" fillId="0" borderId="18" xfId="0" applyBorder="1"/>
    <xf numFmtId="164" fontId="0" fillId="0" borderId="19" xfId="1" applyNumberFormat="1" applyFont="1" applyBorder="1"/>
    <xf numFmtId="10" fontId="4" fillId="10" borderId="14" xfId="0" applyNumberFormat="1" applyFont="1" applyFill="1" applyBorder="1"/>
    <xf numFmtId="9" fontId="4" fillId="10" borderId="21" xfId="0" applyNumberFormat="1" applyFont="1" applyFill="1" applyBorder="1"/>
    <xf numFmtId="9" fontId="0" fillId="10" borderId="22" xfId="0" applyNumberFormat="1" applyFill="1" applyBorder="1"/>
    <xf numFmtId="14" fontId="15" fillId="0" borderId="5" xfId="1" applyNumberFormat="1" applyFont="1" applyBorder="1"/>
    <xf numFmtId="164" fontId="15" fillId="0" borderId="5" xfId="1" applyNumberFormat="1" applyFont="1" applyBorder="1"/>
    <xf numFmtId="0" fontId="2" fillId="0" borderId="0" xfId="0" applyFont="1" applyAlignment="1">
      <alignment horizontal="center"/>
    </xf>
    <xf numFmtId="43" fontId="2" fillId="0" borderId="11" xfId="0" applyNumberFormat="1" applyFont="1" applyBorder="1"/>
    <xf numFmtId="0" fontId="9" fillId="0" borderId="0" xfId="0" applyFont="1"/>
    <xf numFmtId="0" fontId="16" fillId="0" borderId="0" xfId="0" applyFont="1"/>
    <xf numFmtId="0" fontId="0" fillId="0" borderId="0" xfId="0" applyAlignment="1">
      <alignment horizontal="centerContinuous"/>
    </xf>
    <xf numFmtId="0" fontId="0" fillId="13" borderId="0" xfId="0" applyFill="1" applyAlignment="1">
      <alignment horizontal="left"/>
    </xf>
    <xf numFmtId="0" fontId="11" fillId="13" borderId="0" xfId="0" applyFont="1" applyFill="1" applyAlignment="1">
      <alignment horizontal="left" vertical="center"/>
    </xf>
    <xf numFmtId="165" fontId="15" fillId="6" borderId="0" xfId="0" applyNumberFormat="1" applyFont="1" applyFill="1"/>
    <xf numFmtId="0" fontId="11" fillId="13" borderId="0" xfId="0" applyFont="1" applyFill="1" applyAlignment="1">
      <alignment horizontal="centerContinuous" vertical="center" wrapText="1"/>
    </xf>
    <xf numFmtId="0" fontId="5" fillId="13" borderId="0" xfId="0" applyFont="1" applyFill="1"/>
    <xf numFmtId="0" fontId="6" fillId="13" borderId="0" xfId="0" applyFont="1" applyFill="1"/>
    <xf numFmtId="0" fontId="2" fillId="0" borderId="7" xfId="0" applyFont="1" applyBorder="1" applyAlignment="1">
      <alignment horizontal="center"/>
    </xf>
    <xf numFmtId="9" fontId="9" fillId="0" borderId="5" xfId="2" applyFont="1" applyBorder="1"/>
    <xf numFmtId="9" fontId="9" fillId="0" borderId="11" xfId="2" applyFont="1" applyBorder="1"/>
    <xf numFmtId="0" fontId="2" fillId="3" borderId="0" xfId="0" applyFont="1" applyFill="1" applyAlignment="1">
      <alignment horizontal="centerContinuous"/>
    </xf>
    <xf numFmtId="0" fontId="2" fillId="14" borderId="0" xfId="0" applyFont="1" applyFill="1" applyAlignment="1">
      <alignment horizontal="centerContinuous"/>
    </xf>
    <xf numFmtId="0" fontId="2" fillId="0" borderId="0" xfId="0" applyFont="1" applyAlignment="1">
      <alignment wrapText="1"/>
    </xf>
    <xf numFmtId="0" fontId="4" fillId="0" borderId="0" xfId="0" applyFont="1" applyAlignment="1">
      <alignment horizontal="right"/>
    </xf>
    <xf numFmtId="167" fontId="17" fillId="0" borderId="0" xfId="0" applyNumberFormat="1" applyFont="1"/>
    <xf numFmtId="0" fontId="17" fillId="0" borderId="0" xfId="0" applyFont="1"/>
    <xf numFmtId="10" fontId="2" fillId="0" borderId="2" xfId="0" applyNumberFormat="1" applyFont="1" applyBorder="1"/>
    <xf numFmtId="9" fontId="4" fillId="0" borderId="0" xfId="0" applyNumberFormat="1" applyFont="1" applyAlignment="1">
      <alignment horizontal="right"/>
    </xf>
    <xf numFmtId="10" fontId="18" fillId="0" borderId="2" xfId="2" applyNumberFormat="1" applyFont="1" applyBorder="1"/>
    <xf numFmtId="9" fontId="0" fillId="0" borderId="0" xfId="2" applyFont="1"/>
    <xf numFmtId="164" fontId="10" fillId="0" borderId="0" xfId="1" applyNumberFormat="1" applyFont="1"/>
    <xf numFmtId="164" fontId="10" fillId="0" borderId="16" xfId="1" applyNumberFormat="1" applyFont="1" applyBorder="1"/>
    <xf numFmtId="164" fontId="10" fillId="0" borderId="19" xfId="1" applyNumberFormat="1" applyFont="1" applyBorder="1"/>
    <xf numFmtId="0" fontId="2" fillId="0" borderId="14" xfId="0" applyFont="1" applyBorder="1" applyAlignment="1">
      <alignment horizontal="center" vertical="top"/>
    </xf>
    <xf numFmtId="0" fontId="19" fillId="0" borderId="0" xfId="4" applyAlignment="1" applyProtection="1"/>
    <xf numFmtId="43" fontId="0" fillId="0" borderId="5" xfId="1" applyFont="1" applyBorder="1"/>
    <xf numFmtId="43" fontId="0" fillId="0" borderId="20" xfId="1" applyFont="1" applyBorder="1"/>
    <xf numFmtId="43" fontId="0" fillId="0" borderId="17" xfId="1" applyFont="1" applyBorder="1"/>
    <xf numFmtId="43" fontId="2" fillId="0" borderId="11" xfId="1" applyFont="1" applyBorder="1"/>
    <xf numFmtId="0" fontId="0" fillId="0" borderId="0" xfId="1" applyNumberFormat="1" applyFont="1" applyBorder="1"/>
    <xf numFmtId="0" fontId="2" fillId="0" borderId="9" xfId="1" applyNumberFormat="1" applyFont="1" applyFill="1" applyBorder="1"/>
    <xf numFmtId="0" fontId="0" fillId="0" borderId="10" xfId="1" applyNumberFormat="1" applyFont="1" applyBorder="1"/>
    <xf numFmtId="9" fontId="4" fillId="0" borderId="0" xfId="1" applyNumberFormat="1" applyFont="1" applyBorder="1"/>
    <xf numFmtId="9" fontId="1" fillId="0" borderId="0" xfId="2" applyFont="1" applyBorder="1"/>
    <xf numFmtId="9" fontId="4" fillId="0" borderId="0" xfId="2" applyFont="1" applyBorder="1"/>
    <xf numFmtId="9" fontId="2" fillId="0" borderId="10" xfId="2" applyFont="1" applyBorder="1"/>
    <xf numFmtId="175" fontId="0" fillId="0" borderId="4" xfId="0" applyNumberFormat="1" applyBorder="1" applyAlignment="1">
      <alignment horizontal="left"/>
    </xf>
    <xf numFmtId="0" fontId="2" fillId="0" borderId="10" xfId="1" applyNumberFormat="1" applyFont="1" applyBorder="1" applyAlignment="1">
      <alignment horizontal="center"/>
    </xf>
    <xf numFmtId="164" fontId="2" fillId="0" borderId="11" xfId="1" applyNumberFormat="1" applyFont="1" applyBorder="1" applyAlignment="1">
      <alignment horizontal="center"/>
    </xf>
    <xf numFmtId="164" fontId="1" fillId="0" borderId="19" xfId="1" applyNumberFormat="1" applyFont="1" applyBorder="1"/>
    <xf numFmtId="175" fontId="4" fillId="0" borderId="4" xfId="0" applyNumberFormat="1" applyFont="1" applyBorder="1" applyAlignment="1">
      <alignment horizontal="left"/>
    </xf>
    <xf numFmtId="9" fontId="10" fillId="0" borderId="0" xfId="0" applyNumberFormat="1" applyFont="1"/>
    <xf numFmtId="9" fontId="10" fillId="0" borderId="19" xfId="0" applyNumberFormat="1" applyFont="1" applyBorder="1"/>
    <xf numFmtId="177" fontId="20" fillId="0" borderId="10" xfId="2" applyNumberFormat="1" applyFont="1" applyBorder="1"/>
    <xf numFmtId="164" fontId="10" fillId="0" borderId="5" xfId="1" applyNumberFormat="1" applyFont="1" applyBorder="1"/>
    <xf numFmtId="10" fontId="10" fillId="0" borderId="5" xfId="0" applyNumberFormat="1" applyFont="1" applyBorder="1"/>
    <xf numFmtId="176" fontId="0" fillId="0" borderId="4" xfId="0" applyNumberFormat="1" applyBorder="1"/>
    <xf numFmtId="164" fontId="2" fillId="0" borderId="10" xfId="1" applyNumberFormat="1" applyFont="1" applyBorder="1" applyAlignment="1">
      <alignment horizontal="center"/>
    </xf>
    <xf numFmtId="49" fontId="4" fillId="10" borderId="14" xfId="0" applyNumberFormat="1" applyFont="1" applyFill="1" applyBorder="1" applyAlignment="1">
      <alignment horizontal="center"/>
    </xf>
    <xf numFmtId="0" fontId="4" fillId="0" borderId="11" xfId="0" applyFont="1" applyBorder="1" applyAlignment="1">
      <alignment horizontal="right"/>
    </xf>
    <xf numFmtId="164" fontId="0" fillId="0" borderId="6" xfId="1" applyNumberFormat="1" applyFont="1" applyBorder="1"/>
    <xf numFmtId="164" fontId="4" fillId="0" borderId="0" xfId="1" applyNumberFormat="1" applyFont="1"/>
    <xf numFmtId="178" fontId="21" fillId="0" borderId="0" xfId="1" applyNumberFormat="1" applyFont="1" applyAlignment="1">
      <alignment horizontal="left"/>
    </xf>
    <xf numFmtId="165" fontId="4" fillId="0" borderId="11" xfId="2" applyNumberFormat="1" applyFont="1" applyBorder="1"/>
    <xf numFmtId="164" fontId="10" fillId="0" borderId="8" xfId="1" applyNumberFormat="1" applyFont="1" applyBorder="1"/>
    <xf numFmtId="164" fontId="4" fillId="0" borderId="0" xfId="0" applyNumberFormat="1" applyFont="1"/>
    <xf numFmtId="6" fontId="0" fillId="0" borderId="0" xfId="0" applyNumberFormat="1"/>
    <xf numFmtId="164" fontId="10" fillId="0" borderId="0" xfId="0" applyNumberFormat="1" applyFont="1"/>
    <xf numFmtId="166" fontId="4" fillId="0" borderId="5" xfId="1" applyNumberFormat="1" applyFont="1" applyBorder="1"/>
    <xf numFmtId="165" fontId="1" fillId="0" borderId="2" xfId="2" applyNumberFormat="1" applyFont="1" applyBorder="1"/>
    <xf numFmtId="165" fontId="0" fillId="0" borderId="2" xfId="2" applyNumberFormat="1" applyFont="1" applyBorder="1"/>
    <xf numFmtId="2" fontId="0" fillId="0" borderId="0" xfId="0" applyNumberFormat="1"/>
    <xf numFmtId="164" fontId="2" fillId="0" borderId="0" xfId="1" applyNumberFormat="1" applyFont="1" applyBorder="1"/>
    <xf numFmtId="164" fontId="1" fillId="0" borderId="0" xfId="1" applyNumberFormat="1" applyFont="1" applyBorder="1"/>
    <xf numFmtId="10" fontId="4" fillId="10" borderId="21" xfId="0" applyNumberFormat="1" applyFont="1" applyFill="1" applyBorder="1"/>
    <xf numFmtId="10" fontId="4" fillId="10" borderId="22" xfId="0" applyNumberFormat="1" applyFont="1" applyFill="1" applyBorder="1"/>
    <xf numFmtId="0" fontId="2" fillId="0" borderId="14" xfId="0" applyFont="1" applyBorder="1" applyAlignment="1">
      <alignment horizontal="center"/>
    </xf>
    <xf numFmtId="164" fontId="4" fillId="0" borderId="23" xfId="1" applyNumberFormat="1" applyFont="1" applyBorder="1"/>
    <xf numFmtId="164" fontId="2" fillId="0" borderId="14" xfId="0" applyNumberFormat="1" applyFont="1" applyBorder="1"/>
    <xf numFmtId="164" fontId="9" fillId="0" borderId="11" xfId="0" applyNumberFormat="1" applyFont="1" applyBorder="1" applyAlignment="1">
      <alignment horizontal="right"/>
    </xf>
    <xf numFmtId="0" fontId="9" fillId="0" borderId="11" xfId="0" applyFont="1" applyBorder="1" applyAlignment="1">
      <alignment horizontal="right"/>
    </xf>
    <xf numFmtId="165" fontId="2" fillId="0" borderId="0" xfId="0" applyNumberFormat="1" applyFont="1"/>
    <xf numFmtId="165" fontId="2" fillId="0" borderId="0" xfId="2" applyNumberFormat="1" applyFont="1" applyBorder="1"/>
    <xf numFmtId="164" fontId="4" fillId="0" borderId="5" xfId="0" applyNumberFormat="1" applyFont="1" applyBorder="1"/>
    <xf numFmtId="0" fontId="2" fillId="0" borderId="4" xfId="0" applyFont="1" applyBorder="1" applyAlignment="1">
      <alignment horizontal="left" indent="1"/>
    </xf>
    <xf numFmtId="0" fontId="0" fillId="0" borderId="4" xfId="0" applyBorder="1" applyAlignment="1">
      <alignment horizontal="left" indent="2"/>
    </xf>
    <xf numFmtId="170" fontId="4" fillId="0" borderId="0" xfId="0" applyNumberFormat="1" applyFont="1"/>
    <xf numFmtId="0" fontId="2" fillId="0" borderId="1" xfId="0" applyFont="1" applyBorder="1" applyAlignment="1">
      <alignment horizontal="left" indent="2"/>
    </xf>
    <xf numFmtId="164" fontId="18" fillId="0" borderId="3" xfId="0" applyNumberFormat="1" applyFont="1" applyBorder="1"/>
    <xf numFmtId="0" fontId="10" fillId="0" borderId="5" xfId="0" applyFont="1" applyBorder="1"/>
    <xf numFmtId="164" fontId="18" fillId="0" borderId="11" xfId="0" applyNumberFormat="1" applyFont="1" applyBorder="1"/>
    <xf numFmtId="10" fontId="4" fillId="0" borderId="7" xfId="0" applyNumberFormat="1" applyFont="1" applyBorder="1"/>
    <xf numFmtId="10" fontId="10" fillId="0" borderId="0" xfId="0" applyNumberFormat="1" applyFont="1"/>
    <xf numFmtId="9" fontId="2" fillId="0" borderId="10" xfId="2" applyFont="1" applyBorder="1" applyAlignment="1">
      <alignment horizontal="right"/>
    </xf>
    <xf numFmtId="9" fontId="4" fillId="0" borderId="0" xfId="2" applyFont="1" applyBorder="1" applyAlignment="1">
      <alignment horizontal="right"/>
    </xf>
    <xf numFmtId="164" fontId="15" fillId="0" borderId="8" xfId="1" applyNumberFormat="1" applyFont="1" applyBorder="1"/>
    <xf numFmtId="164" fontId="15" fillId="0" borderId="0" xfId="1" applyNumberFormat="1" applyFont="1"/>
    <xf numFmtId="164" fontId="0" fillId="0" borderId="4" xfId="1" applyNumberFormat="1" applyFont="1" applyFill="1" applyBorder="1"/>
    <xf numFmtId="2" fontId="4" fillId="0" borderId="0" xfId="0" applyNumberFormat="1" applyFont="1"/>
    <xf numFmtId="9" fontId="10" fillId="0" borderId="0" xfId="2" applyFont="1" applyBorder="1" applyAlignment="1">
      <alignment horizontal="right"/>
    </xf>
    <xf numFmtId="179" fontId="9" fillId="0" borderId="0" xfId="0" applyNumberFormat="1" applyFont="1" applyAlignment="1">
      <alignment horizontal="center"/>
    </xf>
    <xf numFmtId="9" fontId="0" fillId="0" borderId="0" xfId="0" applyNumberFormat="1"/>
    <xf numFmtId="180" fontId="9" fillId="0" borderId="0" xfId="0" applyNumberFormat="1" applyFont="1" applyAlignment="1">
      <alignment horizontal="left"/>
    </xf>
    <xf numFmtId="179" fontId="9" fillId="0" borderId="0" xfId="1" applyNumberFormat="1" applyFont="1"/>
    <xf numFmtId="0" fontId="16" fillId="0" borderId="0" xfId="0" applyFont="1" applyAlignment="1">
      <alignment horizontal="right"/>
    </xf>
    <xf numFmtId="0" fontId="9" fillId="0" borderId="4" xfId="0" applyFont="1" applyBorder="1" applyAlignment="1">
      <alignment horizontal="left" indent="1"/>
    </xf>
    <xf numFmtId="9" fontId="16" fillId="0" borderId="0" xfId="0" applyNumberFormat="1" applyFont="1"/>
    <xf numFmtId="164" fontId="9" fillId="0" borderId="5" xfId="0" applyNumberFormat="1" applyFont="1" applyBorder="1"/>
    <xf numFmtId="9" fontId="9" fillId="0" borderId="0" xfId="0" applyNumberFormat="1" applyFont="1"/>
    <xf numFmtId="0" fontId="0" fillId="0" borderId="23" xfId="0" applyBorder="1"/>
    <xf numFmtId="181" fontId="9" fillId="0" borderId="0" xfId="1" applyNumberFormat="1" applyFont="1"/>
    <xf numFmtId="182" fontId="9" fillId="0" borderId="0" xfId="0" applyNumberFormat="1" applyFont="1" applyAlignment="1">
      <alignment horizontal="left"/>
    </xf>
    <xf numFmtId="166" fontId="10" fillId="0" borderId="0" xfId="1" applyNumberFormat="1" applyFont="1"/>
    <xf numFmtId="0" fontId="2" fillId="0" borderId="0" xfId="0" applyFont="1" applyAlignment="1">
      <alignment horizontal="left"/>
    </xf>
    <xf numFmtId="183" fontId="1" fillId="0" borderId="0" xfId="1" applyNumberFormat="1"/>
    <xf numFmtId="164" fontId="4" fillId="0" borderId="19" xfId="1" applyNumberFormat="1" applyFont="1" applyBorder="1"/>
    <xf numFmtId="164" fontId="4" fillId="0" borderId="16" xfId="1" applyNumberFormat="1" applyFont="1" applyBorder="1"/>
    <xf numFmtId="14" fontId="0" fillId="0" borderId="0" xfId="0" applyNumberFormat="1"/>
    <xf numFmtId="174" fontId="9" fillId="0" borderId="0" xfId="0" applyNumberFormat="1" applyFont="1"/>
    <xf numFmtId="179" fontId="9" fillId="0" borderId="5" xfId="0" applyNumberFormat="1" applyFont="1" applyBorder="1" applyAlignment="1">
      <alignment horizontal="right"/>
    </xf>
    <xf numFmtId="164" fontId="2" fillId="0" borderId="1" xfId="1" applyNumberFormat="1" applyFont="1" applyBorder="1"/>
    <xf numFmtId="10" fontId="4" fillId="0" borderId="5" xfId="2" applyNumberFormat="1" applyFont="1" applyBorder="1"/>
    <xf numFmtId="164" fontId="0" fillId="0" borderId="9" xfId="1" applyNumberFormat="1" applyFont="1" applyBorder="1"/>
    <xf numFmtId="164" fontId="2" fillId="0" borderId="3" xfId="1" applyNumberFormat="1" applyFont="1" applyBorder="1"/>
    <xf numFmtId="10" fontId="0" fillId="0" borderId="8" xfId="2" applyNumberFormat="1" applyFont="1" applyBorder="1"/>
    <xf numFmtId="10" fontId="4" fillId="0" borderId="0" xfId="2" applyNumberFormat="1" applyFont="1" applyBorder="1"/>
    <xf numFmtId="10" fontId="0" fillId="0" borderId="0" xfId="2" applyNumberFormat="1" applyFont="1" applyBorder="1"/>
    <xf numFmtId="10" fontId="0" fillId="0" borderId="7" xfId="2" applyNumberFormat="1" applyFont="1" applyBorder="1"/>
    <xf numFmtId="0" fontId="5" fillId="4" borderId="5" xfId="0" applyFont="1" applyFill="1" applyBorder="1" applyAlignment="1">
      <alignment horizontal="center"/>
    </xf>
    <xf numFmtId="173" fontId="0" fillId="0" borderId="8" xfId="0" applyNumberFormat="1" applyBorder="1"/>
    <xf numFmtId="164" fontId="1" fillId="0" borderId="5" xfId="1" applyNumberFormat="1" applyFont="1" applyBorder="1"/>
    <xf numFmtId="164" fontId="0" fillId="0" borderId="3" xfId="0" applyNumberFormat="1" applyBorder="1"/>
    <xf numFmtId="164" fontId="2" fillId="0" borderId="24" xfId="0" applyNumberFormat="1" applyFont="1" applyBorder="1"/>
    <xf numFmtId="165" fontId="1" fillId="0" borderId="3" xfId="2" applyNumberFormat="1" applyFont="1" applyBorder="1"/>
    <xf numFmtId="165" fontId="0" fillId="0" borderId="3" xfId="2" applyNumberFormat="1" applyFont="1" applyBorder="1"/>
    <xf numFmtId="164" fontId="9" fillId="0" borderId="0" xfId="1" applyNumberFormat="1" applyFont="1" applyAlignment="1">
      <alignment horizontal="center"/>
    </xf>
    <xf numFmtId="10" fontId="4" fillId="0" borderId="0" xfId="2" applyNumberFormat="1" applyFont="1" applyBorder="1" applyAlignment="1">
      <alignment horizontal="center"/>
    </xf>
    <xf numFmtId="43" fontId="4" fillId="0" borderId="0" xfId="1" applyFont="1" applyBorder="1" applyAlignment="1">
      <alignment horizontal="center"/>
    </xf>
    <xf numFmtId="164" fontId="4" fillId="0" borderId="5" xfId="1" applyNumberFormat="1" applyFont="1" applyBorder="1" applyAlignment="1">
      <alignment horizontal="right"/>
    </xf>
    <xf numFmtId="164" fontId="2" fillId="0" borderId="25" xfId="1" applyNumberFormat="1" applyFont="1" applyBorder="1"/>
    <xf numFmtId="167" fontId="0" fillId="0" borderId="11" xfId="3" applyNumberFormat="1" applyFont="1" applyBorder="1"/>
    <xf numFmtId="164" fontId="26" fillId="0" borderId="11" xfId="1" applyNumberFormat="1" applyFont="1" applyBorder="1" applyAlignment="1">
      <alignment horizontal="right"/>
    </xf>
    <xf numFmtId="10" fontId="4" fillId="0" borderId="4" xfId="2" applyNumberFormat="1" applyFont="1" applyBorder="1"/>
    <xf numFmtId="10" fontId="0" fillId="0" borderId="4" xfId="2" applyNumberFormat="1" applyFont="1" applyBorder="1"/>
    <xf numFmtId="164" fontId="0" fillId="0" borderId="11" xfId="1" applyNumberFormat="1" applyFont="1" applyBorder="1" applyAlignment="1">
      <alignment horizontal="right"/>
    </xf>
    <xf numFmtId="164" fontId="4" fillId="0" borderId="11" xfId="1" applyNumberFormat="1" applyFont="1" applyBorder="1" applyAlignment="1">
      <alignment horizontal="right"/>
    </xf>
    <xf numFmtId="10" fontId="0" fillId="0" borderId="6" xfId="2" applyNumberFormat="1" applyFont="1" applyBorder="1"/>
    <xf numFmtId="164" fontId="0" fillId="0" borderId="1" xfId="1" applyNumberFormat="1" applyFont="1" applyBorder="1"/>
    <xf numFmtId="164" fontId="4" fillId="0" borderId="4" xfId="1" applyNumberFormat="1" applyFont="1" applyBorder="1"/>
    <xf numFmtId="43" fontId="4" fillId="0" borderId="4" xfId="1" applyFont="1" applyBorder="1"/>
    <xf numFmtId="43" fontId="4" fillId="0" borderId="0" xfId="1" applyFont="1" applyBorder="1"/>
    <xf numFmtId="164" fontId="4" fillId="0" borderId="4" xfId="1" applyNumberFormat="1" applyFont="1" applyBorder="1" applyAlignment="1">
      <alignment horizontal="right"/>
    </xf>
    <xf numFmtId="164" fontId="4" fillId="0" borderId="0" xfId="1" applyNumberFormat="1" applyFont="1" applyBorder="1" applyAlignment="1">
      <alignment horizontal="right"/>
    </xf>
    <xf numFmtId="164" fontId="0" fillId="0" borderId="9" xfId="1" applyNumberFormat="1" applyFont="1" applyBorder="1" applyAlignment="1">
      <alignment horizontal="right"/>
    </xf>
    <xf numFmtId="164" fontId="0" fillId="0" borderId="10" xfId="1" applyNumberFormat="1" applyFont="1" applyBorder="1" applyAlignment="1">
      <alignment horizontal="right"/>
    </xf>
    <xf numFmtId="0" fontId="12" fillId="15" borderId="14" xfId="0" applyFont="1" applyFill="1" applyBorder="1" applyAlignment="1">
      <alignment horizontal="center" vertical="center" wrapText="1"/>
    </xf>
    <xf numFmtId="171" fontId="0" fillId="15" borderId="14" xfId="0" applyNumberFormat="1" applyFill="1" applyBorder="1"/>
    <xf numFmtId="171" fontId="0" fillId="0" borderId="0" xfId="0" applyNumberFormat="1" applyAlignment="1">
      <alignment wrapText="1"/>
    </xf>
    <xf numFmtId="10" fontId="4" fillId="0" borderId="2" xfId="2" applyNumberFormat="1" applyFont="1" applyBorder="1"/>
    <xf numFmtId="10" fontId="4" fillId="0" borderId="3" xfId="2" applyNumberFormat="1" applyFont="1" applyBorder="1"/>
    <xf numFmtId="164" fontId="4" fillId="0" borderId="7" xfId="1" applyNumberFormat="1" applyFont="1" applyBorder="1"/>
    <xf numFmtId="164" fontId="4" fillId="0" borderId="8" xfId="1" applyNumberFormat="1" applyFont="1" applyBorder="1"/>
    <xf numFmtId="164" fontId="10" fillId="0" borderId="3" xfId="1" applyNumberFormat="1" applyFont="1" applyBorder="1"/>
    <xf numFmtId="43" fontId="10" fillId="0" borderId="5" xfId="1" applyFont="1" applyBorder="1"/>
    <xf numFmtId="164" fontId="10" fillId="0" borderId="5" xfId="1" applyNumberFormat="1" applyFont="1" applyBorder="1" applyAlignment="1">
      <alignment horizontal="right"/>
    </xf>
    <xf numFmtId="10" fontId="10" fillId="0" borderId="5" xfId="2" applyNumberFormat="1" applyFont="1" applyBorder="1"/>
    <xf numFmtId="10" fontId="4" fillId="0" borderId="7" xfId="2" applyNumberFormat="1" applyFont="1" applyBorder="1"/>
    <xf numFmtId="10" fontId="4" fillId="0" borderId="8" xfId="2" applyNumberFormat="1" applyFont="1" applyBorder="1"/>
    <xf numFmtId="10" fontId="0" fillId="0" borderId="3" xfId="2" applyNumberFormat="1" applyFont="1" applyBorder="1"/>
    <xf numFmtId="10" fontId="0" fillId="0" borderId="0" xfId="0" applyNumberFormat="1"/>
    <xf numFmtId="10" fontId="9" fillId="0" borderId="14" xfId="2" applyNumberFormat="1" applyFont="1" applyBorder="1"/>
    <xf numFmtId="184" fontId="10" fillId="0" borderId="0" xfId="1" applyNumberFormat="1" applyFont="1"/>
    <xf numFmtId="43" fontId="0" fillId="0" borderId="0" xfId="1" applyFont="1" applyBorder="1"/>
    <xf numFmtId="43" fontId="10" fillId="0" borderId="0" xfId="1" applyFont="1" applyBorder="1" applyAlignment="1">
      <alignment horizontal="center"/>
    </xf>
    <xf numFmtId="43" fontId="2" fillId="0" borderId="10" xfId="0" applyNumberFormat="1" applyFont="1" applyBorder="1"/>
    <xf numFmtId="0" fontId="26" fillId="0" borderId="21" xfId="0" applyFont="1" applyBorder="1" applyAlignment="1">
      <alignment horizontal="center"/>
    </xf>
    <xf numFmtId="164" fontId="9" fillId="0" borderId="0" xfId="1" applyNumberFormat="1" applyFont="1"/>
    <xf numFmtId="43" fontId="0" fillId="0" borderId="7" xfId="1" applyFont="1" applyBorder="1"/>
    <xf numFmtId="43" fontId="4" fillId="0" borderId="7" xfId="1" applyFont="1" applyFill="1" applyBorder="1" applyAlignment="1">
      <alignment horizontal="center"/>
    </xf>
    <xf numFmtId="43" fontId="4" fillId="0" borderId="0" xfId="1" applyFont="1" applyFill="1" applyBorder="1"/>
    <xf numFmtId="0" fontId="4" fillId="0" borderId="5" xfId="0" applyFont="1" applyBorder="1"/>
    <xf numFmtId="185" fontId="4" fillId="0" borderId="8" xfId="3" applyNumberFormat="1" applyFont="1" applyBorder="1"/>
    <xf numFmtId="10" fontId="4" fillId="10" borderId="11" xfId="0" applyNumberFormat="1" applyFont="1" applyFill="1" applyBorder="1"/>
    <xf numFmtId="167" fontId="4" fillId="0" borderId="5" xfId="0" applyNumberFormat="1" applyFont="1" applyBorder="1"/>
    <xf numFmtId="167" fontId="4" fillId="0" borderId="8" xfId="0" applyNumberFormat="1" applyFont="1" applyBorder="1"/>
    <xf numFmtId="0" fontId="0" fillId="0" borderId="11" xfId="0" applyBorder="1" applyAlignment="1">
      <alignment horizontal="right"/>
    </xf>
    <xf numFmtId="164" fontId="0" fillId="0" borderId="4" xfId="0" applyNumberFormat="1" applyBorder="1"/>
    <xf numFmtId="164" fontId="1" fillId="0" borderId="4" xfId="1" applyNumberFormat="1" applyFont="1" applyBorder="1"/>
    <xf numFmtId="164" fontId="0" fillId="0" borderId="1" xfId="0" applyNumberFormat="1" applyBorder="1"/>
    <xf numFmtId="0" fontId="0" fillId="0" borderId="4" xfId="0" applyFill="1" applyBorder="1"/>
  </cellXfs>
  <cellStyles count="5">
    <cellStyle name="Comma" xfId="1" builtinId="3"/>
    <cellStyle name="Currency" xfId="3" builtinId="4"/>
    <cellStyle name="Hyperlink" xfId="4" builtinId="8"/>
    <cellStyle name="Normal" xfId="0" builtinId="0"/>
    <cellStyle name="Percent" xfId="2" builtinId="5"/>
  </cellStyles>
  <dxfs count="3">
    <dxf>
      <font>
        <color theme="2" tint="-9.9948118533890809E-2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BB1573FC-08C2-486F-8418-BBC1057943C1}"/>
  </tableStyles>
  <colors>
    <mruColors>
      <color rgb="FF0000FF"/>
      <color rgb="FF3333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068333333333333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Draws_Module!$D$27</c:f>
              <c:strCache>
                <c:ptCount val="1"/>
                <c:pt idx="0">
                  <c:v>% Used (normalized)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Draws_Module!$A$28:$A$87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Draws_Module!$D$28:$D$87</c:f>
              <c:numCache>
                <c:formatCode>0.0%</c:formatCode>
                <c:ptCount val="60"/>
                <c:pt idx="0">
                  <c:v>2.6715258773286801E-2</c:v>
                </c:pt>
                <c:pt idx="1">
                  <c:v>3.2508425427918396E-2</c:v>
                </c:pt>
                <c:pt idx="2">
                  <c:v>3.9039616688217892E-2</c:v>
                </c:pt>
                <c:pt idx="3">
                  <c:v>4.6147341288082788E-2</c:v>
                </c:pt>
                <c:pt idx="4">
                  <c:v>5.3540257533841347E-2</c:v>
                </c:pt>
                <c:pt idx="5">
                  <c:v>6.0788578566292349E-2</c:v>
                </c:pt>
                <c:pt idx="6">
                  <c:v>6.7346529807441533E-2</c:v>
                </c:pt>
                <c:pt idx="7">
                  <c:v>7.261508580010366E-2</c:v>
                </c:pt>
                <c:pt idx="8">
                  <c:v>7.6041126843107348E-2</c:v>
                </c:pt>
                <c:pt idx="9">
                  <c:v>7.7230817316702643E-2</c:v>
                </c:pt>
                <c:pt idx="10">
                  <c:v>7.604112684310721E-2</c:v>
                </c:pt>
                <c:pt idx="11">
                  <c:v>7.261508580010366E-2</c:v>
                </c:pt>
                <c:pt idx="12">
                  <c:v>6.7346529807441602E-2</c:v>
                </c:pt>
                <c:pt idx="13">
                  <c:v>6.0788578566292314E-2</c:v>
                </c:pt>
                <c:pt idx="14">
                  <c:v>5.3540257533841451E-2</c:v>
                </c:pt>
                <c:pt idx="15">
                  <c:v>4.6147341288082823E-2</c:v>
                </c:pt>
                <c:pt idx="16">
                  <c:v>3.9039616688217649E-2</c:v>
                </c:pt>
                <c:pt idx="17">
                  <c:v>3.250842542791841E-2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2A-404B-BB99-663DDCE54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1809663"/>
        <c:axId val="851810623"/>
      </c:lineChart>
      <c:catAx>
        <c:axId val="85180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810623"/>
        <c:crosses val="autoZero"/>
        <c:auto val="1"/>
        <c:lblAlgn val="ctr"/>
        <c:lblOffset val="100"/>
        <c:noMultiLvlLbl val="0"/>
      </c:catAx>
      <c:valAx>
        <c:axId val="85181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809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1181100</xdr:colOff>
      <xdr:row>29</xdr:row>
      <xdr:rowOff>114300</xdr:rowOff>
    </xdr:from>
    <xdr:to>
      <xdr:col>10</xdr:col>
      <xdr:colOff>295275</xdr:colOff>
      <xdr:row>46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C42B08-FE62-7080-7B9A-0C37363CE0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shra.org/housing-choice-voucher-program/" TargetMode="External"/><Relationship Id="rId21" Type="http://schemas.openxmlformats.org/officeDocument/2006/relationships/hyperlink" Target="https://hacla.org/sites/default/files/Section%208/Utility%20Allowances/Utility%20Allowance%20Effective%202024-12-01.pdf" TargetMode="External"/><Relationship Id="rId42" Type="http://schemas.openxmlformats.org/officeDocument/2006/relationships/hyperlink" Target="https://www.sandiegocounty.gov/content/dam/sdc/sdhcd/new-docs/Rental_assistance/Utility_Allowance_Schedule_HUD_52667_03-2025.pdf" TargetMode="External"/><Relationship Id="rId63" Type="http://schemas.openxmlformats.org/officeDocument/2006/relationships/hyperlink" Target="https://www.oakha.org/propertyowners/paymentstandards/" TargetMode="External"/><Relationship Id="rId84" Type="http://schemas.openxmlformats.org/officeDocument/2006/relationships/hyperlink" Target="https://www.ochousing.org/sites/ocha/files/2025-10/2026%20Utility%20Allowance%20Schedule%20-%20Public%20Use.pdf" TargetMode="External"/><Relationship Id="rId138" Type="http://schemas.openxmlformats.org/officeDocument/2006/relationships/hyperlink" Target="https://www.shra.org/housing-choice-voucher-program/" TargetMode="External"/><Relationship Id="rId159" Type="http://schemas.openxmlformats.org/officeDocument/2006/relationships/hyperlink" Target="https://www.shra.org/housing-choice-voucher-program/" TargetMode="External"/><Relationship Id="rId170" Type="http://schemas.openxmlformats.org/officeDocument/2006/relationships/hyperlink" Target="https://sdhc.org/wp-content/uploads/2022/Utility-Allowance-Chart.pdf" TargetMode="External"/><Relationship Id="rId107" Type="http://schemas.openxmlformats.org/officeDocument/2006/relationships/hyperlink" Target="https://www.shra.org/housing-choice-voucher-program/" TargetMode="External"/><Relationship Id="rId11" Type="http://schemas.openxmlformats.org/officeDocument/2006/relationships/hyperlink" Target="https://hacla.org/sites/default/files/Section%208/Utility%20Allowances/Utility%20Allowance%20Effective%202024-12-01.pdf" TargetMode="External"/><Relationship Id="rId32" Type="http://schemas.openxmlformats.org/officeDocument/2006/relationships/hyperlink" Target="https://www.sandiegocounty.gov/content/dam/sdc/sdhcd/new-docs/Rental_assistance/Utility_Allowance_Schedule_HUD_52667_03-2025.pdf" TargetMode="External"/><Relationship Id="rId53" Type="http://schemas.openxmlformats.org/officeDocument/2006/relationships/hyperlink" Target="https://www.oakha.org/propertyowners/paymentstandards/" TargetMode="External"/><Relationship Id="rId74" Type="http://schemas.openxmlformats.org/officeDocument/2006/relationships/hyperlink" Target="https://www.oakha.org/propertyowners/paymentstandards/" TargetMode="External"/><Relationship Id="rId128" Type="http://schemas.openxmlformats.org/officeDocument/2006/relationships/hyperlink" Target="https://www.shra.org/housing-choice-voucher-program/" TargetMode="External"/><Relationship Id="rId149" Type="http://schemas.openxmlformats.org/officeDocument/2006/relationships/hyperlink" Target="https://www.shra.org/housing-choice-voucher-program/" TargetMode="External"/><Relationship Id="rId5" Type="http://schemas.openxmlformats.org/officeDocument/2006/relationships/hyperlink" Target="https://hacla.org/sites/default/files/Section%208/Utility%20Allowances/Utility%20Allowance%20Effective%202024-12-01.pdf" TargetMode="External"/><Relationship Id="rId95" Type="http://schemas.openxmlformats.org/officeDocument/2006/relationships/hyperlink" Target="https://www.ochousing.org/sites/ocha/files/2025-10/2026%20Utility%20Allowance%20Schedule%20-%20Public%20Use.pdf" TargetMode="External"/><Relationship Id="rId160" Type="http://schemas.openxmlformats.org/officeDocument/2006/relationships/hyperlink" Target="https://www.shra.org/housing-choice-voucher-program/" TargetMode="External"/><Relationship Id="rId181" Type="http://schemas.openxmlformats.org/officeDocument/2006/relationships/hyperlink" Target="https://sdhc.org/wp-content/uploads/2022/Utility-Allowance-Chart.pdf" TargetMode="External"/><Relationship Id="rId22" Type="http://schemas.openxmlformats.org/officeDocument/2006/relationships/hyperlink" Target="https://hacla.org/sites/default/files/Section%208/Utility%20Allowances/Utility%20Allowance%20Effective%202024-12-01.pdf" TargetMode="External"/><Relationship Id="rId43" Type="http://schemas.openxmlformats.org/officeDocument/2006/relationships/hyperlink" Target="https://www.sandiegocounty.gov/content/dam/sdc/sdhcd/new-docs/Rental_assistance/Utility_Allowance_Schedule_HUD_52667_03-2025.pdf" TargetMode="External"/><Relationship Id="rId64" Type="http://schemas.openxmlformats.org/officeDocument/2006/relationships/hyperlink" Target="https://www.oakha.org/propertyowners/paymentstandards/" TargetMode="External"/><Relationship Id="rId118" Type="http://schemas.openxmlformats.org/officeDocument/2006/relationships/hyperlink" Target="https://www.shra.org/housing-choice-voucher-program/" TargetMode="External"/><Relationship Id="rId139" Type="http://schemas.openxmlformats.org/officeDocument/2006/relationships/hyperlink" Target="https://www.shra.org/housing-choice-voucher-program/" TargetMode="External"/><Relationship Id="rId85" Type="http://schemas.openxmlformats.org/officeDocument/2006/relationships/hyperlink" Target="https://www.ochousing.org/sites/ocha/files/2025-10/2026%20Utility%20Allowance%20Schedule%20-%20Public%20Use.pdf" TargetMode="External"/><Relationship Id="rId150" Type="http://schemas.openxmlformats.org/officeDocument/2006/relationships/hyperlink" Target="https://www.shra.org/housing-choice-voucher-program/" TargetMode="External"/><Relationship Id="rId171" Type="http://schemas.openxmlformats.org/officeDocument/2006/relationships/hyperlink" Target="https://sdhc.org/wp-content/uploads/2022/Utility-Allowance-Chart.pdf" TargetMode="External"/><Relationship Id="rId12" Type="http://schemas.openxmlformats.org/officeDocument/2006/relationships/hyperlink" Target="https://hacla.org/sites/default/files/Section%208/Utility%20Allowances/Utility%20Allowance%20Effective%202024-12-01.pdf" TargetMode="External"/><Relationship Id="rId33" Type="http://schemas.openxmlformats.org/officeDocument/2006/relationships/hyperlink" Target="https://www.sandiegocounty.gov/content/dam/sdc/sdhcd/new-docs/Rental_assistance/Utility_Allowance_Schedule_HUD_52667_03-2025.pdf" TargetMode="External"/><Relationship Id="rId108" Type="http://schemas.openxmlformats.org/officeDocument/2006/relationships/hyperlink" Target="https://www.shra.org/housing-choice-voucher-program/" TargetMode="External"/><Relationship Id="rId129" Type="http://schemas.openxmlformats.org/officeDocument/2006/relationships/hyperlink" Target="https://www.shra.org/housing-choice-voucher-program/" TargetMode="External"/><Relationship Id="rId54" Type="http://schemas.openxmlformats.org/officeDocument/2006/relationships/hyperlink" Target="https://www.oakha.org/propertyowners/paymentstandards/" TargetMode="External"/><Relationship Id="rId75" Type="http://schemas.openxmlformats.org/officeDocument/2006/relationships/hyperlink" Target="https://www.oakha.org/propertyowners/paymentstandards/" TargetMode="External"/><Relationship Id="rId96" Type="http://schemas.openxmlformats.org/officeDocument/2006/relationships/hyperlink" Target="https://www.ochousing.org/sites/ocha/files/2025-10/2026%20Utility%20Allowance%20Schedule%20-%20Public%20Use.pdf" TargetMode="External"/><Relationship Id="rId140" Type="http://schemas.openxmlformats.org/officeDocument/2006/relationships/hyperlink" Target="https://www.shra.org/housing-choice-voucher-program/" TargetMode="External"/><Relationship Id="rId161" Type="http://schemas.openxmlformats.org/officeDocument/2006/relationships/hyperlink" Target="https://www.shra.org/housing-choice-voucher-program/" TargetMode="External"/><Relationship Id="rId182" Type="http://schemas.openxmlformats.org/officeDocument/2006/relationships/hyperlink" Target="https://sdhc.org/wp-content/uploads/2022/Utility-Allowance-Chart.pdf" TargetMode="External"/><Relationship Id="rId6" Type="http://schemas.openxmlformats.org/officeDocument/2006/relationships/hyperlink" Target="https://hacla.org/sites/default/files/Section%208/Utility%20Allowances/Utility%20Allowance%20Effective%202024-12-01.pdf" TargetMode="External"/><Relationship Id="rId23" Type="http://schemas.openxmlformats.org/officeDocument/2006/relationships/hyperlink" Target="https://hacla.org/sites/default/files/Section%208/Utility%20Allowances/Utility%20Allowance%20Effective%202024-12-01.pdf" TargetMode="External"/><Relationship Id="rId119" Type="http://schemas.openxmlformats.org/officeDocument/2006/relationships/hyperlink" Target="https://www.shra.org/housing-choice-voucher-program/" TargetMode="External"/><Relationship Id="rId44" Type="http://schemas.openxmlformats.org/officeDocument/2006/relationships/hyperlink" Target="https://www.sandiegocounty.gov/content/dam/sdc/sdhcd/new-docs/Rental_assistance/Utility_Allowance_Schedule_HUD_52667_03-2025.pdf" TargetMode="External"/><Relationship Id="rId65" Type="http://schemas.openxmlformats.org/officeDocument/2006/relationships/hyperlink" Target="https://www.oakha.org/propertyowners/paymentstandards/" TargetMode="External"/><Relationship Id="rId86" Type="http://schemas.openxmlformats.org/officeDocument/2006/relationships/hyperlink" Target="https://www.ochousing.org/sites/ocha/files/2025-10/2026%20Utility%20Allowance%20Schedule%20-%20Public%20Use.pdf" TargetMode="External"/><Relationship Id="rId130" Type="http://schemas.openxmlformats.org/officeDocument/2006/relationships/hyperlink" Target="https://www.shra.org/housing-choice-voucher-program/" TargetMode="External"/><Relationship Id="rId151" Type="http://schemas.openxmlformats.org/officeDocument/2006/relationships/hyperlink" Target="https://www.shra.org/housing-choice-voucher-program/" TargetMode="External"/><Relationship Id="rId172" Type="http://schemas.openxmlformats.org/officeDocument/2006/relationships/hyperlink" Target="https://sdhc.org/wp-content/uploads/2022/Utility-Allowance-Chart.pdf" TargetMode="External"/><Relationship Id="rId13" Type="http://schemas.openxmlformats.org/officeDocument/2006/relationships/hyperlink" Target="https://hacla.org/sites/default/files/Section%208/Utility%20Allowances/Utility%20Allowance%20Effective%202024-12-01.pdf" TargetMode="External"/><Relationship Id="rId18" Type="http://schemas.openxmlformats.org/officeDocument/2006/relationships/hyperlink" Target="https://hacla.org/sites/default/files/Section%208/Utility%20Allowances/Utility%20Allowance%20Effective%202024-12-01.pdf" TargetMode="External"/><Relationship Id="rId39" Type="http://schemas.openxmlformats.org/officeDocument/2006/relationships/hyperlink" Target="https://www.sandiegocounty.gov/content/dam/sdc/sdhcd/new-docs/Rental_assistance/Utility_Allowance_Schedule_HUD_52667_03-2025.pdf" TargetMode="External"/><Relationship Id="rId109" Type="http://schemas.openxmlformats.org/officeDocument/2006/relationships/hyperlink" Target="https://www.shra.org/housing-choice-voucher-program/" TargetMode="External"/><Relationship Id="rId34" Type="http://schemas.openxmlformats.org/officeDocument/2006/relationships/hyperlink" Target="https://www.sandiegocounty.gov/content/dam/sdc/sdhcd/new-docs/Rental_assistance/Utility_Allowance_Schedule_HUD_52667_03-2025.pdf" TargetMode="External"/><Relationship Id="rId50" Type="http://schemas.openxmlformats.org/officeDocument/2006/relationships/hyperlink" Target="https://www.sandiegocounty.gov/content/dam/sdc/sdhcd/new-docs/Rental_assistance/Utility_Allowance_Schedule_HUD_52667_03-2025.pdf" TargetMode="External"/><Relationship Id="rId55" Type="http://schemas.openxmlformats.org/officeDocument/2006/relationships/hyperlink" Target="https://www.oakha.org/propertyowners/paymentstandards/" TargetMode="External"/><Relationship Id="rId76" Type="http://schemas.openxmlformats.org/officeDocument/2006/relationships/hyperlink" Target="https://www.oakha.org/propertyowners/paymentstandards/" TargetMode="External"/><Relationship Id="rId97" Type="http://schemas.openxmlformats.org/officeDocument/2006/relationships/hyperlink" Target="https://www.ochousing.org/sites/ocha/files/2025-10/2026%20Utility%20Allowance%20Schedule%20-%20Public%20Use.pdf" TargetMode="External"/><Relationship Id="rId104" Type="http://schemas.openxmlformats.org/officeDocument/2006/relationships/hyperlink" Target="https://www.ochousing.org/sites/ocha/files/2025-10/2026%20Utility%20Allowance%20Schedule%20-%20Public%20Use.pdf" TargetMode="External"/><Relationship Id="rId120" Type="http://schemas.openxmlformats.org/officeDocument/2006/relationships/hyperlink" Target="https://www.shra.org/housing-choice-voucher-program/" TargetMode="External"/><Relationship Id="rId125" Type="http://schemas.openxmlformats.org/officeDocument/2006/relationships/hyperlink" Target="https://www.shra.org/housing-choice-voucher-program/" TargetMode="External"/><Relationship Id="rId141" Type="http://schemas.openxmlformats.org/officeDocument/2006/relationships/hyperlink" Target="https://www.shra.org/housing-choice-voucher-program/" TargetMode="External"/><Relationship Id="rId146" Type="http://schemas.openxmlformats.org/officeDocument/2006/relationships/hyperlink" Target="https://www.shra.org/housing-choice-voucher-program/" TargetMode="External"/><Relationship Id="rId167" Type="http://schemas.openxmlformats.org/officeDocument/2006/relationships/hyperlink" Target="https://sdhc.org/wp-content/uploads/2022/Utility-Allowance-Chart.pdf" TargetMode="External"/><Relationship Id="rId7" Type="http://schemas.openxmlformats.org/officeDocument/2006/relationships/hyperlink" Target="https://hacla.org/sites/default/files/Section%208/Utility%20Allowances/Utility%20Allowance%20Effective%202024-12-01.pdf" TargetMode="External"/><Relationship Id="rId71" Type="http://schemas.openxmlformats.org/officeDocument/2006/relationships/hyperlink" Target="https://www.oakha.org/propertyowners/paymentstandards/" TargetMode="External"/><Relationship Id="rId92" Type="http://schemas.openxmlformats.org/officeDocument/2006/relationships/hyperlink" Target="https://www.ochousing.org/sites/ocha/files/2025-10/2026%20Utility%20Allowance%20Schedule%20-%20Public%20Use.pdf" TargetMode="External"/><Relationship Id="rId162" Type="http://schemas.openxmlformats.org/officeDocument/2006/relationships/hyperlink" Target="https://www.shra.org/housing-choice-voucher-program/" TargetMode="External"/><Relationship Id="rId183" Type="http://schemas.openxmlformats.org/officeDocument/2006/relationships/hyperlink" Target="https://sdhc.org/wp-content/uploads/2022/Utility-Allowance-Chart.pdf" TargetMode="External"/><Relationship Id="rId2" Type="http://schemas.openxmlformats.org/officeDocument/2006/relationships/hyperlink" Target="https://hacla.org/sites/default/files/Section%208/Utility%20Allowances/Utility%20Allowance%20Effective%202024-12-01.pdf" TargetMode="External"/><Relationship Id="rId29" Type="http://schemas.openxmlformats.org/officeDocument/2006/relationships/hyperlink" Target="https://www.sandiegocounty.gov/content/dam/sdc/sdhcd/new-docs/Rental_assistance/Utility_Allowance_Schedule_HUD_52667_03-2025.pdf" TargetMode="External"/><Relationship Id="rId24" Type="http://schemas.openxmlformats.org/officeDocument/2006/relationships/hyperlink" Target="https://hacla.org/sites/default/files/Section%208/Utility%20Allowances/Utility%20Allowance%20Effective%202024-12-01.pdf" TargetMode="External"/><Relationship Id="rId40" Type="http://schemas.openxmlformats.org/officeDocument/2006/relationships/hyperlink" Target="https://www.sandiegocounty.gov/content/dam/sdc/sdhcd/new-docs/Rental_assistance/Utility_Allowance_Schedule_HUD_52667_03-2025.pdf" TargetMode="External"/><Relationship Id="rId45" Type="http://schemas.openxmlformats.org/officeDocument/2006/relationships/hyperlink" Target="https://www.sandiegocounty.gov/content/dam/sdc/sdhcd/new-docs/Rental_assistance/Utility_Allowance_Schedule_HUD_52667_03-2025.pdf" TargetMode="External"/><Relationship Id="rId66" Type="http://schemas.openxmlformats.org/officeDocument/2006/relationships/hyperlink" Target="https://www.oakha.org/propertyowners/paymentstandards/" TargetMode="External"/><Relationship Id="rId87" Type="http://schemas.openxmlformats.org/officeDocument/2006/relationships/hyperlink" Target="https://www.ochousing.org/sites/ocha/files/2025-10/2026%20Utility%20Allowance%20Schedule%20-%20Public%20Use.pdf" TargetMode="External"/><Relationship Id="rId110" Type="http://schemas.openxmlformats.org/officeDocument/2006/relationships/hyperlink" Target="https://www.shra.org/housing-choice-voucher-program/" TargetMode="External"/><Relationship Id="rId115" Type="http://schemas.openxmlformats.org/officeDocument/2006/relationships/hyperlink" Target="https://www.shra.org/housing-choice-voucher-program/" TargetMode="External"/><Relationship Id="rId131" Type="http://schemas.openxmlformats.org/officeDocument/2006/relationships/hyperlink" Target="https://www.shra.org/housing-choice-voucher-program/" TargetMode="External"/><Relationship Id="rId136" Type="http://schemas.openxmlformats.org/officeDocument/2006/relationships/hyperlink" Target="https://www.shra.org/housing-choice-voucher-program/" TargetMode="External"/><Relationship Id="rId157" Type="http://schemas.openxmlformats.org/officeDocument/2006/relationships/hyperlink" Target="https://www.shra.org/housing-choice-voucher-program/" TargetMode="External"/><Relationship Id="rId178" Type="http://schemas.openxmlformats.org/officeDocument/2006/relationships/hyperlink" Target="https://sdhc.org/wp-content/uploads/2022/Utility-Allowance-Chart.pdf" TargetMode="External"/><Relationship Id="rId61" Type="http://schemas.openxmlformats.org/officeDocument/2006/relationships/hyperlink" Target="https://www.oakha.org/propertyowners/paymentstandards/" TargetMode="External"/><Relationship Id="rId82" Type="http://schemas.openxmlformats.org/officeDocument/2006/relationships/hyperlink" Target="https://www.ochousing.org/sites/ocha/files/2025-10/2026%20Utility%20Allowance%20Schedule%20-%20Public%20Use.pdf" TargetMode="External"/><Relationship Id="rId152" Type="http://schemas.openxmlformats.org/officeDocument/2006/relationships/hyperlink" Target="https://www.shra.org/housing-choice-voucher-program/" TargetMode="External"/><Relationship Id="rId173" Type="http://schemas.openxmlformats.org/officeDocument/2006/relationships/hyperlink" Target="https://sdhc.org/wp-content/uploads/2022/Utility-Allowance-Chart.pdf" TargetMode="External"/><Relationship Id="rId19" Type="http://schemas.openxmlformats.org/officeDocument/2006/relationships/hyperlink" Target="https://hacla.org/sites/default/files/Section%208/Utility%20Allowances/Utility%20Allowance%20Effective%202024-12-01.pdf" TargetMode="External"/><Relationship Id="rId14" Type="http://schemas.openxmlformats.org/officeDocument/2006/relationships/hyperlink" Target="https://hacla.org/sites/default/files/Section%208/Utility%20Allowances/Utility%20Allowance%20Effective%202024-12-01.pdf" TargetMode="External"/><Relationship Id="rId30" Type="http://schemas.openxmlformats.org/officeDocument/2006/relationships/hyperlink" Target="https://www.sandiegocounty.gov/content/dam/sdc/sdhcd/new-docs/Rental_assistance/Utility_Allowance_Schedule_HUD_52667_03-2025.pdf" TargetMode="External"/><Relationship Id="rId35" Type="http://schemas.openxmlformats.org/officeDocument/2006/relationships/hyperlink" Target="https://www.sandiegocounty.gov/content/dam/sdc/sdhcd/new-docs/Rental_assistance/Utility_Allowance_Schedule_HUD_52667_03-2025.pdf" TargetMode="External"/><Relationship Id="rId56" Type="http://schemas.openxmlformats.org/officeDocument/2006/relationships/hyperlink" Target="https://www.oakha.org/propertyowners/paymentstandards/" TargetMode="External"/><Relationship Id="rId77" Type="http://schemas.openxmlformats.org/officeDocument/2006/relationships/hyperlink" Target="https://www.oakha.org/propertyowners/paymentstandards/" TargetMode="External"/><Relationship Id="rId100" Type="http://schemas.openxmlformats.org/officeDocument/2006/relationships/hyperlink" Target="https://www.ochousing.org/sites/ocha/files/2025-10/2026%20Utility%20Allowance%20Schedule%20-%20Public%20Use.pdf" TargetMode="External"/><Relationship Id="rId105" Type="http://schemas.openxmlformats.org/officeDocument/2006/relationships/hyperlink" Target="https://www.shra.org/housing-choice-voucher-program/" TargetMode="External"/><Relationship Id="rId126" Type="http://schemas.openxmlformats.org/officeDocument/2006/relationships/hyperlink" Target="https://www.shra.org/housing-choice-voucher-program/" TargetMode="External"/><Relationship Id="rId147" Type="http://schemas.openxmlformats.org/officeDocument/2006/relationships/hyperlink" Target="https://www.shra.org/housing-choice-voucher-program/" TargetMode="External"/><Relationship Id="rId168" Type="http://schemas.openxmlformats.org/officeDocument/2006/relationships/hyperlink" Target="https://sdhc.org/wp-content/uploads/2022/Utility-Allowance-Chart.pdf" TargetMode="External"/><Relationship Id="rId8" Type="http://schemas.openxmlformats.org/officeDocument/2006/relationships/hyperlink" Target="https://hacla.org/sites/default/files/Section%208/Utility%20Allowances/Utility%20Allowance%20Effective%202024-12-01.pdf" TargetMode="External"/><Relationship Id="rId51" Type="http://schemas.openxmlformats.org/officeDocument/2006/relationships/hyperlink" Target="https://www.sandiegocounty.gov/content/dam/sdc/sdhcd/new-docs/Rental_assistance/Utility_Allowance_Schedule_HUD_52667_03-2025.pdf" TargetMode="External"/><Relationship Id="rId72" Type="http://schemas.openxmlformats.org/officeDocument/2006/relationships/hyperlink" Target="https://www.oakha.org/propertyowners/paymentstandards/" TargetMode="External"/><Relationship Id="rId93" Type="http://schemas.openxmlformats.org/officeDocument/2006/relationships/hyperlink" Target="https://www.ochousing.org/sites/ocha/files/2025-10/2026%20Utility%20Allowance%20Schedule%20-%20Public%20Use.pdf" TargetMode="External"/><Relationship Id="rId98" Type="http://schemas.openxmlformats.org/officeDocument/2006/relationships/hyperlink" Target="https://www.ochousing.org/sites/ocha/files/2025-10/2026%20Utility%20Allowance%20Schedule%20-%20Public%20Use.pdf" TargetMode="External"/><Relationship Id="rId121" Type="http://schemas.openxmlformats.org/officeDocument/2006/relationships/hyperlink" Target="https://www.shra.org/housing-choice-voucher-program/" TargetMode="External"/><Relationship Id="rId142" Type="http://schemas.openxmlformats.org/officeDocument/2006/relationships/hyperlink" Target="https://www.shra.org/housing-choice-voucher-program/" TargetMode="External"/><Relationship Id="rId163" Type="http://schemas.openxmlformats.org/officeDocument/2006/relationships/hyperlink" Target="https://sdhc.org/wp-content/uploads/2022/Utility-Allowance-Chart.pdf" TargetMode="External"/><Relationship Id="rId184" Type="http://schemas.openxmlformats.org/officeDocument/2006/relationships/hyperlink" Target="https://sdhc.org/wp-content/uploads/2022/Utility-Allowance-Chart.pdf" TargetMode="External"/><Relationship Id="rId3" Type="http://schemas.openxmlformats.org/officeDocument/2006/relationships/hyperlink" Target="https://hacla.org/sites/default/files/Section%208/Utility%20Allowances/Utility%20Allowance%20Effective%202024-12-01.pdf" TargetMode="External"/><Relationship Id="rId25" Type="http://schemas.openxmlformats.org/officeDocument/2006/relationships/hyperlink" Target="https://hacla.org/sites/default/files/Section%208/Utility%20Allowances/Utility%20Allowance%20Effective%202024-12-01.pdf" TargetMode="External"/><Relationship Id="rId46" Type="http://schemas.openxmlformats.org/officeDocument/2006/relationships/hyperlink" Target="https://www.sandiegocounty.gov/content/dam/sdc/sdhcd/new-docs/Rental_assistance/Utility_Allowance_Schedule_HUD_52667_03-2025.pdf" TargetMode="External"/><Relationship Id="rId67" Type="http://schemas.openxmlformats.org/officeDocument/2006/relationships/hyperlink" Target="https://www.oakha.org/propertyowners/paymentstandards/" TargetMode="External"/><Relationship Id="rId116" Type="http://schemas.openxmlformats.org/officeDocument/2006/relationships/hyperlink" Target="https://www.shra.org/housing-choice-voucher-program/" TargetMode="External"/><Relationship Id="rId137" Type="http://schemas.openxmlformats.org/officeDocument/2006/relationships/hyperlink" Target="https://www.shra.org/housing-choice-voucher-program/" TargetMode="External"/><Relationship Id="rId158" Type="http://schemas.openxmlformats.org/officeDocument/2006/relationships/hyperlink" Target="https://www.shra.org/housing-choice-voucher-program/" TargetMode="External"/><Relationship Id="rId20" Type="http://schemas.openxmlformats.org/officeDocument/2006/relationships/hyperlink" Target="https://hacla.org/sites/default/files/Section%208/Utility%20Allowances/Utility%20Allowance%20Effective%202024-12-01.pdf" TargetMode="External"/><Relationship Id="rId41" Type="http://schemas.openxmlformats.org/officeDocument/2006/relationships/hyperlink" Target="https://www.sandiegocounty.gov/content/dam/sdc/sdhcd/new-docs/Rental_assistance/Utility_Allowance_Schedule_HUD_52667_03-2025.pdf" TargetMode="External"/><Relationship Id="rId62" Type="http://schemas.openxmlformats.org/officeDocument/2006/relationships/hyperlink" Target="https://www.oakha.org/propertyowners/paymentstandards/" TargetMode="External"/><Relationship Id="rId83" Type="http://schemas.openxmlformats.org/officeDocument/2006/relationships/hyperlink" Target="https://www.ochousing.org/sites/ocha/files/2025-10/2026%20Utility%20Allowance%20Schedule%20-%20Public%20Use.pdf" TargetMode="External"/><Relationship Id="rId88" Type="http://schemas.openxmlformats.org/officeDocument/2006/relationships/hyperlink" Target="https://www.ochousing.org/sites/ocha/files/2025-10/2026%20Utility%20Allowance%20Schedule%20-%20Public%20Use.pdf" TargetMode="External"/><Relationship Id="rId111" Type="http://schemas.openxmlformats.org/officeDocument/2006/relationships/hyperlink" Target="https://www.shra.org/housing-choice-voucher-program/" TargetMode="External"/><Relationship Id="rId132" Type="http://schemas.openxmlformats.org/officeDocument/2006/relationships/hyperlink" Target="https://www.shra.org/housing-choice-voucher-program/" TargetMode="External"/><Relationship Id="rId153" Type="http://schemas.openxmlformats.org/officeDocument/2006/relationships/hyperlink" Target="https://www.shra.org/housing-choice-voucher-program/" TargetMode="External"/><Relationship Id="rId174" Type="http://schemas.openxmlformats.org/officeDocument/2006/relationships/hyperlink" Target="https://sdhc.org/wp-content/uploads/2022/Utility-Allowance-Chart.pdf" TargetMode="External"/><Relationship Id="rId179" Type="http://schemas.openxmlformats.org/officeDocument/2006/relationships/hyperlink" Target="https://sdhc.org/wp-content/uploads/2022/Utility-Allowance-Chart.pdf" TargetMode="External"/><Relationship Id="rId15" Type="http://schemas.openxmlformats.org/officeDocument/2006/relationships/hyperlink" Target="https://hacla.org/sites/default/files/Section%208/Utility%20Allowances/Utility%20Allowance%20Effective%202024-12-01.pdf" TargetMode="External"/><Relationship Id="rId36" Type="http://schemas.openxmlformats.org/officeDocument/2006/relationships/hyperlink" Target="https://www.sandiegocounty.gov/content/dam/sdc/sdhcd/new-docs/Rental_assistance/Utility_Allowance_Schedule_HUD_52667_03-2025.pdf" TargetMode="External"/><Relationship Id="rId57" Type="http://schemas.openxmlformats.org/officeDocument/2006/relationships/hyperlink" Target="https://www.oakha.org/propertyowners/paymentstandards/" TargetMode="External"/><Relationship Id="rId106" Type="http://schemas.openxmlformats.org/officeDocument/2006/relationships/hyperlink" Target="https://www.shra.org/housing-choice-voucher-program/" TargetMode="External"/><Relationship Id="rId127" Type="http://schemas.openxmlformats.org/officeDocument/2006/relationships/hyperlink" Target="https://www.shra.org/housing-choice-voucher-program/" TargetMode="External"/><Relationship Id="rId10" Type="http://schemas.openxmlformats.org/officeDocument/2006/relationships/hyperlink" Target="https://hacla.org/sites/default/files/Section%208/Utility%20Allowances/Utility%20Allowance%20Effective%202024-12-01.pdf" TargetMode="External"/><Relationship Id="rId31" Type="http://schemas.openxmlformats.org/officeDocument/2006/relationships/hyperlink" Target="https://www.sandiegocounty.gov/content/dam/sdc/sdhcd/new-docs/Rental_assistance/Utility_Allowance_Schedule_HUD_52667_03-2025.pdf" TargetMode="External"/><Relationship Id="rId52" Type="http://schemas.openxmlformats.org/officeDocument/2006/relationships/hyperlink" Target="https://www.oakha.org/propertyowners/paymentstandards/" TargetMode="External"/><Relationship Id="rId73" Type="http://schemas.openxmlformats.org/officeDocument/2006/relationships/hyperlink" Target="https://www.oakha.org/propertyowners/paymentstandards/" TargetMode="External"/><Relationship Id="rId78" Type="http://schemas.openxmlformats.org/officeDocument/2006/relationships/hyperlink" Target="https://www.oakha.org/propertyowners/paymentstandards/" TargetMode="External"/><Relationship Id="rId94" Type="http://schemas.openxmlformats.org/officeDocument/2006/relationships/hyperlink" Target="https://www.ochousing.org/sites/ocha/files/2025-10/2026%20Utility%20Allowance%20Schedule%20-%20Public%20Use.pdf" TargetMode="External"/><Relationship Id="rId99" Type="http://schemas.openxmlformats.org/officeDocument/2006/relationships/hyperlink" Target="https://www.ochousing.org/sites/ocha/files/2025-10/2026%20Utility%20Allowance%20Schedule%20-%20Public%20Use.pdf" TargetMode="External"/><Relationship Id="rId101" Type="http://schemas.openxmlformats.org/officeDocument/2006/relationships/hyperlink" Target="https://www.ochousing.org/sites/ocha/files/2025-10/2026%20Utility%20Allowance%20Schedule%20-%20Public%20Use.pdf" TargetMode="External"/><Relationship Id="rId122" Type="http://schemas.openxmlformats.org/officeDocument/2006/relationships/hyperlink" Target="https://www.shra.org/housing-choice-voucher-program/" TargetMode="External"/><Relationship Id="rId143" Type="http://schemas.openxmlformats.org/officeDocument/2006/relationships/hyperlink" Target="https://www.shra.org/housing-choice-voucher-program/" TargetMode="External"/><Relationship Id="rId148" Type="http://schemas.openxmlformats.org/officeDocument/2006/relationships/hyperlink" Target="https://www.shra.org/housing-choice-voucher-program/" TargetMode="External"/><Relationship Id="rId164" Type="http://schemas.openxmlformats.org/officeDocument/2006/relationships/hyperlink" Target="https://sdhc.org/wp-content/uploads/2022/Utility-Allowance-Chart.pdf" TargetMode="External"/><Relationship Id="rId169" Type="http://schemas.openxmlformats.org/officeDocument/2006/relationships/hyperlink" Target="https://sdhc.org/wp-content/uploads/2022/Utility-Allowance-Chart.pdf" TargetMode="External"/><Relationship Id="rId185" Type="http://schemas.openxmlformats.org/officeDocument/2006/relationships/hyperlink" Target="https://sdhc.org/wp-content/uploads/2022/Utility-Allowance-Chart.pdf" TargetMode="External"/><Relationship Id="rId4" Type="http://schemas.openxmlformats.org/officeDocument/2006/relationships/hyperlink" Target="https://hacla.org/sites/default/files/Section%208/Utility%20Allowances/Utility%20Allowance%20Effective%202024-12-01.pdf" TargetMode="External"/><Relationship Id="rId9" Type="http://schemas.openxmlformats.org/officeDocument/2006/relationships/hyperlink" Target="https://hacla.org/sites/default/files/Section%208/Utility%20Allowances/Utility%20Allowance%20Effective%202024-12-01.pdf" TargetMode="External"/><Relationship Id="rId180" Type="http://schemas.openxmlformats.org/officeDocument/2006/relationships/hyperlink" Target="https://sdhc.org/wp-content/uploads/2022/Utility-Allowance-Chart.pdf" TargetMode="External"/><Relationship Id="rId26" Type="http://schemas.openxmlformats.org/officeDocument/2006/relationships/hyperlink" Target="https://hacla.org/sites/default/files/Section%208/Utility%20Allowances/Utility%20Allowance%20Effective%202024-12-01.pdf" TargetMode="External"/><Relationship Id="rId47" Type="http://schemas.openxmlformats.org/officeDocument/2006/relationships/hyperlink" Target="https://www.sandiegocounty.gov/content/dam/sdc/sdhcd/new-docs/Rental_assistance/Utility_Allowance_Schedule_HUD_52667_03-2025.pdf" TargetMode="External"/><Relationship Id="rId68" Type="http://schemas.openxmlformats.org/officeDocument/2006/relationships/hyperlink" Target="https://www.oakha.org/propertyowners/paymentstandards/" TargetMode="External"/><Relationship Id="rId89" Type="http://schemas.openxmlformats.org/officeDocument/2006/relationships/hyperlink" Target="https://www.ochousing.org/sites/ocha/files/2025-10/2026%20Utility%20Allowance%20Schedule%20-%20Public%20Use.pdf" TargetMode="External"/><Relationship Id="rId112" Type="http://schemas.openxmlformats.org/officeDocument/2006/relationships/hyperlink" Target="https://www.shra.org/housing-choice-voucher-program/" TargetMode="External"/><Relationship Id="rId133" Type="http://schemas.openxmlformats.org/officeDocument/2006/relationships/hyperlink" Target="https://www.shra.org/housing-choice-voucher-program/" TargetMode="External"/><Relationship Id="rId154" Type="http://schemas.openxmlformats.org/officeDocument/2006/relationships/hyperlink" Target="https://www.shra.org/housing-choice-voucher-program/" TargetMode="External"/><Relationship Id="rId175" Type="http://schemas.openxmlformats.org/officeDocument/2006/relationships/hyperlink" Target="https://sdhc.org/wp-content/uploads/2022/Utility-Allowance-Chart.pdf" TargetMode="External"/><Relationship Id="rId16" Type="http://schemas.openxmlformats.org/officeDocument/2006/relationships/hyperlink" Target="https://hacla.org/sites/default/files/Section%208/Utility%20Allowances/Utility%20Allowance%20Effective%202024-12-01.pdf" TargetMode="External"/><Relationship Id="rId37" Type="http://schemas.openxmlformats.org/officeDocument/2006/relationships/hyperlink" Target="https://www.sandiegocounty.gov/content/dam/sdc/sdhcd/new-docs/Rental_assistance/Utility_Allowance_Schedule_HUD_52667_03-2025.pdf" TargetMode="External"/><Relationship Id="rId58" Type="http://schemas.openxmlformats.org/officeDocument/2006/relationships/hyperlink" Target="https://www.oakha.org/propertyowners/paymentstandards/" TargetMode="External"/><Relationship Id="rId79" Type="http://schemas.openxmlformats.org/officeDocument/2006/relationships/hyperlink" Target="https://www.oakha.org/propertyowners/paymentstandards/" TargetMode="External"/><Relationship Id="rId102" Type="http://schemas.openxmlformats.org/officeDocument/2006/relationships/hyperlink" Target="https://www.ochousing.org/sites/ocha/files/2025-10/2026%20Utility%20Allowance%20Schedule%20-%20Public%20Use.pdf" TargetMode="External"/><Relationship Id="rId123" Type="http://schemas.openxmlformats.org/officeDocument/2006/relationships/hyperlink" Target="https://www.shra.org/housing-choice-voucher-program/" TargetMode="External"/><Relationship Id="rId144" Type="http://schemas.openxmlformats.org/officeDocument/2006/relationships/hyperlink" Target="https://www.shra.org/housing-choice-voucher-program/" TargetMode="External"/><Relationship Id="rId90" Type="http://schemas.openxmlformats.org/officeDocument/2006/relationships/hyperlink" Target="https://www.ochousing.org/sites/ocha/files/2025-10/2026%20Utility%20Allowance%20Schedule%20-%20Public%20Use.pdf" TargetMode="External"/><Relationship Id="rId165" Type="http://schemas.openxmlformats.org/officeDocument/2006/relationships/hyperlink" Target="https://sdhc.org/wp-content/uploads/2022/Utility-Allowance-Chart.pdf" TargetMode="External"/><Relationship Id="rId186" Type="http://schemas.openxmlformats.org/officeDocument/2006/relationships/hyperlink" Target="https://sdhc.org/wp-content/uploads/2022/Utility-Allowance-Chart.pdf" TargetMode="External"/><Relationship Id="rId27" Type="http://schemas.openxmlformats.org/officeDocument/2006/relationships/hyperlink" Target="https://www.sandiegocounty.gov/content/dam/sdc/sdhcd/new-docs/Rental_assistance/Utility_Allowance_Schedule_HUD_52667_03-2025.pdf" TargetMode="External"/><Relationship Id="rId48" Type="http://schemas.openxmlformats.org/officeDocument/2006/relationships/hyperlink" Target="https://www.sandiegocounty.gov/content/dam/sdc/sdhcd/new-docs/Rental_assistance/Utility_Allowance_Schedule_HUD_52667_03-2025.pdf" TargetMode="External"/><Relationship Id="rId69" Type="http://schemas.openxmlformats.org/officeDocument/2006/relationships/hyperlink" Target="https://www.oakha.org/propertyowners/paymentstandards/" TargetMode="External"/><Relationship Id="rId113" Type="http://schemas.openxmlformats.org/officeDocument/2006/relationships/hyperlink" Target="https://www.shra.org/housing-choice-voucher-program/" TargetMode="External"/><Relationship Id="rId134" Type="http://schemas.openxmlformats.org/officeDocument/2006/relationships/hyperlink" Target="https://www.shra.org/housing-choice-voucher-program/" TargetMode="External"/><Relationship Id="rId80" Type="http://schemas.openxmlformats.org/officeDocument/2006/relationships/hyperlink" Target="https://www.ochousing.org/sites/ocha/files/2025-10/2026%20Utility%20Allowance%20Schedule%20-%20Public%20Use.pdf" TargetMode="External"/><Relationship Id="rId155" Type="http://schemas.openxmlformats.org/officeDocument/2006/relationships/hyperlink" Target="https://www.shra.org/housing-choice-voucher-program/" TargetMode="External"/><Relationship Id="rId176" Type="http://schemas.openxmlformats.org/officeDocument/2006/relationships/hyperlink" Target="https://sdhc.org/wp-content/uploads/2022/Utility-Allowance-Chart.pdf" TargetMode="External"/><Relationship Id="rId17" Type="http://schemas.openxmlformats.org/officeDocument/2006/relationships/hyperlink" Target="https://hacla.org/sites/default/files/Section%208/Utility%20Allowances/Utility%20Allowance%20Effective%202024-12-01.pdf" TargetMode="External"/><Relationship Id="rId38" Type="http://schemas.openxmlformats.org/officeDocument/2006/relationships/hyperlink" Target="https://www.sandiegocounty.gov/content/dam/sdc/sdhcd/new-docs/Rental_assistance/Utility_Allowance_Schedule_HUD_52667_03-2025.pdf" TargetMode="External"/><Relationship Id="rId59" Type="http://schemas.openxmlformats.org/officeDocument/2006/relationships/hyperlink" Target="https://www.oakha.org/propertyowners/paymentstandards/" TargetMode="External"/><Relationship Id="rId103" Type="http://schemas.openxmlformats.org/officeDocument/2006/relationships/hyperlink" Target="https://www.ochousing.org/sites/ocha/files/2025-10/2026%20Utility%20Allowance%20Schedule%20-%20Public%20Use.pdf" TargetMode="External"/><Relationship Id="rId124" Type="http://schemas.openxmlformats.org/officeDocument/2006/relationships/hyperlink" Target="https://www.shra.org/housing-choice-voucher-program/" TargetMode="External"/><Relationship Id="rId70" Type="http://schemas.openxmlformats.org/officeDocument/2006/relationships/hyperlink" Target="https://www.oakha.org/propertyowners/paymentstandards/" TargetMode="External"/><Relationship Id="rId91" Type="http://schemas.openxmlformats.org/officeDocument/2006/relationships/hyperlink" Target="https://www.ochousing.org/sites/ocha/files/2025-10/2026%20Utility%20Allowance%20Schedule%20-%20Public%20Use.pdf" TargetMode="External"/><Relationship Id="rId145" Type="http://schemas.openxmlformats.org/officeDocument/2006/relationships/hyperlink" Target="https://www.shra.org/housing-choice-voucher-program/" TargetMode="External"/><Relationship Id="rId166" Type="http://schemas.openxmlformats.org/officeDocument/2006/relationships/hyperlink" Target="https://sdhc.org/wp-content/uploads/2022/Utility-Allowance-Chart.pdf" TargetMode="External"/><Relationship Id="rId187" Type="http://schemas.openxmlformats.org/officeDocument/2006/relationships/hyperlink" Target="https://sdhc.org/wp-content/uploads/2022/Utility-Allowance-Chart.pdf" TargetMode="External"/><Relationship Id="rId1" Type="http://schemas.openxmlformats.org/officeDocument/2006/relationships/hyperlink" Target="https://hacla.org/sites/default/files/Section%208/Utility%20Allowances/Utility%20Allowance%20Effective%202024-12-01.pdf" TargetMode="External"/><Relationship Id="rId28" Type="http://schemas.openxmlformats.org/officeDocument/2006/relationships/hyperlink" Target="https://www.sandiegocounty.gov/content/dam/sdc/sdhcd/new-docs/Rental_assistance/Utility_Allowance_Schedule_HUD_52667_03-2025.pdf" TargetMode="External"/><Relationship Id="rId49" Type="http://schemas.openxmlformats.org/officeDocument/2006/relationships/hyperlink" Target="https://www.sandiegocounty.gov/content/dam/sdc/sdhcd/new-docs/Rental_assistance/Utility_Allowance_Schedule_HUD_52667_03-2025.pdf" TargetMode="External"/><Relationship Id="rId114" Type="http://schemas.openxmlformats.org/officeDocument/2006/relationships/hyperlink" Target="https://www.shra.org/housing-choice-voucher-program/" TargetMode="External"/><Relationship Id="rId60" Type="http://schemas.openxmlformats.org/officeDocument/2006/relationships/hyperlink" Target="https://www.oakha.org/propertyowners/paymentstandards/" TargetMode="External"/><Relationship Id="rId81" Type="http://schemas.openxmlformats.org/officeDocument/2006/relationships/hyperlink" Target="https://www.ochousing.org/sites/ocha/files/2025-10/2026%20Utility%20Allowance%20Schedule%20-%20Public%20Use.pdf" TargetMode="External"/><Relationship Id="rId135" Type="http://schemas.openxmlformats.org/officeDocument/2006/relationships/hyperlink" Target="https://www.shra.org/housing-choice-voucher-program/" TargetMode="External"/><Relationship Id="rId156" Type="http://schemas.openxmlformats.org/officeDocument/2006/relationships/hyperlink" Target="https://www.shra.org/housing-choice-voucher-program/" TargetMode="External"/><Relationship Id="rId177" Type="http://schemas.openxmlformats.org/officeDocument/2006/relationships/hyperlink" Target="https://sdhc.org/wp-content/uploads/2022/Utility-Allowance-Chart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1C1C4-2A49-014B-8187-7819A9442261}">
  <dimension ref="B3:C10"/>
  <sheetViews>
    <sheetView workbookViewId="0">
      <selection activeCell="C11" sqref="C11"/>
    </sheetView>
  </sheetViews>
  <sheetFormatPr defaultColWidth="10.81640625" defaultRowHeight="14.5" x14ac:dyDescent="0.35"/>
  <cols>
    <col min="2" max="2" width="15.81640625" customWidth="1"/>
    <col min="3" max="3" width="51.81640625" customWidth="1"/>
  </cols>
  <sheetData>
    <row r="3" spans="2:3" x14ac:dyDescent="0.35">
      <c r="B3" t="s">
        <v>280</v>
      </c>
      <c r="C3" t="s">
        <v>653</v>
      </c>
    </row>
    <row r="4" spans="2:3" x14ac:dyDescent="0.35">
      <c r="B4" s="273">
        <v>46175</v>
      </c>
      <c r="C4" t="s">
        <v>654</v>
      </c>
    </row>
    <row r="5" spans="2:3" x14ac:dyDescent="0.35">
      <c r="C5" t="s">
        <v>655</v>
      </c>
    </row>
    <row r="6" spans="2:3" x14ac:dyDescent="0.35">
      <c r="B6" s="273">
        <v>46178</v>
      </c>
      <c r="C6" t="s">
        <v>690</v>
      </c>
    </row>
    <row r="7" spans="2:3" x14ac:dyDescent="0.35">
      <c r="C7" t="s">
        <v>691</v>
      </c>
    </row>
    <row r="8" spans="2:3" x14ac:dyDescent="0.35">
      <c r="B8" s="273">
        <v>46182</v>
      </c>
      <c r="C8" t="s">
        <v>732</v>
      </c>
    </row>
    <row r="9" spans="2:3" x14ac:dyDescent="0.35">
      <c r="C9" t="s">
        <v>733</v>
      </c>
    </row>
    <row r="10" spans="2:3" x14ac:dyDescent="0.35">
      <c r="C10" t="s">
        <v>734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EDC5E-2B0B-4ED7-9E91-8C437EBD0AB9}">
  <dimension ref="B3:J76"/>
  <sheetViews>
    <sheetView topLeftCell="A13" workbookViewId="0">
      <selection activeCell="H62" sqref="H62:H63"/>
    </sheetView>
  </sheetViews>
  <sheetFormatPr defaultColWidth="8.81640625" defaultRowHeight="14.5" x14ac:dyDescent="0.35"/>
  <cols>
    <col min="2" max="2" width="24.36328125" customWidth="1"/>
    <col min="3" max="3" width="18.1796875" customWidth="1"/>
    <col min="5" max="5" width="22.6328125" customWidth="1"/>
    <col min="6" max="10" width="13.453125" customWidth="1"/>
  </cols>
  <sheetData>
    <row r="3" spans="2:10" x14ac:dyDescent="0.35">
      <c r="B3" s="62" t="s">
        <v>636</v>
      </c>
      <c r="C3" s="62"/>
      <c r="E3" s="62" t="s">
        <v>637</v>
      </c>
      <c r="F3" s="64" t="s">
        <v>638</v>
      </c>
      <c r="G3" s="64" t="s">
        <v>639</v>
      </c>
      <c r="H3" s="64" t="s">
        <v>640</v>
      </c>
      <c r="I3" s="64" t="s">
        <v>641</v>
      </c>
      <c r="J3" s="64" t="s">
        <v>642</v>
      </c>
    </row>
    <row r="4" spans="2:10" x14ac:dyDescent="0.35">
      <c r="B4" t="s">
        <v>297</v>
      </c>
      <c r="C4" s="179" t="s">
        <v>343</v>
      </c>
    </row>
    <row r="5" spans="2:10" x14ac:dyDescent="0.35">
      <c r="B5" t="s">
        <v>411</v>
      </c>
      <c r="C5" s="179" t="s">
        <v>488</v>
      </c>
      <c r="E5" t="s">
        <v>604</v>
      </c>
      <c r="F5" s="179" t="s">
        <v>125</v>
      </c>
      <c r="G5" s="179" t="s">
        <v>125</v>
      </c>
      <c r="H5" s="179" t="s">
        <v>125</v>
      </c>
      <c r="I5" s="179" t="s">
        <v>125</v>
      </c>
      <c r="J5" s="179" t="s">
        <v>125</v>
      </c>
    </row>
    <row r="6" spans="2:10" x14ac:dyDescent="0.35">
      <c r="B6" t="s">
        <v>593</v>
      </c>
      <c r="C6" s="179" t="s">
        <v>594</v>
      </c>
      <c r="E6" t="s">
        <v>605</v>
      </c>
      <c r="F6" s="179" t="s">
        <v>100</v>
      </c>
      <c r="G6" s="179" t="s">
        <v>100</v>
      </c>
      <c r="H6" s="179" t="s">
        <v>100</v>
      </c>
      <c r="I6" s="179" t="s">
        <v>100</v>
      </c>
      <c r="J6" s="179" t="s">
        <v>100</v>
      </c>
    </row>
    <row r="7" spans="2:10" x14ac:dyDescent="0.35">
      <c r="B7" t="s">
        <v>600</v>
      </c>
      <c r="C7" s="179" t="s">
        <v>603</v>
      </c>
      <c r="E7" t="s">
        <v>626</v>
      </c>
      <c r="F7" s="179" t="s">
        <v>100</v>
      </c>
      <c r="G7" s="179" t="s">
        <v>100</v>
      </c>
      <c r="H7" s="179" t="s">
        <v>100</v>
      </c>
      <c r="I7" s="179" t="s">
        <v>100</v>
      </c>
      <c r="J7" s="179" t="s">
        <v>100</v>
      </c>
    </row>
    <row r="8" spans="2:10" x14ac:dyDescent="0.35">
      <c r="B8" t="s">
        <v>602</v>
      </c>
      <c r="C8" s="179" t="s">
        <v>100</v>
      </c>
      <c r="E8" t="s">
        <v>160</v>
      </c>
      <c r="F8" s="186" t="e">
        <f>+F9/D13</f>
        <v>#DIV/0!</v>
      </c>
      <c r="G8" s="186" t="e">
        <f>+G9/E13</f>
        <v>#VALUE!</v>
      </c>
      <c r="H8" s="186" t="e">
        <f>+H9/F13</f>
        <v>#DIV/0!</v>
      </c>
      <c r="I8" s="186" t="e">
        <f>+I9/G13</f>
        <v>#DIV/0!</v>
      </c>
      <c r="J8" s="186" t="e">
        <f>+J9/H13</f>
        <v>#DIV/0!</v>
      </c>
    </row>
    <row r="9" spans="2:10" x14ac:dyDescent="0.35">
      <c r="B9" t="s">
        <v>601</v>
      </c>
      <c r="C9" s="179" t="s">
        <v>100</v>
      </c>
      <c r="E9" t="s">
        <v>17</v>
      </c>
      <c r="F9" s="186" t="e">
        <f>+MAX(ROUNDDOWN(F12/L8,0),1)</f>
        <v>#DIV/0!</v>
      </c>
      <c r="G9" s="186" t="e">
        <f>+MAX(ROUNDDOWN(G12/M8,0),1)</f>
        <v>#VALUE!</v>
      </c>
      <c r="H9" s="186" t="e">
        <f>+MAX(ROUNDDOWN(H12/N8,0),1)</f>
        <v>#DIV/0!</v>
      </c>
      <c r="I9" s="186" t="e">
        <f>+MAX(ROUNDDOWN(I12/O8,0),1)</f>
        <v>#DIV/0!</v>
      </c>
      <c r="J9" s="186" t="e">
        <f>+MAX(ROUNDDOWN(J12/P8,0),1)</f>
        <v>#DIV/0!</v>
      </c>
    </row>
    <row r="10" spans="2:10" x14ac:dyDescent="0.35">
      <c r="B10" t="s">
        <v>567</v>
      </c>
      <c r="C10" s="217">
        <v>27007</v>
      </c>
      <c r="E10" t="s">
        <v>633</v>
      </c>
      <c r="F10" s="217">
        <v>5</v>
      </c>
      <c r="G10" s="217">
        <v>5</v>
      </c>
      <c r="H10" s="217">
        <v>5</v>
      </c>
      <c r="I10" s="217">
        <v>5</v>
      </c>
      <c r="J10" s="217">
        <v>5</v>
      </c>
    </row>
    <row r="11" spans="2:10" x14ac:dyDescent="0.35">
      <c r="E11" t="s">
        <v>410</v>
      </c>
      <c r="F11" s="268">
        <f>3.5/5*F10</f>
        <v>3.5</v>
      </c>
      <c r="G11" s="268">
        <f>3.5/5*G10</f>
        <v>3.5</v>
      </c>
      <c r="H11" s="268">
        <f>3.5/5*H10</f>
        <v>3.5</v>
      </c>
      <c r="I11" s="268">
        <f>3.5/5*I10</f>
        <v>3.5</v>
      </c>
      <c r="J11" s="268">
        <f>3.5/5*J10</f>
        <v>3.5</v>
      </c>
    </row>
    <row r="12" spans="2:10" x14ac:dyDescent="0.35">
      <c r="E12" t="s">
        <v>409</v>
      </c>
      <c r="F12" s="2">
        <f>+D13*43560*F11*0.8</f>
        <v>0</v>
      </c>
      <c r="G12" s="2" t="e">
        <f>+E13*43560*G11*0.8</f>
        <v>#VALUE!</v>
      </c>
      <c r="H12" s="2">
        <f>+F13*43560*H11*0.8</f>
        <v>0</v>
      </c>
      <c r="I12" s="2">
        <f>+G13*43560*I11*0.8</f>
        <v>0</v>
      </c>
      <c r="J12" s="2">
        <f>+H13*43560*J11*0.8</f>
        <v>0</v>
      </c>
    </row>
    <row r="13" spans="2:10" x14ac:dyDescent="0.35">
      <c r="E13" t="s">
        <v>584</v>
      </c>
      <c r="F13" s="35">
        <v>0</v>
      </c>
      <c r="G13" s="35">
        <v>0</v>
      </c>
      <c r="H13" s="35">
        <v>0</v>
      </c>
      <c r="I13" s="35">
        <v>0</v>
      </c>
      <c r="J13" s="35">
        <v>0</v>
      </c>
    </row>
    <row r="14" spans="2:10" x14ac:dyDescent="0.35">
      <c r="E14" t="s">
        <v>66</v>
      </c>
      <c r="F14" s="36">
        <v>2.5000000000000001E-2</v>
      </c>
      <c r="G14" s="36">
        <v>2.5000000000000001E-2</v>
      </c>
      <c r="H14" s="36">
        <v>2.5000000000000001E-2</v>
      </c>
      <c r="I14" s="36">
        <v>2.5000000000000001E-2</v>
      </c>
      <c r="J14" s="36">
        <v>2.5000000000000001E-2</v>
      </c>
    </row>
    <row r="15" spans="2:10" x14ac:dyDescent="0.35">
      <c r="E15" t="s">
        <v>610</v>
      </c>
      <c r="F15" s="36">
        <v>3.5000000000000003E-2</v>
      </c>
      <c r="G15" s="36">
        <v>3.5000000000000003E-2</v>
      </c>
      <c r="H15" s="36">
        <v>3.5000000000000003E-2</v>
      </c>
      <c r="I15" s="36">
        <v>3.5000000000000003E-2</v>
      </c>
      <c r="J15" s="36">
        <v>3.5000000000000003E-2</v>
      </c>
    </row>
    <row r="16" spans="2:10" x14ac:dyDescent="0.35">
      <c r="E16" t="s">
        <v>142</v>
      </c>
      <c r="F16" s="36">
        <v>0.27500000000000002</v>
      </c>
      <c r="G16" s="36">
        <v>0.27500000000000002</v>
      </c>
      <c r="H16" s="36">
        <v>0.27500000000000002</v>
      </c>
      <c r="I16" s="36">
        <v>0.27500000000000002</v>
      </c>
      <c r="J16" s="36">
        <v>0.27500000000000002</v>
      </c>
    </row>
    <row r="18" spans="5:5" x14ac:dyDescent="0.35">
      <c r="E18" s="1" t="s">
        <v>643</v>
      </c>
    </row>
    <row r="19" spans="5:5" x14ac:dyDescent="0.35">
      <c r="E19" s="148" t="s">
        <v>157</v>
      </c>
    </row>
    <row r="20" spans="5:5" x14ac:dyDescent="0.35">
      <c r="E20" s="148" t="s">
        <v>58</v>
      </c>
    </row>
    <row r="21" spans="5:5" x14ac:dyDescent="0.35">
      <c r="E21" s="148" t="s">
        <v>158</v>
      </c>
    </row>
    <row r="22" spans="5:5" x14ac:dyDescent="0.35">
      <c r="E22" s="148" t="s">
        <v>287</v>
      </c>
    </row>
    <row r="24" spans="5:5" x14ac:dyDescent="0.35">
      <c r="E24" s="269" t="s">
        <v>644</v>
      </c>
    </row>
    <row r="25" spans="5:5" x14ac:dyDescent="0.35">
      <c r="E25" s="202">
        <v>0.3</v>
      </c>
    </row>
    <row r="26" spans="5:5" x14ac:dyDescent="0.35">
      <c r="E26" s="202">
        <v>0.5</v>
      </c>
    </row>
    <row r="27" spans="5:5" x14ac:dyDescent="0.35">
      <c r="E27" s="202">
        <v>0.6</v>
      </c>
    </row>
    <row r="28" spans="5:5" x14ac:dyDescent="0.35">
      <c r="E28" s="206">
        <v>0.7</v>
      </c>
    </row>
    <row r="30" spans="5:5" x14ac:dyDescent="0.35">
      <c r="E30" s="1" t="s">
        <v>645</v>
      </c>
    </row>
    <row r="31" spans="5:5" x14ac:dyDescent="0.35">
      <c r="E31" t="s">
        <v>1</v>
      </c>
    </row>
    <row r="32" spans="5:5" x14ac:dyDescent="0.35">
      <c r="E32" t="s">
        <v>149</v>
      </c>
    </row>
    <row r="33" spans="5:5" x14ac:dyDescent="0.35">
      <c r="E33" t="s">
        <v>2</v>
      </c>
    </row>
    <row r="34" spans="5:5" x14ac:dyDescent="0.35">
      <c r="E34" t="s">
        <v>3</v>
      </c>
    </row>
    <row r="35" spans="5:5" x14ac:dyDescent="0.35">
      <c r="E35" t="s">
        <v>4</v>
      </c>
    </row>
    <row r="36" spans="5:5" x14ac:dyDescent="0.35">
      <c r="E36" t="s">
        <v>5</v>
      </c>
    </row>
    <row r="37" spans="5:5" x14ac:dyDescent="0.35">
      <c r="E37" t="s">
        <v>628</v>
      </c>
    </row>
    <row r="38" spans="5:5" x14ac:dyDescent="0.35">
      <c r="E38" t="s">
        <v>629</v>
      </c>
    </row>
    <row r="39" spans="5:5" x14ac:dyDescent="0.35">
      <c r="E39" t="s">
        <v>627</v>
      </c>
    </row>
    <row r="40" spans="5:5" x14ac:dyDescent="0.35">
      <c r="E40" t="s">
        <v>571</v>
      </c>
    </row>
    <row r="41" spans="5:5" x14ac:dyDescent="0.35">
      <c r="E41" t="s">
        <v>572</v>
      </c>
    </row>
    <row r="42" spans="5:5" x14ac:dyDescent="0.35">
      <c r="E42" t="s">
        <v>573</v>
      </c>
    </row>
    <row r="43" spans="5:5" x14ac:dyDescent="0.35">
      <c r="E43" t="s">
        <v>7</v>
      </c>
    </row>
    <row r="44" spans="5:5" x14ac:dyDescent="0.35">
      <c r="E44" t="s">
        <v>8</v>
      </c>
    </row>
    <row r="45" spans="5:5" x14ac:dyDescent="0.35">
      <c r="E45" t="s">
        <v>52</v>
      </c>
    </row>
    <row r="46" spans="5:5" x14ac:dyDescent="0.35">
      <c r="E46" t="s">
        <v>9</v>
      </c>
    </row>
    <row r="47" spans="5:5" x14ac:dyDescent="0.35">
      <c r="E47" t="s">
        <v>10</v>
      </c>
    </row>
    <row r="48" spans="5:5" x14ac:dyDescent="0.35">
      <c r="E48" t="s">
        <v>623</v>
      </c>
    </row>
    <row r="49" spans="5:5" x14ac:dyDescent="0.35">
      <c r="E49" t="s">
        <v>285</v>
      </c>
    </row>
    <row r="50" spans="5:5" x14ac:dyDescent="0.35">
      <c r="E50" t="s">
        <v>286</v>
      </c>
    </row>
    <row r="51" spans="5:5" x14ac:dyDescent="0.35">
      <c r="E51" t="s">
        <v>165</v>
      </c>
    </row>
    <row r="53" spans="5:5" x14ac:dyDescent="0.35">
      <c r="E53" s="1" t="s">
        <v>647</v>
      </c>
    </row>
    <row r="54" spans="5:5" x14ac:dyDescent="0.35">
      <c r="E54" t="s">
        <v>648</v>
      </c>
    </row>
    <row r="55" spans="5:5" x14ac:dyDescent="0.35">
      <c r="E55" t="s">
        <v>649</v>
      </c>
    </row>
    <row r="57" spans="5:5" x14ac:dyDescent="0.35">
      <c r="E57" s="1" t="s">
        <v>646</v>
      </c>
    </row>
    <row r="58" spans="5:5" x14ac:dyDescent="0.35">
      <c r="E58" t="s">
        <v>169</v>
      </c>
    </row>
    <row r="60" spans="5:5" x14ac:dyDescent="0.35">
      <c r="E60" s="1" t="s">
        <v>41</v>
      </c>
    </row>
    <row r="61" spans="5:5" x14ac:dyDescent="0.35">
      <c r="E61" t="s">
        <v>169</v>
      </c>
    </row>
    <row r="62" spans="5:5" x14ac:dyDescent="0.35">
      <c r="E62" t="s">
        <v>170</v>
      </c>
    </row>
    <row r="63" spans="5:5" x14ac:dyDescent="0.35">
      <c r="E63" t="s">
        <v>609</v>
      </c>
    </row>
    <row r="65" spans="5:5" x14ac:dyDescent="0.35">
      <c r="E65" s="1" t="s">
        <v>167</v>
      </c>
    </row>
    <row r="66" spans="5:5" x14ac:dyDescent="0.35">
      <c r="E66" t="s">
        <v>169</v>
      </c>
    </row>
    <row r="67" spans="5:5" x14ac:dyDescent="0.35">
      <c r="E67" t="s">
        <v>170</v>
      </c>
    </row>
    <row r="68" spans="5:5" x14ac:dyDescent="0.35">
      <c r="E68" t="s">
        <v>609</v>
      </c>
    </row>
    <row r="69" spans="5:5" x14ac:dyDescent="0.35">
      <c r="E69" t="s">
        <v>171</v>
      </c>
    </row>
    <row r="71" spans="5:5" x14ac:dyDescent="0.35">
      <c r="E71" s="1" t="s">
        <v>279</v>
      </c>
    </row>
    <row r="72" spans="5:5" x14ac:dyDescent="0.35">
      <c r="E72" t="s">
        <v>596</v>
      </c>
    </row>
    <row r="73" spans="5:5" x14ac:dyDescent="0.35">
      <c r="E73" t="s">
        <v>595</v>
      </c>
    </row>
    <row r="74" spans="5:5" x14ac:dyDescent="0.35">
      <c r="E74" t="s">
        <v>273</v>
      </c>
    </row>
    <row r="75" spans="5:5" x14ac:dyDescent="0.35">
      <c r="E75" t="s">
        <v>569</v>
      </c>
    </row>
    <row r="76" spans="5:5" x14ac:dyDescent="0.35">
      <c r="E76" t="s">
        <v>570</v>
      </c>
    </row>
  </sheetData>
  <phoneticPr fontId="3" type="noConversion"/>
  <dataValidations disablePrompts="1" count="6">
    <dataValidation type="list" allowBlank="1" showInputMessage="1" showErrorMessage="1" sqref="F5:J5" xr:uid="{8F350A6D-A979-43D1-BD1B-5730C961BB45}">
      <formula1>"Type I,Type III,Other"</formula1>
    </dataValidation>
    <dataValidation type="list" allowBlank="1" showInputMessage="1" showErrorMessage="1" sqref="C8:C9 F6:J7" xr:uid="{9FDDD9D7-ED0A-45EC-95D2-558E82F3C0E7}">
      <formula1>"Yes,No"</formula1>
    </dataValidation>
    <dataValidation type="list" allowBlank="1" showInputMessage="1" showErrorMessage="1" sqref="C7" xr:uid="{3F4BEC2B-3C17-483A-8679-E8F7EAEF070C}">
      <formula1>"Low,Medium,High,Highest"</formula1>
    </dataValidation>
    <dataValidation type="list" allowBlank="1" showInputMessage="1" showErrorMessage="1" sqref="C6" xr:uid="{48303B9E-CB96-4C57-98F7-38B345231A7B}">
      <formula1>"QCT,DDA,None"</formula1>
    </dataValidation>
    <dataValidation type="list" allowBlank="1" showInputMessage="1" showErrorMessage="1" sqref="C5" xr:uid="{3CE6C6AE-CB58-447D-A147-EEDF519A6300}">
      <formula1>$AG$29:$AG$40</formula1>
    </dataValidation>
    <dataValidation type="list" allowBlank="1" showInputMessage="1" showErrorMessage="1" sqref="E28" xr:uid="{29CC2D4F-29F4-4E41-AF31-21416AE426D4}">
      <formula1>"70%,80%"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BB2E0A0-4582-4024-853B-1D0717BD0716}">
          <x14:formula1>
            <xm:f>'Market Inputs'!$B$4:$B$61</xm:f>
          </x14:formula1>
          <xm:sqref>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81552-3271-4666-8B12-DD9DD23BE58B}">
  <sheetPr codeName="Sheet1">
    <pageSetUpPr fitToPage="1"/>
  </sheetPr>
  <dimension ref="A2:AU138"/>
  <sheetViews>
    <sheetView showGridLines="0" tabSelected="1" zoomScaleNormal="85" workbookViewId="0">
      <selection activeCell="E20" sqref="E20"/>
    </sheetView>
  </sheetViews>
  <sheetFormatPr defaultColWidth="8.81640625" defaultRowHeight="14.5" x14ac:dyDescent="0.35"/>
  <cols>
    <col min="1" max="1" width="7.6328125" customWidth="1"/>
    <col min="2" max="2" width="26" customWidth="1"/>
    <col min="3" max="3" width="16.36328125" customWidth="1"/>
    <col min="4" max="4" width="14.6328125" customWidth="1"/>
    <col min="5" max="5" width="12.81640625" customWidth="1"/>
    <col min="6" max="6" width="4.453125" customWidth="1"/>
    <col min="7" max="7" width="24.6328125" customWidth="1"/>
    <col min="8" max="8" width="13.453125" customWidth="1"/>
    <col min="9" max="9" width="14.1796875" customWidth="1"/>
    <col min="10" max="10" width="11.36328125" customWidth="1"/>
    <col min="11" max="11" width="11.453125" customWidth="1"/>
    <col min="12" max="12" width="12.453125" customWidth="1"/>
    <col min="13" max="13" width="12.1796875" bestFit="1" customWidth="1"/>
    <col min="14" max="14" width="12" bestFit="1" customWidth="1"/>
    <col min="15" max="15" width="11.6328125" bestFit="1" customWidth="1"/>
    <col min="16" max="16" width="13" customWidth="1"/>
    <col min="17" max="17" width="12" customWidth="1"/>
    <col min="18" max="18" width="11.6328125" style="2" customWidth="1"/>
    <col min="19" max="19" width="12.36328125" style="2" bestFit="1" customWidth="1"/>
    <col min="20" max="20" width="12.1796875" style="2" customWidth="1"/>
    <col min="21" max="21" width="14" style="2" customWidth="1"/>
    <col min="22" max="22" width="12" style="2" customWidth="1"/>
    <col min="23" max="29" width="11.6328125" style="2" customWidth="1"/>
    <col min="30" max="30" width="13.36328125" style="2" bestFit="1" customWidth="1"/>
    <col min="31" max="31" width="11.6328125" style="2" customWidth="1"/>
    <col min="32" max="36" width="11.6328125" customWidth="1"/>
  </cols>
  <sheetData>
    <row r="2" spans="2:43" x14ac:dyDescent="0.35">
      <c r="B2" s="62" t="s">
        <v>739</v>
      </c>
      <c r="C2" s="63"/>
      <c r="G2" s="11" t="s">
        <v>292</v>
      </c>
      <c r="H2" s="12" t="s">
        <v>17</v>
      </c>
      <c r="I2" s="12" t="s">
        <v>288</v>
      </c>
      <c r="J2" s="12" t="s">
        <v>291</v>
      </c>
      <c r="K2" s="12" t="s">
        <v>657</v>
      </c>
      <c r="L2" s="12" t="s">
        <v>289</v>
      </c>
      <c r="M2" s="13" t="s">
        <v>658</v>
      </c>
      <c r="N2" s="162"/>
      <c r="Q2" s="11" t="s">
        <v>279</v>
      </c>
      <c r="R2" s="22"/>
      <c r="S2" s="99"/>
      <c r="U2" s="97" t="s">
        <v>673</v>
      </c>
      <c r="V2" s="98"/>
      <c r="W2" s="99"/>
      <c r="Y2" s="97" t="s">
        <v>574</v>
      </c>
      <c r="Z2" s="98"/>
      <c r="AA2" s="99"/>
    </row>
    <row r="3" spans="2:43" x14ac:dyDescent="0.35">
      <c r="B3" t="s">
        <v>297</v>
      </c>
      <c r="C3" s="179" t="s">
        <v>323</v>
      </c>
      <c r="G3" s="148" t="s">
        <v>157</v>
      </c>
      <c r="H3" s="149">
        <f>+ROUNDDOWN($C$14*I3,0)</f>
        <v>0</v>
      </c>
      <c r="I3" s="250">
        <v>0</v>
      </c>
      <c r="J3" s="180">
        <f>+INDEX('Market Inputs'!$D$4:$H$61,MATCH(Pro_Forma!$C$3,'Market Inputs'!$B$4:$B$61,0),MATCH(Pro_Forma!G3,'Market Inputs'!$D$3:$H$3,0))</f>
        <v>2915</v>
      </c>
      <c r="K3" s="9" t="str">
        <f>IFERROR(SUMPRODUCT(N10:N13,I10:I13)/SUM(I10:I13),"")</f>
        <v/>
      </c>
      <c r="L3" s="7">
        <v>402</v>
      </c>
      <c r="M3" s="108" t="str">
        <f>IFERROR(K3/L3,"")</f>
        <v/>
      </c>
      <c r="N3" s="9"/>
      <c r="Q3" s="6" t="s">
        <v>281</v>
      </c>
      <c r="R3"/>
      <c r="S3" s="160">
        <v>46387</v>
      </c>
      <c r="U3" s="94" t="s">
        <v>664</v>
      </c>
      <c r="V3" s="292" t="s">
        <v>677</v>
      </c>
      <c r="W3" s="277">
        <v>3.9E-2</v>
      </c>
      <c r="Y3" s="94" t="s">
        <v>54</v>
      </c>
      <c r="Z3" s="9"/>
      <c r="AA3" s="8">
        <f>+D79</f>
        <v>0</v>
      </c>
      <c r="AD3" s="83" t="s">
        <v>290</v>
      </c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2:43" x14ac:dyDescent="0.35">
      <c r="B4" t="s">
        <v>411</v>
      </c>
      <c r="C4" s="179" t="s">
        <v>323</v>
      </c>
      <c r="G4" s="148" t="s">
        <v>58</v>
      </c>
      <c r="H4" s="149">
        <f>+MAX(C14-H3-H5-H6,2,I26)</f>
        <v>119</v>
      </c>
      <c r="I4" s="255">
        <f>1-I3-I5-I6</f>
        <v>1</v>
      </c>
      <c r="J4" s="180">
        <f>+INDEX('Market Inputs'!$D$4:$H$61,MATCH(Pro_Forma!$C$3,'Market Inputs'!$B$4:$B$61,0),MATCH(Pro_Forma!G4,'Market Inputs'!$D$3:$H$3,0))</f>
        <v>3123</v>
      </c>
      <c r="K4" s="9">
        <f>IFERROR(SUMPRODUCT(N14:N17,$I$14:$I$17)/SUM($I$14:$I$17),"")</f>
        <v>1821.1533898305083</v>
      </c>
      <c r="L4" s="7">
        <v>497</v>
      </c>
      <c r="M4" s="108">
        <f>IFERROR(K4/L4,"")</f>
        <v>3.664292534870238</v>
      </c>
      <c r="N4" s="9"/>
      <c r="Q4" s="6" t="s">
        <v>596</v>
      </c>
      <c r="R4" s="9"/>
      <c r="S4" s="10">
        <v>6</v>
      </c>
      <c r="U4" s="94" t="s">
        <v>663</v>
      </c>
      <c r="V4" s="281"/>
      <c r="W4" s="277">
        <v>0.02</v>
      </c>
      <c r="Y4" s="94" t="s">
        <v>687</v>
      </c>
      <c r="Z4" s="9"/>
      <c r="AA4" s="102">
        <v>0.5</v>
      </c>
      <c r="AD4"/>
      <c r="AE4" s="2">
        <f t="shared" ref="AE4:AQ4" si="0">+AE5/$H$28</f>
        <v>0.16096579476861167</v>
      </c>
      <c r="AF4" s="2">
        <f t="shared" si="0"/>
        <v>0.2012072434607646</v>
      </c>
      <c r="AG4" s="2">
        <f t="shared" si="0"/>
        <v>0.2414486921529175</v>
      </c>
      <c r="AH4" s="2">
        <f t="shared" si="0"/>
        <v>0.28169014084507044</v>
      </c>
      <c r="AI4" s="2">
        <f t="shared" si="0"/>
        <v>0.32193158953722334</v>
      </c>
      <c r="AJ4" s="2">
        <f t="shared" si="0"/>
        <v>0.36217303822937624</v>
      </c>
      <c r="AK4" s="2">
        <f t="shared" si="0"/>
        <v>0.4024144869215292</v>
      </c>
      <c r="AL4" s="2">
        <f t="shared" si="0"/>
        <v>0.44265593561368211</v>
      </c>
      <c r="AM4" s="2">
        <f t="shared" si="0"/>
        <v>0.48289738430583501</v>
      </c>
      <c r="AN4" s="2">
        <f t="shared" si="0"/>
        <v>0.52313883299798791</v>
      </c>
      <c r="AO4" s="2">
        <f t="shared" si="0"/>
        <v>0.56338028169014087</v>
      </c>
      <c r="AP4" s="2">
        <f t="shared" si="0"/>
        <v>0.60362173038229372</v>
      </c>
      <c r="AQ4" s="2">
        <f t="shared" si="0"/>
        <v>0.64386317907444668</v>
      </c>
    </row>
    <row r="5" spans="2:43" x14ac:dyDescent="0.35">
      <c r="B5" t="s">
        <v>593</v>
      </c>
      <c r="C5" s="179" t="s">
        <v>738</v>
      </c>
      <c r="F5" s="51"/>
      <c r="G5" s="148" t="s">
        <v>158</v>
      </c>
      <c r="H5" s="149">
        <f>+ROUNDDOWN($C$14*I5,0)</f>
        <v>0</v>
      </c>
      <c r="I5" s="250">
        <v>0</v>
      </c>
      <c r="J5" s="180">
        <f>+INDEX('Market Inputs'!$D$4:$H$61,MATCH(Pro_Forma!$C$3,'Market Inputs'!$B$4:$B$61,0),MATCH(Pro_Forma!G5,'Market Inputs'!$D$3:$H$3,0))</f>
        <v>3747</v>
      </c>
      <c r="K5" s="9" t="str">
        <f>IFERROR(SUMPRODUCT(N18:N21,$I$18:$I$21)/SUM($I$18:$I$21),"")</f>
        <v/>
      </c>
      <c r="L5" s="7">
        <v>650</v>
      </c>
      <c r="M5" s="108" t="str">
        <f>IFERROR(K5/L5,"")</f>
        <v/>
      </c>
      <c r="N5" s="9"/>
      <c r="Q5" s="6" t="s">
        <v>595</v>
      </c>
      <c r="R5"/>
      <c r="S5" s="161">
        <v>6</v>
      </c>
      <c r="U5" s="94" t="s">
        <v>665</v>
      </c>
      <c r="V5" s="282"/>
      <c r="W5" s="74">
        <f>+W4+W3</f>
        <v>5.8999999999999997E-2</v>
      </c>
      <c r="Y5" s="94" t="s">
        <v>688</v>
      </c>
      <c r="Z5" s="9"/>
      <c r="AA5" s="294" t="s">
        <v>689</v>
      </c>
      <c r="AD5" s="93">
        <f ca="1">D66</f>
        <v>1303495.8193931952</v>
      </c>
      <c r="AE5" s="84">
        <v>80</v>
      </c>
      <c r="AF5" s="84">
        <f>+AE5+20</f>
        <v>100</v>
      </c>
      <c r="AG5" s="84">
        <f t="shared" ref="AG5:AQ5" si="1">+AF5+20</f>
        <v>120</v>
      </c>
      <c r="AH5" s="84">
        <f t="shared" si="1"/>
        <v>140</v>
      </c>
      <c r="AI5" s="84">
        <f t="shared" si="1"/>
        <v>160</v>
      </c>
      <c r="AJ5" s="84">
        <f t="shared" si="1"/>
        <v>180</v>
      </c>
      <c r="AK5" s="84">
        <f t="shared" si="1"/>
        <v>200</v>
      </c>
      <c r="AL5" s="84">
        <f t="shared" si="1"/>
        <v>220</v>
      </c>
      <c r="AM5" s="84">
        <f t="shared" si="1"/>
        <v>240</v>
      </c>
      <c r="AN5" s="84">
        <f t="shared" si="1"/>
        <v>260</v>
      </c>
      <c r="AO5" s="84">
        <f t="shared" si="1"/>
        <v>280</v>
      </c>
      <c r="AP5" s="84">
        <f t="shared" si="1"/>
        <v>300</v>
      </c>
      <c r="AQ5" s="84">
        <f t="shared" si="1"/>
        <v>320</v>
      </c>
    </row>
    <row r="6" spans="2:43" x14ac:dyDescent="0.35">
      <c r="B6" t="s">
        <v>600</v>
      </c>
      <c r="C6" s="179" t="s">
        <v>603</v>
      </c>
      <c r="G6" s="148" t="s">
        <v>287</v>
      </c>
      <c r="H6" s="149">
        <f>+ROUNDDOWN($C$14*I6,0)</f>
        <v>0</v>
      </c>
      <c r="I6" s="250">
        <v>0</v>
      </c>
      <c r="J6" s="180">
        <f>+INDEX('Market Inputs'!$D$4:$H$61,MATCH(Pro_Forma!$C$3,'Market Inputs'!$B$4:$B$61,0),MATCH(Pro_Forma!G6,'Market Inputs'!$D$3:$H$3,0))</f>
        <v>4331</v>
      </c>
      <c r="K6" s="9" t="str">
        <f>IFERROR(SUMPRODUCT(N22:N25,$I$22:$I$25)/SUM($I$22:$I$25),"")</f>
        <v/>
      </c>
      <c r="L6" s="7">
        <v>800</v>
      </c>
      <c r="M6" s="108" t="str">
        <f>IFERROR(K6/L6,"")</f>
        <v/>
      </c>
      <c r="Q6" s="6" t="s">
        <v>273</v>
      </c>
      <c r="R6"/>
      <c r="S6" s="161">
        <v>18</v>
      </c>
      <c r="U6" s="278" t="s">
        <v>667</v>
      </c>
      <c r="V6" s="98"/>
      <c r="W6" s="99">
        <f ca="1">+D62</f>
        <v>10572954.616717333</v>
      </c>
      <c r="Y6" s="94" t="s">
        <v>169</v>
      </c>
      <c r="Z6" s="9"/>
      <c r="AA6" s="277">
        <v>0.03</v>
      </c>
      <c r="AD6" s="85">
        <v>40</v>
      </c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2:43" x14ac:dyDescent="0.35">
      <c r="B7" t="s">
        <v>602</v>
      </c>
      <c r="C7" s="179" t="s">
        <v>98</v>
      </c>
      <c r="G7" s="150" t="s">
        <v>11</v>
      </c>
      <c r="H7" s="151">
        <f>+SUM(H3:H6)</f>
        <v>119</v>
      </c>
      <c r="I7" s="249">
        <f>+H7/$C$14</f>
        <v>1</v>
      </c>
      <c r="J7" s="22"/>
      <c r="K7" s="65">
        <f>+N28</f>
        <v>1824.2201680672267</v>
      </c>
      <c r="L7" s="65">
        <f>+SUMPRODUCT(L3:L6,I3:I6)</f>
        <v>497</v>
      </c>
      <c r="M7" s="163">
        <f>+K7/L7</f>
        <v>3.6704631148233937</v>
      </c>
      <c r="N7" s="54"/>
      <c r="Q7" s="109" t="s">
        <v>569</v>
      </c>
      <c r="R7" s="9"/>
      <c r="S7" s="10">
        <v>30</v>
      </c>
      <c r="U7" s="94" t="s">
        <v>662</v>
      </c>
      <c r="V7" s="281"/>
      <c r="W7" s="277">
        <v>0.02</v>
      </c>
      <c r="Y7" s="94" t="s">
        <v>714</v>
      </c>
      <c r="Z7" s="9"/>
      <c r="AA7" s="294" t="s">
        <v>100</v>
      </c>
      <c r="AD7" s="85">
        <f>+AD6+20</f>
        <v>60</v>
      </c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2:43" x14ac:dyDescent="0.35">
      <c r="B8" t="s">
        <v>601</v>
      </c>
      <c r="C8" s="179" t="s">
        <v>100</v>
      </c>
      <c r="E8" s="80"/>
      <c r="I8" s="21"/>
      <c r="Q8" s="109" t="s">
        <v>570</v>
      </c>
      <c r="R8" s="9"/>
      <c r="S8" s="10">
        <v>3</v>
      </c>
      <c r="U8" s="94" t="s">
        <v>666</v>
      </c>
      <c r="V8" s="282"/>
      <c r="W8" s="74">
        <f>+W7+W3</f>
        <v>5.8999999999999997E-2</v>
      </c>
      <c r="Y8" s="94" t="s">
        <v>715</v>
      </c>
      <c r="Z8" s="9"/>
      <c r="AA8" s="8">
        <f>+D68*C79/12*S6</f>
        <v>0</v>
      </c>
      <c r="AD8" s="85">
        <f t="shared" ref="AD8:AD16" si="2">+AD7+20</f>
        <v>80</v>
      </c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2:43" x14ac:dyDescent="0.35">
      <c r="B9" t="s">
        <v>604</v>
      </c>
      <c r="C9" s="179" t="s">
        <v>490</v>
      </c>
      <c r="G9" s="11" t="s">
        <v>62</v>
      </c>
      <c r="H9" s="12" t="s">
        <v>161</v>
      </c>
      <c r="I9" s="12" t="s">
        <v>17</v>
      </c>
      <c r="J9" s="12" t="s">
        <v>59</v>
      </c>
      <c r="K9" s="12" t="s">
        <v>656</v>
      </c>
      <c r="L9" s="12" t="s">
        <v>61</v>
      </c>
      <c r="M9" s="12" t="s">
        <v>651</v>
      </c>
      <c r="N9" s="12" t="s">
        <v>652</v>
      </c>
      <c r="O9" s="13" t="s">
        <v>528</v>
      </c>
      <c r="Q9" s="20" t="s">
        <v>274</v>
      </c>
      <c r="R9" s="21"/>
      <c r="S9" s="220">
        <f>MAX(ROUNDUP(C14/S7,0)+S8,8)</f>
        <v>8</v>
      </c>
      <c r="U9" s="278" t="s">
        <v>669</v>
      </c>
      <c r="V9" s="98"/>
      <c r="W9" s="99">
        <f ca="1">+D63</f>
        <v>21292840.541498747</v>
      </c>
      <c r="Y9" s="216" t="s">
        <v>716</v>
      </c>
      <c r="Z9" s="90"/>
      <c r="AA9" s="34">
        <f>+D68*C79/12*S9</f>
        <v>0</v>
      </c>
      <c r="AD9" s="85">
        <f t="shared" si="2"/>
        <v>100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2:43" x14ac:dyDescent="0.35">
      <c r="B10" t="s">
        <v>605</v>
      </c>
      <c r="C10" s="179" t="s">
        <v>100</v>
      </c>
      <c r="G10" s="6" t="s">
        <v>157</v>
      </c>
      <c r="H10" s="186">
        <f>+L3</f>
        <v>402</v>
      </c>
      <c r="I10" s="92">
        <f>+ROUNDUP($H$3*R35,0)</f>
        <v>0</v>
      </c>
      <c r="J10" s="207">
        <v>0.3</v>
      </c>
      <c r="K10" s="9">
        <f>+J10*$J$3</f>
        <v>874.5</v>
      </c>
      <c r="L10" s="107">
        <f>+AI55</f>
        <v>37</v>
      </c>
      <c r="M10" s="9">
        <f t="shared" ref="M10:M13" si="3">+K10-L10</f>
        <v>837.5</v>
      </c>
      <c r="N10" s="7">
        <f>+M10</f>
        <v>837.5</v>
      </c>
      <c r="O10" s="191">
        <f>+N10/H10</f>
        <v>2.0833333333333335</v>
      </c>
      <c r="Q10" s="164"/>
      <c r="R10" s="164"/>
      <c r="S10" s="165"/>
      <c r="U10" s="276" t="s">
        <v>674</v>
      </c>
      <c r="V10" s="89"/>
      <c r="W10" s="279">
        <f ca="1">+W9+W6</f>
        <v>31865795.158216082</v>
      </c>
      <c r="AD10" s="85">
        <f t="shared" si="2"/>
        <v>120</v>
      </c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2:43" x14ac:dyDescent="0.35">
      <c r="B11" t="s">
        <v>626</v>
      </c>
      <c r="C11" s="179" t="s">
        <v>100</v>
      </c>
      <c r="G11" s="6" t="s">
        <v>157</v>
      </c>
      <c r="H11" s="186">
        <f>+H10</f>
        <v>402</v>
      </c>
      <c r="I11" s="92">
        <f>+IF(SUM(R35:R36)&lt;=0.2,ROUNDUP($H$3*R36,0),ROUNDDOWN(H3*R36,0))</f>
        <v>0</v>
      </c>
      <c r="J11" s="207">
        <v>0.5</v>
      </c>
      <c r="K11" s="9">
        <f>+J11*$J$3</f>
        <v>1457.5</v>
      </c>
      <c r="L11" s="107">
        <f>+L10</f>
        <v>37</v>
      </c>
      <c r="M11" s="9">
        <f t="shared" si="3"/>
        <v>1420.5</v>
      </c>
      <c r="N11" s="7">
        <f t="shared" ref="N11:N26" si="4">+M11</f>
        <v>1420.5</v>
      </c>
      <c r="O11" s="191">
        <f t="shared" ref="O11:O28" si="5">+N11/H11</f>
        <v>3.533582089552239</v>
      </c>
      <c r="Q11" s="11" t="s">
        <v>148</v>
      </c>
      <c r="R11" s="22"/>
      <c r="S11" s="215" t="str">
        <f>IF($D$59="Ground Lessor","On","Off")</f>
        <v>Off</v>
      </c>
      <c r="U11" s="216" t="s">
        <v>671</v>
      </c>
      <c r="V11" s="283"/>
      <c r="W11" s="280">
        <f ca="1">+(W5*W6+W8*W9)/W10</f>
        <v>5.9000000000000004E-2</v>
      </c>
      <c r="X11" s="94"/>
      <c r="AD11" s="85">
        <f t="shared" si="2"/>
        <v>140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2:43" x14ac:dyDescent="0.35">
      <c r="B12" t="s">
        <v>567</v>
      </c>
      <c r="C12" s="217">
        <v>20000</v>
      </c>
      <c r="D12" s="218">
        <f>C12/43560</f>
        <v>0.4591368227731864</v>
      </c>
      <c r="E12" s="218"/>
      <c r="G12" s="6" t="s">
        <v>157</v>
      </c>
      <c r="H12" s="186">
        <f t="shared" ref="H12:H13" si="6">+H11</f>
        <v>402</v>
      </c>
      <c r="I12" s="92">
        <f>+H3-I10-I11-I13</f>
        <v>0</v>
      </c>
      <c r="J12" s="207">
        <v>0.6</v>
      </c>
      <c r="K12" s="9">
        <f>+J12*$J$3</f>
        <v>1749</v>
      </c>
      <c r="L12" s="107">
        <f t="shared" ref="L12:L13" si="7">+L11</f>
        <v>37</v>
      </c>
      <c r="M12" s="9">
        <f t="shared" si="3"/>
        <v>1712</v>
      </c>
      <c r="N12" s="7">
        <f t="shared" si="4"/>
        <v>1712</v>
      </c>
      <c r="O12" s="191">
        <f t="shared" si="5"/>
        <v>4.2587064676616917</v>
      </c>
      <c r="Q12" s="6" t="s">
        <v>531</v>
      </c>
      <c r="R12" s="9"/>
      <c r="S12" s="224">
        <v>2.5</v>
      </c>
      <c r="T12" s="94"/>
      <c r="U12" s="91"/>
      <c r="V12" s="91"/>
      <c r="W12" s="98"/>
      <c r="AD12" s="85">
        <f t="shared" si="2"/>
        <v>160</v>
      </c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2:43" x14ac:dyDescent="0.35">
      <c r="B13" t="s">
        <v>160</v>
      </c>
      <c r="C13" s="186">
        <f>+C14/D12</f>
        <v>259.18200000000002</v>
      </c>
      <c r="G13" s="6" t="s">
        <v>157</v>
      </c>
      <c r="H13" s="186">
        <f t="shared" si="6"/>
        <v>402</v>
      </c>
      <c r="I13" s="92">
        <f>+MAX(0,MIN(S38-I25-I21-I17,H3-I10-I11))</f>
        <v>0</v>
      </c>
      <c r="J13" s="207">
        <f>+P38</f>
        <v>0.7</v>
      </c>
      <c r="K13" s="9">
        <f>+J13*$J$3*(1-$S$40)</f>
        <v>2040.4999999999998</v>
      </c>
      <c r="L13" s="107">
        <f t="shared" si="7"/>
        <v>37</v>
      </c>
      <c r="M13" s="9">
        <f t="shared" si="3"/>
        <v>2003.4999999999998</v>
      </c>
      <c r="N13" s="7">
        <f t="shared" si="4"/>
        <v>2003.4999999999998</v>
      </c>
      <c r="O13" s="191">
        <f t="shared" si="5"/>
        <v>4.983830845771144</v>
      </c>
      <c r="Q13" s="6" t="s">
        <v>532</v>
      </c>
      <c r="R13"/>
      <c r="S13" s="8">
        <f>+H36/S12</f>
        <v>688991.31540000008</v>
      </c>
      <c r="U13" s="97" t="s">
        <v>661</v>
      </c>
      <c r="V13" s="98"/>
      <c r="W13" s="301" t="s">
        <v>696</v>
      </c>
      <c r="X13" s="309" t="s">
        <v>696</v>
      </c>
      <c r="Y13" s="310" t="s">
        <v>697</v>
      </c>
      <c r="Z13" s="300" t="s">
        <v>698</v>
      </c>
      <c r="AD13" s="85">
        <f t="shared" si="2"/>
        <v>180</v>
      </c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2:43" x14ac:dyDescent="0.35">
      <c r="B14" t="s">
        <v>17</v>
      </c>
      <c r="C14" s="186">
        <f>+MAX(ROUNDDOWN(C17/L7,0),1)</f>
        <v>119</v>
      </c>
      <c r="G14" s="155" t="s">
        <v>58</v>
      </c>
      <c r="H14" s="188">
        <f>+L4</f>
        <v>497</v>
      </c>
      <c r="I14" s="205">
        <f>+ROUNDUP($H$4*R35,0)</f>
        <v>12</v>
      </c>
      <c r="J14" s="208">
        <v>0.3</v>
      </c>
      <c r="K14" s="156">
        <f>+J14*$J$4</f>
        <v>936.9</v>
      </c>
      <c r="L14" s="188">
        <f>+AJ55</f>
        <v>50</v>
      </c>
      <c r="M14" s="156">
        <f>+K14-L14</f>
        <v>886.9</v>
      </c>
      <c r="N14" s="271">
        <f t="shared" si="4"/>
        <v>886.9</v>
      </c>
      <c r="O14" s="192">
        <f t="shared" si="5"/>
        <v>1.7845070422535212</v>
      </c>
      <c r="Q14" s="6" t="s">
        <v>69</v>
      </c>
      <c r="R14"/>
      <c r="S14" s="211">
        <f>+S20</f>
        <v>5.5E-2</v>
      </c>
      <c r="U14" s="94" t="s">
        <v>34</v>
      </c>
      <c r="V14" s="9"/>
      <c r="W14" s="8">
        <f>+H39</f>
        <v>1686778.2885000003</v>
      </c>
      <c r="X14" s="94"/>
      <c r="Y14" s="9"/>
      <c r="Z14" s="8"/>
      <c r="AD14" s="85">
        <f t="shared" si="2"/>
        <v>200</v>
      </c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2:43" x14ac:dyDescent="0.35">
      <c r="B15" t="s">
        <v>633</v>
      </c>
      <c r="C15" s="217">
        <v>5</v>
      </c>
      <c r="G15" s="6" t="s">
        <v>58</v>
      </c>
      <c r="H15" s="186">
        <f>+H14</f>
        <v>497</v>
      </c>
      <c r="I15" s="92">
        <f>+IF(SUM(R35:R36)&lt;=0.2,ROUNDUP($H$4*R36,0),ROUNDDOWN(H4*R36,0))</f>
        <v>12</v>
      </c>
      <c r="J15" s="207">
        <v>0.5</v>
      </c>
      <c r="K15" s="9">
        <f>+J15*$J$4</f>
        <v>1561.5</v>
      </c>
      <c r="L15" s="107">
        <f>+L14</f>
        <v>50</v>
      </c>
      <c r="M15" s="9">
        <f>+K15-L15</f>
        <v>1511.5</v>
      </c>
      <c r="N15" s="7">
        <f t="shared" si="4"/>
        <v>1511.5</v>
      </c>
      <c r="O15" s="191">
        <f t="shared" si="5"/>
        <v>3.0412474849094568</v>
      </c>
      <c r="Q15" s="6" t="s">
        <v>70</v>
      </c>
      <c r="R15"/>
      <c r="S15" s="210">
        <f>+S13/S14</f>
        <v>12527114.825454546</v>
      </c>
      <c r="U15" s="94" t="s">
        <v>609</v>
      </c>
      <c r="V15" s="7"/>
      <c r="W15" s="210">
        <f>+_xlfn.XLOOKUP($W$13,$X$13:$Z$13,$X15:$Z15)</f>
        <v>40</v>
      </c>
      <c r="X15" s="304">
        <v>40</v>
      </c>
      <c r="Y15" s="7">
        <v>40</v>
      </c>
      <c r="Z15" s="10">
        <v>40</v>
      </c>
      <c r="AD15" s="85">
        <f t="shared" si="2"/>
        <v>220</v>
      </c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2:43" x14ac:dyDescent="0.35">
      <c r="B16" t="s">
        <v>410</v>
      </c>
      <c r="C16" s="327">
        <f>3.7/5*C15</f>
        <v>3.7</v>
      </c>
      <c r="G16" s="6" t="s">
        <v>58</v>
      </c>
      <c r="H16" s="186">
        <f t="shared" ref="H16:H17" si="8">+H15</f>
        <v>497</v>
      </c>
      <c r="I16" s="92">
        <f>+H4-I14-I15-I17-I26</f>
        <v>47</v>
      </c>
      <c r="J16" s="207">
        <v>0.6</v>
      </c>
      <c r="K16" s="9">
        <f>+J16*$J$4</f>
        <v>1873.8</v>
      </c>
      <c r="L16" s="107">
        <f>+L15</f>
        <v>50</v>
      </c>
      <c r="M16" s="9">
        <f>+K16-L16</f>
        <v>1823.8</v>
      </c>
      <c r="N16" s="7">
        <f t="shared" si="4"/>
        <v>1823.8</v>
      </c>
      <c r="O16" s="191">
        <f t="shared" si="5"/>
        <v>3.6696177062374247</v>
      </c>
      <c r="Q16" s="6" t="s">
        <v>150</v>
      </c>
      <c r="R16" s="274">
        <f>+S16/D12/43560</f>
        <v>150</v>
      </c>
      <c r="S16" s="239">
        <v>3000000</v>
      </c>
      <c r="U16" s="94" t="s">
        <v>170</v>
      </c>
      <c r="V16" s="9"/>
      <c r="W16" s="319">
        <f>+_xlfn.XLOOKUP($W$13,$X$13:$Z$13,$X16:$Z16)</f>
        <v>1.1499999999999999</v>
      </c>
      <c r="X16" s="305">
        <v>1.1499999999999999</v>
      </c>
      <c r="Y16" s="306">
        <v>1.1499999999999999</v>
      </c>
      <c r="Z16" s="101">
        <v>1.1499999999999999</v>
      </c>
      <c r="AD16" s="85">
        <f t="shared" si="2"/>
        <v>240</v>
      </c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2:47" x14ac:dyDescent="0.35">
      <c r="B17" t="s">
        <v>409</v>
      </c>
      <c r="C17" s="2">
        <f>+D12*43560*C16*0.8</f>
        <v>59200</v>
      </c>
      <c r="G17" s="6" t="s">
        <v>58</v>
      </c>
      <c r="H17" s="186">
        <f t="shared" si="8"/>
        <v>497</v>
      </c>
      <c r="I17" s="92">
        <f>+MAX(0,MIN(H4-I14-I15-I26,S38-I25-I21))</f>
        <v>47</v>
      </c>
      <c r="J17" s="207">
        <f>+P38</f>
        <v>0.7</v>
      </c>
      <c r="K17" s="9">
        <f>+J17*$J$4*(1-$S$40)</f>
        <v>2186.1</v>
      </c>
      <c r="L17" s="107">
        <f>+L16</f>
        <v>50</v>
      </c>
      <c r="M17" s="9">
        <f>+K17-L17</f>
        <v>2136.1</v>
      </c>
      <c r="N17" s="7">
        <f t="shared" si="4"/>
        <v>2136.1</v>
      </c>
      <c r="O17" s="191">
        <f t="shared" si="5"/>
        <v>4.2979879275653925</v>
      </c>
      <c r="Q17" s="6"/>
      <c r="R17" s="9"/>
      <c r="S17" s="275">
        <f>+S16/I28</f>
        <v>25210.084033613446</v>
      </c>
      <c r="U17" s="94" t="s">
        <v>728</v>
      </c>
      <c r="V17" s="9"/>
      <c r="W17" s="320" t="str">
        <f>+_xlfn.XLOOKUP($W$13,$X$13:$Z$13,$X17:$Z17)</f>
        <v>MMD</v>
      </c>
      <c r="X17" s="307" t="s">
        <v>699</v>
      </c>
      <c r="Y17" s="308" t="s">
        <v>678</v>
      </c>
      <c r="Z17" s="294" t="s">
        <v>678</v>
      </c>
      <c r="AD17" s="85">
        <f>+AD16+20</f>
        <v>260</v>
      </c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2:47" x14ac:dyDescent="0.35">
      <c r="B18" t="s">
        <v>584</v>
      </c>
      <c r="C18" s="35">
        <v>0</v>
      </c>
      <c r="D18" s="258">
        <f>ROUNDDOWN(MIN(C17/0.75*1.1/C15*C18,C12*0.9*C18)/400,0)</f>
        <v>0</v>
      </c>
      <c r="E18" s="267">
        <f>+D18/I28</f>
        <v>0</v>
      </c>
      <c r="G18" s="155" t="s">
        <v>158</v>
      </c>
      <c r="H18" s="188">
        <f>+L5</f>
        <v>650</v>
      </c>
      <c r="I18" s="205">
        <f>+ROUNDUP($H$5*R35,0)</f>
        <v>0</v>
      </c>
      <c r="J18" s="208">
        <v>0.3</v>
      </c>
      <c r="K18" s="156">
        <f>+J18*$J$5</f>
        <v>1124.0999999999999</v>
      </c>
      <c r="L18" s="188">
        <f>+AK55</f>
        <v>63</v>
      </c>
      <c r="M18" s="156">
        <f t="shared" ref="M18:M25" si="9">+K18-L18</f>
        <v>1061.0999999999999</v>
      </c>
      <c r="N18" s="271">
        <f t="shared" si="4"/>
        <v>1061.0999999999999</v>
      </c>
      <c r="O18" s="192">
        <f t="shared" si="5"/>
        <v>1.6324615384615384</v>
      </c>
      <c r="Q18" s="77" t="s">
        <v>151</v>
      </c>
      <c r="R18"/>
      <c r="S18" s="76">
        <f>+IF(S11="On",S15-S16,0)</f>
        <v>0</v>
      </c>
      <c r="U18" s="94" t="s">
        <v>664</v>
      </c>
      <c r="V18" s="293"/>
      <c r="W18" s="321">
        <f>+_xlfn.XLOOKUP($W$13,$X$13:$Z$13,$X18:$Z18)</f>
        <v>3.85E-2</v>
      </c>
      <c r="X18" s="298">
        <v>3.85E-2</v>
      </c>
      <c r="Y18" s="281">
        <v>4.4999999999999998E-2</v>
      </c>
      <c r="Z18" s="277">
        <v>4.4999999999999998E-2</v>
      </c>
      <c r="AD18" s="85">
        <f>+AD17+20</f>
        <v>280</v>
      </c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2:47" x14ac:dyDescent="0.35">
      <c r="B19" t="s">
        <v>66</v>
      </c>
      <c r="C19" s="36">
        <v>2.5000000000000001E-2</v>
      </c>
      <c r="G19" s="6" t="s">
        <v>158</v>
      </c>
      <c r="H19" s="186">
        <f>+H18</f>
        <v>650</v>
      </c>
      <c r="I19" s="92">
        <f>+IF(SUM(R35:R36)&lt;=0.2,ROUNDUP($H$5*R36,0),ROUNDDOWN(H5*R36,0))</f>
        <v>0</v>
      </c>
      <c r="J19" s="207">
        <v>0.5</v>
      </c>
      <c r="K19" s="9">
        <f>+J19*$J$5</f>
        <v>1873.5</v>
      </c>
      <c r="L19" s="107">
        <f>+L18</f>
        <v>63</v>
      </c>
      <c r="M19" s="9">
        <f t="shared" si="9"/>
        <v>1810.5</v>
      </c>
      <c r="N19" s="7">
        <f t="shared" si="4"/>
        <v>1810.5</v>
      </c>
      <c r="O19" s="191">
        <f t="shared" si="5"/>
        <v>2.7853846153846153</v>
      </c>
      <c r="Q19" s="6" t="s">
        <v>153</v>
      </c>
      <c r="R19"/>
      <c r="S19" s="39">
        <v>0.05</v>
      </c>
      <c r="U19" s="94" t="s">
        <v>663</v>
      </c>
      <c r="V19" s="281"/>
      <c r="W19" s="321">
        <f>+_xlfn.XLOOKUP($W$13,$X$13:$Z$13,$X19:$Z19)</f>
        <v>1.66E-2</v>
      </c>
      <c r="X19" s="298">
        <v>1.66E-2</v>
      </c>
      <c r="Y19" s="281">
        <v>1.67E-2</v>
      </c>
      <c r="Z19" s="277">
        <v>1.9E-2</v>
      </c>
      <c r="AD19" s="85">
        <f>+AD18+20</f>
        <v>300</v>
      </c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2:47" x14ac:dyDescent="0.35">
      <c r="B20" t="s">
        <v>610</v>
      </c>
      <c r="C20" s="36">
        <v>3.5000000000000003E-2</v>
      </c>
      <c r="G20" s="6" t="s">
        <v>158</v>
      </c>
      <c r="H20" s="186">
        <f t="shared" ref="H20:H21" si="10">+H19</f>
        <v>650</v>
      </c>
      <c r="I20" s="92">
        <f>+H5-I18-I19-I21</f>
        <v>0</v>
      </c>
      <c r="J20" s="207">
        <v>0.6</v>
      </c>
      <c r="K20" s="9">
        <f>+J20*$J$5</f>
        <v>2248.1999999999998</v>
      </c>
      <c r="L20" s="107">
        <f>+L19</f>
        <v>63</v>
      </c>
      <c r="M20" s="9">
        <f t="shared" si="9"/>
        <v>2185.1999999999998</v>
      </c>
      <c r="N20" s="7">
        <f t="shared" si="4"/>
        <v>2185.1999999999998</v>
      </c>
      <c r="O20" s="191">
        <f t="shared" si="5"/>
        <v>3.3618461538461535</v>
      </c>
      <c r="Q20" s="6" t="s">
        <v>152</v>
      </c>
      <c r="R20"/>
      <c r="S20" s="74">
        <f>+S19+0.5%</f>
        <v>5.5E-2</v>
      </c>
      <c r="U20" s="94" t="s">
        <v>665</v>
      </c>
      <c r="V20" s="282"/>
      <c r="W20" s="321">
        <f>+W19+W18</f>
        <v>5.5099999999999996E-2</v>
      </c>
      <c r="X20" s="299">
        <f>+X19+X18</f>
        <v>5.5099999999999996E-2</v>
      </c>
      <c r="Y20" s="282">
        <f>+Y19+Y18</f>
        <v>6.1699999999999998E-2</v>
      </c>
      <c r="Z20" s="74">
        <f>+Z19+Z18</f>
        <v>6.4000000000000001E-2</v>
      </c>
      <c r="AD20" s="85">
        <f>+AD19+20</f>
        <v>320</v>
      </c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2:47" x14ac:dyDescent="0.35">
      <c r="B21" t="s">
        <v>142</v>
      </c>
      <c r="C21" s="36">
        <v>0.27500000000000002</v>
      </c>
      <c r="G21" s="6" t="s">
        <v>158</v>
      </c>
      <c r="H21" s="186">
        <f t="shared" si="10"/>
        <v>650</v>
      </c>
      <c r="I21" s="92">
        <f>+MAX(0,MIN(H5-I18-I19,S38-I25))</f>
        <v>0</v>
      </c>
      <c r="J21" s="207">
        <f>+P38</f>
        <v>0.7</v>
      </c>
      <c r="K21" s="9">
        <f>+J21*$J$5*(1-$S$40)</f>
        <v>2622.8999999999996</v>
      </c>
      <c r="L21" s="107">
        <f>+L20</f>
        <v>63</v>
      </c>
      <c r="M21" s="9">
        <f t="shared" si="9"/>
        <v>2559.8999999999996</v>
      </c>
      <c r="N21" s="7">
        <f t="shared" si="4"/>
        <v>2559.8999999999996</v>
      </c>
      <c r="O21" s="191">
        <f t="shared" si="5"/>
        <v>3.9383076923076916</v>
      </c>
      <c r="Q21" s="77" t="s">
        <v>155</v>
      </c>
      <c r="R21"/>
      <c r="S21" s="76">
        <f>+IF(S11="On",S20*S15,0)</f>
        <v>0</v>
      </c>
      <c r="U21" s="278" t="s">
        <v>667</v>
      </c>
      <c r="V21" s="98"/>
      <c r="W21" s="99">
        <f ca="1">IF(S26="Yes",D60-D76,D60)</f>
        <v>10572954.616717333</v>
      </c>
      <c r="X21" s="94"/>
      <c r="Y21" s="9"/>
      <c r="Z21" s="8"/>
      <c r="AD21" s="85">
        <f>+AD20+20</f>
        <v>340</v>
      </c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2:47" x14ac:dyDescent="0.35">
      <c r="G22" s="155" t="s">
        <v>287</v>
      </c>
      <c r="H22" s="188">
        <f>+L6</f>
        <v>800</v>
      </c>
      <c r="I22" s="205">
        <f>+ROUNDUP(R35*$H$6,0)</f>
        <v>0</v>
      </c>
      <c r="J22" s="208">
        <v>0.3</v>
      </c>
      <c r="K22" s="156">
        <f>+J22*$J$6</f>
        <v>1299.3</v>
      </c>
      <c r="L22" s="188">
        <f>+AL55</f>
        <v>76</v>
      </c>
      <c r="M22" s="156">
        <f t="shared" si="9"/>
        <v>1223.3</v>
      </c>
      <c r="N22" s="271">
        <f t="shared" si="4"/>
        <v>1223.3</v>
      </c>
      <c r="O22" s="192">
        <f t="shared" si="5"/>
        <v>1.5291249999999998</v>
      </c>
      <c r="Q22" s="20" t="s">
        <v>154</v>
      </c>
      <c r="R22" s="21"/>
      <c r="S22" s="75">
        <v>0.02</v>
      </c>
      <c r="U22" s="94" t="s">
        <v>662</v>
      </c>
      <c r="V22" s="281"/>
      <c r="W22" s="321">
        <f>+_xlfn.XLOOKUP($W$13,$X$13:$Z$13,$X22:$Z22)</f>
        <v>2.5600000000000001E-2</v>
      </c>
      <c r="X22" s="298">
        <v>2.5600000000000001E-2</v>
      </c>
      <c r="Y22" s="281">
        <v>1.9699999999999999E-2</v>
      </c>
      <c r="Z22" s="277">
        <v>2.6499999999999999E-2</v>
      </c>
      <c r="AF22" s="2"/>
      <c r="AG22" s="2"/>
      <c r="AH22" s="2"/>
      <c r="AI22" s="2"/>
      <c r="AJ22" s="2"/>
      <c r="AK22" s="2"/>
      <c r="AL22" s="2"/>
    </row>
    <row r="23" spans="2:47" x14ac:dyDescent="0.35">
      <c r="B23" s="11" t="s">
        <v>126</v>
      </c>
      <c r="C23" s="28"/>
      <c r="G23" s="6" t="s">
        <v>287</v>
      </c>
      <c r="H23" s="186">
        <f>+H22</f>
        <v>800</v>
      </c>
      <c r="I23" s="92">
        <f>+IF(SUM(R35:R36)&lt;=0.2,ROUNDUP($H$6*R36,0),ROUNDDOWN(H6*R36,0))</f>
        <v>0</v>
      </c>
      <c r="J23" s="207">
        <v>0.5</v>
      </c>
      <c r="K23" s="9">
        <f>+J23*$J$6</f>
        <v>2165.5</v>
      </c>
      <c r="L23" s="107">
        <f>+L22</f>
        <v>76</v>
      </c>
      <c r="M23" s="9">
        <f t="shared" si="9"/>
        <v>2089.5</v>
      </c>
      <c r="N23" s="7">
        <f t="shared" si="4"/>
        <v>2089.5</v>
      </c>
      <c r="O23" s="191">
        <f t="shared" si="5"/>
        <v>2.6118749999999999</v>
      </c>
      <c r="R23"/>
      <c r="S23"/>
      <c r="U23" s="94" t="s">
        <v>666</v>
      </c>
      <c r="V23" s="282"/>
      <c r="W23" s="74">
        <f>+W22+W18</f>
        <v>6.4100000000000004E-2</v>
      </c>
      <c r="X23" s="302">
        <f>+X22+X18</f>
        <v>6.4100000000000004E-2</v>
      </c>
      <c r="Y23" s="283">
        <f>+Y22+Y18</f>
        <v>6.4699999999999994E-2</v>
      </c>
      <c r="Z23" s="280">
        <f>+Z22+Z18</f>
        <v>7.1499999999999994E-2</v>
      </c>
    </row>
    <row r="24" spans="2:47" x14ac:dyDescent="0.35">
      <c r="B24" s="105" t="s">
        <v>608</v>
      </c>
      <c r="C24" s="106">
        <f ca="1">+D66</f>
        <v>1303495.8193931952</v>
      </c>
      <c r="G24" s="6" t="s">
        <v>287</v>
      </c>
      <c r="H24" s="186">
        <f t="shared" ref="H24:H25" si="11">+H23</f>
        <v>800</v>
      </c>
      <c r="I24" s="92">
        <f>+H6-I22-I23-I25</f>
        <v>0</v>
      </c>
      <c r="J24" s="207">
        <v>0.6</v>
      </c>
      <c r="K24" s="9">
        <f>+J24*$J$6</f>
        <v>2598.6</v>
      </c>
      <c r="L24" s="107">
        <f>+L23</f>
        <v>76</v>
      </c>
      <c r="M24" s="9">
        <f t="shared" si="9"/>
        <v>2522.6</v>
      </c>
      <c r="N24" s="7">
        <f t="shared" si="4"/>
        <v>2522.6</v>
      </c>
      <c r="O24" s="191">
        <f t="shared" si="5"/>
        <v>3.1532499999999999</v>
      </c>
      <c r="Q24" s="97" t="s">
        <v>168</v>
      </c>
      <c r="R24" s="98"/>
      <c r="S24" s="99"/>
      <c r="U24" s="278" t="s">
        <v>669</v>
      </c>
      <c r="V24" s="98"/>
      <c r="W24" s="99">
        <f ca="1">-PV(W23/12*365.25/360,W15*12,(W14/W16/12+PMT(W20*365.25/360/12,W15*12,W21)))</f>
        <v>11447178.610504625</v>
      </c>
    </row>
    <row r="25" spans="2:47" x14ac:dyDescent="0.35">
      <c r="B25" s="6" t="s">
        <v>129</v>
      </c>
      <c r="C25" s="37">
        <f ca="1">+H102</f>
        <v>0.16897228360176086</v>
      </c>
      <c r="G25" s="6" t="s">
        <v>287</v>
      </c>
      <c r="H25" s="186">
        <f t="shared" si="11"/>
        <v>800</v>
      </c>
      <c r="I25" s="92">
        <f>+MAX(MIN(H6-I22-I23,S38),0)</f>
        <v>0</v>
      </c>
      <c r="J25" s="207">
        <f>+P38</f>
        <v>0.7</v>
      </c>
      <c r="K25" s="9">
        <f>+J25*$J$6*(1-$S$40)</f>
        <v>3031.7</v>
      </c>
      <c r="L25" s="107">
        <f>+L24</f>
        <v>76</v>
      </c>
      <c r="M25" s="9">
        <f t="shared" si="9"/>
        <v>2955.7</v>
      </c>
      <c r="N25" s="7">
        <f t="shared" si="4"/>
        <v>2955.7</v>
      </c>
      <c r="O25" s="191">
        <f t="shared" si="5"/>
        <v>3.6946249999999998</v>
      </c>
      <c r="Q25" s="94" t="s">
        <v>176</v>
      </c>
      <c r="R25" s="9"/>
      <c r="S25" s="10">
        <f>IF($D$59="B-Bond",1,0)</f>
        <v>0</v>
      </c>
      <c r="U25" s="276" t="s">
        <v>670</v>
      </c>
      <c r="V25" s="89"/>
      <c r="W25" s="279">
        <f ca="1">+W24+W21</f>
        <v>22020133.227221958</v>
      </c>
    </row>
    <row r="26" spans="2:47" x14ac:dyDescent="0.35">
      <c r="B26" s="6" t="s">
        <v>127</v>
      </c>
      <c r="C26" s="79">
        <f ca="1">+SUMIF(H94:AA94,"&gt;0")/-SUMIF(H94:AA94,"&lt;0")</f>
        <v>16.383144957570593</v>
      </c>
      <c r="G26" s="152" t="s">
        <v>63</v>
      </c>
      <c r="H26" s="187">
        <f>+H14</f>
        <v>497</v>
      </c>
      <c r="I26" s="154">
        <f>MIN(4, MAX(0, ROUNDUP(MAX(0, C14-160)/80, 0) + SIGN(C14-15)))</f>
        <v>1</v>
      </c>
      <c r="J26" s="153" t="s">
        <v>64</v>
      </c>
      <c r="K26" s="154">
        <f>+K17</f>
        <v>2186.1</v>
      </c>
      <c r="L26" s="187">
        <v>0</v>
      </c>
      <c r="M26" s="154">
        <f>+K26-L26</f>
        <v>2186.1</v>
      </c>
      <c r="N26" s="272">
        <f t="shared" si="4"/>
        <v>2186.1</v>
      </c>
      <c r="O26" s="193">
        <f t="shared" si="5"/>
        <v>4.3985915492957748</v>
      </c>
      <c r="Q26" s="94" t="s">
        <v>668</v>
      </c>
      <c r="R26" s="9"/>
      <c r="S26" s="294" t="s">
        <v>98</v>
      </c>
      <c r="U26" s="94" t="s">
        <v>671</v>
      </c>
      <c r="V26" s="282"/>
      <c r="W26" s="74">
        <f ca="1">+(W20*W21+W23*W24)/W25</f>
        <v>5.9778655048607042E-2</v>
      </c>
      <c r="X26" s="185"/>
    </row>
    <row r="27" spans="2:47" x14ac:dyDescent="0.35">
      <c r="B27" s="6" t="s">
        <v>128</v>
      </c>
      <c r="C27" s="16">
        <f ca="1">+SUM(H94:AA94)</f>
        <v>20051865.141312778</v>
      </c>
      <c r="G27" s="11" t="s">
        <v>621</v>
      </c>
      <c r="H27" s="25">
        <f>+SUMPRODUCT(I9:I25,H9:H25)/I27</f>
        <v>497</v>
      </c>
      <c r="I27" s="25">
        <f>+SUM(I10:I25)</f>
        <v>118</v>
      </c>
      <c r="J27" s="81">
        <f>+SUMPRODUCT(I10:I25,J10:J25)/SUM(I10:I25)</f>
        <v>0.59915254237288129</v>
      </c>
      <c r="K27" s="25">
        <f>+SUMPRODUCT(K10:K25,$I$10:$I$25)/SUM($I$10:$I$25)</f>
        <v>1871.1533898305083</v>
      </c>
      <c r="L27" s="25">
        <f>+SUMPRODUCT(L10:L25,I10:I25)/SUM(I10:I25)</f>
        <v>50</v>
      </c>
      <c r="M27" s="25">
        <f>+SUMPRODUCT(M10:M25,$I$10:$I$25)/SUM($I$10:$I$25)</f>
        <v>1821.1533898305083</v>
      </c>
      <c r="N27" s="25">
        <f>+SUMPRODUCT(N10:N25,$I$10:$I$25)/SUM($I$10:$I$25)</f>
        <v>1821.1533898305083</v>
      </c>
      <c r="O27" s="194">
        <f t="shared" si="5"/>
        <v>3.664292534870238</v>
      </c>
      <c r="Q27" s="94" t="s">
        <v>169</v>
      </c>
      <c r="R27" s="9"/>
      <c r="S27" s="100">
        <v>0.08</v>
      </c>
      <c r="U27" s="303" t="s">
        <v>706</v>
      </c>
      <c r="V27" s="91"/>
      <c r="W27" s="318">
        <f ca="1">+_xlfn.XLOOKUP($W$13,$X$13:$Z$13,$X27:$Z27)*W$25</f>
        <v>165150.99920416469</v>
      </c>
      <c r="X27" s="314">
        <v>7.4999999999999997E-3</v>
      </c>
      <c r="Y27" s="314">
        <v>7.4999999999999997E-3</v>
      </c>
      <c r="Z27" s="315">
        <v>7.4999999999999997E-3</v>
      </c>
    </row>
    <row r="28" spans="2:47" x14ac:dyDescent="0.35">
      <c r="B28" s="6" t="s">
        <v>163</v>
      </c>
      <c r="C28" s="37">
        <f ca="1">+H103</f>
        <v>0.52659612298011782</v>
      </c>
      <c r="E28" s="80"/>
      <c r="G28" s="11" t="s">
        <v>622</v>
      </c>
      <c r="H28" s="25">
        <f>+SUMPRODUCT(I10:I26,H10:H26)/I28</f>
        <v>497</v>
      </c>
      <c r="I28" s="25">
        <f>+SUM(I10:I26)</f>
        <v>119</v>
      </c>
      <c r="J28" s="81">
        <f>+SUMPRODUCT(I10:I25,J10:J25)/SUM(I10:I25)</f>
        <v>0.59915254237288129</v>
      </c>
      <c r="K28" s="25">
        <f>+SUMPRODUCT(K10:K26,$I$10:$I$26)/SUM($I$10:$I$26)</f>
        <v>1873.8</v>
      </c>
      <c r="L28" s="25">
        <f>+SUMPRODUCT(L10:L25,I10:I25)/SUM(I10:I25)</f>
        <v>50</v>
      </c>
      <c r="M28" s="25">
        <f>+SUMPRODUCT(M10:M26,$I$10:$I$26)/SUM($I$10:$I$26)</f>
        <v>1824.2201680672267</v>
      </c>
      <c r="N28" s="25">
        <f>+SUMPRODUCT(N10:N26,$I$10:$I$26)/SUM($I$10:$I$26)</f>
        <v>1824.2201680672267</v>
      </c>
      <c r="O28" s="194">
        <f t="shared" si="5"/>
        <v>3.6704631148233937</v>
      </c>
      <c r="Q28" s="94" t="s">
        <v>170</v>
      </c>
      <c r="R28" s="9"/>
      <c r="S28" s="101">
        <v>1</v>
      </c>
      <c r="U28" s="94" t="s">
        <v>721</v>
      </c>
      <c r="V28" s="9"/>
      <c r="W28" s="210">
        <f>+_xlfn.XLOOKUP($W$13,$X$13:$Z$13,$X28:$Z28)</f>
        <v>10000</v>
      </c>
      <c r="X28" s="7">
        <v>10000</v>
      </c>
      <c r="Y28" s="7">
        <v>10000</v>
      </c>
      <c r="Z28" s="10">
        <v>10000</v>
      </c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2:47" x14ac:dyDescent="0.35">
      <c r="B29" s="6" t="s">
        <v>583</v>
      </c>
      <c r="C29" s="16">
        <f ca="1">+SUM(H95:AA95)</f>
        <v>25121106.926839653</v>
      </c>
      <c r="Q29" s="253" t="s">
        <v>609</v>
      </c>
      <c r="R29"/>
      <c r="S29" s="8">
        <v>40</v>
      </c>
      <c r="U29" s="94" t="s">
        <v>718</v>
      </c>
      <c r="V29" s="9"/>
      <c r="W29" s="210">
        <f ca="1">+_xlfn.XLOOKUP($W$13,$X$13:$Z$13,$X29:$Z29)*W$25</f>
        <v>22020.133227221959</v>
      </c>
      <c r="X29" s="281">
        <v>1E-3</v>
      </c>
      <c r="Y29" s="281">
        <v>1E-3</v>
      </c>
      <c r="Z29" s="10">
        <v>0</v>
      </c>
      <c r="AE29" s="83"/>
      <c r="AH29" s="2" t="str" cm="1">
        <f t="array" ref="AH29:AH40">+_xlfn.UNIQUE(UA!B2:B500)</f>
        <v>Los Angeles</v>
      </c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2:47" x14ac:dyDescent="0.35">
      <c r="B30" s="11" t="s">
        <v>133</v>
      </c>
      <c r="C30" s="66">
        <f ca="1">+Tiebreak!C8</f>
        <v>2.1572357492746566</v>
      </c>
      <c r="E30" s="73"/>
      <c r="G30" s="11" t="s">
        <v>132</v>
      </c>
      <c r="H30" s="23"/>
      <c r="K30" s="11" t="s">
        <v>67</v>
      </c>
      <c r="L30" s="22"/>
      <c r="M30" s="28"/>
      <c r="Q30" s="94" t="s">
        <v>171</v>
      </c>
      <c r="R30" s="9"/>
      <c r="S30" s="102">
        <v>0.75</v>
      </c>
      <c r="U30" s="94" t="s">
        <v>719</v>
      </c>
      <c r="V30" s="9"/>
      <c r="W30" s="210">
        <f>+_xlfn.XLOOKUP($W$13,$X$13:$Z$13,$X30:$Z30)</f>
        <v>25000</v>
      </c>
      <c r="X30" s="7">
        <v>25000</v>
      </c>
      <c r="Y30" s="7">
        <v>25000</v>
      </c>
      <c r="Z30" s="10">
        <v>30000</v>
      </c>
      <c r="AH30" s="2" t="str">
        <v>San Diego County</v>
      </c>
    </row>
    <row r="31" spans="2:47" x14ac:dyDescent="0.35">
      <c r="C31" s="3"/>
      <c r="G31" s="6" t="s">
        <v>60</v>
      </c>
      <c r="H31" s="8">
        <f>+N28*I28*12</f>
        <v>2604986.4</v>
      </c>
      <c r="K31" s="6" t="s">
        <v>68</v>
      </c>
      <c r="M31" s="8">
        <f>+Z53*(1+$C$19)</f>
        <v>2331938.6150923711</v>
      </c>
      <c r="Q31" s="94" t="s">
        <v>174</v>
      </c>
      <c r="R31" s="9"/>
      <c r="S31" s="8">
        <f>+L67*S30</f>
        <v>133057.16952717392</v>
      </c>
      <c r="U31" s="94" t="s">
        <v>720</v>
      </c>
      <c r="V31" s="9"/>
      <c r="W31" s="210">
        <f ca="1">+_xlfn.XLOOKUP($W$13,$X$13:$Z$13,$X31:$Z31)*W$25*2</f>
        <v>66060.399681665876</v>
      </c>
      <c r="X31" s="281">
        <v>1.5E-3</v>
      </c>
      <c r="Y31" s="281">
        <v>1.5E-3</v>
      </c>
      <c r="Z31" s="10">
        <v>0</v>
      </c>
      <c r="AH31" s="2" t="str">
        <v>Oakland</v>
      </c>
    </row>
    <row r="32" spans="2:47" x14ac:dyDescent="0.35">
      <c r="B32" s="11" t="s">
        <v>0</v>
      </c>
      <c r="C32" s="12" t="s">
        <v>13</v>
      </c>
      <c r="D32" s="13" t="s">
        <v>12</v>
      </c>
      <c r="E32" s="232" t="s">
        <v>582</v>
      </c>
      <c r="G32" s="6" t="s">
        <v>45</v>
      </c>
      <c r="H32" s="8">
        <f>+O113</f>
        <v>20464.43</v>
      </c>
      <c r="K32" s="6" t="s">
        <v>146</v>
      </c>
      <c r="M32" s="16">
        <f>+Z64*(1+S22)</f>
        <v>0</v>
      </c>
      <c r="Q32" s="95" t="s">
        <v>173</v>
      </c>
      <c r="R32" s="84"/>
      <c r="S32" s="96">
        <f>-+PV(S27/12,S29*12,S31/12/S28)</f>
        <v>1594694.5267366548</v>
      </c>
      <c r="U32" s="94" t="s">
        <v>722</v>
      </c>
      <c r="V32" s="9"/>
      <c r="W32" s="210">
        <f ca="1">+_xlfn.XLOOKUP($W$13,$X$13:$Z$13,$X32:$Z32)*W$25</f>
        <v>0</v>
      </c>
      <c r="X32" s="281">
        <v>0</v>
      </c>
      <c r="Y32" s="281">
        <v>6.0000000000000001E-3</v>
      </c>
      <c r="Z32" s="277">
        <v>6.0000000000000001E-3</v>
      </c>
      <c r="AH32" s="2" t="str">
        <v>Orange County</v>
      </c>
    </row>
    <row r="33" spans="1:38" x14ac:dyDescent="0.35">
      <c r="B33" s="6" t="s">
        <v>1</v>
      </c>
      <c r="C33" s="107">
        <f>+IF(S11="Off",S16,0)</f>
        <v>3000000</v>
      </c>
      <c r="D33" s="8">
        <f>+C33/$C$14</f>
        <v>25210.084033613446</v>
      </c>
      <c r="E33" s="233"/>
      <c r="G33" s="6" t="s">
        <v>43</v>
      </c>
      <c r="H33" s="8">
        <f>+I33*SUM(H31:H32)*-1</f>
        <v>-131272.54150000002</v>
      </c>
      <c r="I33" s="338">
        <v>0.05</v>
      </c>
      <c r="K33" s="6" t="s">
        <v>147</v>
      </c>
      <c r="M33" s="16">
        <f>+SUM(M31:M32)</f>
        <v>2331938.6150923711</v>
      </c>
      <c r="U33" s="94" t="s">
        <v>724</v>
      </c>
      <c r="V33" s="9"/>
      <c r="W33" s="210">
        <f t="shared" ref="W33:W35" si="12">+_xlfn.XLOOKUP($W$13,$X$13:$Z$13,$X33:$Z33)</f>
        <v>165000</v>
      </c>
      <c r="X33" s="7">
        <v>165000</v>
      </c>
      <c r="Y33" s="7">
        <v>165000</v>
      </c>
      <c r="Z33" s="10">
        <v>165000</v>
      </c>
      <c r="AH33" s="2" t="str">
        <v>Sacramento (City/County)</v>
      </c>
    </row>
    <row r="34" spans="1:38" x14ac:dyDescent="0.35">
      <c r="A34" s="19"/>
      <c r="B34" t="s">
        <v>777</v>
      </c>
      <c r="C34" s="7">
        <v>0</v>
      </c>
      <c r="D34" s="8">
        <f>+C34/$C$14</f>
        <v>0</v>
      </c>
      <c r="E34" s="265"/>
      <c r="G34" s="5" t="s">
        <v>65</v>
      </c>
      <c r="H34" s="15">
        <f>+SUM(H31:H33)</f>
        <v>2494178.2885000003</v>
      </c>
      <c r="K34" s="6" t="s">
        <v>69</v>
      </c>
      <c r="M34" s="39">
        <v>0.06</v>
      </c>
      <c r="P34" s="196" t="s">
        <v>529</v>
      </c>
      <c r="Q34" s="197"/>
      <c r="R34" s="203" t="s">
        <v>296</v>
      </c>
      <c r="S34" s="204" t="s">
        <v>568</v>
      </c>
      <c r="U34" s="94" t="s">
        <v>723</v>
      </c>
      <c r="V34" s="9"/>
      <c r="W34" s="210">
        <f t="shared" si="12"/>
        <v>25000</v>
      </c>
      <c r="X34" s="7">
        <v>25000</v>
      </c>
      <c r="Y34" s="7">
        <v>15000</v>
      </c>
      <c r="Z34" s="10">
        <v>15000</v>
      </c>
      <c r="AH34" s="2" t="str">
        <v>San Diego</v>
      </c>
    </row>
    <row r="35" spans="1:38" x14ac:dyDescent="0.35">
      <c r="B35" s="6" t="s">
        <v>149</v>
      </c>
      <c r="C35" s="3">
        <f>+SUM(Draws_Module!H92:H151)</f>
        <v>0</v>
      </c>
      <c r="D35" s="8">
        <f>+C35/$C$14</f>
        <v>0</v>
      </c>
      <c r="E35" s="233"/>
      <c r="G35" s="29" t="s">
        <v>18</v>
      </c>
      <c r="H35" s="30">
        <f>-J106</f>
        <v>-771700</v>
      </c>
      <c r="I35" s="256">
        <f>-H35/$I$28</f>
        <v>6484.8739495798318</v>
      </c>
      <c r="K35" s="11" t="s">
        <v>70</v>
      </c>
      <c r="L35" s="22"/>
      <c r="M35" s="26">
        <f>+M33/M34</f>
        <v>38865643.584872857</v>
      </c>
      <c r="P35" s="202">
        <v>0.3</v>
      </c>
      <c r="Q35" s="195"/>
      <c r="R35" s="198">
        <v>0.1</v>
      </c>
      <c r="S35" s="8">
        <f>+I10+I14+I18+I22</f>
        <v>12</v>
      </c>
      <c r="U35" s="216" t="s">
        <v>725</v>
      </c>
      <c r="V35" s="90"/>
      <c r="W35" s="220">
        <f t="shared" si="12"/>
        <v>40000</v>
      </c>
      <c r="X35" s="316">
        <v>40000</v>
      </c>
      <c r="Y35" s="316">
        <v>40000</v>
      </c>
      <c r="Z35" s="317">
        <v>40000</v>
      </c>
      <c r="AH35" s="2" t="str">
        <v>Los Angeles County</v>
      </c>
    </row>
    <row r="36" spans="1:38" x14ac:dyDescent="0.35">
      <c r="A36" s="214" t="s">
        <v>606</v>
      </c>
      <c r="B36" s="6" t="s">
        <v>2</v>
      </c>
      <c r="C36" s="107">
        <f>+D36*$I$28</f>
        <v>22538599.999999996</v>
      </c>
      <c r="D36" s="210">
        <f>_xlfn.LET(_xlpm.indx,_xlfn.XLOOKUP(C3,'Market Inputs'!B4:B61,'Market Inputs'!Q4:Q61),IF(A36="Stick",(109121.62984
 + 133.465688*H28
 - 837121.841943/H28
 + 98.690983*LN(C17)
 + 81813683.215014/C17)*_xlpm.indx*IF(C10="Yes",1.3,1),IF(C15&lt;=5,SUMPRODUCT(AD44:AD47,H3:H6),SUMPRODUCT(AE44:AE47,H3:H6))/H7+AD48*H28*_xlpm.indx*IF(C10="Yes",1.3,1))+C18*MIN(C17/0.75/5*1.1,C12*0.9)*AD50/C14*_xlpm.indx*IF(C10="Yes",1.3,1))</f>
        <v>189399.99999999997</v>
      </c>
      <c r="E36" s="233"/>
      <c r="G36" s="11" t="s">
        <v>34</v>
      </c>
      <c r="H36" s="18">
        <f>+SUM(H34:H35)</f>
        <v>1722478.2885000003</v>
      </c>
      <c r="K36" s="6" t="s">
        <v>71</v>
      </c>
      <c r="M36" s="38">
        <v>0.03</v>
      </c>
      <c r="P36" s="202">
        <v>0.5</v>
      </c>
      <c r="Q36" s="195"/>
      <c r="R36" s="198">
        <v>0.1</v>
      </c>
      <c r="S36" s="8">
        <f>+I11+I15+I19+I23</f>
        <v>12</v>
      </c>
      <c r="U36" s="97" t="s">
        <v>726</v>
      </c>
      <c r="V36" s="25"/>
      <c r="W36" s="26">
        <f ca="1">+SUM(W27:W35)</f>
        <v>518231.53211305256</v>
      </c>
      <c r="AB36" s="83" t="s">
        <v>704</v>
      </c>
      <c r="AH36" s="2" t="str">
        <v>Santa Ana</v>
      </c>
    </row>
    <row r="37" spans="1:38" x14ac:dyDescent="0.35">
      <c r="B37" s="6" t="s">
        <v>3</v>
      </c>
      <c r="C37" s="7">
        <v>35000</v>
      </c>
      <c r="D37" s="8">
        <f>+C37/$C$14</f>
        <v>294.11764705882354</v>
      </c>
      <c r="E37" s="233"/>
      <c r="G37" s="6" t="s">
        <v>156</v>
      </c>
      <c r="H37" s="16">
        <f>+L64</f>
        <v>0</v>
      </c>
      <c r="K37" s="11" t="s">
        <v>72</v>
      </c>
      <c r="L37" s="22"/>
      <c r="M37" s="26">
        <f>+M35*(1-M36)</f>
        <v>37699674.277326673</v>
      </c>
      <c r="P37" s="202">
        <v>0.6</v>
      </c>
      <c r="Q37" s="195"/>
      <c r="R37" s="199">
        <f>+MAX(1-R35-R36-R38,0)</f>
        <v>0.4</v>
      </c>
      <c r="S37" s="8">
        <f>+S39-S38-S35-S36</f>
        <v>47</v>
      </c>
      <c r="T37" s="94"/>
      <c r="U37" s="25" t="s">
        <v>731</v>
      </c>
      <c r="V37" s="98"/>
      <c r="W37" s="98"/>
      <c r="AB37" s="303" t="s">
        <v>703</v>
      </c>
      <c r="AC37" s="91"/>
      <c r="AD37" s="30">
        <f ca="1">+(S6+S9)*(W41*W38+W42*W39)/12</f>
        <v>2487880.5353477858</v>
      </c>
      <c r="AH37" s="2" t="str">
        <v>Riverside County</v>
      </c>
    </row>
    <row r="38" spans="1:38" x14ac:dyDescent="0.35">
      <c r="B38" s="6" t="s">
        <v>4</v>
      </c>
      <c r="C38" s="107">
        <f>+D38*$I$28</f>
        <v>952000</v>
      </c>
      <c r="D38" s="10">
        <v>8000</v>
      </c>
      <c r="E38" s="233"/>
      <c r="G38" s="6" t="s">
        <v>781</v>
      </c>
      <c r="H38" s="16">
        <f>-J137</f>
        <v>-35700</v>
      </c>
      <c r="K38" s="6"/>
      <c r="M38" s="19"/>
      <c r="P38" s="206">
        <v>0.7</v>
      </c>
      <c r="Q38" s="195"/>
      <c r="R38" s="200">
        <v>0.4</v>
      </c>
      <c r="S38" s="8">
        <f>+MIN(ROUND(R38*($H$7-$I$26),0),S39-S35)</f>
        <v>47</v>
      </c>
      <c r="U38" s="303" t="s">
        <v>665</v>
      </c>
      <c r="V38" s="91"/>
      <c r="W38" s="324">
        <f>+_xlfn.XLOOKUP($W$13,$X$13:$Z$13,$X38:$Z38)</f>
        <v>4.65E-2</v>
      </c>
      <c r="X38" s="314">
        <f>+X18+0.8%</f>
        <v>4.65E-2</v>
      </c>
      <c r="Y38" s="314">
        <v>0.03</v>
      </c>
      <c r="Z38" s="315">
        <v>0.03</v>
      </c>
      <c r="AB38" s="94" t="s">
        <v>701</v>
      </c>
      <c r="AC38" s="9"/>
      <c r="AD38" s="8">
        <f ca="1">-(S6+S9)*W40/12*SUM(W41:W42)</f>
        <v>-1999061.0948113</v>
      </c>
      <c r="AH38" t="str">
        <v>San Francisco</v>
      </c>
    </row>
    <row r="39" spans="1:38" x14ac:dyDescent="0.35">
      <c r="B39" s="6" t="s">
        <v>5</v>
      </c>
      <c r="C39" s="107">
        <f>+D39*$I$28</f>
        <v>1071000</v>
      </c>
      <c r="D39" s="10">
        <v>9000</v>
      </c>
      <c r="E39" s="233"/>
      <c r="G39" s="11" t="s">
        <v>147</v>
      </c>
      <c r="H39" s="18">
        <f>+H36+H37+H38</f>
        <v>1686778.2885000003</v>
      </c>
      <c r="K39" s="6" t="s">
        <v>73</v>
      </c>
      <c r="M39" s="8">
        <f ca="1">+D75+CUMPRINC(C75/12*365.25/360,W15*12,D75,1,16*12,0)+AA89</f>
        <v>18514066.102708355</v>
      </c>
      <c r="P39" s="11" t="s">
        <v>11</v>
      </c>
      <c r="Q39" s="209">
        <f>+SUMPRODUCT(P35:P38,S35:S38)/SUM(S35:S38)</f>
        <v>0.59915254237288129</v>
      </c>
      <c r="R39" s="201">
        <f>+SUM(R35:R38)</f>
        <v>1</v>
      </c>
      <c r="S39" s="26">
        <f>+H7-I26</f>
        <v>118</v>
      </c>
      <c r="U39" s="94" t="s">
        <v>666</v>
      </c>
      <c r="V39" s="9"/>
      <c r="W39" s="74">
        <f>+_xlfn.XLOOKUP($W$13,$X$13:$Z$13,$X39:$Z39)</f>
        <v>5.7359999999999994E-2</v>
      </c>
      <c r="X39" s="281">
        <f>5.036%+0.7%</f>
        <v>5.7359999999999994E-2</v>
      </c>
      <c r="Y39" s="200">
        <v>0</v>
      </c>
      <c r="Z39" s="102">
        <v>0</v>
      </c>
      <c r="AB39" s="94" t="s">
        <v>702</v>
      </c>
      <c r="AC39" s="9"/>
      <c r="AD39" s="8">
        <f ca="1">+SUM(AD37:AD38)</f>
        <v>488819.44053648575</v>
      </c>
      <c r="AH39" t="str">
        <v>Santa Clara County</v>
      </c>
    </row>
    <row r="40" spans="1:38" x14ac:dyDescent="0.35">
      <c r="B40" s="6" t="s">
        <v>628</v>
      </c>
      <c r="C40" s="107">
        <f>0.0175*C36</f>
        <v>394425.5</v>
      </c>
      <c r="D40" s="210">
        <f>+C40/$C$14</f>
        <v>3314.5</v>
      </c>
      <c r="E40" s="233"/>
      <c r="G40" s="6" t="s">
        <v>69</v>
      </c>
      <c r="H40" s="39">
        <v>0.06</v>
      </c>
      <c r="K40" s="11" t="s">
        <v>74</v>
      </c>
      <c r="L40" s="22"/>
      <c r="M40" s="18">
        <f ca="1">+M37-M39</f>
        <v>19185608.174618319</v>
      </c>
      <c r="N40" s="3"/>
      <c r="P40" s="70" t="str">
        <f>+TEXT(P38,"0%")&amp;" AMI Rent Discount"</f>
        <v>70% AMI Rent Discount</v>
      </c>
      <c r="Q40" s="98"/>
      <c r="R40" s="98"/>
      <c r="S40" s="219">
        <v>0</v>
      </c>
      <c r="U40" s="94" t="s">
        <v>700</v>
      </c>
      <c r="V40" s="9"/>
      <c r="W40" s="74">
        <f>+_xlfn.XLOOKUP($W$13,$X$13:$Z$13,$X40:$Z40)</f>
        <v>4.19E-2</v>
      </c>
      <c r="X40" s="322">
        <v>4.19E-2</v>
      </c>
      <c r="Y40" s="322">
        <v>4.19E-2</v>
      </c>
      <c r="Z40" s="323">
        <v>4.19E-2</v>
      </c>
      <c r="AB40" s="216" t="s">
        <v>705</v>
      </c>
      <c r="AC40" s="90"/>
      <c r="AD40" s="34">
        <f ca="1">+(S6)*(W41*W38+W42*W39)/12</f>
        <v>1722378.8321638517</v>
      </c>
      <c r="AH40">
        <v>0</v>
      </c>
    </row>
    <row r="41" spans="1:38" x14ac:dyDescent="0.35">
      <c r="B41" s="6" t="s">
        <v>629</v>
      </c>
      <c r="C41" s="3">
        <f>+MIN(750*C14,200000)</f>
        <v>89250</v>
      </c>
      <c r="D41" s="210">
        <f>+C41/$C$14</f>
        <v>750</v>
      </c>
      <c r="E41" s="265"/>
      <c r="G41" s="11" t="s">
        <v>131</v>
      </c>
      <c r="H41" s="26">
        <f>+H39/H40</f>
        <v>28112971.475000005</v>
      </c>
      <c r="K41" s="6" t="s">
        <v>75</v>
      </c>
      <c r="M41" s="8">
        <f ca="1">+$M$40*N41</f>
        <v>1918560.817461832</v>
      </c>
      <c r="N41" s="158">
        <v>0.1</v>
      </c>
      <c r="Q41" s="2"/>
      <c r="U41" s="303" t="s">
        <v>730</v>
      </c>
      <c r="V41" s="91"/>
      <c r="W41" s="30">
        <f ca="1">+W21</f>
        <v>10572954.616717333</v>
      </c>
    </row>
    <row r="42" spans="1:38" x14ac:dyDescent="0.35">
      <c r="B42" s="6" t="s">
        <v>627</v>
      </c>
      <c r="C42" s="107">
        <f>+D42*$I$28</f>
        <v>178500</v>
      </c>
      <c r="D42" s="10">
        <v>1500</v>
      </c>
      <c r="E42" s="265"/>
      <c r="K42" s="20" t="s">
        <v>76</v>
      </c>
      <c r="L42" s="21"/>
      <c r="M42" s="34">
        <f ca="1">+$M$40*N42</f>
        <v>17267047.357156489</v>
      </c>
      <c r="N42" s="159">
        <f>1-N41</f>
        <v>0.9</v>
      </c>
      <c r="Q42" s="2"/>
      <c r="U42" s="216" t="s">
        <v>729</v>
      </c>
      <c r="V42" s="90"/>
      <c r="W42" s="34">
        <f ca="1">+IF(W13=$X$13,W24,0)</f>
        <v>11447178.610504625</v>
      </c>
    </row>
    <row r="43" spans="1:38" x14ac:dyDescent="0.35">
      <c r="B43" s="6" t="s">
        <v>727</v>
      </c>
      <c r="C43" s="107">
        <f ca="1">IF(D62&gt;20000000,37500+0.0005*(D62-20000000),0.001875*D62)+70000+2500+6000</f>
        <v>98324.289906345002</v>
      </c>
      <c r="D43" s="210">
        <f t="shared" ref="D43:D54" ca="1" si="13">+C43/$C$14</f>
        <v>826.25453702810921</v>
      </c>
      <c r="E43" s="233"/>
      <c r="H43" s="133"/>
      <c r="I43" s="133"/>
      <c r="J43" s="133"/>
      <c r="K43" s="133"/>
      <c r="AA43" s="291" t="s">
        <v>676</v>
      </c>
      <c r="AC43" s="97" t="s">
        <v>566</v>
      </c>
      <c r="AD43" s="204" t="s">
        <v>634</v>
      </c>
      <c r="AE43" s="204" t="s">
        <v>635</v>
      </c>
      <c r="AG43" s="2" t="s">
        <v>407</v>
      </c>
    </row>
    <row r="44" spans="1:38" x14ac:dyDescent="0.35">
      <c r="B44" s="6" t="s">
        <v>735</v>
      </c>
      <c r="C44" s="223">
        <f>50000+D109+35000</f>
        <v>140000</v>
      </c>
      <c r="D44" s="210">
        <f t="shared" si="13"/>
        <v>1176.4705882352941</v>
      </c>
      <c r="E44" s="233"/>
      <c r="G44" s="62" t="s">
        <v>14</v>
      </c>
      <c r="H44" s="64" t="s">
        <v>267</v>
      </c>
      <c r="I44" s="64" t="s">
        <v>585</v>
      </c>
      <c r="J44" s="64" t="s">
        <v>266</v>
      </c>
      <c r="K44" s="64" t="s">
        <v>274</v>
      </c>
      <c r="L44" s="64" t="s">
        <v>19</v>
      </c>
      <c r="M44" s="64" t="s">
        <v>20</v>
      </c>
      <c r="N44" s="64" t="s">
        <v>21</v>
      </c>
      <c r="O44" s="64" t="s">
        <v>22</v>
      </c>
      <c r="P44" s="64" t="s">
        <v>23</v>
      </c>
      <c r="Q44" s="64" t="s">
        <v>24</v>
      </c>
      <c r="R44" s="64" t="s">
        <v>25</v>
      </c>
      <c r="S44" s="64" t="s">
        <v>26</v>
      </c>
      <c r="T44" s="64" t="s">
        <v>27</v>
      </c>
      <c r="U44" s="64" t="s">
        <v>28</v>
      </c>
      <c r="V44" s="64" t="s">
        <v>29</v>
      </c>
      <c r="W44" s="64" t="s">
        <v>30</v>
      </c>
      <c r="X44" s="64" t="s">
        <v>31</v>
      </c>
      <c r="Y44" s="64" t="s">
        <v>32</v>
      </c>
      <c r="Z44" s="284" t="s">
        <v>33</v>
      </c>
      <c r="AA44" s="64" t="s">
        <v>675</v>
      </c>
      <c r="AC44" s="94" t="s">
        <v>157</v>
      </c>
      <c r="AD44" s="161">
        <v>80000</v>
      </c>
      <c r="AE44" s="161">
        <f>+AD44*1.15</f>
        <v>92000</v>
      </c>
      <c r="AG44" s="2" t="s">
        <v>408</v>
      </c>
    </row>
    <row r="45" spans="1:38" x14ac:dyDescent="0.35">
      <c r="B45" s="6" t="s">
        <v>573</v>
      </c>
      <c r="C45" s="223">
        <f ca="1">+D116</f>
        <v>99583.955923552538</v>
      </c>
      <c r="D45" s="210">
        <f t="shared" ca="1" si="13"/>
        <v>836.83996574413902</v>
      </c>
      <c r="E45" s="233"/>
      <c r="G45" t="s">
        <v>278</v>
      </c>
      <c r="H45">
        <v>0</v>
      </c>
      <c r="I45" s="3">
        <f>+S4+H45</f>
        <v>6</v>
      </c>
      <c r="J45" s="3">
        <f>+S5+I45</f>
        <v>12</v>
      </c>
      <c r="K45" s="3">
        <f>+S6+S9+J45</f>
        <v>38</v>
      </c>
      <c r="L45" s="3">
        <f>+K45+12</f>
        <v>50</v>
      </c>
      <c r="M45" s="3">
        <f t="shared" ref="M45:AA45" si="14">+L45+12</f>
        <v>62</v>
      </c>
      <c r="N45" s="3">
        <f t="shared" si="14"/>
        <v>74</v>
      </c>
      <c r="O45" s="3">
        <f>+N45+12</f>
        <v>86</v>
      </c>
      <c r="P45" s="3">
        <f t="shared" si="14"/>
        <v>98</v>
      </c>
      <c r="Q45" s="3">
        <f t="shared" si="14"/>
        <v>110</v>
      </c>
      <c r="R45" s="3">
        <f t="shared" si="14"/>
        <v>122</v>
      </c>
      <c r="S45" s="3">
        <f t="shared" si="14"/>
        <v>134</v>
      </c>
      <c r="T45" s="3">
        <f t="shared" si="14"/>
        <v>146</v>
      </c>
      <c r="U45" s="3">
        <f>+T45+12</f>
        <v>158</v>
      </c>
      <c r="V45" s="3">
        <f t="shared" si="14"/>
        <v>170</v>
      </c>
      <c r="W45" s="3">
        <f>+V45+12</f>
        <v>182</v>
      </c>
      <c r="X45" s="3">
        <f t="shared" si="14"/>
        <v>194</v>
      </c>
      <c r="Y45" s="3">
        <f t="shared" si="14"/>
        <v>206</v>
      </c>
      <c r="Z45" s="16">
        <f t="shared" si="14"/>
        <v>218</v>
      </c>
      <c r="AA45" s="3">
        <f t="shared" si="14"/>
        <v>230</v>
      </c>
      <c r="AC45" s="94" t="s">
        <v>58</v>
      </c>
      <c r="AD45" s="161">
        <v>90000</v>
      </c>
      <c r="AE45" s="161">
        <f>+AD45*1.15</f>
        <v>103499.99999999999</v>
      </c>
    </row>
    <row r="46" spans="1:38" x14ac:dyDescent="0.35">
      <c r="A46" s="157">
        <v>1.0999999999999999E-2</v>
      </c>
      <c r="B46" s="6" t="s">
        <v>7</v>
      </c>
      <c r="C46" s="107">
        <f>A46/12*(S16*(S5+S6)+C36*(S6)/2)</f>
        <v>251943.44999999998</v>
      </c>
      <c r="D46" s="210">
        <f t="shared" si="13"/>
        <v>2117.1718487394955</v>
      </c>
      <c r="E46" s="233"/>
      <c r="G46" s="21" t="s">
        <v>280</v>
      </c>
      <c r="H46" s="142">
        <f>+S3</f>
        <v>46387</v>
      </c>
      <c r="I46" s="142">
        <f t="shared" ref="I46:Z46" si="15">+EOMONTH($H$46,I45)</f>
        <v>46568</v>
      </c>
      <c r="J46" s="142">
        <f t="shared" si="15"/>
        <v>46752</v>
      </c>
      <c r="K46" s="142">
        <f t="shared" si="15"/>
        <v>47542</v>
      </c>
      <c r="L46" s="142">
        <f t="shared" si="15"/>
        <v>47907</v>
      </c>
      <c r="M46" s="142">
        <f t="shared" si="15"/>
        <v>48273</v>
      </c>
      <c r="N46" s="142">
        <f t="shared" si="15"/>
        <v>48638</v>
      </c>
      <c r="O46" s="142">
        <f t="shared" si="15"/>
        <v>49003</v>
      </c>
      <c r="P46" s="142">
        <f t="shared" si="15"/>
        <v>49368</v>
      </c>
      <c r="Q46" s="142">
        <f t="shared" si="15"/>
        <v>49734</v>
      </c>
      <c r="R46" s="142">
        <f t="shared" si="15"/>
        <v>50099</v>
      </c>
      <c r="S46" s="142">
        <f t="shared" si="15"/>
        <v>50464</v>
      </c>
      <c r="T46" s="142">
        <f t="shared" si="15"/>
        <v>50829</v>
      </c>
      <c r="U46" s="142">
        <f t="shared" si="15"/>
        <v>51195</v>
      </c>
      <c r="V46" s="142">
        <f t="shared" si="15"/>
        <v>51560</v>
      </c>
      <c r="W46" s="142">
        <f t="shared" si="15"/>
        <v>51925</v>
      </c>
      <c r="X46" s="142">
        <f t="shared" si="15"/>
        <v>52290</v>
      </c>
      <c r="Y46" s="142">
        <f t="shared" si="15"/>
        <v>52656</v>
      </c>
      <c r="Z46" s="285">
        <f t="shared" si="15"/>
        <v>53021</v>
      </c>
      <c r="AA46" s="142">
        <f t="shared" ref="AA46" si="16">+EOMONTH($H$46,AA45)</f>
        <v>53386</v>
      </c>
      <c r="AC46" s="94" t="s">
        <v>158</v>
      </c>
      <c r="AD46" s="161">
        <v>130000</v>
      </c>
      <c r="AE46" s="161">
        <f t="shared" ref="AE46:AE47" si="17">+AD46*1.15</f>
        <v>149500</v>
      </c>
      <c r="AG46" s="11" t="s">
        <v>530</v>
      </c>
      <c r="AH46" s="25"/>
      <c r="AI46" s="213" t="s">
        <v>157</v>
      </c>
      <c r="AJ46" s="213" t="s">
        <v>58</v>
      </c>
      <c r="AK46" s="213" t="s">
        <v>158</v>
      </c>
      <c r="AL46" s="204" t="s">
        <v>287</v>
      </c>
    </row>
    <row r="47" spans="1:38" x14ac:dyDescent="0.35">
      <c r="B47" s="6" t="s">
        <v>8</v>
      </c>
      <c r="C47" s="107">
        <f ca="1">+C56*15%/(1+15%)</f>
        <v>4587263.9662474412</v>
      </c>
      <c r="D47" s="210">
        <f t="shared" ca="1" si="13"/>
        <v>38548.436691154966</v>
      </c>
      <c r="E47" s="233"/>
      <c r="G47" t="s">
        <v>16</v>
      </c>
      <c r="J47" s="3">
        <v>0</v>
      </c>
      <c r="K47" s="3">
        <v>0</v>
      </c>
      <c r="L47" s="3">
        <f>+H31</f>
        <v>2604986.4</v>
      </c>
      <c r="M47" s="3">
        <f t="shared" ref="M47:AA47" si="18">+L47*(1+$C$19)</f>
        <v>2670111.0599999996</v>
      </c>
      <c r="N47" s="3">
        <f t="shared" si="18"/>
        <v>2736863.8364999993</v>
      </c>
      <c r="O47" s="3">
        <f t="shared" si="18"/>
        <v>2805285.4324124991</v>
      </c>
      <c r="P47" s="3">
        <f t="shared" si="18"/>
        <v>2875417.5682228114</v>
      </c>
      <c r="Q47" s="2">
        <f t="shared" si="18"/>
        <v>2947303.0074283816</v>
      </c>
      <c r="R47" s="2">
        <f t="shared" si="18"/>
        <v>3020985.5826140908</v>
      </c>
      <c r="S47" s="2">
        <f t="shared" si="18"/>
        <v>3096510.2221794426</v>
      </c>
      <c r="T47" s="2">
        <f t="shared" si="18"/>
        <v>3173922.9777339282</v>
      </c>
      <c r="U47" s="2">
        <f>+T47*(1+$C$19)</f>
        <v>3253271.052177276</v>
      </c>
      <c r="V47" s="2">
        <f t="shared" si="18"/>
        <v>3334602.8284817077</v>
      </c>
      <c r="W47" s="2">
        <f>+V47*(1+$C$19)</f>
        <v>3417967.8991937502</v>
      </c>
      <c r="X47" s="2">
        <f t="shared" si="18"/>
        <v>3503417.0966735939</v>
      </c>
      <c r="Y47" s="2">
        <f t="shared" si="18"/>
        <v>3591002.5240904335</v>
      </c>
      <c r="Z47" s="8">
        <f t="shared" si="18"/>
        <v>3680777.5871926942</v>
      </c>
      <c r="AA47" s="2">
        <f t="shared" si="18"/>
        <v>3772797.026872511</v>
      </c>
      <c r="AC47" s="216" t="s">
        <v>287</v>
      </c>
      <c r="AD47" s="251">
        <v>170000</v>
      </c>
      <c r="AE47" s="251">
        <f t="shared" si="17"/>
        <v>195499.99999999997</v>
      </c>
      <c r="AG47" s="212" t="s">
        <v>434</v>
      </c>
      <c r="AH47" s="9"/>
      <c r="AI47" s="9" cm="1">
        <f t="array" ref="AI47">IFERROR(
  INDEX(UA!$I$2:$P$448,
        MATCH(1,
              (UA!$B$2:$B$448=$C$4)*
              (UA!$D$2:$D$448="Multi-Family")*
              (UA!$H$2:$H$448=$AG47),0),
        MATCH(SUBSTITUTE(AI$46,"B","BR"),UA!$I$1:$P$1,0)
  ),
"")</f>
        <v>7</v>
      </c>
      <c r="AJ47" s="9" cm="1">
        <f t="array" ref="AJ47">IFERROR(
  INDEX(UA!$I$2:$P$448,
        MATCH(1,
              (UA!$B$2:$B$448=$C$4)*
              (UA!$D$2:$D$448="Multi-Family")*
              (UA!$H$2:$H$448=$AG47),0),
        MATCH(SUBSTITUTE(AJ$46,"B","BR"),UA!$I$1:$P$1,0)
  ),
"")</f>
        <v>10</v>
      </c>
      <c r="AK47" s="9" cm="1">
        <f t="array" ref="AK47">IFERROR(
  INDEX(UA!$I$2:$P$448,
        MATCH(1,
              (UA!$B$2:$B$448=$C$4)*
              (UA!$D$2:$D$448="Multi-Family")*
              (UA!$H$2:$H$448=$AG47),0),
        MATCH(SUBSTITUTE(AK$46,"B","BR"),UA!$I$1:$P$1,0)
  ),
"")</f>
        <v>13</v>
      </c>
      <c r="AL47" s="8" cm="1">
        <f t="array" ref="AL47">IFERROR(
  INDEX(UA!$I$2:$P$448,
        MATCH(1,
              (UA!$B$2:$B$448=$C$4)*
              (UA!$D$2:$D$448="Multi-Family")*
              (UA!$H$2:$H$448=$AG47),0),
        MATCH(SUBSTITUTE(AL$46,"B","BR"),UA!$I$1:$P$1,0)
  ),
"")</f>
        <v>15</v>
      </c>
    </row>
    <row r="48" spans="1:38" x14ac:dyDescent="0.35">
      <c r="B48" s="6" t="s">
        <v>52</v>
      </c>
      <c r="C48" s="107">
        <f>-(L52+L56)/4</f>
        <v>559615.9322826087</v>
      </c>
      <c r="D48" s="210">
        <f t="shared" si="13"/>
        <v>4702.6548931311654</v>
      </c>
      <c r="E48" s="233"/>
      <c r="G48" t="s">
        <v>45</v>
      </c>
      <c r="J48" s="3"/>
      <c r="K48" s="3"/>
      <c r="L48" s="3">
        <f>+H32</f>
        <v>20464.43</v>
      </c>
      <c r="M48" s="3">
        <f t="shared" ref="M48:AA48" si="19">+L48*(1+$C$19)</f>
        <v>20976.04075</v>
      </c>
      <c r="N48" s="3">
        <f t="shared" si="19"/>
        <v>21500.441768749999</v>
      </c>
      <c r="O48" s="3">
        <f t="shared" si="19"/>
        <v>22037.952812968746</v>
      </c>
      <c r="P48" s="3">
        <f t="shared" si="19"/>
        <v>22588.901633292964</v>
      </c>
      <c r="Q48" s="2">
        <f t="shared" si="19"/>
        <v>23153.624174125285</v>
      </c>
      <c r="R48" s="2">
        <f t="shared" si="19"/>
        <v>23732.464778478414</v>
      </c>
      <c r="S48" s="2">
        <f t="shared" si="19"/>
        <v>24325.776397940372</v>
      </c>
      <c r="T48" s="2">
        <f t="shared" si="19"/>
        <v>24933.920807888881</v>
      </c>
      <c r="U48" s="2">
        <f>+T48*(1+$C$19)</f>
        <v>25557.2688280861</v>
      </c>
      <c r="V48" s="2">
        <f t="shared" si="19"/>
        <v>26196.200548788249</v>
      </c>
      <c r="W48" s="2">
        <f>+V48*(1+$C$19)</f>
        <v>26851.105562507953</v>
      </c>
      <c r="X48" s="2">
        <f t="shared" si="19"/>
        <v>27522.38320157065</v>
      </c>
      <c r="Y48" s="2">
        <f t="shared" si="19"/>
        <v>28210.442781609912</v>
      </c>
      <c r="Z48" s="8">
        <f t="shared" si="19"/>
        <v>28915.703851150156</v>
      </c>
      <c r="AA48" s="2">
        <f t="shared" si="19"/>
        <v>29638.596447428907</v>
      </c>
      <c r="AC48" t="s">
        <v>607</v>
      </c>
      <c r="AD48" s="252">
        <v>200</v>
      </c>
      <c r="AG48" s="6" t="s">
        <v>442</v>
      </c>
      <c r="AH48" s="9"/>
      <c r="AI48" s="9" cm="1">
        <f t="array" ref="AI48">IFERROR(
  INDEX(UA!$I$2:$P$448,
        MATCH(1,
              (UA!$B$2:$B$448=$C$4)*
              (UA!$D$2:$D$448="Multi-Family")*
              (UA!$H$2:$H$448=$AG48),0),
        MATCH(SUBSTITUTE(AI$46,"B","BR"),UA!$I$1:$P$1,0)
  ),
"")</f>
        <v>2</v>
      </c>
      <c r="AJ48" s="9" cm="1">
        <f t="array" ref="AJ48">IFERROR(
  INDEX(UA!$I$2:$P$448,
        MATCH(1,
              (UA!$B$2:$B$448=$C$4)*
              (UA!$D$2:$D$448="Multi-Family")*
              (UA!$H$2:$H$448=$AG48),0),
        MATCH(SUBSTITUTE(AJ$46,"B","BR"),UA!$I$1:$P$1,0)
  ),
"")</f>
        <v>3</v>
      </c>
      <c r="AK48" s="9" cm="1">
        <f t="array" ref="AK48">IFERROR(
  INDEX(UA!$I$2:$P$448,
        MATCH(1,
              (UA!$B$2:$B$448=$C$4)*
              (UA!$D$2:$D$448="Multi-Family")*
              (UA!$H$2:$H$448=$AG48),0),
        MATCH(SUBSTITUTE(AK$46,"B","BR"),UA!$I$1:$P$1,0)
  ),
"")</f>
        <v>4</v>
      </c>
      <c r="AL48" s="8" cm="1">
        <f t="array" ref="AL48">IFERROR(
  INDEX(UA!$I$2:$P$448,
        MATCH(1,
              (UA!$B$2:$B$448=$C$4)*
              (UA!$D$2:$D$448="Multi-Family")*
              (UA!$H$2:$H$448=$AG48),0),
        MATCH(SUBSTITUTE(AL$46,"B","BR"),UA!$I$1:$P$1,0)
  ),
"")</f>
        <v>5</v>
      </c>
    </row>
    <row r="49" spans="1:38" x14ac:dyDescent="0.35">
      <c r="A49" s="230">
        <v>0.05</v>
      </c>
      <c r="B49" s="6" t="s">
        <v>9</v>
      </c>
      <c r="C49" s="9">
        <f>+A49*C36</f>
        <v>1126929.9999999998</v>
      </c>
      <c r="D49" s="8">
        <f t="shared" si="13"/>
        <v>9469.9999999999982</v>
      </c>
      <c r="E49" s="233"/>
      <c r="G49" t="s">
        <v>43</v>
      </c>
      <c r="J49" s="3"/>
      <c r="K49" s="3"/>
      <c r="L49" s="3">
        <f>+H33</f>
        <v>-131272.54150000002</v>
      </c>
      <c r="M49" s="3">
        <f t="shared" ref="M49:Z49" si="20">-$I$33*SUM(M47:M48)</f>
        <v>-134554.3550375</v>
      </c>
      <c r="N49" s="3">
        <f t="shared" si="20"/>
        <v>-137918.21391343747</v>
      </c>
      <c r="O49" s="3">
        <f t="shared" si="20"/>
        <v>-141366.1692612734</v>
      </c>
      <c r="P49" s="3">
        <f t="shared" si="20"/>
        <v>-144900.32349280521</v>
      </c>
      <c r="Q49" s="2">
        <f t="shared" si="20"/>
        <v>-148522.83158012535</v>
      </c>
      <c r="R49" s="2">
        <f t="shared" si="20"/>
        <v>-152235.90236962846</v>
      </c>
      <c r="S49" s="2">
        <f t="shared" si="20"/>
        <v>-156041.79992886915</v>
      </c>
      <c r="T49" s="2">
        <f t="shared" si="20"/>
        <v>-159942.84492709086</v>
      </c>
      <c r="U49" s="2">
        <f t="shared" si="20"/>
        <v>-163941.4160502681</v>
      </c>
      <c r="V49" s="2">
        <f t="shared" si="20"/>
        <v>-168039.9514515248</v>
      </c>
      <c r="W49" s="2">
        <f t="shared" si="20"/>
        <v>-172240.95023781294</v>
      </c>
      <c r="X49" s="2">
        <f t="shared" si="20"/>
        <v>-176546.97399375823</v>
      </c>
      <c r="Y49" s="2">
        <f t="shared" si="20"/>
        <v>-180960.6483436022</v>
      </c>
      <c r="Z49" s="8">
        <f t="shared" si="20"/>
        <v>-185484.66455219223</v>
      </c>
      <c r="AA49" s="2">
        <f t="shared" ref="AA49" si="21">-$I$33*SUM(AA47:AA48)</f>
        <v>-190121.781165997</v>
      </c>
      <c r="AD49" s="259">
        <f>+AD48*H28</f>
        <v>99400</v>
      </c>
      <c r="AG49" s="6" t="s">
        <v>461</v>
      </c>
      <c r="AH49" s="9"/>
      <c r="AI49" s="9" cm="1">
        <f t="array" ref="AI49">IFERROR(
  INDEX(UA!$I$2:$P$448,
        MATCH(1,
              (UA!$B$2:$B$448=$C$4)*
              (UA!$D$2:$D$448="Multi-Family")*
              (UA!$H$2:$H$448=$AG49),0),
        MATCH(SUBSTITUTE(AI$46,"B","BR"),UA!$I$1:$P$1,0)
  ),
"")</f>
        <v>16</v>
      </c>
      <c r="AJ49" s="9" cm="1">
        <f t="array" ref="AJ49">IFERROR(
  INDEX(UA!$I$2:$P$448,
        MATCH(1,
              (UA!$B$2:$B$448=$C$4)*
              (UA!$D$2:$D$448="Multi-Family")*
              (UA!$H$2:$H$448=$AG49),0),
        MATCH(SUBSTITUTE(AJ$46,"B","BR"),UA!$I$1:$P$1,0)
  ),
"")</f>
        <v>22</v>
      </c>
      <c r="AK49" s="9" cm="1">
        <f t="array" ref="AK49">IFERROR(
  INDEX(UA!$I$2:$P$448,
        MATCH(1,
              (UA!$B$2:$B$448=$C$4)*
              (UA!$D$2:$D$448="Multi-Family")*
              (UA!$H$2:$H$448=$AG49),0),
        MATCH(SUBSTITUTE(AK$46,"B","BR"),UA!$I$1:$P$1,0)
  ),
"")</f>
        <v>28</v>
      </c>
      <c r="AL49" s="8" cm="1">
        <f t="array" ref="AL49">IFERROR(
  INDEX(UA!$I$2:$P$448,
        MATCH(1,
              (UA!$B$2:$B$448=$C$4)*
              (UA!$D$2:$D$448="Multi-Family")*
              (UA!$H$2:$H$448=$AG49),0),
        MATCH(SUBSTITUTE(AL$46,"B","BR"),UA!$I$1:$P$1,0)
  ),
"")</f>
        <v>35</v>
      </c>
    </row>
    <row r="50" spans="1:38" x14ac:dyDescent="0.35">
      <c r="A50" s="231">
        <v>0.1</v>
      </c>
      <c r="B50" s="6" t="s">
        <v>10</v>
      </c>
      <c r="C50" s="9">
        <f ca="1">+A50*SUM(C37:C46)</f>
        <v>331002.71958298981</v>
      </c>
      <c r="D50" s="8">
        <f t="shared" ca="1" si="13"/>
        <v>2781.5354586805865</v>
      </c>
      <c r="E50" s="233"/>
      <c r="G50" s="27" t="s">
        <v>44</v>
      </c>
      <c r="H50" s="27"/>
      <c r="I50" s="27"/>
      <c r="J50" s="14"/>
      <c r="K50" s="14"/>
      <c r="L50" s="14">
        <f t="shared" ref="L50:Z50" si="22">+SUM(L47:L49)</f>
        <v>2494178.2885000003</v>
      </c>
      <c r="M50" s="14">
        <f t="shared" si="22"/>
        <v>2556532.7457124996</v>
      </c>
      <c r="N50" s="14">
        <f t="shared" si="22"/>
        <v>2620446.0643553119</v>
      </c>
      <c r="O50" s="14">
        <f t="shared" si="22"/>
        <v>2685957.2159641944</v>
      </c>
      <c r="P50" s="14">
        <f t="shared" si="22"/>
        <v>2753106.1463632993</v>
      </c>
      <c r="Q50" s="89">
        <f t="shared" si="22"/>
        <v>2821933.8000223818</v>
      </c>
      <c r="R50" s="89">
        <f t="shared" si="22"/>
        <v>2892482.1450229404</v>
      </c>
      <c r="S50" s="89">
        <f t="shared" si="22"/>
        <v>2964794.1986485138</v>
      </c>
      <c r="T50" s="89">
        <f t="shared" si="22"/>
        <v>3038914.0536147263</v>
      </c>
      <c r="U50" s="89">
        <f t="shared" si="22"/>
        <v>3114886.9049550937</v>
      </c>
      <c r="V50" s="89">
        <f t="shared" si="22"/>
        <v>3192759.0775789712</v>
      </c>
      <c r="W50" s="89">
        <f t="shared" si="22"/>
        <v>3272578.0545184454</v>
      </c>
      <c r="X50" s="89">
        <f t="shared" si="22"/>
        <v>3354392.5058814064</v>
      </c>
      <c r="Y50" s="89">
        <f t="shared" si="22"/>
        <v>3438252.3185284412</v>
      </c>
      <c r="Z50" s="279">
        <f t="shared" si="22"/>
        <v>3524208.6264916523</v>
      </c>
      <c r="AA50" s="89">
        <f t="shared" ref="AA50" si="23">+SUM(AA47:AA49)</f>
        <v>3612313.8421539427</v>
      </c>
      <c r="AC50" s="2" t="s">
        <v>630</v>
      </c>
      <c r="AD50" s="252">
        <v>110</v>
      </c>
      <c r="AG50" s="6" t="s">
        <v>525</v>
      </c>
      <c r="AH50" s="9"/>
      <c r="AI50" s="9" cm="1">
        <f t="array" ref="AI50">IFERROR(
  INDEX(UA!$I$2:$P$448,
        MATCH(1,
              (UA!$B$2:$B$448=$C$4)*
              (UA!$D$2:$D$448="Multi-Family")*
              (UA!$H$2:$H$448=$AG50),0),
        MATCH(SUBSTITUTE(AI$46,"B","BR"),UA!$I$1:$P$1,0)
  ),
"")</f>
        <v>6</v>
      </c>
      <c r="AJ50" s="9" cm="1">
        <f t="array" ref="AJ50">IFERROR(
  INDEX(UA!$I$2:$P$448,
        MATCH(1,
              (UA!$B$2:$B$448=$C$4)*
              (UA!$D$2:$D$448="Multi-Family")*
              (UA!$H$2:$H$448=$AG50),0),
        MATCH(SUBSTITUTE(AJ$46,"B","BR"),UA!$I$1:$P$1,0)
  ),
"")</f>
        <v>6</v>
      </c>
      <c r="AK50" s="9" cm="1">
        <f t="array" ref="AK50">IFERROR(
  INDEX(UA!$I$2:$P$448,
        MATCH(1,
              (UA!$B$2:$B$448=$C$4)*
              (UA!$D$2:$D$448="Multi-Family")*
              (UA!$H$2:$H$448=$AG50),0),
        MATCH(SUBSTITUTE(AK$46,"B","BR"),UA!$I$1:$P$1,0)
  ),
"")</f>
        <v>6</v>
      </c>
      <c r="AL50" s="8" cm="1">
        <f t="array" ref="AL50">IFERROR(
  INDEX(UA!$I$2:$P$448,
        MATCH(1,
              (UA!$B$2:$B$448=$C$4)*
              (UA!$D$2:$D$448="Multi-Family")*
              (UA!$H$2:$H$448=$AG50),0),
        MATCH(SUBSTITUTE(AL$46,"B","BR"),UA!$I$1:$P$1,0)
  ),
"")</f>
        <v>6</v>
      </c>
    </row>
    <row r="51" spans="1:38" x14ac:dyDescent="0.35">
      <c r="B51" s="6" t="s">
        <v>164</v>
      </c>
      <c r="C51" s="9">
        <f ca="1">+W36</f>
        <v>518231.53211305256</v>
      </c>
      <c r="D51" s="8">
        <f t="shared" ca="1" si="13"/>
        <v>4354.886824479433</v>
      </c>
      <c r="E51" s="233"/>
      <c r="Q51" s="2"/>
      <c r="Z51" s="8"/>
      <c r="AD51" s="259">
        <f>+MIN(C17/0.75*1.1/5*C18,C12*0.9*C18)*AD50/I28</f>
        <v>0</v>
      </c>
      <c r="AG51" s="6" t="s">
        <v>469</v>
      </c>
      <c r="AH51" s="9"/>
      <c r="AI51" s="9" cm="1">
        <f t="array" ref="AI51">IFERROR(
  INDEX(UA!$I$2:$P$448,
        MATCH(1,
              (UA!$B$2:$B$448=$C$4)*
              (UA!$D$2:$D$448="Multi-Family")*
              (UA!$H$2:$H$448=$AG51),0),
        MATCH(SUBSTITUTE(AI$46,"B","BR"),UA!$I$1:$P$1,0)
  ),
"")</f>
        <v>6</v>
      </c>
      <c r="AJ51" s="9" cm="1">
        <f t="array" ref="AJ51">IFERROR(
  INDEX(UA!$I$2:$P$448,
        MATCH(1,
              (UA!$B$2:$B$448=$C$4)*
              (UA!$D$2:$D$448="Multi-Family")*
              (UA!$H$2:$H$448=$AG51),0),
        MATCH(SUBSTITUTE(AJ$46,"B","BR"),UA!$I$1:$P$1,0)
  ),
"")</f>
        <v>9</v>
      </c>
      <c r="AK51" s="9" cm="1">
        <f t="array" ref="AK51">IFERROR(
  INDEX(UA!$I$2:$P$448,
        MATCH(1,
              (UA!$B$2:$B$448=$C$4)*
              (UA!$D$2:$D$448="Multi-Family")*
              (UA!$H$2:$H$448=$AG51),0),
        MATCH(SUBSTITUTE(AK$46,"B","BR"),UA!$I$1:$P$1,0)
  ),
"")</f>
        <v>12</v>
      </c>
      <c r="AL51" s="8" cm="1">
        <f t="array" ref="AL51">IFERROR(
  INDEX(UA!$I$2:$P$448,
        MATCH(1,
              (UA!$B$2:$B$448=$C$4)*
              (UA!$D$2:$D$448="Multi-Family")*
              (UA!$H$2:$H$448=$AG51),0),
        MATCH(SUBSTITUTE(AL$46,"B","BR"),UA!$I$1:$P$1,0)
  ),
"")</f>
        <v>15</v>
      </c>
    </row>
    <row r="52" spans="1:38" x14ac:dyDescent="0.35">
      <c r="B52" s="6" t="s">
        <v>717</v>
      </c>
      <c r="C52" s="9">
        <f ca="1">Draws_Module!I22+AA8+AD40</f>
        <v>3084625.8639114411</v>
      </c>
      <c r="D52" s="8">
        <f t="shared" ca="1" si="13"/>
        <v>25921.225747154967</v>
      </c>
      <c r="E52" s="233"/>
      <c r="G52" t="s">
        <v>18</v>
      </c>
      <c r="J52" s="3"/>
      <c r="K52" s="3"/>
      <c r="L52" s="3">
        <f>+H35</f>
        <v>-771700</v>
      </c>
      <c r="M52" s="3">
        <f t="shared" ref="M52:AA52" si="24">+L52*(1+$C$20)</f>
        <v>-798709.49999999988</v>
      </c>
      <c r="N52" s="3">
        <f t="shared" si="24"/>
        <v>-826664.33249999979</v>
      </c>
      <c r="O52" s="3">
        <f t="shared" si="24"/>
        <v>-855597.58413749968</v>
      </c>
      <c r="P52" s="3">
        <f t="shared" si="24"/>
        <v>-885543.49958231207</v>
      </c>
      <c r="Q52" s="3">
        <f t="shared" si="24"/>
        <v>-916537.52206769295</v>
      </c>
      <c r="R52" s="3">
        <f t="shared" si="24"/>
        <v>-948616.33534006216</v>
      </c>
      <c r="S52" s="3">
        <f t="shared" si="24"/>
        <v>-981817.90707696427</v>
      </c>
      <c r="T52" s="3">
        <f t="shared" si="24"/>
        <v>-1016181.5338246579</v>
      </c>
      <c r="U52" s="3">
        <f>+T52*(1+$C$20)</f>
        <v>-1051747.8875085209</v>
      </c>
      <c r="V52" s="3">
        <f t="shared" si="24"/>
        <v>-1088559.063571319</v>
      </c>
      <c r="W52" s="3">
        <f>+V52*(1+$C$20)</f>
        <v>-1126658.6307963151</v>
      </c>
      <c r="X52" s="3">
        <f t="shared" si="24"/>
        <v>-1166091.6828741862</v>
      </c>
      <c r="Y52" s="3">
        <f t="shared" si="24"/>
        <v>-1206904.8917747827</v>
      </c>
      <c r="Z52" s="16">
        <f t="shared" si="24"/>
        <v>-1249146.5629868999</v>
      </c>
      <c r="AA52" s="3">
        <f t="shared" si="24"/>
        <v>-1292866.6926914412</v>
      </c>
      <c r="AD52" s="266" t="e">
        <f>+MIN(C17/0.75*1.1/5*C18,C12*0.9*C18)*AD50/D18</f>
        <v>#DIV/0!</v>
      </c>
      <c r="AG52" s="6" t="s">
        <v>463</v>
      </c>
      <c r="AH52" s="9"/>
      <c r="AI52" s="9" t="str" cm="1">
        <f t="array" ref="AI52">IFERROR(
  INDEX(UA!$I$2:$P$448,
        MATCH(1,
              (UA!$B$2:$B$448=$C$4)*
              (UA!$D$2:$D$448="Multi-Family")*
              (UA!$H$2:$H$448=$AG52),0),
        MATCH(SUBSTITUTE(AI$46,"B","BR"),UA!$I$1:$P$1,0)
  ),
"")</f>
        <v/>
      </c>
      <c r="AJ52" s="9" t="str" cm="1">
        <f t="array" ref="AJ52">IFERROR(
  INDEX(UA!$I$2:$P$448,
        MATCH(1,
              (UA!$B$2:$B$448=$C$4)*
              (UA!$D$2:$D$448="Multi-Family")*
              (UA!$H$2:$H$448=$AG52),0),
        MATCH(SUBSTITUTE(AJ$46,"B","BR"),UA!$I$1:$P$1,0)
  ),
"")</f>
        <v/>
      </c>
      <c r="AK52" s="9" t="str" cm="1">
        <f t="array" ref="AK52">IFERROR(
  INDEX(UA!$I$2:$P$448,
        MATCH(1,
              (UA!$B$2:$B$448=$C$4)*
              (UA!$D$2:$D$448="Multi-Family")*
              (UA!$H$2:$H$448=$AG52),0),
        MATCH(SUBSTITUTE(AK$46,"B","BR"),UA!$I$1:$P$1,0)
  ),
"")</f>
        <v/>
      </c>
      <c r="AL52" s="8" t="str" cm="1">
        <f t="array" ref="AL52">IFERROR(
  INDEX(UA!$I$2:$P$448,
        MATCH(1,
              (UA!$B$2:$B$448=$C$4)*
              (UA!$D$2:$D$448="Multi-Family")*
              (UA!$H$2:$H$448=$AG52),0),
        MATCH(SUBSTITUTE(AL$46,"B","BR"),UA!$I$1:$P$1,0)
  ),
"")</f>
        <v/>
      </c>
    </row>
    <row r="53" spans="1:38" x14ac:dyDescent="0.35">
      <c r="B53" s="6" t="s">
        <v>716</v>
      </c>
      <c r="C53" s="9">
        <f ca="1">+Draws_Module!I23+AA9+AD37-AD40+AD38</f>
        <v>-32385.042698361212</v>
      </c>
      <c r="D53" s="8">
        <f t="shared" ca="1" si="13"/>
        <v>-272.14321595261521</v>
      </c>
      <c r="E53" s="233"/>
      <c r="G53" s="27" t="s">
        <v>34</v>
      </c>
      <c r="H53" s="27"/>
      <c r="I53" s="27"/>
      <c r="J53" s="14">
        <f t="shared" ref="J53" si="25">+J50+J52</f>
        <v>0</v>
      </c>
      <c r="K53" s="14">
        <f t="shared" ref="K53:Z53" si="26">+K50+K52</f>
        <v>0</v>
      </c>
      <c r="L53" s="14">
        <f t="shared" si="26"/>
        <v>1722478.2885000003</v>
      </c>
      <c r="M53" s="14">
        <f t="shared" si="26"/>
        <v>1757823.2457124996</v>
      </c>
      <c r="N53" s="14">
        <f t="shared" si="26"/>
        <v>1793781.7318553121</v>
      </c>
      <c r="O53" s="14">
        <f t="shared" si="26"/>
        <v>1830359.6318266946</v>
      </c>
      <c r="P53" s="14">
        <f t="shared" si="26"/>
        <v>1867562.6467809873</v>
      </c>
      <c r="Q53" s="89">
        <f t="shared" si="26"/>
        <v>1905396.2779546888</v>
      </c>
      <c r="R53" s="89">
        <f t="shared" si="26"/>
        <v>1943865.8096828782</v>
      </c>
      <c r="S53" s="89">
        <f t="shared" si="26"/>
        <v>1982976.2915715496</v>
      </c>
      <c r="T53" s="89">
        <f t="shared" si="26"/>
        <v>2022732.5197900683</v>
      </c>
      <c r="U53" s="89">
        <f t="shared" si="26"/>
        <v>2063139.0174465729</v>
      </c>
      <c r="V53" s="89">
        <f t="shared" si="26"/>
        <v>2104200.0140076522</v>
      </c>
      <c r="W53" s="89">
        <f t="shared" si="26"/>
        <v>2145919.4237221302</v>
      </c>
      <c r="X53" s="89">
        <f t="shared" si="26"/>
        <v>2188300.8230072204</v>
      </c>
      <c r="Y53" s="89">
        <f t="shared" si="26"/>
        <v>2231347.4267536588</v>
      </c>
      <c r="Z53" s="279">
        <f t="shared" si="26"/>
        <v>2275062.0635047527</v>
      </c>
      <c r="AA53" s="89">
        <f t="shared" ref="AA53" si="27">+AA50+AA52</f>
        <v>2319447.1494625015</v>
      </c>
      <c r="AG53" s="6" t="s">
        <v>465</v>
      </c>
      <c r="AH53" s="9"/>
      <c r="AI53" s="9" t="str" cm="1">
        <f t="array" ref="AI53">IFERROR(
  INDEX(UA!$I$2:$P$448,
        MATCH(1,
              (UA!$B$2:$B$448=$C$4)*
              (UA!$D$2:$D$448="Multi-Family")*
              (UA!$H$2:$H$448=$AG53),0),
        MATCH(SUBSTITUTE(AI$46,"B","BR"),UA!$I$1:$P$1,0)
  ),
"")</f>
        <v/>
      </c>
      <c r="AJ53" s="9" t="str" cm="1">
        <f t="array" ref="AJ53">IFERROR(
  INDEX(UA!$I$2:$P$448,
        MATCH(1,
              (UA!$B$2:$B$448=$C$4)*
              (UA!$D$2:$D$448="Multi-Family")*
              (UA!$H$2:$H$448=$AG53),0),
        MATCH(SUBSTITUTE(AJ$46,"B","BR"),UA!$I$1:$P$1,0)
  ),
"")</f>
        <v/>
      </c>
      <c r="AK53" s="9" t="str" cm="1">
        <f t="array" ref="AK53">IFERROR(
  INDEX(UA!$I$2:$P$448,
        MATCH(1,
              (UA!$B$2:$B$448=$C$4)*
              (UA!$D$2:$D$448="Multi-Family")*
              (UA!$H$2:$H$448=$AG53),0),
        MATCH(SUBSTITUTE(AK$46,"B","BR"),UA!$I$1:$P$1,0)
  ),
"")</f>
        <v/>
      </c>
      <c r="AL53" s="8" t="str" cm="1">
        <f t="array" ref="AL53">IFERROR(
  INDEX(UA!$I$2:$P$448,
        MATCH(1,
              (UA!$B$2:$B$448=$C$4)*
              (UA!$D$2:$D$448="Multi-Family")*
              (UA!$H$2:$H$448=$AG53),0),
        MATCH(SUBSTITUTE(AL$46,"B","BR"),UA!$I$1:$P$1,0)
  ),
"")</f>
        <v/>
      </c>
    </row>
    <row r="54" spans="1:38" x14ac:dyDescent="0.35">
      <c r="B54" s="6" t="s">
        <v>736</v>
      </c>
      <c r="C54" s="9">
        <f ca="1">1%*SUM(D62:D64)+150000</f>
        <v>468657.95158216084</v>
      </c>
      <c r="D54" s="8">
        <f t="shared" ca="1" si="13"/>
        <v>3938.3021141358054</v>
      </c>
      <c r="E54" s="233"/>
      <c r="Q54" s="2"/>
      <c r="Z54" s="8"/>
      <c r="AG54" s="94" t="s">
        <v>458</v>
      </c>
      <c r="AH54" s="9"/>
      <c r="AI54" s="9" cm="1">
        <f t="array" ref="AI54">IFERROR(
  INDEX(UA!$I$2:$P$448,
        MATCH(1,
              (UA!$B$2:$B$448=$C$4)*
              (UA!$D$2:$D$448="Multi-Family")*
              (UA!$H$2:$H$448=$AG54),0),
        MATCH(SUBSTITUTE(AI$46,"B","BR"),UA!$I$1:$P$1,0)
  ),
"")</f>
        <v>0</v>
      </c>
      <c r="AJ54" s="9" cm="1">
        <f t="array" ref="AJ54">IFERROR(
  INDEX(UA!$I$2:$P$448,
        MATCH(1,
              (UA!$B$2:$B$448=$C$4)*
              (UA!$D$2:$D$448="Multi-Family")*
              (UA!$H$2:$H$448=$AG54),0),
        MATCH(SUBSTITUTE(AJ$46,"B","BR"),UA!$I$1:$P$1,0)
  ),
"")</f>
        <v>0</v>
      </c>
      <c r="AK54" s="9" cm="1">
        <f t="array" ref="AK54">IFERROR(
  INDEX(UA!$I$2:$P$448,
        MATCH(1,
              (UA!$B$2:$B$448=$C$4)*
              (UA!$D$2:$D$448="Multi-Family")*
              (UA!$H$2:$H$448=$AG54),0),
        MATCH(SUBSTITUTE(AK$46,"B","BR"),UA!$I$1:$P$1,0)
  ),
"")</f>
        <v>0</v>
      </c>
      <c r="AL54" s="8" cm="1">
        <f t="array" ref="AL54">IFERROR(
  INDEX(UA!$I$2:$P$448,
        MATCH(1,
              (UA!$B$2:$B$448=$C$4)*
              (UA!$D$2:$D$448="Multi-Family")*
              (UA!$H$2:$H$448=$AG54),0),
        MATCH(SUBSTITUTE(AL$46,"B","BR"),UA!$I$1:$P$1,0)
  ),
"")</f>
        <v>0</v>
      </c>
    </row>
    <row r="55" spans="1:38" x14ac:dyDescent="0.35">
      <c r="B55" s="5" t="s">
        <v>11</v>
      </c>
      <c r="C55" s="14">
        <f ca="1">+SUM(C33:C54)</f>
        <v>39492570.118851237</v>
      </c>
      <c r="D55" s="15">
        <f ca="1">+SUM(D33:D54)</f>
        <v>331870.33713320363</v>
      </c>
      <c r="E55" s="234">
        <f>+SUM(E33:E54)</f>
        <v>0</v>
      </c>
      <c r="G55" s="21"/>
      <c r="H55" s="21"/>
      <c r="I55" s="21"/>
      <c r="J55" s="68"/>
      <c r="K55" s="68"/>
      <c r="L55" s="68"/>
      <c r="M55" s="68"/>
      <c r="N55" s="68"/>
      <c r="O55" s="68"/>
      <c r="P55" s="68"/>
      <c r="Q55" s="90"/>
      <c r="R55" s="90"/>
      <c r="S55" s="90"/>
      <c r="T55" s="90"/>
      <c r="U55" s="90"/>
      <c r="V55" s="90"/>
      <c r="W55" s="90"/>
      <c r="X55" s="90"/>
      <c r="Y55" s="90"/>
      <c r="Z55" s="34"/>
      <c r="AA55" s="90"/>
      <c r="AG55" s="97" t="s">
        <v>11</v>
      </c>
      <c r="AH55" s="25"/>
      <c r="AI55" s="25">
        <f>+SUM(AI47:AI54)</f>
        <v>37</v>
      </c>
      <c r="AJ55" s="25">
        <f t="shared" ref="AJ55:AL55" si="28">+SUM(AJ47:AJ54)</f>
        <v>50</v>
      </c>
      <c r="AK55" s="25">
        <f t="shared" si="28"/>
        <v>63</v>
      </c>
      <c r="AL55" s="26">
        <f t="shared" si="28"/>
        <v>76</v>
      </c>
    </row>
    <row r="56" spans="1:38" x14ac:dyDescent="0.35">
      <c r="B56" s="11" t="s">
        <v>42</v>
      </c>
      <c r="C56" s="65">
        <f ca="1">+C55-C33-C53-C48-Draws_Module!I11-C51-C45-C42-C34</f>
        <v>35169023.741230384</v>
      </c>
      <c r="D56" s="26">
        <f ca="1">+C56/$C$14</f>
        <v>295538.01463218807</v>
      </c>
      <c r="E56" s="228"/>
      <c r="G56" t="s">
        <v>46</v>
      </c>
      <c r="L56" s="2">
        <f>-$W$14/$W$16</f>
        <v>-1466763.729130435</v>
      </c>
      <c r="M56" s="2">
        <f>+L56</f>
        <v>-1466763.729130435</v>
      </c>
      <c r="N56" s="2">
        <f t="shared" ref="N56:AA56" si="29">+M56</f>
        <v>-1466763.729130435</v>
      </c>
      <c r="O56" s="2">
        <f t="shared" si="29"/>
        <v>-1466763.729130435</v>
      </c>
      <c r="P56" s="2">
        <f t="shared" si="29"/>
        <v>-1466763.729130435</v>
      </c>
      <c r="Q56" s="2">
        <f t="shared" si="29"/>
        <v>-1466763.729130435</v>
      </c>
      <c r="R56" s="2">
        <f t="shared" si="29"/>
        <v>-1466763.729130435</v>
      </c>
      <c r="S56" s="2">
        <f t="shared" si="29"/>
        <v>-1466763.729130435</v>
      </c>
      <c r="T56" s="2">
        <f t="shared" si="29"/>
        <v>-1466763.729130435</v>
      </c>
      <c r="U56" s="2">
        <f t="shared" si="29"/>
        <v>-1466763.729130435</v>
      </c>
      <c r="V56" s="2">
        <f t="shared" si="29"/>
        <v>-1466763.729130435</v>
      </c>
      <c r="W56" s="2">
        <f t="shared" si="29"/>
        <v>-1466763.729130435</v>
      </c>
      <c r="X56" s="2">
        <f t="shared" si="29"/>
        <v>-1466763.729130435</v>
      </c>
      <c r="Y56" s="2">
        <f t="shared" si="29"/>
        <v>-1466763.729130435</v>
      </c>
      <c r="Z56" s="99">
        <f t="shared" si="29"/>
        <v>-1466763.729130435</v>
      </c>
      <c r="AA56" s="2">
        <f t="shared" si="29"/>
        <v>-1466763.729130435</v>
      </c>
    </row>
    <row r="57" spans="1:38" x14ac:dyDescent="0.35">
      <c r="B57" s="70" t="s">
        <v>141</v>
      </c>
      <c r="C57" s="71">
        <f ca="1">+C55-C53-C48-C35-C51-C34</f>
        <v>38447107.697153933</v>
      </c>
      <c r="D57" s="72">
        <f ca="1">+C57/$C$14</f>
        <v>323084.93863154564</v>
      </c>
      <c r="E57" s="229"/>
      <c r="G57" s="27" t="s">
        <v>48</v>
      </c>
      <c r="H57" s="27"/>
      <c r="I57" s="27"/>
      <c r="J57" s="14">
        <f t="shared" ref="J57" si="30">+J56+J53</f>
        <v>0</v>
      </c>
      <c r="K57" s="14">
        <f t="shared" ref="K57:Z57" si="31">+K56+K53</f>
        <v>0</v>
      </c>
      <c r="L57" s="14">
        <f t="shared" si="31"/>
        <v>255714.55936956522</v>
      </c>
      <c r="M57" s="14">
        <f t="shared" si="31"/>
        <v>291059.51658206456</v>
      </c>
      <c r="N57" s="14">
        <f t="shared" si="31"/>
        <v>327018.00272487709</v>
      </c>
      <c r="O57" s="14">
        <f t="shared" si="31"/>
        <v>363595.90269625955</v>
      </c>
      <c r="P57" s="14">
        <f t="shared" si="31"/>
        <v>400798.91765055223</v>
      </c>
      <c r="Q57" s="89">
        <f t="shared" si="31"/>
        <v>438632.54882425372</v>
      </c>
      <c r="R57" s="89">
        <f t="shared" si="31"/>
        <v>477102.08055244316</v>
      </c>
      <c r="S57" s="89">
        <f t="shared" si="31"/>
        <v>516212.56244111457</v>
      </c>
      <c r="T57" s="89">
        <f t="shared" si="31"/>
        <v>555968.79065963323</v>
      </c>
      <c r="U57" s="89">
        <f t="shared" si="31"/>
        <v>596375.28831613786</v>
      </c>
      <c r="V57" s="89">
        <f t="shared" si="31"/>
        <v>637436.28487721714</v>
      </c>
      <c r="W57" s="89">
        <f t="shared" si="31"/>
        <v>679155.69459169521</v>
      </c>
      <c r="X57" s="89">
        <f t="shared" si="31"/>
        <v>721537.09387678537</v>
      </c>
      <c r="Y57" s="89">
        <f t="shared" si="31"/>
        <v>764583.69762322376</v>
      </c>
      <c r="Z57" s="279">
        <f t="shared" si="31"/>
        <v>808298.33437431767</v>
      </c>
      <c r="AA57" s="89">
        <f t="shared" ref="AA57" si="32">+AA56+AA53</f>
        <v>852683.42033206648</v>
      </c>
    </row>
    <row r="58" spans="1:38" x14ac:dyDescent="0.35">
      <c r="Q58" s="2"/>
      <c r="Z58" s="8"/>
      <c r="AD58" s="2" t="s">
        <v>685</v>
      </c>
      <c r="AE58" s="2" t="s">
        <v>686</v>
      </c>
    </row>
    <row r="59" spans="1:38" x14ac:dyDescent="0.35">
      <c r="B59" s="97" t="s">
        <v>695</v>
      </c>
      <c r="C59" s="98"/>
      <c r="D59" s="297" t="s">
        <v>304</v>
      </c>
      <c r="G59" t="s">
        <v>49</v>
      </c>
      <c r="L59" s="2">
        <f>-N122</f>
        <v>-7500</v>
      </c>
      <c r="M59" s="3">
        <f t="shared" ref="M59:AA59" si="33">+L59*(1+$C$19)</f>
        <v>-7687.4999999999991</v>
      </c>
      <c r="N59" s="3">
        <f t="shared" si="33"/>
        <v>-7879.6874999999982</v>
      </c>
      <c r="O59" s="3">
        <f t="shared" si="33"/>
        <v>-8076.6796874999973</v>
      </c>
      <c r="P59" s="3">
        <f t="shared" si="33"/>
        <v>-8278.5966796874964</v>
      </c>
      <c r="Q59" s="2">
        <f t="shared" si="33"/>
        <v>-8485.5615966796831</v>
      </c>
      <c r="R59" s="2">
        <f t="shared" si="33"/>
        <v>-8697.7006365966736</v>
      </c>
      <c r="S59" s="2">
        <f t="shared" si="33"/>
        <v>-8915.1431525115895</v>
      </c>
      <c r="T59" s="2">
        <f t="shared" si="33"/>
        <v>-9138.0217313243793</v>
      </c>
      <c r="U59" s="2">
        <f>+T59*(1+$C$19)</f>
        <v>-9366.4722746074876</v>
      </c>
      <c r="V59" s="2">
        <f t="shared" si="33"/>
        <v>-9600.6340814726736</v>
      </c>
      <c r="W59" s="2">
        <f>+V59*(1+$C$19)</f>
        <v>-9840.6499335094904</v>
      </c>
      <c r="X59" s="2">
        <f t="shared" si="33"/>
        <v>-10086.666181847228</v>
      </c>
      <c r="Y59" s="2">
        <f t="shared" si="33"/>
        <v>-10338.832836393407</v>
      </c>
      <c r="Z59" s="8">
        <f t="shared" si="33"/>
        <v>-10597.30365730324</v>
      </c>
      <c r="AA59" s="2">
        <f t="shared" si="33"/>
        <v>-10862.23624873582</v>
      </c>
      <c r="AD59" s="2">
        <v>110000</v>
      </c>
      <c r="AE59" s="2">
        <f>0.945*AD59</f>
        <v>103950</v>
      </c>
    </row>
    <row r="60" spans="1:38" x14ac:dyDescent="0.35">
      <c r="B60" s="70" t="s">
        <v>737</v>
      </c>
      <c r="C60" s="22"/>
      <c r="D60" s="296">
        <f ca="1">+C21*C57</f>
        <v>10572954.616717333</v>
      </c>
      <c r="E60" s="326">
        <f ca="1">D60/C57</f>
        <v>0.27500000000000002</v>
      </c>
      <c r="G60" t="s">
        <v>50</v>
      </c>
      <c r="L60" s="2">
        <f>-N121</f>
        <v>0</v>
      </c>
      <c r="M60" s="3">
        <f t="shared" ref="M60:AA60" si="34">+L60*(1+$C$19)</f>
        <v>0</v>
      </c>
      <c r="N60" s="3">
        <f t="shared" si="34"/>
        <v>0</v>
      </c>
      <c r="O60" s="3">
        <f t="shared" si="34"/>
        <v>0</v>
      </c>
      <c r="P60" s="3">
        <f t="shared" si="34"/>
        <v>0</v>
      </c>
      <c r="Q60" s="2">
        <f t="shared" si="34"/>
        <v>0</v>
      </c>
      <c r="R60" s="2">
        <f t="shared" si="34"/>
        <v>0</v>
      </c>
      <c r="S60" s="2">
        <f t="shared" si="34"/>
        <v>0</v>
      </c>
      <c r="T60" s="2">
        <f t="shared" si="34"/>
        <v>0</v>
      </c>
      <c r="U60" s="2">
        <f>+T60*(1+$C$19)</f>
        <v>0</v>
      </c>
      <c r="V60" s="2">
        <f t="shared" si="34"/>
        <v>0</v>
      </c>
      <c r="W60" s="2">
        <f>+V60*(1+$C$19)</f>
        <v>0</v>
      </c>
      <c r="X60" s="2">
        <f t="shared" si="34"/>
        <v>0</v>
      </c>
      <c r="Y60" s="2">
        <f t="shared" si="34"/>
        <v>0</v>
      </c>
      <c r="Z60" s="8">
        <f t="shared" si="34"/>
        <v>0</v>
      </c>
      <c r="AA60" s="2">
        <f t="shared" si="34"/>
        <v>0</v>
      </c>
      <c r="AD60" s="2">
        <v>155000</v>
      </c>
      <c r="AE60" s="2">
        <f t="shared" ref="AE60:AE61" si="35">0.945*AD60</f>
        <v>146475</v>
      </c>
    </row>
    <row r="61" spans="1:38" x14ac:dyDescent="0.35">
      <c r="B61" s="11" t="s">
        <v>15</v>
      </c>
      <c r="C61" s="12" t="s">
        <v>53</v>
      </c>
      <c r="D61" s="12" t="s">
        <v>54</v>
      </c>
      <c r="E61" s="235" t="s">
        <v>296</v>
      </c>
      <c r="G61" t="s">
        <v>51</v>
      </c>
      <c r="L61" s="2">
        <f>-N120</f>
        <v>-35105</v>
      </c>
      <c r="M61" s="3">
        <f t="shared" ref="M61:AA61" si="36">+L61*(1+$C$19)</f>
        <v>-35982.625</v>
      </c>
      <c r="N61" s="3">
        <f t="shared" si="36"/>
        <v>-36882.190624999996</v>
      </c>
      <c r="O61" s="3">
        <f t="shared" si="36"/>
        <v>-37804.245390624994</v>
      </c>
      <c r="P61" s="3">
        <f t="shared" si="36"/>
        <v>-38749.351525390615</v>
      </c>
      <c r="Q61" s="2">
        <f t="shared" si="36"/>
        <v>-39718.085313525378</v>
      </c>
      <c r="R61" s="2">
        <f t="shared" si="36"/>
        <v>-40711.037446363509</v>
      </c>
      <c r="S61" s="2">
        <f t="shared" si="36"/>
        <v>-41728.813382522596</v>
      </c>
      <c r="T61" s="2">
        <f t="shared" si="36"/>
        <v>-42772.033717085658</v>
      </c>
      <c r="U61" s="2">
        <f>+T61*(1+$C$19)</f>
        <v>-43841.334560012794</v>
      </c>
      <c r="V61" s="2">
        <f t="shared" si="36"/>
        <v>-44937.36792401311</v>
      </c>
      <c r="W61" s="2">
        <f>+V61*(1+$C$19)</f>
        <v>-46060.802122113433</v>
      </c>
      <c r="X61" s="2">
        <f t="shared" si="36"/>
        <v>-47212.322175166264</v>
      </c>
      <c r="Y61" s="2">
        <f t="shared" si="36"/>
        <v>-48392.630229545415</v>
      </c>
      <c r="Z61" s="8">
        <f t="shared" si="36"/>
        <v>-49602.445985284045</v>
      </c>
      <c r="AA61" s="2">
        <f t="shared" si="36"/>
        <v>-50842.507134916144</v>
      </c>
      <c r="AD61" s="2">
        <v>200000</v>
      </c>
      <c r="AE61" s="2">
        <f t="shared" si="35"/>
        <v>189000</v>
      </c>
    </row>
    <row r="62" spans="1:38" x14ac:dyDescent="0.35">
      <c r="B62" s="6" t="s">
        <v>659</v>
      </c>
      <c r="C62" s="248">
        <f>+W5</f>
        <v>5.8999999999999997E-2</v>
      </c>
      <c r="D62" s="138">
        <f ca="1">+D60+(S26="Yes")*-D64</f>
        <v>10572954.616717333</v>
      </c>
      <c r="E62" s="174">
        <f ca="1">+D62/$D$72</f>
        <v>0.26772009481526443</v>
      </c>
      <c r="G62" s="27" t="s">
        <v>47</v>
      </c>
      <c r="H62" s="27"/>
      <c r="I62" s="27"/>
      <c r="J62" s="14">
        <f t="shared" ref="J62" si="37">+J57-SUM(J59:J61)</f>
        <v>0</v>
      </c>
      <c r="K62" s="14">
        <f>+K57-SUM(K59:K61)</f>
        <v>0</v>
      </c>
      <c r="L62" s="14">
        <f>+L57+SUM(L59:L61)</f>
        <v>213109.55936956522</v>
      </c>
      <c r="M62" s="14">
        <f t="shared" ref="M62:Z62" si="38">+M57+SUM(M59:M61)</f>
        <v>247389.39158206456</v>
      </c>
      <c r="N62" s="14">
        <f t="shared" si="38"/>
        <v>282256.1245998771</v>
      </c>
      <c r="O62" s="14">
        <f t="shared" si="38"/>
        <v>317714.97761813458</v>
      </c>
      <c r="P62" s="14">
        <f t="shared" si="38"/>
        <v>353770.9694454741</v>
      </c>
      <c r="Q62" s="14">
        <f t="shared" si="38"/>
        <v>390428.90191404865</v>
      </c>
      <c r="R62" s="14">
        <f t="shared" si="38"/>
        <v>427693.34246948297</v>
      </c>
      <c r="S62" s="14">
        <f t="shared" si="38"/>
        <v>465568.6059060804</v>
      </c>
      <c r="T62" s="14">
        <f t="shared" si="38"/>
        <v>504058.73521122319</v>
      </c>
      <c r="U62" s="14">
        <f t="shared" si="38"/>
        <v>543167.48148151755</v>
      </c>
      <c r="V62" s="14">
        <f t="shared" si="38"/>
        <v>582898.28287173132</v>
      </c>
      <c r="W62" s="14">
        <f t="shared" si="38"/>
        <v>623254.24253607227</v>
      </c>
      <c r="X62" s="14">
        <f t="shared" si="38"/>
        <v>664238.10551977193</v>
      </c>
      <c r="Y62" s="14">
        <f t="shared" si="38"/>
        <v>705852.23455728497</v>
      </c>
      <c r="Z62" s="15">
        <f t="shared" si="38"/>
        <v>748098.5847317304</v>
      </c>
      <c r="AA62" s="14">
        <f t="shared" ref="AA62" si="39">+AA57+SUM(AA59:AA61)</f>
        <v>790978.67694841453</v>
      </c>
    </row>
    <row r="63" spans="1:38" x14ac:dyDescent="0.35">
      <c r="B63" s="6" t="s">
        <v>660</v>
      </c>
      <c r="C63" s="248">
        <f>+W8</f>
        <v>5.8999999999999997E-2</v>
      </c>
      <c r="D63" s="9">
        <f ca="1">D75+D80+D79-D62-D69-D70-D68</f>
        <v>21292840.541498747</v>
      </c>
      <c r="E63" s="174">
        <f ca="1">+D63/$D$72</f>
        <v>0.53916066939727725</v>
      </c>
      <c r="Q63" s="2"/>
      <c r="Z63" s="8"/>
    </row>
    <row r="64" spans="1:38" x14ac:dyDescent="0.35">
      <c r="B64" s="6" t="s">
        <v>167</v>
      </c>
      <c r="C64" s="248">
        <f>+S27</f>
        <v>0.08</v>
      </c>
      <c r="D64" s="3">
        <f ca="1">D76</f>
        <v>0</v>
      </c>
      <c r="E64" s="174">
        <f ca="1">+D64/$D$82</f>
        <v>0</v>
      </c>
      <c r="G64" t="s">
        <v>156</v>
      </c>
      <c r="J64" s="3">
        <v>0</v>
      </c>
      <c r="K64" s="3">
        <v>0</v>
      </c>
      <c r="L64" s="3">
        <f>-SUMIFS(Draws_Module!$B$218:$B$721,Draws_Module!$A$218:$A$721,"&lt;="&amp;(Pro_Forma!L45-Pro_Forma!$S$5-$S$4),Draws_Module!$A$218:$A$721,"&gt;"&amp;(Pro_Forma!K45-Pro_Forma!$S$5-$S$4))</f>
        <v>0</v>
      </c>
      <c r="M64" s="3">
        <f>-SUMIFS(Draws_Module!$B$218:$B$721,Draws_Module!$A$218:$A$721,"&lt;="&amp;(Pro_Forma!M45-Pro_Forma!$S$5-$S$4),Draws_Module!$A$218:$A$721,"&gt;"&amp;(Pro_Forma!L45-Pro_Forma!$S$5-$S$4))</f>
        <v>0</v>
      </c>
      <c r="N64" s="3">
        <f>-SUMIFS(Draws_Module!$B$218:$B$721,Draws_Module!$A$218:$A$721,"&lt;="&amp;(Pro_Forma!N45-Pro_Forma!$S$5-$S$4),Draws_Module!$A$218:$A$721,"&gt;"&amp;(Pro_Forma!M45-Pro_Forma!$S$5-$S$4))</f>
        <v>0</v>
      </c>
      <c r="O64" s="3">
        <f>-SUMIFS(Draws_Module!$B$218:$B$721,Draws_Module!$A$218:$A$721,"&lt;="&amp;(Pro_Forma!O45-Pro_Forma!$S$5-$S$4),Draws_Module!$A$218:$A$721,"&gt;"&amp;(Pro_Forma!N45-Pro_Forma!$S$5-$S$4))</f>
        <v>0</v>
      </c>
      <c r="P64" s="3">
        <f>-SUMIFS(Draws_Module!$B$218:$B$721,Draws_Module!$A$218:$A$721,"&lt;="&amp;(Pro_Forma!P45-Pro_Forma!$S$5-$S$4),Draws_Module!$A$218:$A$721,"&gt;"&amp;(Pro_Forma!O45-Pro_Forma!$S$5-$S$4))</f>
        <v>0</v>
      </c>
      <c r="Q64" s="3">
        <f>-SUMIFS(Draws_Module!$B$218:$B$721,Draws_Module!$A$218:$A$721,"&lt;="&amp;(Pro_Forma!Q45-Pro_Forma!$S$5-$S$4),Draws_Module!$A$218:$A$721,"&gt;"&amp;(Pro_Forma!P45-Pro_Forma!$S$5-$S$4))</f>
        <v>0</v>
      </c>
      <c r="R64" s="3">
        <f>-SUMIFS(Draws_Module!$B$218:$B$721,Draws_Module!$A$218:$A$721,"&lt;="&amp;(Pro_Forma!R45-Pro_Forma!$S$5-$S$4),Draws_Module!$A$218:$A$721,"&gt;"&amp;(Pro_Forma!Q45-Pro_Forma!$S$5-$S$4))</f>
        <v>0</v>
      </c>
      <c r="S64" s="3">
        <f>-SUMIFS(Draws_Module!$B$218:$B$721,Draws_Module!$A$218:$A$721,"&lt;="&amp;(Pro_Forma!S45-Pro_Forma!$S$5-$S$4),Draws_Module!$A$218:$A$721,"&gt;"&amp;(Pro_Forma!R45-Pro_Forma!$S$5-$S$4))</f>
        <v>0</v>
      </c>
      <c r="T64" s="3">
        <f>-SUMIFS(Draws_Module!$B$218:$B$721,Draws_Module!$A$218:$A$721,"&lt;="&amp;(Pro_Forma!T45-Pro_Forma!$S$5-$S$4),Draws_Module!$A$218:$A$721,"&gt;"&amp;(Pro_Forma!S45-Pro_Forma!$S$5-$S$4))</f>
        <v>0</v>
      </c>
      <c r="U64" s="3">
        <f>-SUMIFS(Draws_Module!$B$218:$B$721,Draws_Module!$A$218:$A$721,"&lt;="&amp;(Pro_Forma!U45-Pro_Forma!$S$5-$S$4),Draws_Module!$A$218:$A$721,"&gt;"&amp;(Pro_Forma!T45-Pro_Forma!$S$5-$S$4))</f>
        <v>0</v>
      </c>
      <c r="V64" s="3">
        <f>-SUMIFS(Draws_Module!$B$218:$B$721,Draws_Module!$A$218:$A$721,"&lt;="&amp;(Pro_Forma!V45-Pro_Forma!$S$5-$S$4),Draws_Module!$A$218:$A$721,"&gt;"&amp;(Pro_Forma!U45-Pro_Forma!$S$5-$S$4))</f>
        <v>0</v>
      </c>
      <c r="W64" s="3">
        <f>-SUMIFS(Draws_Module!$B$218:$B$721,Draws_Module!$A$218:$A$721,"&lt;="&amp;(Pro_Forma!W45-Pro_Forma!$S$5-$S$4),Draws_Module!$A$218:$A$721,"&gt;"&amp;(Pro_Forma!V45-Pro_Forma!$S$5-$S$4))</f>
        <v>0</v>
      </c>
      <c r="X64" s="3">
        <f>-SUMIFS(Draws_Module!$B$218:$B$721,Draws_Module!$A$218:$A$721,"&lt;="&amp;(Pro_Forma!X45-Pro_Forma!$S$5-$S$4),Draws_Module!$A$218:$A$721,"&gt;"&amp;(Pro_Forma!W45-Pro_Forma!$S$5-$S$4))</f>
        <v>0</v>
      </c>
      <c r="Y64" s="3">
        <f>-SUMIFS(Draws_Module!$B$218:$B$721,Draws_Module!$A$218:$A$721,"&lt;="&amp;(Pro_Forma!Y45-Pro_Forma!$S$5-$S$4),Draws_Module!$A$218:$A$721,"&gt;"&amp;(Pro_Forma!X45-Pro_Forma!$S$5-$S$4))</f>
        <v>0</v>
      </c>
      <c r="Z64" s="16">
        <f>-SUMIFS(Draws_Module!$B$218:$B$721,Draws_Module!$A$218:$A$721,"&lt;="&amp;(Pro_Forma!Z45-Pro_Forma!$S$5-$S$4),Draws_Module!$A$218:$A$721,"&gt;"&amp;(Pro_Forma!Y45-Pro_Forma!$S$5-$S$4))</f>
        <v>0</v>
      </c>
      <c r="AA64" s="3">
        <f>-SUMIFS(Draws_Module!$B$218:$B$721,Draws_Module!$A$218:$A$721,"&lt;="&amp;(Pro_Forma!AA45-Pro_Forma!$S$5-$S$4),Draws_Module!$A$218:$A$721,"&gt;"&amp;(Pro_Forma!Z45-Pro_Forma!$S$5-$S$4))</f>
        <v>0</v>
      </c>
      <c r="AB64" s="9"/>
    </row>
    <row r="65" spans="2:28" x14ac:dyDescent="0.35">
      <c r="B65" s="6" t="s">
        <v>78</v>
      </c>
      <c r="D65" s="7">
        <v>0</v>
      </c>
      <c r="E65" s="174">
        <f ca="1">+D65/$D$72</f>
        <v>0</v>
      </c>
      <c r="G65" t="s">
        <v>766</v>
      </c>
      <c r="L65" s="3">
        <f>+H38</f>
        <v>-35700</v>
      </c>
      <c r="M65" s="3">
        <f t="shared" ref="M65" si="40">+L65*(1+$C$20)</f>
        <v>-36949.5</v>
      </c>
      <c r="N65" s="3">
        <f t="shared" ref="N65" si="41">+M65*(1+$C$20)</f>
        <v>-38242.732499999998</v>
      </c>
      <c r="O65" s="3">
        <f t="shared" ref="O65" si="42">+N65*(1+$C$20)</f>
        <v>-39581.228137499995</v>
      </c>
      <c r="P65" s="3">
        <f t="shared" ref="P65" si="43">+O65*(1+$C$20)</f>
        <v>-40966.571122312489</v>
      </c>
      <c r="Q65" s="3">
        <f t="shared" ref="Q65" si="44">+P65*(1+$C$20)</f>
        <v>-42400.401111593426</v>
      </c>
      <c r="R65" s="3">
        <f t="shared" ref="R65" si="45">+Q65*(1+$C$20)</f>
        <v>-43884.41515049919</v>
      </c>
      <c r="S65" s="3">
        <f t="shared" ref="S65" si="46">+R65*(1+$C$20)</f>
        <v>-45420.369680766657</v>
      </c>
      <c r="T65" s="3">
        <f t="shared" ref="T65" si="47">+S65*(1+$C$20)</f>
        <v>-47010.082619593486</v>
      </c>
      <c r="U65" s="3">
        <f t="shared" ref="U65" si="48">+T65*(1+$C$20)</f>
        <v>-48655.435511279255</v>
      </c>
      <c r="V65" s="3">
        <f t="shared" ref="V65" si="49">+U65*(1+$C$20)</f>
        <v>-50358.375754174027</v>
      </c>
      <c r="W65" s="3">
        <f t="shared" ref="W65" si="50">+V65*(1+$C$20)</f>
        <v>-52120.918905570114</v>
      </c>
      <c r="X65" s="3">
        <f t="shared" ref="X65" si="51">+W65*(1+$C$20)</f>
        <v>-53945.151067265062</v>
      </c>
      <c r="Y65" s="3">
        <f t="shared" ref="Y65" si="52">+X65*(1+$C$20)</f>
        <v>-55833.231354619333</v>
      </c>
      <c r="Z65" s="16">
        <f t="shared" ref="Z65:AA65" si="53">+Y65*(1+$C$20)</f>
        <v>-57787.394452031003</v>
      </c>
      <c r="AA65" s="342">
        <f t="shared" si="53"/>
        <v>-59809.953257852081</v>
      </c>
      <c r="AB65" s="9"/>
    </row>
    <row r="66" spans="2:28" x14ac:dyDescent="0.35">
      <c r="B66" s="6" t="s">
        <v>692</v>
      </c>
      <c r="D66" s="3">
        <f ca="1" xml:space="preserve"> C55 - (D62 + D63 + D65 + D67 + D69 + D71 + D70+D64+D68)</f>
        <v>1303495.8193931952</v>
      </c>
      <c r="E66" s="174">
        <f ca="1">+D66/$D$72</f>
        <v>3.3006102552211182E-2</v>
      </c>
      <c r="G66" t="s">
        <v>631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229">
        <v>0</v>
      </c>
      <c r="R66" s="229">
        <v>0</v>
      </c>
      <c r="S66" s="229">
        <v>0</v>
      </c>
      <c r="T66" s="229">
        <v>0</v>
      </c>
      <c r="U66" s="229">
        <v>0</v>
      </c>
      <c r="V66" s="229">
        <v>0</v>
      </c>
      <c r="W66" s="229">
        <v>0</v>
      </c>
      <c r="X66" s="229">
        <v>0</v>
      </c>
      <c r="Y66" s="229">
        <v>0</v>
      </c>
      <c r="Z66" s="286">
        <v>0</v>
      </c>
      <c r="AA66" s="343">
        <f ca="1">+M40</f>
        <v>19185608.174618319</v>
      </c>
    </row>
    <row r="67" spans="2:28" x14ac:dyDescent="0.35">
      <c r="B67" s="6" t="s">
        <v>143</v>
      </c>
      <c r="C67" s="4"/>
      <c r="D67" s="107">
        <f>+S18</f>
        <v>0</v>
      </c>
      <c r="E67" s="174">
        <f ca="1">+D67/$D$72</f>
        <v>0</v>
      </c>
      <c r="G67" s="56" t="s">
        <v>144</v>
      </c>
      <c r="H67" s="56" t="s">
        <v>145</v>
      </c>
      <c r="I67" s="56"/>
      <c r="J67" s="67">
        <f t="shared" ref="J67:K67" si="54">+J64+J62+J66+J65</f>
        <v>0</v>
      </c>
      <c r="K67" s="67">
        <f t="shared" si="54"/>
        <v>0</v>
      </c>
      <c r="L67" s="67">
        <f>+L64+L62+L66+L65</f>
        <v>177409.55936956522</v>
      </c>
      <c r="M67" s="67">
        <f t="shared" ref="M67:AA67" si="55">+M64+M62+M66+M65</f>
        <v>210439.89158206456</v>
      </c>
      <c r="N67" s="67">
        <f t="shared" si="55"/>
        <v>244013.39209987712</v>
      </c>
      <c r="O67" s="67">
        <f t="shared" si="55"/>
        <v>278133.74948063458</v>
      </c>
      <c r="P67" s="67">
        <f t="shared" si="55"/>
        <v>312804.39832316159</v>
      </c>
      <c r="Q67" s="67">
        <f t="shared" si="55"/>
        <v>348028.50080245524</v>
      </c>
      <c r="R67" s="67">
        <f t="shared" si="55"/>
        <v>383808.92731898377</v>
      </c>
      <c r="S67" s="67">
        <f t="shared" si="55"/>
        <v>420148.23622531374</v>
      </c>
      <c r="T67" s="67">
        <f t="shared" si="55"/>
        <v>457048.65259162971</v>
      </c>
      <c r="U67" s="67">
        <f t="shared" si="55"/>
        <v>494512.04597023828</v>
      </c>
      <c r="V67" s="67">
        <f t="shared" si="55"/>
        <v>532539.90711755725</v>
      </c>
      <c r="W67" s="67">
        <f t="shared" si="55"/>
        <v>571133.32363050221</v>
      </c>
      <c r="X67" s="67">
        <f t="shared" si="55"/>
        <v>610292.95445250685</v>
      </c>
      <c r="Y67" s="67">
        <f t="shared" si="55"/>
        <v>650019.0032026656</v>
      </c>
      <c r="Z67" s="287">
        <f t="shared" si="55"/>
        <v>690311.1902796994</v>
      </c>
      <c r="AA67" s="344">
        <f t="shared" ca="1" si="55"/>
        <v>19916776.898308881</v>
      </c>
    </row>
    <row r="68" spans="2:28" x14ac:dyDescent="0.35">
      <c r="B68" s="6" t="s">
        <v>574</v>
      </c>
      <c r="C68" s="325">
        <f>+AA6</f>
        <v>0.03</v>
      </c>
      <c r="D68" s="3">
        <f>+D79*(AA7="Yes")</f>
        <v>0</v>
      </c>
      <c r="E68" s="19"/>
      <c r="Q68" s="2"/>
      <c r="Z68" s="8"/>
      <c r="AA68" s="94"/>
    </row>
    <row r="69" spans="2:28" x14ac:dyDescent="0.35">
      <c r="B69" s="6" t="s">
        <v>38</v>
      </c>
      <c r="D69" s="9">
        <f ca="1">+D94*0.1</f>
        <v>1408167.7105988646</v>
      </c>
      <c r="E69" s="174">
        <f ca="1">+D69/$D$72</f>
        <v>3.5656522387908472E-2</v>
      </c>
      <c r="G69" s="1" t="s">
        <v>167</v>
      </c>
      <c r="Q69" s="2"/>
      <c r="Z69" s="8"/>
    </row>
    <row r="70" spans="2:28" x14ac:dyDescent="0.35">
      <c r="B70" s="6" t="s">
        <v>254</v>
      </c>
      <c r="D70" s="3">
        <f ca="1">+C51+Draws_Module!C24+C48</f>
        <v>2827847.4643956609</v>
      </c>
      <c r="E70" s="174">
        <f ca="1">+D70/$D$72</f>
        <v>7.160454373785681E-2</v>
      </c>
      <c r="G70" s="56" t="s">
        <v>135</v>
      </c>
      <c r="H70" s="56"/>
      <c r="I70" s="56"/>
      <c r="J70" s="56"/>
      <c r="K70" s="56"/>
      <c r="L70" s="67">
        <f ca="1">+D76</f>
        <v>0</v>
      </c>
      <c r="M70" s="67">
        <f t="shared" ref="M70:AA70" ca="1" si="56">+L74</f>
        <v>0</v>
      </c>
      <c r="N70" s="67">
        <f t="shared" ca="1" si="56"/>
        <v>0</v>
      </c>
      <c r="O70" s="67">
        <f t="shared" ca="1" si="56"/>
        <v>0</v>
      </c>
      <c r="P70" s="67">
        <f t="shared" ca="1" si="56"/>
        <v>0</v>
      </c>
      <c r="Q70" s="67">
        <f t="shared" ca="1" si="56"/>
        <v>0</v>
      </c>
      <c r="R70" s="67">
        <f t="shared" ca="1" si="56"/>
        <v>0</v>
      </c>
      <c r="S70" s="67">
        <f t="shared" ca="1" si="56"/>
        <v>0</v>
      </c>
      <c r="T70" s="67">
        <f t="shared" ca="1" si="56"/>
        <v>0</v>
      </c>
      <c r="U70" s="67">
        <f t="shared" ca="1" si="56"/>
        <v>0</v>
      </c>
      <c r="V70" s="67">
        <f t="shared" ca="1" si="56"/>
        <v>0</v>
      </c>
      <c r="W70" s="67">
        <f t="shared" ca="1" si="56"/>
        <v>0</v>
      </c>
      <c r="X70" s="67">
        <f t="shared" ca="1" si="56"/>
        <v>0</v>
      </c>
      <c r="Y70" s="67">
        <f t="shared" ca="1" si="56"/>
        <v>0</v>
      </c>
      <c r="Z70" s="287">
        <f t="shared" ca="1" si="56"/>
        <v>0</v>
      </c>
      <c r="AA70" s="67">
        <f t="shared" ca="1" si="56"/>
        <v>0</v>
      </c>
    </row>
    <row r="71" spans="2:28" x14ac:dyDescent="0.35">
      <c r="B71" s="6" t="s">
        <v>599</v>
      </c>
      <c r="D71" s="3">
        <f ca="1">+D131</f>
        <v>2087263.9662474412</v>
      </c>
      <c r="E71" s="174">
        <f ca="1">+D71/$D$72</f>
        <v>5.2852067109481794E-2</v>
      </c>
      <c r="G71" t="s">
        <v>684</v>
      </c>
      <c r="L71" s="3">
        <f t="shared" ref="L71:AA71" ca="1" si="57">+$S$27*L70</f>
        <v>0</v>
      </c>
      <c r="M71" s="3">
        <f t="shared" ca="1" si="57"/>
        <v>0</v>
      </c>
      <c r="N71" s="3">
        <f t="shared" ca="1" si="57"/>
        <v>0</v>
      </c>
      <c r="O71" s="3">
        <f t="shared" ca="1" si="57"/>
        <v>0</v>
      </c>
      <c r="P71" s="3">
        <f t="shared" ca="1" si="57"/>
        <v>0</v>
      </c>
      <c r="Q71" s="3">
        <f t="shared" ca="1" si="57"/>
        <v>0</v>
      </c>
      <c r="R71" s="3">
        <f t="shared" ca="1" si="57"/>
        <v>0</v>
      </c>
      <c r="S71" s="3">
        <f t="shared" ca="1" si="57"/>
        <v>0</v>
      </c>
      <c r="T71" s="3">
        <f t="shared" ca="1" si="57"/>
        <v>0</v>
      </c>
      <c r="U71" s="3">
        <f t="shared" ca="1" si="57"/>
        <v>0</v>
      </c>
      <c r="V71" s="3">
        <f t="shared" ca="1" si="57"/>
        <v>0</v>
      </c>
      <c r="W71" s="3">
        <f t="shared" ca="1" si="57"/>
        <v>0</v>
      </c>
      <c r="X71" s="3">
        <f t="shared" ca="1" si="57"/>
        <v>0</v>
      </c>
      <c r="Y71" s="3">
        <f t="shared" ca="1" si="57"/>
        <v>0</v>
      </c>
      <c r="Z71" s="16">
        <f t="shared" ca="1" si="57"/>
        <v>0</v>
      </c>
      <c r="AA71" s="3">
        <f t="shared" ca="1" si="57"/>
        <v>0</v>
      </c>
    </row>
    <row r="72" spans="2:28" x14ac:dyDescent="0.35">
      <c r="B72" s="11" t="s">
        <v>11</v>
      </c>
      <c r="C72" s="17"/>
      <c r="D72" s="65">
        <f ca="1">+SUM(D62:D71)</f>
        <v>39492570.118851244</v>
      </c>
      <c r="E72" s="175">
        <f ca="1">+D72/$D$72</f>
        <v>1</v>
      </c>
      <c r="G72" t="s">
        <v>682</v>
      </c>
      <c r="L72" s="9">
        <f t="shared" ref="L72:AA72" ca="1" si="58">-MAX(0,MIN(SUM(L70:L71)-$D$76,L67))</f>
        <v>0</v>
      </c>
      <c r="M72" s="9">
        <f t="shared" ca="1" si="58"/>
        <v>0</v>
      </c>
      <c r="N72" s="9">
        <f t="shared" ca="1" si="58"/>
        <v>0</v>
      </c>
      <c r="O72" s="9">
        <f t="shared" ca="1" si="58"/>
        <v>0</v>
      </c>
      <c r="P72" s="9">
        <f t="shared" ca="1" si="58"/>
        <v>0</v>
      </c>
      <c r="Q72" s="9">
        <f t="shared" ca="1" si="58"/>
        <v>0</v>
      </c>
      <c r="R72" s="9">
        <f t="shared" ca="1" si="58"/>
        <v>0</v>
      </c>
      <c r="S72" s="9">
        <f t="shared" ca="1" si="58"/>
        <v>0</v>
      </c>
      <c r="T72" s="9">
        <f t="shared" ca="1" si="58"/>
        <v>0</v>
      </c>
      <c r="U72" s="9">
        <f t="shared" ca="1" si="58"/>
        <v>0</v>
      </c>
      <c r="V72" s="9">
        <f t="shared" ca="1" si="58"/>
        <v>0</v>
      </c>
      <c r="W72" s="9">
        <f t="shared" ca="1" si="58"/>
        <v>0</v>
      </c>
      <c r="X72" s="9">
        <f t="shared" ca="1" si="58"/>
        <v>0</v>
      </c>
      <c r="Y72" s="9">
        <f t="shared" ca="1" si="58"/>
        <v>0</v>
      </c>
      <c r="Z72" s="8">
        <f t="shared" ca="1" si="58"/>
        <v>0</v>
      </c>
      <c r="AA72" s="9">
        <f t="shared" ca="1" si="58"/>
        <v>0</v>
      </c>
    </row>
    <row r="73" spans="2:28" x14ac:dyDescent="0.35">
      <c r="C73" s="80"/>
      <c r="D73" s="222"/>
      <c r="E73" s="164"/>
      <c r="G73" t="s">
        <v>683</v>
      </c>
      <c r="Z73" s="8"/>
      <c r="AA73" s="2">
        <f ca="1">-MAX(0,MIN(D76,AA67))</f>
        <v>0</v>
      </c>
    </row>
    <row r="74" spans="2:28" x14ac:dyDescent="0.35">
      <c r="B74" s="11" t="s">
        <v>40</v>
      </c>
      <c r="C74" s="12" t="s">
        <v>53</v>
      </c>
      <c r="D74" s="12" t="s">
        <v>54</v>
      </c>
      <c r="E74" s="236" t="s">
        <v>296</v>
      </c>
      <c r="G74" s="21" t="s">
        <v>137</v>
      </c>
      <c r="H74" s="21"/>
      <c r="I74" s="21"/>
      <c r="J74" s="21"/>
      <c r="K74" s="21"/>
      <c r="L74" s="68">
        <f ca="1">+SUM(L70:L73)</f>
        <v>0</v>
      </c>
      <c r="M74" s="68">
        <f t="shared" ref="M74:AA74" ca="1" si="59">+SUM(M70:M73)</f>
        <v>0</v>
      </c>
      <c r="N74" s="68">
        <f t="shared" ca="1" si="59"/>
        <v>0</v>
      </c>
      <c r="O74" s="68">
        <f t="shared" ca="1" si="59"/>
        <v>0</v>
      </c>
      <c r="P74" s="68">
        <f t="shared" ca="1" si="59"/>
        <v>0</v>
      </c>
      <c r="Q74" s="68">
        <f t="shared" ca="1" si="59"/>
        <v>0</v>
      </c>
      <c r="R74" s="68">
        <f t="shared" ca="1" si="59"/>
        <v>0</v>
      </c>
      <c r="S74" s="68">
        <f t="shared" ca="1" si="59"/>
        <v>0</v>
      </c>
      <c r="T74" s="68">
        <f t="shared" ca="1" si="59"/>
        <v>0</v>
      </c>
      <c r="U74" s="68">
        <f t="shared" ca="1" si="59"/>
        <v>0</v>
      </c>
      <c r="V74" s="68">
        <f t="shared" ca="1" si="59"/>
        <v>0</v>
      </c>
      <c r="W74" s="68">
        <f t="shared" ca="1" si="59"/>
        <v>0</v>
      </c>
      <c r="X74" s="68">
        <f t="shared" ca="1" si="59"/>
        <v>0</v>
      </c>
      <c r="Y74" s="68">
        <f t="shared" ca="1" si="59"/>
        <v>0</v>
      </c>
      <c r="Z74" s="24">
        <f t="shared" ca="1" si="59"/>
        <v>0</v>
      </c>
      <c r="AA74" s="68">
        <f t="shared" ca="1" si="59"/>
        <v>0</v>
      </c>
    </row>
    <row r="75" spans="2:28" x14ac:dyDescent="0.35">
      <c r="B75" s="6" t="s">
        <v>672</v>
      </c>
      <c r="C75" s="248">
        <f ca="1">RATE(W15*12,PMT(W20/12*365.25/360,W15*12,W21)+PMT(W23/12*365.25/360,W15*12,W24),W25)*12/(365.25/360)</f>
        <v>5.9825149913235093E-2</v>
      </c>
      <c r="D75" s="67">
        <f ca="1">+W25</f>
        <v>22020133.227221958</v>
      </c>
      <c r="E75" s="174">
        <f t="shared" ref="E75:E82" ca="1" si="60">+D75/$D$82</f>
        <v>0.55757660645922236</v>
      </c>
      <c r="G75" t="s">
        <v>144</v>
      </c>
      <c r="L75" s="3">
        <f ca="1">+L72+L67+L73</f>
        <v>177409.55936956522</v>
      </c>
      <c r="M75" s="3">
        <f t="shared" ref="M75:AA75" ca="1" si="61">+M72+M67+M73</f>
        <v>210439.89158206456</v>
      </c>
      <c r="N75" s="3">
        <f t="shared" ca="1" si="61"/>
        <v>244013.39209987712</v>
      </c>
      <c r="O75" s="3">
        <f t="shared" ca="1" si="61"/>
        <v>278133.74948063458</v>
      </c>
      <c r="P75" s="3">
        <f t="shared" ca="1" si="61"/>
        <v>312804.39832316159</v>
      </c>
      <c r="Q75" s="3">
        <f t="shared" ca="1" si="61"/>
        <v>348028.50080245524</v>
      </c>
      <c r="R75" s="3">
        <f t="shared" ca="1" si="61"/>
        <v>383808.92731898377</v>
      </c>
      <c r="S75" s="3">
        <f t="shared" ca="1" si="61"/>
        <v>420148.23622531374</v>
      </c>
      <c r="T75" s="3">
        <f t="shared" ca="1" si="61"/>
        <v>457048.65259162971</v>
      </c>
      <c r="U75" s="3">
        <f t="shared" ca="1" si="61"/>
        <v>494512.04597023828</v>
      </c>
      <c r="V75" s="3">
        <f t="shared" ca="1" si="61"/>
        <v>532539.90711755725</v>
      </c>
      <c r="W75" s="3">
        <f t="shared" ca="1" si="61"/>
        <v>571133.32363050221</v>
      </c>
      <c r="X75" s="3">
        <f t="shared" ca="1" si="61"/>
        <v>610292.95445250685</v>
      </c>
      <c r="Y75" s="3">
        <f t="shared" ca="1" si="61"/>
        <v>650019.0032026656</v>
      </c>
      <c r="Z75" s="16">
        <f t="shared" ca="1" si="61"/>
        <v>690311.1902796994</v>
      </c>
      <c r="AA75" s="3">
        <f t="shared" ca="1" si="61"/>
        <v>19916776.898308881</v>
      </c>
    </row>
    <row r="76" spans="2:28" x14ac:dyDescent="0.35">
      <c r="B76" s="6" t="s">
        <v>167</v>
      </c>
      <c r="C76" s="248">
        <f>+S27</f>
        <v>0.08</v>
      </c>
      <c r="D76" s="3">
        <f ca="1" xml:space="preserve"> MIN( S32, MAX(0, D133) ) * S25</f>
        <v>0</v>
      </c>
      <c r="E76" s="174">
        <f t="shared" ca="1" si="60"/>
        <v>0</v>
      </c>
      <c r="Q76" s="2"/>
      <c r="Z76" s="8"/>
    </row>
    <row r="77" spans="2:28" x14ac:dyDescent="0.35">
      <c r="B77" s="6" t="s">
        <v>692</v>
      </c>
      <c r="D77" s="3">
        <f ca="1">+D135</f>
        <v>1303495.8193931952</v>
      </c>
      <c r="E77" s="174">
        <f t="shared" ca="1" si="60"/>
        <v>3.3006102552211189E-2</v>
      </c>
      <c r="G77" s="1" t="s">
        <v>134</v>
      </c>
      <c r="Q77" s="2"/>
      <c r="Z77" s="8"/>
    </row>
    <row r="78" spans="2:28" x14ac:dyDescent="0.35">
      <c r="B78" s="6" t="s">
        <v>143</v>
      </c>
      <c r="C78" s="248">
        <f>+S20</f>
        <v>5.5E-2</v>
      </c>
      <c r="D78" s="3">
        <f>+D67</f>
        <v>0</v>
      </c>
      <c r="E78" s="174">
        <f t="shared" ca="1" si="60"/>
        <v>0</v>
      </c>
      <c r="G78" s="56" t="s">
        <v>135</v>
      </c>
      <c r="H78" s="56"/>
      <c r="I78" s="56"/>
      <c r="J78" s="56"/>
      <c r="K78" s="56"/>
      <c r="L78" s="67">
        <f ca="1">+D81</f>
        <v>2087263.9662474394</v>
      </c>
      <c r="M78" s="67">
        <f t="shared" ref="M78:AA78" ca="1" si="62">+L81</f>
        <v>1993344.9655277717</v>
      </c>
      <c r="N78" s="67">
        <f t="shared" ca="1" si="62"/>
        <v>1862638.872566818</v>
      </c>
      <c r="O78" s="67">
        <f ca="1">+N81</f>
        <v>1693131.0353696051</v>
      </c>
      <c r="P78" s="67">
        <f t="shared" ca="1" si="62"/>
        <v>1482722.5273037637</v>
      </c>
      <c r="Q78" s="91">
        <f t="shared" ca="1" si="62"/>
        <v>1229227.030072758</v>
      </c>
      <c r="R78" s="91">
        <f t="shared" ca="1" si="62"/>
        <v>930367.61047320743</v>
      </c>
      <c r="S78" s="91">
        <f t="shared" ca="1" si="62"/>
        <v>583773.38757310272</v>
      </c>
      <c r="T78" s="91">
        <f t="shared" ca="1" si="62"/>
        <v>186976.08685075841</v>
      </c>
      <c r="U78" s="91">
        <f ca="1">+T81</f>
        <v>0</v>
      </c>
      <c r="V78" s="91">
        <f t="shared" ca="1" si="62"/>
        <v>0</v>
      </c>
      <c r="W78" s="91">
        <f ca="1">+V81</f>
        <v>0</v>
      </c>
      <c r="X78" s="91">
        <f t="shared" ca="1" si="62"/>
        <v>0</v>
      </c>
      <c r="Y78" s="91">
        <f t="shared" ca="1" si="62"/>
        <v>0</v>
      </c>
      <c r="Z78" s="30">
        <f t="shared" ca="1" si="62"/>
        <v>0</v>
      </c>
      <c r="AA78" s="91">
        <f t="shared" ca="1" si="62"/>
        <v>0</v>
      </c>
    </row>
    <row r="79" spans="2:28" x14ac:dyDescent="0.35">
      <c r="B79" s="6" t="s">
        <v>574</v>
      </c>
      <c r="C79" s="248">
        <f>+AA6</f>
        <v>0.03</v>
      </c>
      <c r="D79" s="221">
        <f>IF($D$59="Soft Debt",MAX(0,$C$55-$D$75-$D$76-$D$78-($C$89*$D$88*10)-$D$131),0)</f>
        <v>0</v>
      </c>
      <c r="E79" s="174">
        <f t="shared" ca="1" si="60"/>
        <v>0</v>
      </c>
      <c r="G79" t="s">
        <v>597</v>
      </c>
      <c r="L79" s="3">
        <f t="shared" ref="L79:AA79" ca="1" si="63">+L78*$C$81</f>
        <v>83490.558649897575</v>
      </c>
      <c r="M79" s="3">
        <f t="shared" ca="1" si="63"/>
        <v>79733.798621110865</v>
      </c>
      <c r="N79" s="3">
        <f t="shared" ca="1" si="63"/>
        <v>74505.554902672724</v>
      </c>
      <c r="O79" s="3">
        <f t="shared" ca="1" si="63"/>
        <v>67725.241414784206</v>
      </c>
      <c r="P79" s="3">
        <f t="shared" ca="1" si="63"/>
        <v>59308.901092150547</v>
      </c>
      <c r="Q79" s="3">
        <f t="shared" ca="1" si="63"/>
        <v>49169.081202910318</v>
      </c>
      <c r="R79" s="3">
        <f t="shared" ca="1" si="63"/>
        <v>37214.704418928297</v>
      </c>
      <c r="S79" s="3">
        <f t="shared" ca="1" si="63"/>
        <v>23350.935502924109</v>
      </c>
      <c r="T79" s="3">
        <f t="shared" ca="1" si="63"/>
        <v>7479.0434740303363</v>
      </c>
      <c r="U79" s="3">
        <f t="shared" ca="1" si="63"/>
        <v>0</v>
      </c>
      <c r="V79" s="3">
        <f t="shared" ca="1" si="63"/>
        <v>0</v>
      </c>
      <c r="W79" s="3">
        <f t="shared" ca="1" si="63"/>
        <v>0</v>
      </c>
      <c r="X79" s="3">
        <f t="shared" ca="1" si="63"/>
        <v>0</v>
      </c>
      <c r="Y79" s="3">
        <f t="shared" ca="1" si="63"/>
        <v>0</v>
      </c>
      <c r="Z79" s="16">
        <f t="shared" ca="1" si="63"/>
        <v>0</v>
      </c>
      <c r="AA79" s="3">
        <f t="shared" ca="1" si="63"/>
        <v>0</v>
      </c>
    </row>
    <row r="80" spans="2:28" x14ac:dyDescent="0.35">
      <c r="B80" s="6" t="s">
        <v>38</v>
      </c>
      <c r="D80" s="3">
        <f ca="1">+D94</f>
        <v>14081677.105988646</v>
      </c>
      <c r="E80" s="174">
        <f t="shared" ca="1" si="60"/>
        <v>0.35656522387908479</v>
      </c>
      <c r="G80" t="s">
        <v>136</v>
      </c>
      <c r="L80" s="3">
        <f ca="1">-MAX(0,MIN(L75,L78+L79))</f>
        <v>-177409.55936956522</v>
      </c>
      <c r="M80" s="3">
        <f t="shared" ref="M80:AA80" ca="1" si="64">-MAX(0,MIN(M75,M78+M79))</f>
        <v>-210439.89158206456</v>
      </c>
      <c r="N80" s="3">
        <f t="shared" ca="1" si="64"/>
        <v>-244013.39209987712</v>
      </c>
      <c r="O80" s="3">
        <f t="shared" ca="1" si="64"/>
        <v>-278133.74948063458</v>
      </c>
      <c r="P80" s="3">
        <f t="shared" ca="1" si="64"/>
        <v>-312804.39832316159</v>
      </c>
      <c r="Q80" s="3">
        <f t="shared" ca="1" si="64"/>
        <v>-348028.50080245524</v>
      </c>
      <c r="R80" s="3">
        <f t="shared" ca="1" si="64"/>
        <v>-383808.92731898377</v>
      </c>
      <c r="S80" s="3">
        <f t="shared" ca="1" si="64"/>
        <v>-420148.23622531374</v>
      </c>
      <c r="T80" s="3">
        <f t="shared" ca="1" si="64"/>
        <v>-194455.13032478874</v>
      </c>
      <c r="U80" s="3">
        <f t="shared" ca="1" si="64"/>
        <v>0</v>
      </c>
      <c r="V80" s="3">
        <f t="shared" ca="1" si="64"/>
        <v>0</v>
      </c>
      <c r="W80" s="3">
        <f t="shared" ca="1" si="64"/>
        <v>0</v>
      </c>
      <c r="X80" s="3">
        <f t="shared" ca="1" si="64"/>
        <v>0</v>
      </c>
      <c r="Y80" s="3">
        <f t="shared" ca="1" si="64"/>
        <v>0</v>
      </c>
      <c r="Z80" s="16">
        <f t="shared" ca="1" si="64"/>
        <v>0</v>
      </c>
      <c r="AA80" s="3">
        <f t="shared" ca="1" si="64"/>
        <v>0</v>
      </c>
    </row>
    <row r="81" spans="2:27" x14ac:dyDescent="0.35">
      <c r="B81" s="20" t="s">
        <v>599</v>
      </c>
      <c r="C81" s="247">
        <v>0.04</v>
      </c>
      <c r="D81" s="68">
        <f ca="1">+D136</f>
        <v>2087263.9662474394</v>
      </c>
      <c r="E81" s="174">
        <f t="shared" ca="1" si="60"/>
        <v>5.2852067109481753E-2</v>
      </c>
      <c r="G81" s="21" t="s">
        <v>137</v>
      </c>
      <c r="H81" s="21"/>
      <c r="I81" s="21"/>
      <c r="J81" s="21"/>
      <c r="K81" s="21"/>
      <c r="L81" s="68">
        <f t="shared" ref="L81:Z81" ca="1" si="65">+SUM(L78:L80)</f>
        <v>1993344.9655277717</v>
      </c>
      <c r="M81" s="68">
        <f t="shared" ca="1" si="65"/>
        <v>1862638.872566818</v>
      </c>
      <c r="N81" s="68">
        <f t="shared" ca="1" si="65"/>
        <v>1693131.0353696137</v>
      </c>
      <c r="O81" s="68">
        <f t="shared" ca="1" si="65"/>
        <v>1482722.5273037548</v>
      </c>
      <c r="P81" s="68">
        <f t="shared" ca="1" si="65"/>
        <v>1229227.0300727526</v>
      </c>
      <c r="Q81" s="90">
        <f t="shared" ca="1" si="65"/>
        <v>930367.61047321302</v>
      </c>
      <c r="R81" s="90">
        <f t="shared" ca="1" si="65"/>
        <v>583773.38757315185</v>
      </c>
      <c r="S81" s="90">
        <f t="shared" ca="1" si="65"/>
        <v>186976.08685071312</v>
      </c>
      <c r="T81" s="90">
        <f t="shared" ca="1" si="65"/>
        <v>0</v>
      </c>
      <c r="U81" s="90">
        <f t="shared" ca="1" si="65"/>
        <v>0</v>
      </c>
      <c r="V81" s="90">
        <f t="shared" ca="1" si="65"/>
        <v>0</v>
      </c>
      <c r="W81" s="90">
        <f t="shared" ca="1" si="65"/>
        <v>0</v>
      </c>
      <c r="X81" s="90">
        <f t="shared" ca="1" si="65"/>
        <v>0</v>
      </c>
      <c r="Y81" s="90">
        <f t="shared" ca="1" si="65"/>
        <v>0</v>
      </c>
      <c r="Z81" s="34">
        <f t="shared" ca="1" si="65"/>
        <v>0</v>
      </c>
      <c r="AA81" s="90">
        <f t="shared" ref="AA81" ca="1" si="66">+SUM(AA78:AA80)</f>
        <v>0</v>
      </c>
    </row>
    <row r="82" spans="2:27" x14ac:dyDescent="0.35">
      <c r="B82" s="11" t="s">
        <v>11</v>
      </c>
      <c r="C82" s="17"/>
      <c r="D82" s="65">
        <f ca="1">+SUM(D75:D81)</f>
        <v>39492570.118851237</v>
      </c>
      <c r="E82" s="175">
        <f t="shared" ca="1" si="60"/>
        <v>1</v>
      </c>
      <c r="G82" t="s">
        <v>144</v>
      </c>
      <c r="L82" s="3">
        <f ca="1">+L80+L75</f>
        <v>0</v>
      </c>
      <c r="M82" s="3">
        <f t="shared" ref="M82:AA82" ca="1" si="67">+M80+M75</f>
        <v>0</v>
      </c>
      <c r="N82" s="3">
        <f t="shared" ca="1" si="67"/>
        <v>0</v>
      </c>
      <c r="O82" s="3">
        <f t="shared" ca="1" si="67"/>
        <v>0</v>
      </c>
      <c r="P82" s="3">
        <f t="shared" ca="1" si="67"/>
        <v>0</v>
      </c>
      <c r="Q82" s="3">
        <f t="shared" ca="1" si="67"/>
        <v>0</v>
      </c>
      <c r="R82" s="3">
        <f t="shared" ca="1" si="67"/>
        <v>0</v>
      </c>
      <c r="S82" s="3">
        <f t="shared" ca="1" si="67"/>
        <v>0</v>
      </c>
      <c r="T82" s="3">
        <f t="shared" ca="1" si="67"/>
        <v>262593.52226684097</v>
      </c>
      <c r="U82" s="3">
        <f t="shared" ca="1" si="67"/>
        <v>494512.04597023828</v>
      </c>
      <c r="V82" s="3">
        <f t="shared" ca="1" si="67"/>
        <v>532539.90711755725</v>
      </c>
      <c r="W82" s="3">
        <f t="shared" ca="1" si="67"/>
        <v>571133.32363050221</v>
      </c>
      <c r="X82" s="3">
        <f t="shared" ca="1" si="67"/>
        <v>610292.95445250685</v>
      </c>
      <c r="Y82" s="3">
        <f t="shared" ca="1" si="67"/>
        <v>650019.0032026656</v>
      </c>
      <c r="Z82" s="16">
        <f t="shared" ca="1" si="67"/>
        <v>690311.1902796994</v>
      </c>
      <c r="AA82" s="3">
        <f t="shared" ca="1" si="67"/>
        <v>19916776.898308881</v>
      </c>
    </row>
    <row r="83" spans="2:27" x14ac:dyDescent="0.35">
      <c r="Q83" s="2"/>
      <c r="Z83" s="8"/>
    </row>
    <row r="84" spans="2:27" x14ac:dyDescent="0.35">
      <c r="B84" s="11" t="s">
        <v>618</v>
      </c>
      <c r="C84" s="22"/>
      <c r="D84" s="23"/>
      <c r="G84" s="103" t="s">
        <v>574</v>
      </c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90"/>
      <c r="S84" s="90"/>
      <c r="T84" s="90"/>
      <c r="U84" s="90"/>
      <c r="V84" s="90"/>
      <c r="W84" s="90"/>
      <c r="X84" s="90"/>
      <c r="Y84" s="90"/>
      <c r="Z84" s="34"/>
      <c r="AA84" s="90"/>
    </row>
    <row r="85" spans="2:27" x14ac:dyDescent="0.35">
      <c r="B85" s="77" t="s">
        <v>611</v>
      </c>
      <c r="D85" s="19"/>
      <c r="E85" s="3"/>
      <c r="G85" s="56" t="s">
        <v>135</v>
      </c>
      <c r="H85" s="56"/>
      <c r="I85" s="56"/>
      <c r="J85" s="56"/>
      <c r="K85" s="56"/>
      <c r="L85" s="67">
        <f>+D79</f>
        <v>0</v>
      </c>
      <c r="M85" s="67">
        <f t="shared" ref="M85:AA85" ca="1" si="68">+L89</f>
        <v>0</v>
      </c>
      <c r="N85" s="67">
        <f t="shared" ca="1" si="68"/>
        <v>0</v>
      </c>
      <c r="O85" s="67">
        <f t="shared" ca="1" si="68"/>
        <v>0</v>
      </c>
      <c r="P85" s="67">
        <f t="shared" ca="1" si="68"/>
        <v>0</v>
      </c>
      <c r="Q85" s="67">
        <f t="shared" ca="1" si="68"/>
        <v>0</v>
      </c>
      <c r="R85" s="67">
        <f t="shared" ca="1" si="68"/>
        <v>0</v>
      </c>
      <c r="S85" s="67">
        <f t="shared" ca="1" si="68"/>
        <v>0</v>
      </c>
      <c r="T85" s="67">
        <f t="shared" ca="1" si="68"/>
        <v>0</v>
      </c>
      <c r="U85" s="67">
        <f t="shared" ca="1" si="68"/>
        <v>0</v>
      </c>
      <c r="V85" s="67">
        <f t="shared" ca="1" si="68"/>
        <v>0</v>
      </c>
      <c r="W85" s="67">
        <f t="shared" ca="1" si="68"/>
        <v>0</v>
      </c>
      <c r="X85" s="67">
        <f t="shared" ca="1" si="68"/>
        <v>0</v>
      </c>
      <c r="Y85" s="67">
        <f t="shared" ca="1" si="68"/>
        <v>0</v>
      </c>
      <c r="Z85" s="287">
        <f t="shared" ca="1" si="68"/>
        <v>0</v>
      </c>
      <c r="AA85" s="67">
        <f t="shared" ca="1" si="68"/>
        <v>0</v>
      </c>
    </row>
    <row r="86" spans="2:27" x14ac:dyDescent="0.35">
      <c r="B86" s="6" t="s">
        <v>42</v>
      </c>
      <c r="D86" s="16">
        <f ca="1">+C56</f>
        <v>35169023.741230384</v>
      </c>
      <c r="E86" s="3"/>
      <c r="G86" t="s">
        <v>175</v>
      </c>
      <c r="L86" s="3">
        <f t="shared" ref="L86:AA86" si="69">+IF($AA$5="Simple", $C$79*MIN($D$79,L85),$C$79*L85)</f>
        <v>0</v>
      </c>
      <c r="M86" s="3">
        <f t="shared" ca="1" si="69"/>
        <v>0</v>
      </c>
      <c r="N86" s="3">
        <f t="shared" ca="1" si="69"/>
        <v>0</v>
      </c>
      <c r="O86" s="3">
        <f t="shared" ca="1" si="69"/>
        <v>0</v>
      </c>
      <c r="P86" s="3">
        <f t="shared" ca="1" si="69"/>
        <v>0</v>
      </c>
      <c r="Q86" s="3">
        <f t="shared" ca="1" si="69"/>
        <v>0</v>
      </c>
      <c r="R86" s="3">
        <f t="shared" ca="1" si="69"/>
        <v>0</v>
      </c>
      <c r="S86" s="3">
        <f t="shared" ca="1" si="69"/>
        <v>0</v>
      </c>
      <c r="T86" s="3">
        <f t="shared" ca="1" si="69"/>
        <v>0</v>
      </c>
      <c r="U86" s="3">
        <f t="shared" ca="1" si="69"/>
        <v>0</v>
      </c>
      <c r="V86" s="3">
        <f t="shared" ca="1" si="69"/>
        <v>0</v>
      </c>
      <c r="W86" s="3">
        <f t="shared" ca="1" si="69"/>
        <v>0</v>
      </c>
      <c r="X86" s="3">
        <f t="shared" ca="1" si="69"/>
        <v>0</v>
      </c>
      <c r="Y86" s="3">
        <f t="shared" ca="1" si="69"/>
        <v>0</v>
      </c>
      <c r="Z86" s="16">
        <f t="shared" ca="1" si="69"/>
        <v>0</v>
      </c>
      <c r="AA86" s="3">
        <f t="shared" ca="1" si="69"/>
        <v>0</v>
      </c>
    </row>
    <row r="87" spans="2:27" x14ac:dyDescent="0.35">
      <c r="B87" s="6" t="s">
        <v>619</v>
      </c>
      <c r="C87" s="207">
        <f>+IF(C5="None",100%,130%)</f>
        <v>1.3</v>
      </c>
      <c r="D87" s="16">
        <f ca="1">+C87*D86</f>
        <v>45719730.863599502</v>
      </c>
      <c r="E87" s="3"/>
      <c r="G87" t="s">
        <v>682</v>
      </c>
      <c r="L87" s="3">
        <f ca="1">-MAX(0,MIN(SUM($L$86:L86)+SUM($K$87:K87),$AA$4*L82))</f>
        <v>0</v>
      </c>
      <c r="M87" s="3">
        <f ca="1">-MAX(0,MIN(SUM($L$86:M86)+SUM($K$87:L87),$AA$4*M82))</f>
        <v>0</v>
      </c>
      <c r="N87" s="3">
        <f ca="1">-MAX(0,MIN(SUM($L$86:N86)+SUM($K$87:M87),$AA$4*N82))</f>
        <v>0</v>
      </c>
      <c r="O87" s="3">
        <f ca="1">-MAX(0,MIN(SUM($L$86:O86)+SUM($K$87:N87),$AA$4*O82))</f>
        <v>0</v>
      </c>
      <c r="P87" s="3">
        <f ca="1">-MAX(0,MIN(SUM($L$86:P86)+SUM($K$87:O87),$AA$4*P82))</f>
        <v>0</v>
      </c>
      <c r="Q87" s="3">
        <f ca="1">-MAX(0,MIN(SUM($L$86:Q86)+SUM($K$87:P87),$AA$4*Q82))</f>
        <v>0</v>
      </c>
      <c r="R87" s="3">
        <f ca="1">-MAX(0,MIN(SUM($L$86:R86)+SUM($K$87:Q87),$AA$4*R82))</f>
        <v>0</v>
      </c>
      <c r="S87" s="3">
        <f ca="1">-MAX(0,MIN(SUM($L$86:S86)+SUM($K$87:R87),$AA$4*S82))</f>
        <v>0</v>
      </c>
      <c r="T87" s="3">
        <f ca="1">-MAX(0,MIN(SUM($L$86:T86)+SUM($K$87:S87),$AA$4*T82))</f>
        <v>0</v>
      </c>
      <c r="U87" s="3">
        <f ca="1">-MAX(0,MIN(SUM($L$86:U86)+SUM($K$87:T87),$AA$4*U82))</f>
        <v>0</v>
      </c>
      <c r="V87" s="3">
        <f ca="1">-MAX(0,MIN(SUM($L$86:V86)+SUM($K$87:U87),$AA$4*V82))</f>
        <v>0</v>
      </c>
      <c r="W87" s="3">
        <f ca="1">-MAX(0,MIN(SUM($L$86:W86)+SUM($K$87:V87),$AA$4*W82))</f>
        <v>0</v>
      </c>
      <c r="X87" s="3">
        <f ca="1">-MAX(0,MIN(SUM($L$86:X86)+SUM($K$87:W87),$AA$4*X82))</f>
        <v>0</v>
      </c>
      <c r="Y87" s="3">
        <f ca="1">-MAX(0,MIN(SUM($L$86:Y86)+SUM($K$87:X87),$AA$4*Y82))</f>
        <v>0</v>
      </c>
      <c r="Z87" s="16">
        <f ca="1">-MAX(0,MIN(SUM($L$86:Z86)+SUM($K$87:Y87),$AA$4*Z82))</f>
        <v>0</v>
      </c>
      <c r="AA87" s="3">
        <f ca="1">-MAX(0,MIN(SUM($L$86:AA86)+SUM($K$87:Z87),$AA$4*AA82))</f>
        <v>0</v>
      </c>
    </row>
    <row r="88" spans="2:27" x14ac:dyDescent="0.35">
      <c r="B88" s="6" t="s">
        <v>79</v>
      </c>
      <c r="C88" s="4">
        <v>0.04</v>
      </c>
      <c r="D88" s="16">
        <f ca="1">+C88*D87</f>
        <v>1828789.2345439801</v>
      </c>
      <c r="G88" t="s">
        <v>683</v>
      </c>
      <c r="L88" s="9">
        <f t="shared" ref="L88:AA88" ca="1" si="70">+-MAX(0,MIN(L82*$AA$4+L87,SUM(L85:L87)))</f>
        <v>0</v>
      </c>
      <c r="M88" s="9">
        <f t="shared" ca="1" si="70"/>
        <v>0</v>
      </c>
      <c r="N88" s="9">
        <f t="shared" ca="1" si="70"/>
        <v>0</v>
      </c>
      <c r="O88" s="9">
        <f t="shared" ca="1" si="70"/>
        <v>0</v>
      </c>
      <c r="P88" s="9">
        <f t="shared" ca="1" si="70"/>
        <v>0</v>
      </c>
      <c r="Q88" s="9">
        <f t="shared" ca="1" si="70"/>
        <v>0</v>
      </c>
      <c r="R88" s="9">
        <f t="shared" ca="1" si="70"/>
        <v>0</v>
      </c>
      <c r="S88" s="9">
        <f t="shared" ca="1" si="70"/>
        <v>0</v>
      </c>
      <c r="T88" s="9">
        <f t="shared" ca="1" si="70"/>
        <v>0</v>
      </c>
      <c r="U88" s="9">
        <f t="shared" ca="1" si="70"/>
        <v>0</v>
      </c>
      <c r="V88" s="9">
        <f t="shared" ca="1" si="70"/>
        <v>0</v>
      </c>
      <c r="W88" s="9">
        <f t="shared" ca="1" si="70"/>
        <v>0</v>
      </c>
      <c r="X88" s="9">
        <f t="shared" ca="1" si="70"/>
        <v>0</v>
      </c>
      <c r="Y88" s="9">
        <f t="shared" ca="1" si="70"/>
        <v>0</v>
      </c>
      <c r="Z88" s="8">
        <f t="shared" ca="1" si="70"/>
        <v>0</v>
      </c>
      <c r="AA88" s="9">
        <f t="shared" ca="1" si="70"/>
        <v>0</v>
      </c>
    </row>
    <row r="89" spans="2:27" x14ac:dyDescent="0.35">
      <c r="B89" s="6" t="s">
        <v>617</v>
      </c>
      <c r="C89" s="254">
        <v>0.77</v>
      </c>
      <c r="D89" s="8">
        <f ca="1">+C89*D88*10</f>
        <v>14081677.105988646</v>
      </c>
      <c r="G89" s="21" t="s">
        <v>137</v>
      </c>
      <c r="H89" s="21"/>
      <c r="I89" s="21"/>
      <c r="J89" s="21"/>
      <c r="K89" s="21"/>
      <c r="L89" s="68">
        <f t="shared" ref="L89:AA89" ca="1" si="71">+SUM(L85:L88)</f>
        <v>0</v>
      </c>
      <c r="M89" s="68">
        <f t="shared" ca="1" si="71"/>
        <v>0</v>
      </c>
      <c r="N89" s="68">
        <f t="shared" ca="1" si="71"/>
        <v>0</v>
      </c>
      <c r="O89" s="68">
        <f t="shared" ca="1" si="71"/>
        <v>0</v>
      </c>
      <c r="P89" s="68">
        <f t="shared" ca="1" si="71"/>
        <v>0</v>
      </c>
      <c r="Q89" s="68">
        <f t="shared" ca="1" si="71"/>
        <v>0</v>
      </c>
      <c r="R89" s="68">
        <f t="shared" ca="1" si="71"/>
        <v>0</v>
      </c>
      <c r="S89" s="68">
        <f t="shared" ca="1" si="71"/>
        <v>0</v>
      </c>
      <c r="T89" s="68">
        <f t="shared" ca="1" si="71"/>
        <v>0</v>
      </c>
      <c r="U89" s="68">
        <f t="shared" ca="1" si="71"/>
        <v>0</v>
      </c>
      <c r="V89" s="68">
        <f t="shared" ca="1" si="71"/>
        <v>0</v>
      </c>
      <c r="W89" s="68">
        <f t="shared" ca="1" si="71"/>
        <v>0</v>
      </c>
      <c r="X89" s="68">
        <f t="shared" ca="1" si="71"/>
        <v>0</v>
      </c>
      <c r="Y89" s="68">
        <f t="shared" ca="1" si="71"/>
        <v>0</v>
      </c>
      <c r="Z89" s="24">
        <f t="shared" ca="1" si="71"/>
        <v>0</v>
      </c>
      <c r="AA89" s="68">
        <f t="shared" ca="1" si="71"/>
        <v>0</v>
      </c>
    </row>
    <row r="90" spans="2:27" x14ac:dyDescent="0.35">
      <c r="B90" s="77" t="s">
        <v>612</v>
      </c>
      <c r="D90" s="19"/>
      <c r="Z90" s="8"/>
    </row>
    <row r="91" spans="2:27" x14ac:dyDescent="0.35">
      <c r="B91" s="6" t="s">
        <v>613</v>
      </c>
      <c r="D91" s="8">
        <f ca="1">0.3*D86</f>
        <v>10550707.122369114</v>
      </c>
      <c r="G91" s="27" t="s">
        <v>632</v>
      </c>
      <c r="H91" s="27"/>
      <c r="I91" s="27"/>
      <c r="J91" s="27"/>
      <c r="K91" s="27"/>
      <c r="L91" s="14">
        <f ca="1">+L82+L88+L87</f>
        <v>0</v>
      </c>
      <c r="M91" s="14">
        <f t="shared" ref="M91:AA91" ca="1" si="72">+M82+M88+M87</f>
        <v>0</v>
      </c>
      <c r="N91" s="14">
        <f t="shared" ca="1" si="72"/>
        <v>0</v>
      </c>
      <c r="O91" s="14">
        <f t="shared" ca="1" si="72"/>
        <v>0</v>
      </c>
      <c r="P91" s="14">
        <f t="shared" ca="1" si="72"/>
        <v>0</v>
      </c>
      <c r="Q91" s="14">
        <f t="shared" ca="1" si="72"/>
        <v>0</v>
      </c>
      <c r="R91" s="14">
        <f t="shared" ca="1" si="72"/>
        <v>0</v>
      </c>
      <c r="S91" s="14">
        <f t="shared" ca="1" si="72"/>
        <v>0</v>
      </c>
      <c r="T91" s="14">
        <f t="shared" ca="1" si="72"/>
        <v>262593.52226684097</v>
      </c>
      <c r="U91" s="14">
        <f t="shared" ca="1" si="72"/>
        <v>494512.04597023828</v>
      </c>
      <c r="V91" s="14">
        <f t="shared" ca="1" si="72"/>
        <v>532539.90711755725</v>
      </c>
      <c r="W91" s="14">
        <f t="shared" ca="1" si="72"/>
        <v>571133.32363050221</v>
      </c>
      <c r="X91" s="14">
        <f t="shared" ca="1" si="72"/>
        <v>610292.95445250685</v>
      </c>
      <c r="Y91" s="14">
        <f t="shared" ca="1" si="72"/>
        <v>650019.0032026656</v>
      </c>
      <c r="Z91" s="15">
        <f t="shared" ca="1" si="72"/>
        <v>690311.1902796994</v>
      </c>
      <c r="AA91" s="14">
        <f t="shared" ca="1" si="72"/>
        <v>19916776.898308881</v>
      </c>
    </row>
    <row r="92" spans="2:27" x14ac:dyDescent="0.35">
      <c r="B92" s="6" t="s">
        <v>614</v>
      </c>
      <c r="D92" s="10">
        <f>IF($C$93=0,0,D93/$C$93)</f>
        <v>0</v>
      </c>
      <c r="Z92" s="34"/>
    </row>
    <row r="93" spans="2:27" x14ac:dyDescent="0.35">
      <c r="B93" s="6" t="s">
        <v>615</v>
      </c>
      <c r="C93" s="254">
        <v>0.88</v>
      </c>
      <c r="D93" s="8">
        <f>IF($D$59="State Credits",MIN(MAX(0,$C$55-$D$75-$D$78-($C$89*$D$88*10)-$D$76-$D$131),$C$93*$D$91),0)</f>
        <v>0</v>
      </c>
      <c r="G93" s="17" t="s">
        <v>138</v>
      </c>
      <c r="H93" s="17"/>
      <c r="I93" s="17"/>
      <c r="J93" s="25">
        <f ca="1">+D98</f>
        <v>750000</v>
      </c>
      <c r="K93" s="65">
        <f ca="1">+D99</f>
        <v>1750000</v>
      </c>
      <c r="L93" s="65">
        <f t="shared" ref="L93:AA93" ca="1" si="73">-L80</f>
        <v>177409.55936956522</v>
      </c>
      <c r="M93" s="65">
        <f t="shared" ca="1" si="73"/>
        <v>210439.89158206456</v>
      </c>
      <c r="N93" s="65">
        <f t="shared" ca="1" si="73"/>
        <v>244013.39209987712</v>
      </c>
      <c r="O93" s="65">
        <f t="shared" ca="1" si="73"/>
        <v>278133.74948063458</v>
      </c>
      <c r="P93" s="65">
        <f t="shared" ca="1" si="73"/>
        <v>312804.39832316159</v>
      </c>
      <c r="Q93" s="25">
        <f t="shared" ca="1" si="73"/>
        <v>348028.50080245524</v>
      </c>
      <c r="R93" s="25">
        <f t="shared" ca="1" si="73"/>
        <v>383808.92731898377</v>
      </c>
      <c r="S93" s="25">
        <f t="shared" ca="1" si="73"/>
        <v>420148.23622531374</v>
      </c>
      <c r="T93" s="25">
        <f t="shared" ca="1" si="73"/>
        <v>194455.13032478874</v>
      </c>
      <c r="U93" s="25">
        <f t="shared" ca="1" si="73"/>
        <v>0</v>
      </c>
      <c r="V93" s="25">
        <f t="shared" ca="1" si="73"/>
        <v>0</v>
      </c>
      <c r="W93" s="25">
        <f t="shared" ca="1" si="73"/>
        <v>0</v>
      </c>
      <c r="X93" s="25">
        <f t="shared" ca="1" si="73"/>
        <v>0</v>
      </c>
      <c r="Y93" s="25">
        <f t="shared" ca="1" si="73"/>
        <v>0</v>
      </c>
      <c r="Z93" s="26">
        <f t="shared" ca="1" si="73"/>
        <v>0</v>
      </c>
      <c r="AA93" s="25">
        <f t="shared" ca="1" si="73"/>
        <v>0</v>
      </c>
    </row>
    <row r="94" spans="2:27" ht="15" thickBot="1" x14ac:dyDescent="0.4">
      <c r="B94" s="11" t="s">
        <v>616</v>
      </c>
      <c r="C94" s="17"/>
      <c r="D94" s="18">
        <f ca="1">+C89*D88*10+D93</f>
        <v>14081677.105988646</v>
      </c>
      <c r="G94" s="32" t="s">
        <v>139</v>
      </c>
      <c r="H94" s="33">
        <f>-D110</f>
        <v>-290000</v>
      </c>
      <c r="I94" s="33">
        <f ca="1">-D117</f>
        <v>-774583.95592355251</v>
      </c>
      <c r="J94" s="33">
        <f ca="1">MIN(-D66-D65)-H94-I94</f>
        <v>-238911.8634696427</v>
      </c>
      <c r="K94" s="33">
        <f t="shared" ref="K94:Y94" si="74">+(K91)*$N$42</f>
        <v>0</v>
      </c>
      <c r="L94" s="33">
        <f t="shared" ca="1" si="74"/>
        <v>0</v>
      </c>
      <c r="M94" s="33">
        <f t="shared" ca="1" si="74"/>
        <v>0</v>
      </c>
      <c r="N94" s="33">
        <f t="shared" ca="1" si="74"/>
        <v>0</v>
      </c>
      <c r="O94" s="33">
        <f t="shared" ca="1" si="74"/>
        <v>0</v>
      </c>
      <c r="P94" s="33">
        <f t="shared" ca="1" si="74"/>
        <v>0</v>
      </c>
      <c r="Q94" s="33">
        <f t="shared" ca="1" si="74"/>
        <v>0</v>
      </c>
      <c r="R94" s="33">
        <f t="shared" ca="1" si="74"/>
        <v>0</v>
      </c>
      <c r="S94" s="33">
        <f t="shared" ca="1" si="74"/>
        <v>0</v>
      </c>
      <c r="T94" s="33">
        <f t="shared" ca="1" si="74"/>
        <v>236334.17004015687</v>
      </c>
      <c r="U94" s="33">
        <f t="shared" ca="1" si="74"/>
        <v>445060.84137321444</v>
      </c>
      <c r="V94" s="33">
        <f t="shared" ca="1" si="74"/>
        <v>479285.91640580154</v>
      </c>
      <c r="W94" s="33">
        <f t="shared" ca="1" si="74"/>
        <v>514019.99126745202</v>
      </c>
      <c r="X94" s="33">
        <f t="shared" ca="1" si="74"/>
        <v>549263.65900725615</v>
      </c>
      <c r="Y94" s="33">
        <f t="shared" ca="1" si="74"/>
        <v>585017.10288239911</v>
      </c>
      <c r="Z94" s="288">
        <f ca="1">+(Z91)*$N$42</f>
        <v>621280.0712517295</v>
      </c>
      <c r="AA94" s="33">
        <f ca="1">+(AA91)*$N$42</f>
        <v>17925099.208477993</v>
      </c>
    </row>
    <row r="95" spans="2:27" x14ac:dyDescent="0.35">
      <c r="E95" s="54"/>
      <c r="G95" s="1" t="s">
        <v>162</v>
      </c>
      <c r="H95" s="83">
        <f t="shared" ref="H95:Z95" si="75">+SUM(H93:H94)</f>
        <v>-290000</v>
      </c>
      <c r="I95" s="83">
        <f t="shared" ca="1" si="75"/>
        <v>-774583.95592355251</v>
      </c>
      <c r="J95" s="83">
        <f t="shared" ca="1" si="75"/>
        <v>511088.1365303573</v>
      </c>
      <c r="K95" s="83">
        <f t="shared" ca="1" si="75"/>
        <v>1750000</v>
      </c>
      <c r="L95" s="83">
        <f t="shared" ca="1" si="75"/>
        <v>177409.55936956522</v>
      </c>
      <c r="M95" s="83">
        <f t="shared" ca="1" si="75"/>
        <v>210439.89158206456</v>
      </c>
      <c r="N95" s="83">
        <f t="shared" ca="1" si="75"/>
        <v>244013.39209987712</v>
      </c>
      <c r="O95" s="83">
        <f t="shared" ca="1" si="75"/>
        <v>278133.74948063458</v>
      </c>
      <c r="P95" s="83">
        <f t="shared" ca="1" si="75"/>
        <v>312804.39832316159</v>
      </c>
      <c r="Q95" s="83">
        <f t="shared" ca="1" si="75"/>
        <v>348028.50080245524</v>
      </c>
      <c r="R95" s="83">
        <f t="shared" ca="1" si="75"/>
        <v>383808.92731898377</v>
      </c>
      <c r="S95" s="83">
        <f t="shared" ca="1" si="75"/>
        <v>420148.23622531374</v>
      </c>
      <c r="T95" s="83">
        <f t="shared" ca="1" si="75"/>
        <v>430789.30036494561</v>
      </c>
      <c r="U95" s="83">
        <f t="shared" ca="1" si="75"/>
        <v>445060.84137321444</v>
      </c>
      <c r="V95" s="83">
        <f t="shared" ca="1" si="75"/>
        <v>479285.91640580154</v>
      </c>
      <c r="W95" s="83">
        <f t="shared" ca="1" si="75"/>
        <v>514019.99126745202</v>
      </c>
      <c r="X95" s="83">
        <f t="shared" ca="1" si="75"/>
        <v>549263.65900725615</v>
      </c>
      <c r="Y95" s="83">
        <f t="shared" ca="1" si="75"/>
        <v>585017.10288239911</v>
      </c>
      <c r="Z95" s="295">
        <f t="shared" ca="1" si="75"/>
        <v>621280.0712517295</v>
      </c>
      <c r="AA95" s="83">
        <f t="shared" ref="AA95" ca="1" si="76">+SUM(AA93:AA94)</f>
        <v>17925099.208477993</v>
      </c>
    </row>
    <row r="96" spans="2:27" x14ac:dyDescent="0.35">
      <c r="B96" s="11" t="s">
        <v>181</v>
      </c>
      <c r="C96" s="22"/>
      <c r="D96" s="23"/>
      <c r="G96" s="27" t="s">
        <v>679</v>
      </c>
      <c r="H96" s="27"/>
      <c r="I96" s="27"/>
      <c r="J96" s="14">
        <f ca="1">-MAX(D66,1)</f>
        <v>-1303495.8193931952</v>
      </c>
      <c r="K96" s="14">
        <f>+K94</f>
        <v>0</v>
      </c>
      <c r="L96" s="14">
        <f t="shared" ref="L96:AA96" ca="1" si="77">+L94</f>
        <v>0</v>
      </c>
      <c r="M96" s="14">
        <f t="shared" ca="1" si="77"/>
        <v>0</v>
      </c>
      <c r="N96" s="14">
        <f t="shared" ca="1" si="77"/>
        <v>0</v>
      </c>
      <c r="O96" s="14">
        <f t="shared" ca="1" si="77"/>
        <v>0</v>
      </c>
      <c r="P96" s="14">
        <f t="shared" ca="1" si="77"/>
        <v>0</v>
      </c>
      <c r="Q96" s="14">
        <f t="shared" ca="1" si="77"/>
        <v>0</v>
      </c>
      <c r="R96" s="14">
        <f t="shared" ca="1" si="77"/>
        <v>0</v>
      </c>
      <c r="S96" s="14">
        <f t="shared" ca="1" si="77"/>
        <v>0</v>
      </c>
      <c r="T96" s="14">
        <f t="shared" ca="1" si="77"/>
        <v>236334.17004015687</v>
      </c>
      <c r="U96" s="14">
        <f t="shared" ca="1" si="77"/>
        <v>445060.84137321444</v>
      </c>
      <c r="V96" s="14">
        <f t="shared" ca="1" si="77"/>
        <v>479285.91640580154</v>
      </c>
      <c r="W96" s="14">
        <f t="shared" ca="1" si="77"/>
        <v>514019.99126745202</v>
      </c>
      <c r="X96" s="14">
        <f t="shared" ca="1" si="77"/>
        <v>549263.65900725615</v>
      </c>
      <c r="Y96" s="14">
        <f t="shared" ca="1" si="77"/>
        <v>585017.10288239911</v>
      </c>
      <c r="Z96" s="15">
        <f t="shared" ca="1" si="77"/>
        <v>621280.0712517295</v>
      </c>
      <c r="AA96" s="14">
        <f t="shared" ca="1" si="77"/>
        <v>17925099.208477993</v>
      </c>
    </row>
    <row r="97" spans="2:27" x14ac:dyDescent="0.35">
      <c r="B97" s="6" t="s">
        <v>77</v>
      </c>
      <c r="C97" s="260" t="s">
        <v>575</v>
      </c>
      <c r="D97" s="16">
        <f ca="1">+C47-D71</f>
        <v>2500000</v>
      </c>
      <c r="E97" s="3"/>
      <c r="Z97" s="34"/>
    </row>
    <row r="98" spans="2:27" x14ac:dyDescent="0.35">
      <c r="B98" s="261" t="s">
        <v>624</v>
      </c>
      <c r="C98" s="262">
        <v>0.3</v>
      </c>
      <c r="D98" s="263">
        <f ca="1">+C98*D97</f>
        <v>750000</v>
      </c>
      <c r="G98" s="27" t="s">
        <v>576</v>
      </c>
      <c r="H98" s="56"/>
      <c r="I98" s="56"/>
      <c r="J98" s="56"/>
      <c r="K98" s="56"/>
      <c r="L98" s="225">
        <f t="shared" ref="L98:AA98" ca="1" si="78">IFERROR(MAX(L94/$D$77,0),"")</f>
        <v>0</v>
      </c>
      <c r="M98" s="225">
        <f t="shared" ca="1" si="78"/>
        <v>0</v>
      </c>
      <c r="N98" s="225">
        <f t="shared" ca="1" si="78"/>
        <v>0</v>
      </c>
      <c r="O98" s="225">
        <f t="shared" ca="1" si="78"/>
        <v>0</v>
      </c>
      <c r="P98" s="225">
        <f t="shared" ca="1" si="78"/>
        <v>0</v>
      </c>
      <c r="Q98" s="225">
        <f t="shared" ca="1" si="78"/>
        <v>0</v>
      </c>
      <c r="R98" s="225">
        <f t="shared" ca="1" si="78"/>
        <v>0</v>
      </c>
      <c r="S98" s="225">
        <f t="shared" ca="1" si="78"/>
        <v>0</v>
      </c>
      <c r="T98" s="225">
        <f t="shared" ca="1" si="78"/>
        <v>0.18130796165512475</v>
      </c>
      <c r="U98" s="225">
        <f t="shared" ca="1" si="78"/>
        <v>0.34143633968876069</v>
      </c>
      <c r="V98" s="225">
        <f t="shared" ca="1" si="78"/>
        <v>0.36769271467929926</v>
      </c>
      <c r="W98" s="225">
        <f t="shared" ca="1" si="78"/>
        <v>0.3943395779410625</v>
      </c>
      <c r="X98" s="225">
        <f t="shared" ca="1" si="78"/>
        <v>0.42137738444220707</v>
      </c>
      <c r="Y98" s="225">
        <f t="shared" ca="1" si="78"/>
        <v>0.44880627477174179</v>
      </c>
      <c r="Z98" s="289">
        <f t="shared" ca="1" si="78"/>
        <v>0.47662605587868206</v>
      </c>
      <c r="AA98" s="225">
        <f t="shared" ca="1" si="78"/>
        <v>13.751558648513736</v>
      </c>
    </row>
    <row r="99" spans="2:27" x14ac:dyDescent="0.35">
      <c r="B99" s="261" t="s">
        <v>625</v>
      </c>
      <c r="C99" s="264">
        <f>1-C98</f>
        <v>0.7</v>
      </c>
      <c r="D99" s="263">
        <f ca="1">+D97-D98</f>
        <v>1750000</v>
      </c>
      <c r="G99" s="27" t="s">
        <v>577</v>
      </c>
      <c r="H99" s="56"/>
      <c r="I99" s="56"/>
      <c r="J99" s="56"/>
      <c r="K99" s="56"/>
      <c r="L99" s="225">
        <f t="shared" ref="L99:AA99" ca="1" si="79">IFERROR(MAX(L95/$D$77,0),"")</f>
        <v>0.13610289862851505</v>
      </c>
      <c r="M99" s="225">
        <f t="shared" ca="1" si="79"/>
        <v>0.16144270541659947</v>
      </c>
      <c r="N99" s="225">
        <f t="shared" ca="1" si="79"/>
        <v>0.18719921343013629</v>
      </c>
      <c r="O99" s="225">
        <f t="shared" ca="1" si="79"/>
        <v>0.21337525241171215</v>
      </c>
      <c r="P99" s="225">
        <f t="shared" ca="1" si="79"/>
        <v>0.23997345727489838</v>
      </c>
      <c r="Q99" s="225">
        <f t="shared" ca="1" si="79"/>
        <v>0.26699625393848203</v>
      </c>
      <c r="R99" s="225">
        <f t="shared" ca="1" si="79"/>
        <v>0.29444584448123118</v>
      </c>
      <c r="S99" s="225">
        <f t="shared" ca="1" si="79"/>
        <v>0.32232419158881659</v>
      </c>
      <c r="T99" s="225">
        <f t="shared" ca="1" si="79"/>
        <v>0.33048767319061068</v>
      </c>
      <c r="U99" s="225">
        <f t="shared" ca="1" si="79"/>
        <v>0.34143633968876069</v>
      </c>
      <c r="V99" s="225">
        <f t="shared" ca="1" si="79"/>
        <v>0.36769271467929926</v>
      </c>
      <c r="W99" s="225">
        <f t="shared" ca="1" si="79"/>
        <v>0.3943395779410625</v>
      </c>
      <c r="X99" s="225">
        <f t="shared" ca="1" si="79"/>
        <v>0.42137738444220707</v>
      </c>
      <c r="Y99" s="225">
        <f t="shared" ca="1" si="79"/>
        <v>0.44880627477174179</v>
      </c>
      <c r="Z99" s="289">
        <f t="shared" ca="1" si="79"/>
        <v>0.47662605587868206</v>
      </c>
      <c r="AA99" s="225">
        <f t="shared" ca="1" si="79"/>
        <v>13.751558648513736</v>
      </c>
    </row>
    <row r="100" spans="2:27" x14ac:dyDescent="0.35">
      <c r="B100" s="20" t="s">
        <v>134</v>
      </c>
      <c r="C100" s="21"/>
      <c r="D100" s="24">
        <f ca="1">+D71</f>
        <v>2087263.9662474412</v>
      </c>
      <c r="E100" s="3"/>
      <c r="G100" s="27" t="s">
        <v>578</v>
      </c>
      <c r="H100" s="56"/>
      <c r="I100" s="56"/>
      <c r="J100" s="56"/>
      <c r="K100" s="56"/>
      <c r="L100" s="226">
        <f t="shared" ref="L100:AA100" ca="1" si="80">+L53/$C$55</f>
        <v>4.3615249230836935E-2</v>
      </c>
      <c r="M100" s="226">
        <f t="shared" ca="1" si="80"/>
        <v>4.4510226617877846E-2</v>
      </c>
      <c r="N100" s="226">
        <f t="shared" ca="1" si="80"/>
        <v>4.5420739305064246E-2</v>
      </c>
      <c r="O100" s="226">
        <f t="shared" ca="1" si="80"/>
        <v>4.6346936305191176E-2</v>
      </c>
      <c r="P100" s="226">
        <f t="shared" ca="1" si="80"/>
        <v>4.7288961978433811E-2</v>
      </c>
      <c r="Q100" s="226">
        <f t="shared" ca="1" si="80"/>
        <v>4.8246955622803948E-2</v>
      </c>
      <c r="R100" s="226">
        <f t="shared" ca="1" si="80"/>
        <v>4.9221051044105145E-2</v>
      </c>
      <c r="S100" s="226">
        <f t="shared" ca="1" si="80"/>
        <v>5.0211376104514482E-2</v>
      </c>
      <c r="T100" s="226">
        <f t="shared" ca="1" si="80"/>
        <v>5.1218052248884774E-2</v>
      </c>
      <c r="U100" s="226">
        <f t="shared" ca="1" si="80"/>
        <v>5.2241194007825835E-2</v>
      </c>
      <c r="V100" s="226">
        <f t="shared" ca="1" si="80"/>
        <v>5.3280908476585606E-2</v>
      </c>
      <c r="W100" s="226">
        <f t="shared" ca="1" si="80"/>
        <v>5.4337294768714101E-2</v>
      </c>
      <c r="X100" s="226">
        <f t="shared" ca="1" si="80"/>
        <v>5.5410443443453306E-2</v>
      </c>
      <c r="Y100" s="226">
        <f t="shared" ca="1" si="80"/>
        <v>5.6500435905754223E-2</v>
      </c>
      <c r="Z100" s="290">
        <f t="shared" ca="1" si="80"/>
        <v>5.7607343777780193E-2</v>
      </c>
      <c r="AA100" s="226">
        <f t="shared" ca="1" si="80"/>
        <v>5.873122824071015E-2</v>
      </c>
    </row>
    <row r="101" spans="2:27" x14ac:dyDescent="0.35">
      <c r="B101" s="87" t="s">
        <v>11</v>
      </c>
      <c r="C101" s="103"/>
      <c r="D101" s="104">
        <f ca="1">+C47</f>
        <v>4587263.9662474412</v>
      </c>
      <c r="E101" s="54"/>
      <c r="L101" s="80"/>
    </row>
    <row r="102" spans="2:27" x14ac:dyDescent="0.35">
      <c r="G102" s="11" t="s">
        <v>140</v>
      </c>
      <c r="H102" s="69">
        <f ca="1">+XIRR(H94:AA94,H46:AA46)</f>
        <v>0.16897228360176086</v>
      </c>
      <c r="I102" s="237"/>
    </row>
    <row r="103" spans="2:27" x14ac:dyDescent="0.35">
      <c r="B103" s="11" t="s">
        <v>588</v>
      </c>
      <c r="C103" s="17"/>
      <c r="D103" s="12" t="s">
        <v>54</v>
      </c>
      <c r="E103" s="13" t="s">
        <v>12</v>
      </c>
      <c r="G103" s="87" t="s">
        <v>163</v>
      </c>
      <c r="H103" s="88">
        <f ca="1">+XIRR(H95:AA95,H46:AA46)</f>
        <v>0.52659612298011782</v>
      </c>
      <c r="I103" s="238"/>
    </row>
    <row r="104" spans="2:27" x14ac:dyDescent="0.35">
      <c r="B104" s="240" t="s">
        <v>586</v>
      </c>
      <c r="E104" s="19"/>
      <c r="G104" s="11" t="s">
        <v>680</v>
      </c>
      <c r="H104" s="66">
        <f ca="1">+XIRR(J96:AA96,J46:AA46)</f>
        <v>0.17464237809181218</v>
      </c>
    </row>
    <row r="105" spans="2:27" x14ac:dyDescent="0.35">
      <c r="B105" s="241" t="s">
        <v>182</v>
      </c>
      <c r="C105" s="31">
        <v>0.05</v>
      </c>
      <c r="D105" s="9">
        <f>+C105*S16</f>
        <v>150000</v>
      </c>
      <c r="E105" s="210">
        <f t="shared" ref="E105:E110" si="81">+D105/$C$14</f>
        <v>1260.5042016806722</v>
      </c>
    </row>
    <row r="106" spans="2:27" x14ac:dyDescent="0.35">
      <c r="B106" s="241" t="s">
        <v>533</v>
      </c>
      <c r="C106" s="242"/>
      <c r="D106" s="7">
        <v>30000</v>
      </c>
      <c r="E106" s="210">
        <f t="shared" si="81"/>
        <v>252.10084033613447</v>
      </c>
      <c r="G106" s="5" t="s">
        <v>763</v>
      </c>
      <c r="H106" s="331" t="s">
        <v>779</v>
      </c>
      <c r="I106" s="234">
        <f>+J106/$I$28</f>
        <v>6484.8739495798318</v>
      </c>
      <c r="J106" s="234">
        <f>IF(H106="Plug",_xlfn.XLOOKUP(C3,'Market Inputs'!B4:B61,'Market Inputs'!O4:O61)*I28,J136)</f>
        <v>771700</v>
      </c>
      <c r="L106" s="11" t="s">
        <v>45</v>
      </c>
      <c r="M106" s="12" t="s">
        <v>759</v>
      </c>
      <c r="N106" s="12" t="s">
        <v>760</v>
      </c>
      <c r="O106" s="13" t="s">
        <v>11</v>
      </c>
    </row>
    <row r="107" spans="2:27" x14ac:dyDescent="0.35">
      <c r="B107" s="241" t="s">
        <v>534</v>
      </c>
      <c r="D107" s="7">
        <v>20000</v>
      </c>
      <c r="E107" s="210">
        <f t="shared" si="81"/>
        <v>168.0672268907563</v>
      </c>
      <c r="G107" s="11" t="s">
        <v>764</v>
      </c>
      <c r="H107" s="12" t="s">
        <v>759</v>
      </c>
      <c r="I107" s="12" t="s">
        <v>760</v>
      </c>
      <c r="J107" s="13" t="s">
        <v>11</v>
      </c>
      <c r="L107" s="6" t="s">
        <v>786</v>
      </c>
      <c r="M107" s="328">
        <f>+N107/12</f>
        <v>8.3333333333333339</v>
      </c>
      <c r="N107" s="306">
        <v>100</v>
      </c>
      <c r="O107" s="8">
        <f>+N107*$I$28</f>
        <v>11900</v>
      </c>
    </row>
    <row r="108" spans="2:27" x14ac:dyDescent="0.35">
      <c r="B108" s="241" t="s">
        <v>184</v>
      </c>
      <c r="D108" s="7">
        <v>35000</v>
      </c>
      <c r="E108" s="210">
        <f t="shared" si="81"/>
        <v>294.11764705882354</v>
      </c>
      <c r="G108" s="6" t="s">
        <v>740</v>
      </c>
      <c r="H108" s="328">
        <f t="shared" ref="H108:H115" si="82">+I108/12</f>
        <v>4.2016806722689077</v>
      </c>
      <c r="I108" s="329">
        <f>+J108/$I$28</f>
        <v>50.420168067226889</v>
      </c>
      <c r="J108" s="239">
        <f>500*12</f>
        <v>6000</v>
      </c>
      <c r="L108" s="6" t="s">
        <v>774</v>
      </c>
      <c r="M108" s="328">
        <f t="shared" ref="M108:M111" si="83">+N108/12</f>
        <v>1</v>
      </c>
      <c r="N108" s="306">
        <v>12</v>
      </c>
      <c r="O108" s="8">
        <f>+N108*$I$28</f>
        <v>1428</v>
      </c>
    </row>
    <row r="109" spans="2:27" x14ac:dyDescent="0.35">
      <c r="B109" s="241" t="s">
        <v>591</v>
      </c>
      <c r="D109" s="7">
        <v>55000</v>
      </c>
      <c r="E109" s="210">
        <f t="shared" si="81"/>
        <v>462.18487394957981</v>
      </c>
      <c r="G109" s="6" t="s">
        <v>741</v>
      </c>
      <c r="H109" s="328">
        <f t="shared" si="82"/>
        <v>5.833333333333333</v>
      </c>
      <c r="I109" s="293">
        <v>70</v>
      </c>
      <c r="J109" s="16">
        <f t="shared" ref="J109:J115" si="84">+I109*$I$28</f>
        <v>8330</v>
      </c>
      <c r="L109" s="6" t="s">
        <v>775</v>
      </c>
      <c r="M109" s="328">
        <f t="shared" si="83"/>
        <v>0.33333333333333331</v>
      </c>
      <c r="N109" s="306">
        <v>4</v>
      </c>
      <c r="O109" s="8">
        <f>+N109*$I$28</f>
        <v>476</v>
      </c>
    </row>
    <row r="110" spans="2:27" x14ac:dyDescent="0.35">
      <c r="B110" s="243" t="s">
        <v>587</v>
      </c>
      <c r="C110" s="56"/>
      <c r="D110" s="14">
        <f>+SUM(D105:D109)</f>
        <v>290000</v>
      </c>
      <c r="E110" s="244">
        <f t="shared" si="81"/>
        <v>2436.9747899159665</v>
      </c>
      <c r="G110" s="6" t="s">
        <v>742</v>
      </c>
      <c r="H110" s="328">
        <f t="shared" si="82"/>
        <v>12.5</v>
      </c>
      <c r="I110" s="293">
        <v>150</v>
      </c>
      <c r="J110" s="16">
        <f t="shared" si="84"/>
        <v>17850</v>
      </c>
      <c r="L110" s="6" t="s">
        <v>776</v>
      </c>
      <c r="M110" s="328">
        <f t="shared" si="83"/>
        <v>1.8333333333333333</v>
      </c>
      <c r="N110" s="335">
        <v>22</v>
      </c>
      <c r="O110" s="8">
        <f>+N110*$I$28</f>
        <v>2618</v>
      </c>
    </row>
    <row r="111" spans="2:27" x14ac:dyDescent="0.35">
      <c r="B111" s="240" t="s">
        <v>590</v>
      </c>
      <c r="E111" s="245"/>
      <c r="G111" s="6" t="s">
        <v>743</v>
      </c>
      <c r="H111" s="328">
        <f t="shared" si="82"/>
        <v>5.833333333333333</v>
      </c>
      <c r="I111" s="293">
        <v>70</v>
      </c>
      <c r="J111" s="16">
        <f t="shared" si="84"/>
        <v>8330</v>
      </c>
      <c r="L111" s="345" t="s">
        <v>789</v>
      </c>
      <c r="M111" s="328">
        <f t="shared" si="83"/>
        <v>2.8308333333333331</v>
      </c>
      <c r="N111" s="335">
        <f>+IF(C4="Los Angeles",I129/2,0)</f>
        <v>33.97</v>
      </c>
      <c r="O111" s="8">
        <f>+N111*$I$28</f>
        <v>4042.43</v>
      </c>
    </row>
    <row r="112" spans="2:27" x14ac:dyDescent="0.35">
      <c r="B112" s="241" t="s">
        <v>681</v>
      </c>
      <c r="C112" s="31">
        <v>0</v>
      </c>
      <c r="D112" s="9">
        <f>+C112*S16</f>
        <v>0</v>
      </c>
      <c r="E112" s="210">
        <f t="shared" ref="E112:E118" si="85">+D112/$C$14</f>
        <v>0</v>
      </c>
      <c r="G112" s="6" t="s">
        <v>761</v>
      </c>
      <c r="H112" s="328">
        <f t="shared" si="82"/>
        <v>33.333333333333336</v>
      </c>
      <c r="I112" s="293">
        <v>400</v>
      </c>
      <c r="J112" s="16">
        <f t="shared" si="84"/>
        <v>47600</v>
      </c>
      <c r="L112" s="20" t="s">
        <v>773</v>
      </c>
      <c r="M112" s="328">
        <f>+N112/12</f>
        <v>0</v>
      </c>
      <c r="N112" s="335">
        <f>+O112/I28</f>
        <v>0</v>
      </c>
      <c r="O112" s="8">
        <f>+N116*N117*12</f>
        <v>0</v>
      </c>
    </row>
    <row r="113" spans="2:15" x14ac:dyDescent="0.35">
      <c r="B113" s="241" t="s">
        <v>592</v>
      </c>
      <c r="D113" s="7">
        <v>50000</v>
      </c>
      <c r="E113" s="210">
        <f t="shared" si="85"/>
        <v>420.16806722689074</v>
      </c>
      <c r="G113" s="6" t="s">
        <v>744</v>
      </c>
      <c r="H113" s="328">
        <f t="shared" si="82"/>
        <v>25</v>
      </c>
      <c r="I113" s="293">
        <v>300</v>
      </c>
      <c r="J113" s="16">
        <f t="shared" si="84"/>
        <v>35700</v>
      </c>
      <c r="L113" s="87" t="s">
        <v>11</v>
      </c>
      <c r="M113" s="330">
        <f>+SUM(M107:M112)</f>
        <v>14.330833333333334</v>
      </c>
      <c r="N113" s="330">
        <f>+SUM(N107:N112)</f>
        <v>171.97</v>
      </c>
      <c r="O113" s="26">
        <f>+N113*$I$28</f>
        <v>20464.43</v>
      </c>
    </row>
    <row r="114" spans="2:15" x14ac:dyDescent="0.35">
      <c r="B114" s="241" t="s">
        <v>533</v>
      </c>
      <c r="C114" s="242">
        <v>5000</v>
      </c>
      <c r="D114" s="9">
        <f>+C114*I28-D106</f>
        <v>565000</v>
      </c>
      <c r="E114" s="210">
        <f t="shared" si="85"/>
        <v>4747.8991596638652</v>
      </c>
      <c r="G114" s="6" t="s">
        <v>745</v>
      </c>
      <c r="H114" s="328">
        <f t="shared" si="82"/>
        <v>20</v>
      </c>
      <c r="I114" s="293">
        <v>240</v>
      </c>
      <c r="J114" s="16">
        <f t="shared" si="84"/>
        <v>28560</v>
      </c>
    </row>
    <row r="115" spans="2:15" x14ac:dyDescent="0.35">
      <c r="B115" s="241" t="s">
        <v>534</v>
      </c>
      <c r="D115" s="7">
        <v>60000</v>
      </c>
      <c r="E115" s="210">
        <f t="shared" si="85"/>
        <v>504.20168067226894</v>
      </c>
      <c r="G115" s="6" t="s">
        <v>746</v>
      </c>
      <c r="H115" s="328">
        <f t="shared" si="82"/>
        <v>47.5</v>
      </c>
      <c r="I115" s="293">
        <v>570</v>
      </c>
      <c r="J115" s="16">
        <f t="shared" si="84"/>
        <v>67830</v>
      </c>
      <c r="L115" s="11" t="s">
        <v>773</v>
      </c>
      <c r="M115" s="22"/>
      <c r="N115" s="23"/>
    </row>
    <row r="116" spans="2:15" x14ac:dyDescent="0.35">
      <c r="B116" s="241" t="s">
        <v>565</v>
      </c>
      <c r="D116" s="9">
        <f ca="1">+MIN(4%*D88,100000)+0.25%*D62</f>
        <v>99583.955923552538</v>
      </c>
      <c r="E116" s="210">
        <f t="shared" ca="1" si="85"/>
        <v>836.83996574413902</v>
      </c>
      <c r="G116" s="6" t="s">
        <v>752</v>
      </c>
      <c r="H116" s="328">
        <f>+I116/12</f>
        <v>35.833333333333336</v>
      </c>
      <c r="I116" s="293">
        <v>430</v>
      </c>
      <c r="J116" s="16">
        <f>+I116*$I$28</f>
        <v>51170</v>
      </c>
      <c r="L116" s="6" t="s">
        <v>788</v>
      </c>
      <c r="N116" s="336">
        <v>0</v>
      </c>
    </row>
    <row r="117" spans="2:15" x14ac:dyDescent="0.35">
      <c r="B117" s="243" t="s">
        <v>587</v>
      </c>
      <c r="C117" s="27"/>
      <c r="D117" s="14">
        <f ca="1">+SUM(D112:D116)</f>
        <v>774583.95592355251</v>
      </c>
      <c r="E117" s="244">
        <f t="shared" ca="1" si="85"/>
        <v>6509.1088733071638</v>
      </c>
      <c r="G117" s="6" t="s">
        <v>780</v>
      </c>
      <c r="H117" s="306">
        <v>66</v>
      </c>
      <c r="I117" s="329">
        <f>+H117*12</f>
        <v>792</v>
      </c>
      <c r="J117" s="16">
        <f>+I117*$I$28</f>
        <v>94248</v>
      </c>
      <c r="K117" s="59"/>
      <c r="L117" s="20" t="s">
        <v>778</v>
      </c>
      <c r="M117" s="21"/>
      <c r="N117" s="337">
        <v>50</v>
      </c>
    </row>
    <row r="118" spans="2:15" x14ac:dyDescent="0.35">
      <c r="B118" s="11" t="s">
        <v>589</v>
      </c>
      <c r="C118" s="17"/>
      <c r="D118" s="65">
        <f ca="1">+D117+D110</f>
        <v>1064583.9559235526</v>
      </c>
      <c r="E118" s="246">
        <f t="shared" ca="1" si="85"/>
        <v>8946.0836632231312</v>
      </c>
      <c r="G118" s="6" t="s">
        <v>758</v>
      </c>
      <c r="H118" s="328">
        <f t="shared" ref="H118:H130" si="86">+I118/12</f>
        <v>52.083333333333336</v>
      </c>
      <c r="I118" s="329">
        <f>+J118/$I$28</f>
        <v>625</v>
      </c>
      <c r="J118" s="239">
        <f>75000/120*I28</f>
        <v>74375</v>
      </c>
    </row>
    <row r="119" spans="2:15" x14ac:dyDescent="0.35">
      <c r="G119" s="6" t="s">
        <v>747</v>
      </c>
      <c r="H119" s="328">
        <f t="shared" si="86"/>
        <v>38.888888888888893</v>
      </c>
      <c r="I119" s="329">
        <f>+J119/$I$28</f>
        <v>466.66666666666669</v>
      </c>
      <c r="J119" s="239">
        <f>56000/120*I28</f>
        <v>55533.333333333336</v>
      </c>
      <c r="L119" s="11" t="s">
        <v>784</v>
      </c>
      <c r="M119" s="22"/>
      <c r="N119" s="341" t="s">
        <v>787</v>
      </c>
    </row>
    <row r="120" spans="2:15" x14ac:dyDescent="0.35">
      <c r="B120" s="11" t="s">
        <v>192</v>
      </c>
      <c r="C120" s="22"/>
      <c r="D120" s="23"/>
      <c r="G120" s="6" t="s">
        <v>748</v>
      </c>
      <c r="H120" s="328">
        <f t="shared" si="86"/>
        <v>18.370588235294115</v>
      </c>
      <c r="I120" s="329">
        <f>+J120/$I$28</f>
        <v>220.44705882352937</v>
      </c>
      <c r="J120" s="16">
        <f>+N26*12</f>
        <v>26233.199999999997</v>
      </c>
      <c r="L120" s="6" t="s">
        <v>783</v>
      </c>
      <c r="N120" s="339">
        <f>295*I28</f>
        <v>35105</v>
      </c>
    </row>
    <row r="121" spans="2:15" x14ac:dyDescent="0.35">
      <c r="B121" s="6" t="s">
        <v>193</v>
      </c>
      <c r="D121" s="16">
        <f ca="1">MIN(0.15*C56,C47)</f>
        <v>4587263.9662474412</v>
      </c>
      <c r="E121" s="3"/>
      <c r="G121" s="6" t="s">
        <v>749</v>
      </c>
      <c r="H121" s="328">
        <f t="shared" si="86"/>
        <v>27.291666666666668</v>
      </c>
      <c r="I121" s="293">
        <f>0.3*SUM(I118:I119)</f>
        <v>327.5</v>
      </c>
      <c r="J121" s="16">
        <f t="shared" ref="J121:J126" si="87">+I121*$I$28</f>
        <v>38972.5</v>
      </c>
      <c r="L121" s="6" t="s">
        <v>785</v>
      </c>
      <c r="N121" s="339">
        <v>0</v>
      </c>
    </row>
    <row r="122" spans="2:15" x14ac:dyDescent="0.35">
      <c r="B122" s="6" t="s">
        <v>194</v>
      </c>
      <c r="D122" s="108">
        <v>0</v>
      </c>
      <c r="E122" s="3"/>
      <c r="G122" s="6" t="s">
        <v>750</v>
      </c>
      <c r="H122" s="328">
        <f t="shared" si="86"/>
        <v>2.0833333333333335</v>
      </c>
      <c r="I122" s="293">
        <v>25</v>
      </c>
      <c r="J122" s="16">
        <f t="shared" si="87"/>
        <v>2975</v>
      </c>
      <c r="L122" s="20" t="s">
        <v>782</v>
      </c>
      <c r="M122" s="21"/>
      <c r="N122" s="340">
        <v>7500</v>
      </c>
    </row>
    <row r="123" spans="2:15" x14ac:dyDescent="0.35">
      <c r="B123" s="20" t="s">
        <v>199</v>
      </c>
      <c r="C123" s="21"/>
      <c r="D123" s="24">
        <f ca="1">+MIN(2500000,D121)</f>
        <v>2500000</v>
      </c>
      <c r="E123" s="3"/>
      <c r="G123" s="6" t="s">
        <v>751</v>
      </c>
      <c r="H123" s="328">
        <f t="shared" si="86"/>
        <v>9.5833333333333339</v>
      </c>
      <c r="I123" s="293">
        <v>115</v>
      </c>
      <c r="J123" s="16">
        <f t="shared" si="87"/>
        <v>13685</v>
      </c>
    </row>
    <row r="124" spans="2:15" x14ac:dyDescent="0.35">
      <c r="B124" s="6" t="s">
        <v>195</v>
      </c>
      <c r="D124" s="16">
        <f ca="1">+C56-6666667</f>
        <v>28502356.741230384</v>
      </c>
      <c r="E124" s="3"/>
      <c r="G124" s="6" t="s">
        <v>753</v>
      </c>
      <c r="H124" s="328">
        <f t="shared" si="86"/>
        <v>4.166666666666667</v>
      </c>
      <c r="I124" s="293">
        <v>50</v>
      </c>
      <c r="J124" s="16">
        <f t="shared" si="87"/>
        <v>5950</v>
      </c>
    </row>
    <row r="125" spans="2:15" x14ac:dyDescent="0.35">
      <c r="B125" s="109" t="s">
        <v>196</v>
      </c>
      <c r="D125" s="16">
        <f ca="1">0.05*D124</f>
        <v>1425117.8370615193</v>
      </c>
      <c r="E125" s="3"/>
      <c r="G125" s="6" t="s">
        <v>762</v>
      </c>
      <c r="H125" s="328">
        <f t="shared" si="86"/>
        <v>2.9166666666666665</v>
      </c>
      <c r="I125" s="293">
        <v>35</v>
      </c>
      <c r="J125" s="16">
        <f>+I125*$I$28</f>
        <v>4165</v>
      </c>
    </row>
    <row r="126" spans="2:15" x14ac:dyDescent="0.35">
      <c r="B126" s="6" t="s">
        <v>197</v>
      </c>
      <c r="D126" s="16">
        <f ca="1">+D125+1000000</f>
        <v>2425117.8370615193</v>
      </c>
      <c r="E126" s="3"/>
      <c r="G126" s="6" t="s">
        <v>754</v>
      </c>
      <c r="H126" s="328">
        <f t="shared" si="86"/>
        <v>7.083333333333333</v>
      </c>
      <c r="I126" s="293">
        <v>85</v>
      </c>
      <c r="J126" s="16">
        <f t="shared" si="87"/>
        <v>10115</v>
      </c>
    </row>
    <row r="127" spans="2:15" x14ac:dyDescent="0.35">
      <c r="B127" s="11" t="s">
        <v>198</v>
      </c>
      <c r="C127" s="17"/>
      <c r="D127" s="18">
        <f ca="1">+MIN(MAX(D126,D123),6000000)</f>
        <v>2500000</v>
      </c>
      <c r="E127" s="3"/>
      <c r="G127" s="6" t="s">
        <v>755</v>
      </c>
      <c r="H127" s="328">
        <f t="shared" si="86"/>
        <v>5.6022408963585439</v>
      </c>
      <c r="I127" s="293">
        <f>+J127/$I$28</f>
        <v>67.226890756302524</v>
      </c>
      <c r="J127" s="16">
        <v>8000</v>
      </c>
    </row>
    <row r="128" spans="2:15" x14ac:dyDescent="0.35">
      <c r="G128" s="6" t="s">
        <v>757</v>
      </c>
      <c r="H128" s="328">
        <f t="shared" si="86"/>
        <v>20</v>
      </c>
      <c r="I128" s="293">
        <v>240</v>
      </c>
      <c r="J128" s="16">
        <f t="shared" ref="J128" si="88">+I128*$I$28</f>
        <v>28560</v>
      </c>
    </row>
    <row r="129" spans="2:11" x14ac:dyDescent="0.35">
      <c r="B129" s="11" t="s">
        <v>693</v>
      </c>
      <c r="C129" s="22"/>
      <c r="D129" s="23"/>
      <c r="G129" s="6" t="s">
        <v>772</v>
      </c>
      <c r="H129" s="328">
        <f t="shared" si="86"/>
        <v>5.6616666666666662</v>
      </c>
      <c r="I129" s="329">
        <f>+J129/$I$28</f>
        <v>67.94</v>
      </c>
      <c r="J129" s="16">
        <f>IF(C4="Los Angeles",67.94*$I$28,0)</f>
        <v>8084.86</v>
      </c>
    </row>
    <row r="130" spans="2:11" x14ac:dyDescent="0.35">
      <c r="B130" s="6" t="s">
        <v>177</v>
      </c>
      <c r="D130" s="16">
        <f ca="1" xml:space="preserve"> C55 - D75 - D80 - D79 - D65 - D67</f>
        <v>3390759.7856406327</v>
      </c>
      <c r="G130" s="6" t="s">
        <v>628</v>
      </c>
      <c r="H130" s="328">
        <f t="shared" si="86"/>
        <v>75</v>
      </c>
      <c r="I130" s="293">
        <v>900</v>
      </c>
      <c r="J130" s="16">
        <f t="shared" ref="J130" si="89">+I130*$I$28</f>
        <v>107100</v>
      </c>
    </row>
    <row r="131" spans="2:11" x14ac:dyDescent="0.35">
      <c r="B131" s="6" t="s">
        <v>178</v>
      </c>
      <c r="D131" s="16">
        <f ca="1" xml:space="preserve"> MIN( MAX(D130, C47-D127), C47-MAX(1000000,5%*D75,D127*(C97="Max Out")))</f>
        <v>2087263.9662474412</v>
      </c>
      <c r="G131" s="11" t="s">
        <v>769</v>
      </c>
      <c r="H131" s="330">
        <f>+SUM(H108:H130)</f>
        <v>524.76673202614381</v>
      </c>
      <c r="I131" s="330">
        <f>+SUM(I108:I130)</f>
        <v>6297.2007843137253</v>
      </c>
      <c r="J131" s="18">
        <f>+SUM(J108:J130)</f>
        <v>749366.89333333331</v>
      </c>
      <c r="K131" s="332">
        <f>+_xlfn.XLOOKUP(C3,'Market Inputs'!B4:B61,'Market Inputs'!N4:N61)</f>
        <v>6300</v>
      </c>
    </row>
    <row r="132" spans="2:11" x14ac:dyDescent="0.35">
      <c r="B132" s="6" t="s">
        <v>179</v>
      </c>
      <c r="D132" s="16">
        <f ca="1" xml:space="preserve"> MIN(0, D130 - D131)</f>
        <v>0</v>
      </c>
      <c r="G132" s="6" t="s">
        <v>768</v>
      </c>
      <c r="H132" s="328">
        <f>+I132/12</f>
        <v>1.8198025458712899</v>
      </c>
      <c r="I132" s="329">
        <f>+J132/$I$28</f>
        <v>21.837630550455479</v>
      </c>
      <c r="J132" s="239">
        <f>+I26/I28*H41*A46</f>
        <v>2598.6780355042019</v>
      </c>
    </row>
    <row r="133" spans="2:11" x14ac:dyDescent="0.35">
      <c r="B133" s="6" t="s">
        <v>188</v>
      </c>
      <c r="D133" s="16">
        <f ca="1" xml:space="preserve"> C55 - (D75 + D78 + D80)</f>
        <v>3390759.7856406346</v>
      </c>
      <c r="G133" s="6" t="s">
        <v>756</v>
      </c>
      <c r="H133" s="328">
        <f>+I133/12</f>
        <v>16.106442577030812</v>
      </c>
      <c r="I133" s="329">
        <f>+J133/$I$28</f>
        <v>193.27731092436974</v>
      </c>
      <c r="J133" s="239">
        <v>23000</v>
      </c>
    </row>
    <row r="134" spans="2:11" x14ac:dyDescent="0.35">
      <c r="B134" s="6" t="s">
        <v>189</v>
      </c>
      <c r="D134" s="16">
        <f ca="1" xml:space="preserve"> D66 + D65</f>
        <v>1303495.8193931952</v>
      </c>
      <c r="G134" s="6" t="s">
        <v>771</v>
      </c>
      <c r="H134" s="328">
        <f>+I134/12</f>
        <v>14.295518207282912</v>
      </c>
      <c r="I134" s="329">
        <f>+J134/$I$28</f>
        <v>171.54621848739495</v>
      </c>
      <c r="J134" s="16">
        <f>IF(C4="Los Angeles",173*$I$27,0)</f>
        <v>20414</v>
      </c>
    </row>
    <row r="135" spans="2:11" x14ac:dyDescent="0.35">
      <c r="B135" s="6" t="s">
        <v>190</v>
      </c>
      <c r="D135" s="16">
        <f ca="1" xml:space="preserve"> MIN( MAX(0, D133 - D76), D134 )</f>
        <v>1303495.8193931952</v>
      </c>
      <c r="G135" s="6" t="s">
        <v>770</v>
      </c>
      <c r="H135" s="328">
        <f ca="1">+I135/12</f>
        <v>7.710130681800405</v>
      </c>
      <c r="I135" s="329">
        <f ca="1">+J135/$I$28</f>
        <v>92.521568181604863</v>
      </c>
      <c r="J135" s="239">
        <f ca="1">0.0005*D75</f>
        <v>11010.066613610979</v>
      </c>
    </row>
    <row r="136" spans="2:11" x14ac:dyDescent="0.35">
      <c r="B136" s="20" t="s">
        <v>191</v>
      </c>
      <c r="C136" s="21"/>
      <c r="D136" s="24">
        <f ca="1" xml:space="preserve"> MIN( D71, MAX(0, D133 - D76 - D135) )</f>
        <v>2087263.9662474394</v>
      </c>
      <c r="G136" s="11" t="s">
        <v>765</v>
      </c>
      <c r="H136" s="330">
        <f ca="1">+SUM(H131:H135)</f>
        <v>564.69862603812931</v>
      </c>
      <c r="I136" s="330">
        <f ca="1">+SUM(I131:I135)</f>
        <v>6776.3835124575508</v>
      </c>
      <c r="J136" s="18">
        <f ca="1">+SUM(J131:J135)</f>
        <v>806389.63798244845</v>
      </c>
    </row>
    <row r="137" spans="2:11" x14ac:dyDescent="0.35">
      <c r="B137" t="s">
        <v>694</v>
      </c>
      <c r="D137" s="3">
        <f ca="1">C55- D75-D78- (C89*D88*10)- D76</f>
        <v>3390759.7856406327</v>
      </c>
      <c r="G137" s="20" t="s">
        <v>766</v>
      </c>
      <c r="H137" s="333">
        <f>+I137/12</f>
        <v>25</v>
      </c>
      <c r="I137" s="334">
        <v>300</v>
      </c>
      <c r="J137" s="24">
        <f>+I137*$I$28</f>
        <v>35700</v>
      </c>
    </row>
    <row r="138" spans="2:11" x14ac:dyDescent="0.35">
      <c r="G138" s="11" t="s">
        <v>767</v>
      </c>
      <c r="H138" s="330">
        <f ca="1">+SUM(H136:H137)</f>
        <v>589.69862603812931</v>
      </c>
      <c r="I138" s="330">
        <f ca="1">+SUM(I136:I137)</f>
        <v>7076.3835124575508</v>
      </c>
      <c r="J138" s="18">
        <f ca="1">+SUM(J136:J137)</f>
        <v>842089.63798244845</v>
      </c>
    </row>
  </sheetData>
  <phoneticPr fontId="3" type="noConversion"/>
  <conditionalFormatting sqref="AE6:AQ21">
    <cfRule type="cellIs" dxfId="2" priority="4" operator="lessThanOrEqual">
      <formula>0</formula>
    </cfRule>
  </conditionalFormatting>
  <conditionalFormatting sqref="Q39">
    <cfRule type="cellIs" dxfId="1" priority="3" operator="greaterThan">
      <formula>0.6</formula>
    </cfRule>
  </conditionalFormatting>
  <conditionalFormatting sqref="G107:J138">
    <cfRule type="expression" dxfId="0" priority="2">
      <formula>$H$106="Plug"</formula>
    </cfRule>
  </conditionalFormatting>
  <dataValidations disablePrompts="1" count="13">
    <dataValidation type="list" allowBlank="1" showInputMessage="1" showErrorMessage="1" sqref="P38" xr:uid="{4307A2EE-5464-480B-8843-68DB5EA3116A}">
      <formula1>"70%,80%"</formula1>
    </dataValidation>
    <dataValidation type="list" allowBlank="1" showInputMessage="1" showErrorMessage="1" sqref="C4" xr:uid="{1CB9F735-B034-4E6A-9F8B-8A05C022C1D4}">
      <formula1>$AH$29:$AH$40</formula1>
    </dataValidation>
    <dataValidation type="list" allowBlank="1" showInputMessage="1" showErrorMessage="1" sqref="S11" xr:uid="{BF34D36A-CFE5-4BFB-BA66-CB7C89E34583}">
      <formula1>"On,Off"</formula1>
    </dataValidation>
    <dataValidation type="list" allowBlank="1" showInputMessage="1" showErrorMessage="1" sqref="C97" xr:uid="{3550CE23-2E8D-45D3-9416-2E3E9E3BD3D0}">
      <formula1>"Max Out, Don't Max"</formula1>
    </dataValidation>
    <dataValidation type="list" allowBlank="1" showInputMessage="1" showErrorMessage="1" sqref="A36" xr:uid="{FB58765B-1B2A-42AF-BCE7-80BA220A311A}">
      <formula1>"Modular,Stick"</formula1>
    </dataValidation>
    <dataValidation type="list" allowBlank="1" showInputMessage="1" showErrorMessage="1" sqref="C5" xr:uid="{683B329D-DB00-4340-9457-937C956BDEB7}">
      <formula1>"QCT,DDA,None"</formula1>
    </dataValidation>
    <dataValidation type="list" allowBlank="1" showInputMessage="1" showErrorMessage="1" sqref="C6" xr:uid="{3C436F61-E827-4F9A-B5F6-8D2A97774946}">
      <formula1>"Low,Medium,High,Highest"</formula1>
    </dataValidation>
    <dataValidation type="list" allowBlank="1" showInputMessage="1" showErrorMessage="1" sqref="C7:C8 C10:C11 S26 AA7" xr:uid="{8DADCEF2-7A2C-4D35-9595-E6D2587C0494}">
      <formula1>"Yes,No"</formula1>
    </dataValidation>
    <dataValidation type="list" allowBlank="1" showInputMessage="1" showErrorMessage="1" sqref="C9" xr:uid="{E30E227D-40B3-4049-A2AA-07D0ADFEE098}">
      <formula1>"Type I,Type III,Other"</formula1>
    </dataValidation>
    <dataValidation type="list" allowBlank="1" showInputMessage="1" showErrorMessage="1" sqref="AA5" xr:uid="{CF449B5A-C6D0-41A0-8447-B79EEB3854C2}">
      <formula1>"Simple, Compouding"</formula1>
    </dataValidation>
    <dataValidation type="list" allowBlank="1" showInputMessage="1" showErrorMessage="1" sqref="D59" xr:uid="{F1BF5415-720E-4437-8008-ECBCAD36043B}">
      <formula1>"Ground Lessor,Soft Debt,State Credits,B-Bond, None"</formula1>
    </dataValidation>
    <dataValidation type="list" allowBlank="1" showInputMessage="1" showErrorMessage="1" sqref="W13" xr:uid="{182F7599-46DE-4E6C-BD16-2ACA89542B0A}">
      <formula1>$X$13:$Z$13</formula1>
    </dataValidation>
    <dataValidation type="list" allowBlank="1" showInputMessage="1" showErrorMessage="1" sqref="H106" xr:uid="{022B1097-FF54-47D4-830B-B9F0A1A9ED20}">
      <formula1>"Plug,Itemized"</formula1>
    </dataValidation>
  </dataValidations>
  <pageMargins left="0.25" right="0.25" top="0.5" bottom="0.5" header="0.3" footer="0.3"/>
  <pageSetup scale="40" orientation="landscape" r:id="rId1"/>
  <ignoredErrors>
    <ignoredError sqref="H14:H24 H4" formula="1"/>
  </ignoredErrors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CEED7-2B83-4A69-9041-6ECE242B6A90}">
          <x14:formula1>
            <xm:f>'Market Inputs'!$B$4:$B$61</xm:f>
          </x14:formula1>
          <xm:sqref>C3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3E8BA-CF66-457D-9FEE-210DEF068B77}">
  <sheetPr codeName="Sheet3"/>
  <dimension ref="B2:J80"/>
  <sheetViews>
    <sheetView zoomScaleNormal="100" workbookViewId="0">
      <pane ySplit="8" topLeftCell="A9" activePane="bottomLeft" state="frozen"/>
      <selection pane="bottomLeft" activeCell="C6" sqref="C6"/>
    </sheetView>
  </sheetViews>
  <sheetFormatPr defaultColWidth="8.81640625" defaultRowHeight="14.5" x14ac:dyDescent="0.35"/>
  <cols>
    <col min="2" max="2" width="49.6328125" customWidth="1"/>
    <col min="3" max="3" width="19.36328125" customWidth="1"/>
    <col min="4" max="4" width="8.453125" customWidth="1"/>
    <col min="7" max="7" width="9.36328125" bestFit="1" customWidth="1"/>
  </cols>
  <sheetData>
    <row r="2" spans="2:10" x14ac:dyDescent="0.35">
      <c r="B2" t="s">
        <v>400</v>
      </c>
      <c r="C2">
        <f>+Pro_Forma!C14-Pro_Forma!I26</f>
        <v>118</v>
      </c>
    </row>
    <row r="5" spans="2:10" x14ac:dyDescent="0.35">
      <c r="B5" s="40" t="s">
        <v>81</v>
      </c>
      <c r="C5" s="41" t="str">
        <f>+Pro_Forma!B2</f>
        <v>840 G St, San Diego</v>
      </c>
    </row>
    <row r="6" spans="2:10" x14ac:dyDescent="0.35">
      <c r="B6" t="s">
        <v>82</v>
      </c>
      <c r="C6" s="42">
        <f>+C66</f>
        <v>21420102.000000004</v>
      </c>
    </row>
    <row r="7" spans="2:10" x14ac:dyDescent="0.35">
      <c r="B7" t="s">
        <v>83</v>
      </c>
      <c r="C7" s="42">
        <f ca="1">(Pro_Forma!C57*Pro_Forma!C21+Pro_Forma!D92)*(1-C72-C75-C79)</f>
        <v>9929421.0228076577</v>
      </c>
    </row>
    <row r="8" spans="2:10" x14ac:dyDescent="0.35">
      <c r="B8" s="27" t="s">
        <v>81</v>
      </c>
      <c r="C8" s="44">
        <f ca="1">+C6/C7</f>
        <v>2.1572357492746566</v>
      </c>
    </row>
    <row r="9" spans="2:10" x14ac:dyDescent="0.35">
      <c r="B9" s="1"/>
      <c r="C9" s="43"/>
    </row>
    <row r="10" spans="2:10" x14ac:dyDescent="0.35">
      <c r="B10" s="45" t="s">
        <v>84</v>
      </c>
      <c r="C10" s="46"/>
    </row>
    <row r="11" spans="2:10" x14ac:dyDescent="0.35">
      <c r="B11" t="s">
        <v>85</v>
      </c>
      <c r="C11" s="2">
        <f>+J21</f>
        <v>118</v>
      </c>
    </row>
    <row r="12" spans="2:10" x14ac:dyDescent="0.35">
      <c r="B12" t="s">
        <v>86</v>
      </c>
      <c r="C12" s="47">
        <v>50000</v>
      </c>
    </row>
    <row r="13" spans="2:10" x14ac:dyDescent="0.35">
      <c r="B13" s="27" t="s">
        <v>87</v>
      </c>
      <c r="C13" s="48">
        <f>+C12*C11</f>
        <v>5900000</v>
      </c>
    </row>
    <row r="15" spans="2:10" x14ac:dyDescent="0.35">
      <c r="B15" s="45" t="s">
        <v>88</v>
      </c>
      <c r="C15" s="49"/>
      <c r="F15" s="1" t="s">
        <v>200</v>
      </c>
    </row>
    <row r="16" spans="2:10" x14ac:dyDescent="0.35">
      <c r="B16" t="s">
        <v>89</v>
      </c>
      <c r="C16" s="110">
        <f>+G21</f>
        <v>2085</v>
      </c>
      <c r="E16" s="86" t="s">
        <v>157</v>
      </c>
      <c r="F16" s="181">
        <f>+INDEX('Market Inputs'!$I$4:$M$61,MATCH(Pro_Forma!$C$3,'Market Inputs'!$B$4:$B$61,0),MATCH(E16,'Market Inputs'!$D$3:$H$3,0))</f>
        <v>1863</v>
      </c>
      <c r="G16" s="78">
        <f>+Pro_Forma!H3</f>
        <v>0</v>
      </c>
      <c r="I16">
        <v>0.9</v>
      </c>
      <c r="J16">
        <f>+I16*G16</f>
        <v>0</v>
      </c>
    </row>
    <row r="17" spans="2:10" x14ac:dyDescent="0.35">
      <c r="B17" t="s">
        <v>90</v>
      </c>
      <c r="C17" s="47">
        <f>+SUMPRODUCT(I24:I39,H24:H39)/SUM(I24:I39)</f>
        <v>1871.1533898305083</v>
      </c>
      <c r="E17" s="86" t="s">
        <v>58</v>
      </c>
      <c r="F17" s="181">
        <f>+INDEX('Market Inputs'!$I$4:$M$61,MATCH(Pro_Forma!$C$3,'Market Inputs'!$B$4:$B$61,0),MATCH(E17,'Market Inputs'!$D$3:$H$3,0))</f>
        <v>2085</v>
      </c>
      <c r="G17">
        <f>+Pro_Forma!H4-Pro_Forma!I26</f>
        <v>118</v>
      </c>
      <c r="I17">
        <v>1</v>
      </c>
      <c r="J17">
        <f t="shared" ref="J17:J19" si="0">+I17*G17</f>
        <v>118</v>
      </c>
    </row>
    <row r="18" spans="2:10" x14ac:dyDescent="0.35">
      <c r="B18" t="s">
        <v>91</v>
      </c>
      <c r="C18" s="47">
        <f>+(C16-C17)*C2</f>
        <v>25233.900000000016</v>
      </c>
      <c r="E18" s="86" t="s">
        <v>158</v>
      </c>
      <c r="F18" s="181">
        <f>+INDEX('Market Inputs'!$I$4:$M$61,MATCH(Pro_Forma!$C$3,'Market Inputs'!$B$4:$B$61,0),MATCH(E18,'Market Inputs'!$D$3:$H$3,0))</f>
        <v>2601</v>
      </c>
      <c r="G18">
        <f>+Pro_Forma!H5</f>
        <v>0</v>
      </c>
      <c r="I18">
        <v>1.25</v>
      </c>
      <c r="J18">
        <f t="shared" si="0"/>
        <v>0</v>
      </c>
    </row>
    <row r="19" spans="2:10" x14ac:dyDescent="0.35">
      <c r="B19" t="s">
        <v>86</v>
      </c>
      <c r="C19" s="2">
        <v>180</v>
      </c>
      <c r="E19" s="86" t="s">
        <v>287</v>
      </c>
      <c r="F19" s="181">
        <f>+INDEX('Market Inputs'!$I$4:$M$61,MATCH(Pro_Forma!$C$3,'Market Inputs'!$B$4:$B$61,0),MATCH(E19,'Market Inputs'!$D$3:$H$3,0))</f>
        <v>3298</v>
      </c>
      <c r="G19">
        <f>+Pro_Forma!H6</f>
        <v>0</v>
      </c>
      <c r="I19">
        <v>1.5</v>
      </c>
      <c r="J19">
        <f t="shared" si="0"/>
        <v>0</v>
      </c>
    </row>
    <row r="20" spans="2:10" x14ac:dyDescent="0.35">
      <c r="B20" s="27" t="s">
        <v>92</v>
      </c>
      <c r="C20" s="50">
        <f>+C19*C18</f>
        <v>4542102.0000000028</v>
      </c>
    </row>
    <row r="21" spans="2:10" x14ac:dyDescent="0.35">
      <c r="F21" s="27"/>
      <c r="G21" s="89">
        <f>+SUMPRODUCT(G16:G19,F16:F19)/SUM(G16:G19)</f>
        <v>2085</v>
      </c>
      <c r="I21" s="56"/>
      <c r="J21" s="27">
        <f>+SUM(J16:J19)</f>
        <v>118</v>
      </c>
    </row>
    <row r="22" spans="2:10" x14ac:dyDescent="0.35">
      <c r="B22" s="45" t="s">
        <v>93</v>
      </c>
      <c r="C22" s="49"/>
    </row>
    <row r="23" spans="2:10" x14ac:dyDescent="0.35">
      <c r="B23" t="s">
        <v>94</v>
      </c>
      <c r="C23">
        <f>+Pro_Forma!I14+Pro_Forma!I10+Pro_Forma!I18+Pro_Forma!I22</f>
        <v>12</v>
      </c>
      <c r="F23" s="1" t="s">
        <v>620</v>
      </c>
    </row>
    <row r="24" spans="2:10" x14ac:dyDescent="0.35">
      <c r="B24" t="s">
        <v>86</v>
      </c>
      <c r="C24" s="47">
        <v>20000</v>
      </c>
      <c r="F24" t="s">
        <v>157</v>
      </c>
      <c r="G24" s="257">
        <f>+Pro_Forma!J10</f>
        <v>0.3</v>
      </c>
      <c r="H24" s="78">
        <f>+G24*Pro_Forma!$J$3</f>
        <v>874.5</v>
      </c>
      <c r="I24">
        <f>+Pro_Forma!I10</f>
        <v>0</v>
      </c>
    </row>
    <row r="25" spans="2:10" x14ac:dyDescent="0.35">
      <c r="B25" s="27" t="s">
        <v>95</v>
      </c>
      <c r="C25" s="48">
        <f>+C24*C23</f>
        <v>240000</v>
      </c>
      <c r="F25" t="s">
        <v>157</v>
      </c>
      <c r="G25" s="257">
        <f>+Pro_Forma!J11</f>
        <v>0.5</v>
      </c>
      <c r="H25" s="78">
        <f>+G25*Pro_Forma!$J$3</f>
        <v>1457.5</v>
      </c>
      <c r="I25">
        <f>+Pro_Forma!I11</f>
        <v>0</v>
      </c>
    </row>
    <row r="26" spans="2:10" x14ac:dyDescent="0.35">
      <c r="F26" t="s">
        <v>157</v>
      </c>
      <c r="G26" s="257">
        <f>+Pro_Forma!J12</f>
        <v>0.6</v>
      </c>
      <c r="H26" s="78">
        <f>+G26*Pro_Forma!$J$3</f>
        <v>1749</v>
      </c>
      <c r="I26">
        <f>+Pro_Forma!I12</f>
        <v>0</v>
      </c>
    </row>
    <row r="27" spans="2:10" x14ac:dyDescent="0.35">
      <c r="B27" s="45" t="s">
        <v>562</v>
      </c>
      <c r="C27" s="49"/>
      <c r="F27" t="s">
        <v>157</v>
      </c>
      <c r="G27" s="257">
        <f>+Pro_Forma!J13</f>
        <v>0.7</v>
      </c>
      <c r="H27" s="78">
        <f>+G27*Pro_Forma!$J$3</f>
        <v>2040.4999999999998</v>
      </c>
      <c r="I27">
        <f>+Pro_Forma!I13</f>
        <v>0</v>
      </c>
    </row>
    <row r="28" spans="2:10" x14ac:dyDescent="0.35">
      <c r="B28" t="s">
        <v>563</v>
      </c>
      <c r="C28" s="61" t="str">
        <f>+Pro_Forma!C8</f>
        <v>No</v>
      </c>
      <c r="F28" t="s">
        <v>58</v>
      </c>
      <c r="G28" s="257">
        <f>+Pro_Forma!J14</f>
        <v>0.3</v>
      </c>
      <c r="H28" s="78">
        <f>+G28*Pro_Forma!$J$4</f>
        <v>936.9</v>
      </c>
      <c r="I28">
        <f>+Pro_Forma!I14</f>
        <v>12</v>
      </c>
    </row>
    <row r="29" spans="2:10" x14ac:dyDescent="0.35">
      <c r="B29" t="s">
        <v>86</v>
      </c>
      <c r="C29" s="47">
        <f>+IF(C28="Yes",20000,0)</f>
        <v>0</v>
      </c>
      <c r="F29" t="s">
        <v>58</v>
      </c>
      <c r="G29" s="257">
        <f>+Pro_Forma!J15</f>
        <v>0.5</v>
      </c>
      <c r="H29" s="78">
        <f>+G29*Pro_Forma!$J$4</f>
        <v>1561.5</v>
      </c>
      <c r="I29">
        <f>+Pro_Forma!I15</f>
        <v>12</v>
      </c>
    </row>
    <row r="30" spans="2:10" x14ac:dyDescent="0.35">
      <c r="B30" t="s">
        <v>104</v>
      </c>
      <c r="C30" s="2">
        <f>+C11</f>
        <v>118</v>
      </c>
      <c r="F30" t="s">
        <v>58</v>
      </c>
      <c r="G30" s="257">
        <f>+Pro_Forma!J16</f>
        <v>0.6</v>
      </c>
      <c r="H30" s="78">
        <f>+G30*Pro_Forma!$J$4</f>
        <v>1873.8</v>
      </c>
      <c r="I30">
        <f>+Pro_Forma!I16</f>
        <v>47</v>
      </c>
    </row>
    <row r="31" spans="2:10" x14ac:dyDescent="0.35">
      <c r="B31" s="27" t="s">
        <v>564</v>
      </c>
      <c r="C31" s="50">
        <f>+C30*C29</f>
        <v>0</v>
      </c>
      <c r="F31" t="s">
        <v>58</v>
      </c>
      <c r="G31" s="257">
        <f>+Pro_Forma!J17</f>
        <v>0.7</v>
      </c>
      <c r="H31" s="78">
        <f>+G31*Pro_Forma!$J$4</f>
        <v>2186.1</v>
      </c>
      <c r="I31">
        <f>+Pro_Forma!I17</f>
        <v>47</v>
      </c>
    </row>
    <row r="32" spans="2:10" x14ac:dyDescent="0.35">
      <c r="F32" t="s">
        <v>158</v>
      </c>
      <c r="G32" s="257">
        <f>+Pro_Forma!J18</f>
        <v>0.3</v>
      </c>
      <c r="H32" s="78">
        <f>+G32*Pro_Forma!$J$5</f>
        <v>1124.0999999999999</v>
      </c>
      <c r="I32">
        <f>+Pro_Forma!I18</f>
        <v>0</v>
      </c>
    </row>
    <row r="33" spans="2:9" x14ac:dyDescent="0.35">
      <c r="B33" s="45" t="s">
        <v>96</v>
      </c>
      <c r="C33" s="49"/>
      <c r="F33" t="s">
        <v>158</v>
      </c>
      <c r="G33" s="257">
        <f>+Pro_Forma!J19</f>
        <v>0.5</v>
      </c>
      <c r="H33" s="78">
        <f>+G33*Pro_Forma!$J$5</f>
        <v>1873.5</v>
      </c>
      <c r="I33">
        <f>+Pro_Forma!I19</f>
        <v>0</v>
      </c>
    </row>
    <row r="34" spans="2:9" x14ac:dyDescent="0.35">
      <c r="B34" t="s">
        <v>97</v>
      </c>
      <c r="C34" s="61" t="s">
        <v>98</v>
      </c>
      <c r="F34" t="s">
        <v>158</v>
      </c>
      <c r="G34" s="257">
        <f>+Pro_Forma!J20</f>
        <v>0.6</v>
      </c>
      <c r="H34" s="78">
        <f>+G34*Pro_Forma!$J$5</f>
        <v>2248.1999999999998</v>
      </c>
      <c r="I34">
        <f>+Pro_Forma!I20</f>
        <v>0</v>
      </c>
    </row>
    <row r="35" spans="2:9" x14ac:dyDescent="0.35">
      <c r="B35" t="s">
        <v>99</v>
      </c>
      <c r="C35" s="61" t="s">
        <v>100</v>
      </c>
      <c r="F35" t="s">
        <v>158</v>
      </c>
      <c r="G35" s="257">
        <f>+Pro_Forma!J21</f>
        <v>0.7</v>
      </c>
      <c r="H35" s="78">
        <f>+G35*Pro_Forma!$J$5</f>
        <v>2622.8999999999996</v>
      </c>
      <c r="I35">
        <f>+Pro_Forma!I21</f>
        <v>0</v>
      </c>
    </row>
    <row r="36" spans="2:9" x14ac:dyDescent="0.35">
      <c r="B36" t="s">
        <v>101</v>
      </c>
      <c r="C36" s="61" t="s">
        <v>100</v>
      </c>
      <c r="F36" t="s">
        <v>287</v>
      </c>
      <c r="G36" s="257">
        <f>+Pro_Forma!J22</f>
        <v>0.3</v>
      </c>
      <c r="H36" s="78">
        <f>+G36*Pro_Forma!$J$6</f>
        <v>1299.3</v>
      </c>
      <c r="I36">
        <f>+Pro_Forma!I22</f>
        <v>0</v>
      </c>
    </row>
    <row r="37" spans="2:9" x14ac:dyDescent="0.35">
      <c r="B37" t="s">
        <v>102</v>
      </c>
      <c r="C37" s="60" t="str">
        <f>+Pro_Forma!C6</f>
        <v>Low</v>
      </c>
      <c r="F37" t="s">
        <v>287</v>
      </c>
      <c r="G37" s="257">
        <f>+Pro_Forma!J23</f>
        <v>0.5</v>
      </c>
      <c r="H37" s="78">
        <f>+G37*Pro_Forma!$J$6</f>
        <v>2165.5</v>
      </c>
      <c r="I37">
        <f>+Pro_Forma!I23</f>
        <v>0</v>
      </c>
    </row>
    <row r="38" spans="2:9" ht="29" x14ac:dyDescent="0.35">
      <c r="B38" s="52" t="s">
        <v>103</v>
      </c>
      <c r="C38" s="61" t="str">
        <f>+Pro_Forma!C7</f>
        <v>Yes</v>
      </c>
      <c r="F38" t="s">
        <v>287</v>
      </c>
      <c r="G38" s="257">
        <f>+Pro_Forma!J24</f>
        <v>0.6</v>
      </c>
      <c r="H38" s="78">
        <f>+G38*Pro_Forma!$J$6</f>
        <v>2598.6</v>
      </c>
      <c r="I38">
        <f>+Pro_Forma!I24</f>
        <v>0</v>
      </c>
    </row>
    <row r="39" spans="2:9" x14ac:dyDescent="0.35">
      <c r="F39" t="s">
        <v>287</v>
      </c>
      <c r="G39" s="257">
        <f>+Pro_Forma!J25</f>
        <v>0.7</v>
      </c>
      <c r="H39" s="78">
        <f>+G39*Pro_Forma!$J$6</f>
        <v>3031.7</v>
      </c>
      <c r="I39">
        <f>+Pro_Forma!I25</f>
        <v>0</v>
      </c>
    </row>
    <row r="40" spans="2:9" x14ac:dyDescent="0.35">
      <c r="B40" t="s">
        <v>86</v>
      </c>
      <c r="C40" s="47">
        <f>+IF(C38="Yes",30000,IF(AND(C34="Yes",OR(C35="Yes",C36="Yes")), IF(C37="Highest",30000,IF(C37="High",20000,IF(C37="Medium",10000,0))),0))</f>
        <v>30000</v>
      </c>
    </row>
    <row r="41" spans="2:9" x14ac:dyDescent="0.35">
      <c r="B41" t="s">
        <v>104</v>
      </c>
      <c r="C41" s="2">
        <f>+C11</f>
        <v>118</v>
      </c>
    </row>
    <row r="42" spans="2:9" x14ac:dyDescent="0.35">
      <c r="B42" s="27" t="s">
        <v>105</v>
      </c>
      <c r="C42" s="48">
        <f>+C41*C40</f>
        <v>3540000</v>
      </c>
    </row>
    <row r="44" spans="2:9" x14ac:dyDescent="0.35">
      <c r="B44" s="45" t="s">
        <v>106</v>
      </c>
      <c r="C44" s="49"/>
    </row>
    <row r="45" spans="2:9" x14ac:dyDescent="0.35">
      <c r="B45" t="s">
        <v>107</v>
      </c>
      <c r="C45" s="35">
        <v>7</v>
      </c>
    </row>
    <row r="46" spans="2:9" x14ac:dyDescent="0.35">
      <c r="B46" t="s">
        <v>86</v>
      </c>
      <c r="C46" s="47">
        <v>4000</v>
      </c>
    </row>
    <row r="47" spans="2:9" x14ac:dyDescent="0.35">
      <c r="B47" t="s">
        <v>108</v>
      </c>
      <c r="C47" s="3">
        <f>+C41</f>
        <v>118</v>
      </c>
    </row>
    <row r="48" spans="2:9" x14ac:dyDescent="0.35">
      <c r="B48" s="1" t="s">
        <v>109</v>
      </c>
      <c r="C48" s="53">
        <f>+C47*C46*C45</f>
        <v>3304000</v>
      </c>
    </row>
    <row r="50" spans="2:6" x14ac:dyDescent="0.35">
      <c r="B50" t="s">
        <v>110</v>
      </c>
      <c r="C50" s="35">
        <v>2</v>
      </c>
    </row>
    <row r="51" spans="2:6" x14ac:dyDescent="0.35">
      <c r="B51" t="s">
        <v>86</v>
      </c>
      <c r="C51" s="47">
        <v>4000</v>
      </c>
    </row>
    <row r="52" spans="2:6" x14ac:dyDescent="0.35">
      <c r="B52" s="1" t="s">
        <v>111</v>
      </c>
      <c r="C52" s="54">
        <f>+C51*C50*C47</f>
        <v>944000</v>
      </c>
    </row>
    <row r="54" spans="2:6" x14ac:dyDescent="0.35">
      <c r="B54" t="s">
        <v>112</v>
      </c>
    </row>
    <row r="55" spans="2:6" x14ac:dyDescent="0.35">
      <c r="B55" t="s">
        <v>113</v>
      </c>
      <c r="C55" s="183" t="s">
        <v>100</v>
      </c>
    </row>
    <row r="56" spans="2:6" x14ac:dyDescent="0.35">
      <c r="B56" t="s">
        <v>114</v>
      </c>
      <c r="C56" s="183" t="s">
        <v>100</v>
      </c>
    </row>
    <row r="57" spans="2:6" x14ac:dyDescent="0.35">
      <c r="B57" t="s">
        <v>115</v>
      </c>
      <c r="C57" s="183" t="s">
        <v>98</v>
      </c>
      <c r="F57" s="185"/>
    </row>
    <row r="58" spans="2:6" x14ac:dyDescent="0.35">
      <c r="B58" t="s">
        <v>116</v>
      </c>
      <c r="C58" s="183" t="s">
        <v>100</v>
      </c>
      <c r="F58" s="185"/>
    </row>
    <row r="60" spans="2:6" x14ac:dyDescent="0.35">
      <c r="B60" t="s">
        <v>108</v>
      </c>
      <c r="C60" s="3">
        <f>+C47</f>
        <v>118</v>
      </c>
    </row>
    <row r="61" spans="2:6" x14ac:dyDescent="0.35">
      <c r="B61" t="s">
        <v>86</v>
      </c>
      <c r="C61" s="47">
        <f>+IF(OR(C57="Yes",C58="Yes",C55="Yes",C56="Yes"),25000,0)</f>
        <v>25000</v>
      </c>
    </row>
    <row r="62" spans="2:6" x14ac:dyDescent="0.35">
      <c r="B62" s="1" t="s">
        <v>117</v>
      </c>
      <c r="C62" s="55">
        <f>+C61*C60</f>
        <v>2950000</v>
      </c>
    </row>
    <row r="64" spans="2:6" x14ac:dyDescent="0.35">
      <c r="B64" s="27" t="s">
        <v>118</v>
      </c>
      <c r="C64" s="48">
        <f>+C62+C52+C48</f>
        <v>7198000</v>
      </c>
    </row>
    <row r="66" spans="2:3" ht="15" thickBot="1" x14ac:dyDescent="0.4">
      <c r="B66" s="57" t="s">
        <v>119</v>
      </c>
      <c r="C66" s="58">
        <f>+C64+MAX(C42,C31)+C25+C20+C13</f>
        <v>21420102.000000004</v>
      </c>
    </row>
    <row r="67" spans="2:3" ht="15" thickTop="1" x14ac:dyDescent="0.35"/>
    <row r="68" spans="2:3" x14ac:dyDescent="0.35">
      <c r="B68" s="45" t="s">
        <v>120</v>
      </c>
      <c r="C68" s="49"/>
    </row>
    <row r="69" spans="2:3" x14ac:dyDescent="0.35">
      <c r="B69" s="1" t="s">
        <v>121</v>
      </c>
    </row>
    <row r="70" spans="2:3" x14ac:dyDescent="0.35">
      <c r="B70" t="s">
        <v>581</v>
      </c>
      <c r="C70" s="47">
        <f>+_xlfn.XLOOKUP(Pro_Forma!C3,'Market Inputs'!B4:B61,'Market Inputs'!R4:R61)</f>
        <v>608800</v>
      </c>
    </row>
    <row r="71" spans="2:3" x14ac:dyDescent="0.35">
      <c r="B71" t="s">
        <v>122</v>
      </c>
      <c r="C71" s="47">
        <v>489600</v>
      </c>
    </row>
    <row r="72" spans="2:3" x14ac:dyDescent="0.35">
      <c r="B72" t="s">
        <v>123</v>
      </c>
      <c r="C72" s="59">
        <f>+(C70-C71)/C71*0.25</f>
        <v>6.0866013071895424E-2</v>
      </c>
    </row>
    <row r="74" spans="2:3" x14ac:dyDescent="0.35">
      <c r="B74" s="1" t="s">
        <v>124</v>
      </c>
      <c r="C74" s="179" t="str">
        <f>+Pro_Forma!C9</f>
        <v>Other</v>
      </c>
    </row>
    <row r="75" spans="2:3" x14ac:dyDescent="0.35">
      <c r="C75" s="184">
        <f>+IF(C74="Type I",10%,IF(C74="Type III",5%,0))</f>
        <v>0</v>
      </c>
    </row>
    <row r="78" spans="2:3" x14ac:dyDescent="0.35">
      <c r="B78" s="1" t="s">
        <v>399</v>
      </c>
      <c r="C78" s="183" t="str">
        <f>+Pro_Forma!C10</f>
        <v>No</v>
      </c>
    </row>
    <row r="79" spans="2:3" x14ac:dyDescent="0.35">
      <c r="C79" s="182">
        <f>+IF(C78="Yes",15%,0)</f>
        <v>0</v>
      </c>
    </row>
    <row r="80" spans="2:3" x14ac:dyDescent="0.35">
      <c r="C80" s="59"/>
    </row>
  </sheetData>
  <dataValidations count="4">
    <dataValidation type="list" allowBlank="1" showInputMessage="1" showErrorMessage="1" sqref="C38 C34:C36 C28" xr:uid="{8C6EE2EB-5279-4879-91C1-68C4F0D30A86}">
      <formula1>"Yes,No"</formula1>
    </dataValidation>
    <dataValidation type="list" allowBlank="1" showInputMessage="1" showErrorMessage="1" sqref="C78 C55:C58" xr:uid="{B538F605-5602-40DD-977F-2C1D5C764437}">
      <formula1>"Yes, No"</formula1>
    </dataValidation>
    <dataValidation type="list" allowBlank="1" showInputMessage="1" showErrorMessage="1" sqref="C74" xr:uid="{C9062994-49AF-4B3E-8521-7A80212D1812}">
      <formula1>"Type I,Type III,Other"</formula1>
    </dataValidation>
    <dataValidation type="list" allowBlank="1" showInputMessage="1" showErrorMessage="1" sqref="C37" xr:uid="{B6009534-5E13-4FD6-8531-068E3DFB5B9F}">
      <formula1>"Low,Medium,High,Highest"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963FC-5279-4EF2-A9CD-78D98ED2FA5B}">
  <sheetPr codeName="Sheet4"/>
  <dimension ref="A1:AG721"/>
  <sheetViews>
    <sheetView showGridLines="0" topLeftCell="A135" zoomScaleNormal="100" workbookViewId="0">
      <selection activeCell="U155" sqref="U155"/>
    </sheetView>
  </sheetViews>
  <sheetFormatPr defaultColWidth="8.81640625" defaultRowHeight="14.5" x14ac:dyDescent="0.35"/>
  <cols>
    <col min="1" max="1" width="17.453125" customWidth="1"/>
    <col min="2" max="2" width="14" customWidth="1"/>
    <col min="3" max="3" width="16.453125" customWidth="1"/>
    <col min="4" max="4" width="14" customWidth="1"/>
    <col min="5" max="5" width="25.6328125" customWidth="1"/>
    <col min="6" max="7" width="14" customWidth="1"/>
    <col min="8" max="8" width="18.36328125" customWidth="1"/>
    <col min="9" max="39" width="14" customWidth="1"/>
  </cols>
  <sheetData>
    <row r="1" spans="1:13" ht="15" customHeight="1" x14ac:dyDescent="0.35">
      <c r="A1" s="168" t="s">
        <v>293</v>
      </c>
      <c r="B1" s="170"/>
      <c r="C1" s="170"/>
      <c r="D1" s="170"/>
      <c r="E1" s="170"/>
      <c r="F1" s="170"/>
      <c r="G1" s="170"/>
      <c r="H1" s="170"/>
      <c r="I1" s="170"/>
      <c r="J1" s="166"/>
      <c r="K1" s="166"/>
      <c r="L1" s="166"/>
      <c r="M1" s="166"/>
    </row>
    <row r="2" spans="1:13" s="52" customFormat="1" ht="15" customHeight="1" x14ac:dyDescent="0.35">
      <c r="A2"/>
      <c r="B2"/>
      <c r="C2"/>
      <c r="D2"/>
      <c r="E2"/>
      <c r="F2"/>
      <c r="G2"/>
      <c r="H2"/>
      <c r="I2"/>
      <c r="J2"/>
      <c r="K2"/>
    </row>
    <row r="3" spans="1:13" s="52" customFormat="1" ht="15" customHeight="1" x14ac:dyDescent="0.35">
      <c r="A3" s="120"/>
      <c r="B3"/>
      <c r="C3"/>
      <c r="D3"/>
      <c r="E3"/>
      <c r="F3"/>
      <c r="G3"/>
      <c r="H3"/>
      <c r="I3"/>
      <c r="J3"/>
      <c r="K3"/>
    </row>
    <row r="4" spans="1:13" s="52" customFormat="1" ht="15" customHeight="1" x14ac:dyDescent="0.35">
      <c r="A4" s="119" t="s">
        <v>201</v>
      </c>
      <c r="B4"/>
      <c r="C4" s="144">
        <f>+Pro_Forma!S3</f>
        <v>46387</v>
      </c>
      <c r="D4"/>
      <c r="E4" s="112" t="s">
        <v>264</v>
      </c>
      <c r="F4"/>
      <c r="G4"/>
      <c r="H4" s="1" t="s">
        <v>260</v>
      </c>
      <c r="I4"/>
      <c r="J4"/>
      <c r="K4"/>
    </row>
    <row r="5" spans="1:13" s="52" customFormat="1" ht="15" customHeight="1" x14ac:dyDescent="0.35">
      <c r="A5" s="134" t="s">
        <v>270</v>
      </c>
      <c r="B5"/>
      <c r="C5" s="111">
        <f>+Pro_Forma!S6</f>
        <v>18</v>
      </c>
      <c r="D5"/>
      <c r="E5" s="120" t="s">
        <v>202</v>
      </c>
      <c r="F5" s="113">
        <f ca="1">+Pro_Forma!D66</f>
        <v>1303495.8193931952</v>
      </c>
      <c r="G5"/>
      <c r="H5" t="s">
        <v>261</v>
      </c>
      <c r="I5" s="136">
        <f ca="1">+SUM(D155:D214,G155:G214,J155:J214,U155:U214,Y155:Y214,Q155:Q214,M155:M214)</f>
        <v>31525217.866995052</v>
      </c>
      <c r="J5"/>
      <c r="K5"/>
    </row>
    <row r="6" spans="1:13" s="52" customFormat="1" ht="15" customHeight="1" x14ac:dyDescent="0.35">
      <c r="A6" s="134" t="s">
        <v>269</v>
      </c>
      <c r="B6"/>
      <c r="C6" s="111">
        <f>+Pro_Forma!S9</f>
        <v>8</v>
      </c>
      <c r="D6"/>
      <c r="E6" s="120" t="s">
        <v>203</v>
      </c>
      <c r="F6" s="113">
        <f ca="1">+Pro_Forma!D69</f>
        <v>1408167.7105988646</v>
      </c>
      <c r="G6"/>
      <c r="H6" t="s">
        <v>262</v>
      </c>
      <c r="I6" s="136">
        <f ca="1">+SUM(I92:I151)</f>
        <v>31525217.866995052</v>
      </c>
      <c r="J6"/>
      <c r="K6"/>
    </row>
    <row r="7" spans="1:13" s="52" customFormat="1" ht="15" customHeight="1" x14ac:dyDescent="0.35">
      <c r="A7" s="135" t="s">
        <v>268</v>
      </c>
      <c r="B7" s="56"/>
      <c r="C7" s="137">
        <f>+C6+C5</f>
        <v>26</v>
      </c>
      <c r="D7"/>
      <c r="E7" s="120" t="s">
        <v>206</v>
      </c>
      <c r="F7" s="113">
        <f>+Pro_Forma!D67</f>
        <v>0</v>
      </c>
      <c r="G7"/>
      <c r="H7" s="56" t="s">
        <v>265</v>
      </c>
      <c r="I7" s="138">
        <f ca="1">+I5-I6</f>
        <v>0</v>
      </c>
      <c r="J7"/>
      <c r="K7"/>
    </row>
    <row r="8" spans="1:13" s="52" customFormat="1" ht="15" customHeight="1" x14ac:dyDescent="0.35">
      <c r="A8"/>
      <c r="B8"/>
      <c r="C8"/>
      <c r="D8"/>
      <c r="E8" s="120" t="s">
        <v>257</v>
      </c>
      <c r="F8" s="113">
        <f ca="1">+Pro_Forma!D62-I15</f>
        <v>9423078.0438449141</v>
      </c>
      <c r="G8"/>
      <c r="H8"/>
      <c r="I8"/>
      <c r="J8"/>
      <c r="K8"/>
    </row>
    <row r="9" spans="1:13" s="52" customFormat="1" ht="15" customHeight="1" x14ac:dyDescent="0.35">
      <c r="A9" s="119"/>
      <c r="B9"/>
      <c r="C9"/>
      <c r="D9"/>
      <c r="E9" s="120" t="s">
        <v>259</v>
      </c>
      <c r="F9" s="113">
        <f ca="1">+Pro_Forma!D63-I16</f>
        <v>19879295.733694572</v>
      </c>
      <c r="G9"/>
      <c r="H9" s="1" t="s">
        <v>598</v>
      </c>
      <c r="I9"/>
      <c r="J9"/>
      <c r="K9"/>
    </row>
    <row r="10" spans="1:13" s="52" customFormat="1" ht="15" customHeight="1" x14ac:dyDescent="0.35">
      <c r="A10" s="119" t="s">
        <v>204</v>
      </c>
      <c r="B10"/>
      <c r="C10" s="143" t="s">
        <v>205</v>
      </c>
      <c r="D10"/>
      <c r="E10" s="120" t="s">
        <v>258</v>
      </c>
      <c r="F10" s="113">
        <f ca="1">+Pro_Forma!D64-Draws_Module!I18</f>
        <v>0</v>
      </c>
      <c r="G10"/>
      <c r="H10" s="52" t="s">
        <v>283</v>
      </c>
      <c r="I10" s="3">
        <f>+Pro_Forma!C35-Draws_Module!I11</f>
        <v>0</v>
      </c>
      <c r="J10"/>
      <c r="K10"/>
    </row>
    <row r="11" spans="1:13" s="52" customFormat="1" ht="15" customHeight="1" x14ac:dyDescent="0.35">
      <c r="A11" s="119" t="s">
        <v>207</v>
      </c>
      <c r="B11"/>
      <c r="C11" s="143">
        <v>0.25</v>
      </c>
      <c r="D11"/>
      <c r="E11" s="120" t="s">
        <v>211</v>
      </c>
      <c r="F11" s="113">
        <v>0</v>
      </c>
      <c r="G11"/>
      <c r="H11" t="s">
        <v>284</v>
      </c>
      <c r="I11" s="2">
        <f>+SUMIFS(H92:H151,A92:A151,"&gt;"&amp;C5)</f>
        <v>0</v>
      </c>
      <c r="J11"/>
      <c r="K11"/>
    </row>
    <row r="12" spans="1:13" s="52" customFormat="1" ht="15" customHeight="1" x14ac:dyDescent="0.35">
      <c r="A12" s="119" t="s">
        <v>208</v>
      </c>
      <c r="B12"/>
      <c r="C12" s="143" t="s">
        <v>209</v>
      </c>
      <c r="D12"/>
      <c r="E12" s="120" t="s">
        <v>711</v>
      </c>
      <c r="F12" s="113">
        <f>+Pro_Forma!D68-Draws_Module!I17</f>
        <v>0</v>
      </c>
      <c r="G12"/>
      <c r="H12" s="56" t="s">
        <v>11</v>
      </c>
      <c r="I12" s="67">
        <f>+SUM(I10:I11)</f>
        <v>0</v>
      </c>
      <c r="J12"/>
      <c r="K12"/>
    </row>
    <row r="13" spans="1:13" s="52" customFormat="1" ht="15" customHeight="1" x14ac:dyDescent="0.35">
      <c r="A13" s="119" t="s">
        <v>210</v>
      </c>
      <c r="B13"/>
      <c r="C13" s="143">
        <v>1</v>
      </c>
      <c r="D13"/>
      <c r="E13"/>
      <c r="F13"/>
      <c r="G13"/>
      <c r="I13"/>
      <c r="J13"/>
      <c r="K13"/>
    </row>
    <row r="14" spans="1:13" s="52" customFormat="1" ht="15" customHeight="1" x14ac:dyDescent="0.35">
      <c r="A14"/>
      <c r="B14"/>
      <c r="C14"/>
      <c r="E14" s="112" t="s">
        <v>263</v>
      </c>
      <c r="F14"/>
      <c r="G14"/>
      <c r="H14" s="1" t="s">
        <v>277</v>
      </c>
      <c r="I14"/>
      <c r="J14"/>
      <c r="K14"/>
    </row>
    <row r="15" spans="1:13" s="52" customFormat="1" ht="15" customHeight="1" x14ac:dyDescent="0.35">
      <c r="A15"/>
      <c r="B15"/>
      <c r="C15"/>
      <c r="E15" s="120" t="s">
        <v>276</v>
      </c>
      <c r="F15" s="113">
        <f ca="1">+Pro_Forma!C37+Pro_Forma!C38+Pro_Forma!C39+Pro_Forma!C54+Pro_Forma!C43+Pro_Forma!C33+Pro_Forma!C44+Pro_Forma!C45+Draws_Module!C22</f>
        <v>6614566.1974120578</v>
      </c>
      <c r="G15"/>
      <c r="H15" s="120" t="s">
        <v>255</v>
      </c>
      <c r="I15" s="136">
        <f ca="1">+SUM(V155:V214)</f>
        <v>1149876.5728724187</v>
      </c>
      <c r="J15"/>
      <c r="K15"/>
    </row>
    <row r="16" spans="1:13" s="52" customFormat="1" ht="15" customHeight="1" x14ac:dyDescent="0.35">
      <c r="A16" s="119" t="s">
        <v>212</v>
      </c>
      <c r="B16"/>
      <c r="C16"/>
      <c r="E16" s="120" t="s">
        <v>222</v>
      </c>
      <c r="F16" s="113">
        <f>+Pro_Forma!C40+Pro_Forma!C46+Pro_Forma!C41+Pro_Forma!C42</f>
        <v>914118.95</v>
      </c>
      <c r="G16"/>
      <c r="H16" s="120" t="s">
        <v>256</v>
      </c>
      <c r="I16" s="136">
        <f ca="1">+SUM(Z155:Z214)</f>
        <v>1413544.8078041754</v>
      </c>
      <c r="J16"/>
      <c r="K16"/>
    </row>
    <row r="17" spans="1:11" s="52" customFormat="1" ht="15" customHeight="1" x14ac:dyDescent="0.35">
      <c r="A17" s="119" t="s">
        <v>213</v>
      </c>
      <c r="B17"/>
      <c r="C17" s="139">
        <f>+Pro_Forma!C62</f>
        <v>5.8999999999999997E-2</v>
      </c>
      <c r="D17" s="114">
        <f>C17/12</f>
        <v>4.9166666666666664E-3</v>
      </c>
      <c r="E17" s="120" t="s">
        <v>650</v>
      </c>
      <c r="F17" s="113">
        <f>+Pro_Forma!C36+Pro_Forma!C34</f>
        <v>22538599.999999996</v>
      </c>
      <c r="G17"/>
      <c r="H17" s="52" t="s">
        <v>712</v>
      </c>
      <c r="I17" s="313">
        <f>+SUM(N155:N214)</f>
        <v>0</v>
      </c>
      <c r="J17"/>
      <c r="K17"/>
    </row>
    <row r="18" spans="1:11" s="52" customFormat="1" ht="15" customHeight="1" x14ac:dyDescent="0.35">
      <c r="A18" s="119" t="s">
        <v>214</v>
      </c>
      <c r="B18"/>
      <c r="C18" s="139">
        <f>+Pro_Forma!C63</f>
        <v>5.8999999999999997E-2</v>
      </c>
      <c r="D18" s="114">
        <f>C18/12</f>
        <v>4.9166666666666664E-3</v>
      </c>
      <c r="E18" s="120" t="s">
        <v>223</v>
      </c>
      <c r="F18" s="113">
        <f ca="1">+Pro_Forma!C49+Pro_Forma!C50</f>
        <v>1457932.7195829896</v>
      </c>
      <c r="G18"/>
      <c r="H18" s="120" t="s">
        <v>172</v>
      </c>
      <c r="I18" s="136">
        <f ca="1">+SUM(R155:R214)</f>
        <v>0</v>
      </c>
      <c r="J18"/>
      <c r="K18"/>
    </row>
    <row r="19" spans="1:11" s="52" customFormat="1" ht="15" customHeight="1" x14ac:dyDescent="0.35">
      <c r="A19" s="120" t="s">
        <v>215</v>
      </c>
      <c r="B19"/>
      <c r="C19" s="139">
        <f>+Pro_Forma!C64</f>
        <v>0.08</v>
      </c>
      <c r="D19" s="114">
        <f>C19/12</f>
        <v>6.6666666666666671E-3</v>
      </c>
      <c r="E19" s="120" t="s">
        <v>275</v>
      </c>
      <c r="F19" s="113">
        <f ca="1">+C23</f>
        <v>0</v>
      </c>
      <c r="G19"/>
      <c r="H19" s="145" t="s">
        <v>11</v>
      </c>
      <c r="I19" s="146">
        <f ca="1">+SUM(I15:I18)</f>
        <v>2563421.3806765941</v>
      </c>
      <c r="J19"/>
      <c r="K19"/>
    </row>
    <row r="20" spans="1:11" s="52" customFormat="1" ht="15" customHeight="1" x14ac:dyDescent="0.35">
      <c r="A20" s="134" t="s">
        <v>713</v>
      </c>
      <c r="B20"/>
      <c r="C20" s="257">
        <f>+Pro_Forma!C79</f>
        <v>0.03</v>
      </c>
      <c r="D20" s="114">
        <f>C20/12</f>
        <v>2.5000000000000001E-3</v>
      </c>
      <c r="E20" s="120" t="s">
        <v>149</v>
      </c>
      <c r="F20" s="113">
        <f>+Pro_Forma!C35</f>
        <v>0</v>
      </c>
      <c r="G20"/>
      <c r="J20"/>
      <c r="K20"/>
    </row>
    <row r="21" spans="1:11" s="52" customFormat="1" ht="15" customHeight="1" x14ac:dyDescent="0.35">
      <c r="A21" s="1" t="s">
        <v>271</v>
      </c>
      <c r="B21"/>
      <c r="C21"/>
      <c r="D21"/>
      <c r="G21"/>
      <c r="H21" s="1" t="s">
        <v>282</v>
      </c>
      <c r="I21"/>
      <c r="J21"/>
      <c r="K21"/>
    </row>
    <row r="22" spans="1:11" s="52" customFormat="1" ht="15" customHeight="1" x14ac:dyDescent="0.35">
      <c r="A22" t="s">
        <v>272</v>
      </c>
      <c r="B22" s="141">
        <f>+Pro_Forma!C98</f>
        <v>0.3</v>
      </c>
      <c r="C22" s="140">
        <f ca="1">+Pro_Forma!$D$97*B22</f>
        <v>750000</v>
      </c>
      <c r="D22"/>
      <c r="E22"/>
      <c r="F22"/>
      <c r="G22"/>
      <c r="H22" s="52" t="s">
        <v>283</v>
      </c>
      <c r="I22" s="136">
        <f ca="1">+SUM(I15:I18)-I23</f>
        <v>1362247.0317475894</v>
      </c>
      <c r="J22"/>
      <c r="K22"/>
    </row>
    <row r="23" spans="1:11" x14ac:dyDescent="0.35">
      <c r="A23" t="s">
        <v>273</v>
      </c>
      <c r="B23" s="141">
        <v>0</v>
      </c>
      <c r="C23" s="140">
        <f ca="1">+Pro_Forma!$D$97*B23</f>
        <v>0</v>
      </c>
      <c r="H23" t="s">
        <v>284</v>
      </c>
      <c r="I23" s="136">
        <f ca="1">+SUMIFS(V155:V214,A155:A214,"&gt;"&amp;C5)+SUMIFS(Z155:Z214,A155:A214,"&gt;"&amp;C5)+SUMIFS(R155:R214,A155:A214,"&gt;"&amp;C5)</f>
        <v>1201174.3489290047</v>
      </c>
    </row>
    <row r="24" spans="1:11" x14ac:dyDescent="0.35">
      <c r="A24" t="s">
        <v>274</v>
      </c>
      <c r="B24" s="141">
        <f>1-B22-B23</f>
        <v>0.7</v>
      </c>
      <c r="C24" s="140">
        <f ca="1">+Pro_Forma!$D$97*B24</f>
        <v>1750000</v>
      </c>
      <c r="H24" s="56" t="s">
        <v>11</v>
      </c>
      <c r="I24" s="146">
        <f ca="1">+SUM(I22:I23)</f>
        <v>2563421.3806765941</v>
      </c>
    </row>
    <row r="25" spans="1:11" x14ac:dyDescent="0.35">
      <c r="E25" s="120"/>
      <c r="F25" s="136"/>
    </row>
    <row r="26" spans="1:11" ht="15" customHeight="1" x14ac:dyDescent="0.35">
      <c r="A26" s="168" t="s">
        <v>294</v>
      </c>
      <c r="B26" s="167"/>
      <c r="C26" s="167"/>
      <c r="D26" s="167"/>
      <c r="E26" s="167"/>
      <c r="F26" s="167"/>
      <c r="G26" s="167"/>
      <c r="H26" s="167"/>
      <c r="I26" s="167"/>
    </row>
    <row r="27" spans="1:11" x14ac:dyDescent="0.35">
      <c r="A27" s="112" t="s">
        <v>216</v>
      </c>
      <c r="B27" s="112" t="s">
        <v>217</v>
      </c>
      <c r="C27" s="112" t="s">
        <v>218</v>
      </c>
      <c r="D27" s="112" t="s">
        <v>219</v>
      </c>
    </row>
    <row r="28" spans="1:11" x14ac:dyDescent="0.35">
      <c r="A28" s="115">
        <v>1</v>
      </c>
      <c r="B28" s="169">
        <v>0</v>
      </c>
      <c r="C28" s="114">
        <f>IF(A28&lt;=$C$5, 1/(1+EXP(-$C$11*((A28)-((($C$5+1)/2)))))-1/(1+EXP(-$C$11*((A28-1)-((($C$5+1)/2))))), 0)</f>
        <v>2.1591548938630939E-2</v>
      </c>
      <c r="D28" s="82">
        <f>IF(A28&lt;=$C$5, IF(SUM($C$28:$C$87)=0, 0, C28/SUM($C$28:$C$87)), 0)</f>
        <v>2.6715258773286801E-2</v>
      </c>
    </row>
    <row r="29" spans="1:11" x14ac:dyDescent="0.35">
      <c r="A29" s="115">
        <v>2</v>
      </c>
      <c r="B29" s="169">
        <v>0</v>
      </c>
      <c r="C29" s="114">
        <f t="shared" ref="C29:C87" si="0">IF(A29&lt;=$C$5, 1/(1+EXP(-$C$11*((A29)-((($C$5+1)/2)))))-1/(1+EXP(-$C$11*((A29-1)-((($C$5+1)/2))))), 0)</f>
        <v>2.6273646252178082E-2</v>
      </c>
      <c r="D29" s="82">
        <f t="shared" ref="D29:D87" si="1">IF(A29&lt;=$C$5, IF(SUM($C$28:$C$87)=0, 0, C29/SUM($C$28:$C$87)), 0)</f>
        <v>3.2508425427918396E-2</v>
      </c>
    </row>
    <row r="30" spans="1:11" x14ac:dyDescent="0.35">
      <c r="A30" s="115">
        <v>3</v>
      </c>
      <c r="B30" s="169">
        <v>0</v>
      </c>
      <c r="C30" s="114">
        <f t="shared" si="0"/>
        <v>3.1552222698733895E-2</v>
      </c>
      <c r="D30" s="82">
        <f t="shared" si="1"/>
        <v>3.9039616688217892E-2</v>
      </c>
    </row>
    <row r="31" spans="1:11" x14ac:dyDescent="0.35">
      <c r="A31" s="115">
        <v>4</v>
      </c>
      <c r="B31" s="169">
        <v>0</v>
      </c>
      <c r="C31" s="114">
        <f t="shared" si="0"/>
        <v>3.7296759363815685E-2</v>
      </c>
      <c r="D31" s="82">
        <f t="shared" si="1"/>
        <v>4.6147341288082788E-2</v>
      </c>
    </row>
    <row r="32" spans="1:11" x14ac:dyDescent="0.35">
      <c r="A32" s="115">
        <v>5</v>
      </c>
      <c r="B32" s="169">
        <v>0</v>
      </c>
      <c r="C32" s="114">
        <f t="shared" si="0"/>
        <v>4.3271790871992871E-2</v>
      </c>
      <c r="D32" s="82">
        <f t="shared" si="1"/>
        <v>5.3540257533841347E-2</v>
      </c>
    </row>
    <row r="33" spans="1:4" x14ac:dyDescent="0.35">
      <c r="A33" s="115">
        <v>6</v>
      </c>
      <c r="B33" s="169">
        <v>0</v>
      </c>
      <c r="C33" s="114">
        <f t="shared" si="0"/>
        <v>4.9129959030617038E-2</v>
      </c>
      <c r="D33" s="82">
        <f t="shared" si="1"/>
        <v>6.0788578566292349E-2</v>
      </c>
    </row>
    <row r="34" spans="1:4" x14ac:dyDescent="0.35">
      <c r="A34" s="115">
        <v>7</v>
      </c>
      <c r="B34" s="169">
        <v>0</v>
      </c>
      <c r="C34" s="114">
        <f t="shared" si="0"/>
        <v>5.4430163170957002E-2</v>
      </c>
      <c r="D34" s="82">
        <f t="shared" si="1"/>
        <v>6.7346529807441533E-2</v>
      </c>
    </row>
    <row r="35" spans="1:4" x14ac:dyDescent="0.35">
      <c r="A35" s="115">
        <v>8</v>
      </c>
      <c r="B35" s="169">
        <v>0</v>
      </c>
      <c r="C35" s="114">
        <f t="shared" si="0"/>
        <v>5.8688264711984517E-2</v>
      </c>
      <c r="D35" s="82">
        <f t="shared" si="1"/>
        <v>7.261508580010366E-2</v>
      </c>
    </row>
    <row r="36" spans="1:4" x14ac:dyDescent="0.35">
      <c r="A36" s="115">
        <v>9</v>
      </c>
      <c r="B36" s="169">
        <v>0</v>
      </c>
      <c r="C36" s="114">
        <f t="shared" si="0"/>
        <v>6.1457226580313495E-2</v>
      </c>
      <c r="D36" s="82">
        <f t="shared" si="1"/>
        <v>7.6041126843107348E-2</v>
      </c>
    </row>
    <row r="37" spans="1:4" x14ac:dyDescent="0.35">
      <c r="A37" s="115">
        <v>10</v>
      </c>
      <c r="B37" s="169">
        <v>0</v>
      </c>
      <c r="C37" s="114">
        <f t="shared" si="0"/>
        <v>6.2418746747512521E-2</v>
      </c>
      <c r="D37" s="82">
        <f t="shared" si="1"/>
        <v>7.7230817316702643E-2</v>
      </c>
    </row>
    <row r="38" spans="1:4" x14ac:dyDescent="0.35">
      <c r="A38" s="115">
        <v>11</v>
      </c>
      <c r="B38" s="169">
        <v>0</v>
      </c>
      <c r="C38" s="114">
        <f t="shared" si="0"/>
        <v>6.1457226580313384E-2</v>
      </c>
      <c r="D38" s="82">
        <f t="shared" si="1"/>
        <v>7.604112684310721E-2</v>
      </c>
    </row>
    <row r="39" spans="1:4" x14ac:dyDescent="0.35">
      <c r="A39" s="115">
        <v>12</v>
      </c>
      <c r="B39" s="169">
        <v>0</v>
      </c>
      <c r="C39" s="114">
        <f t="shared" si="0"/>
        <v>5.8688264711984517E-2</v>
      </c>
      <c r="D39" s="82">
        <f t="shared" si="1"/>
        <v>7.261508580010366E-2</v>
      </c>
    </row>
    <row r="40" spans="1:4" x14ac:dyDescent="0.35">
      <c r="A40" s="115">
        <v>13</v>
      </c>
      <c r="B40" s="169">
        <v>0</v>
      </c>
      <c r="C40" s="114">
        <f t="shared" si="0"/>
        <v>5.4430163170957058E-2</v>
      </c>
      <c r="D40" s="82">
        <f t="shared" si="1"/>
        <v>6.7346529807441602E-2</v>
      </c>
    </row>
    <row r="41" spans="1:4" x14ac:dyDescent="0.35">
      <c r="A41" s="115">
        <v>14</v>
      </c>
      <c r="B41" s="169">
        <v>0</v>
      </c>
      <c r="C41" s="114">
        <f t="shared" si="0"/>
        <v>4.912995903061701E-2</v>
      </c>
      <c r="D41" s="82">
        <f t="shared" si="1"/>
        <v>6.0788578566292314E-2</v>
      </c>
    </row>
    <row r="42" spans="1:4" x14ac:dyDescent="0.35">
      <c r="A42" s="115">
        <v>15</v>
      </c>
      <c r="B42" s="169">
        <v>0</v>
      </c>
      <c r="C42" s="114">
        <f t="shared" si="0"/>
        <v>4.3271790871992954E-2</v>
      </c>
      <c r="D42" s="82">
        <f t="shared" si="1"/>
        <v>5.3540257533841451E-2</v>
      </c>
    </row>
    <row r="43" spans="1:4" x14ac:dyDescent="0.35">
      <c r="A43" s="115">
        <v>16</v>
      </c>
      <c r="B43" s="169">
        <v>0</v>
      </c>
      <c r="C43" s="114">
        <f t="shared" si="0"/>
        <v>3.7296759363815712E-2</v>
      </c>
      <c r="D43" s="82">
        <f t="shared" si="1"/>
        <v>4.6147341288082823E-2</v>
      </c>
    </row>
    <row r="44" spans="1:4" x14ac:dyDescent="0.35">
      <c r="A44" s="115">
        <v>17</v>
      </c>
      <c r="B44" s="169">
        <v>0</v>
      </c>
      <c r="C44" s="114">
        <f t="shared" si="0"/>
        <v>3.1552222698733701E-2</v>
      </c>
      <c r="D44" s="82">
        <f t="shared" si="1"/>
        <v>3.9039616688217649E-2</v>
      </c>
    </row>
    <row r="45" spans="1:4" x14ac:dyDescent="0.35">
      <c r="A45" s="115">
        <v>18</v>
      </c>
      <c r="B45" s="169">
        <v>0</v>
      </c>
      <c r="C45" s="114">
        <f t="shared" si="0"/>
        <v>2.6273646252178096E-2</v>
      </c>
      <c r="D45" s="82">
        <f t="shared" si="1"/>
        <v>3.250842542791841E-2</v>
      </c>
    </row>
    <row r="46" spans="1:4" x14ac:dyDescent="0.35">
      <c r="A46" s="115">
        <v>19</v>
      </c>
      <c r="B46" s="169">
        <v>0</v>
      </c>
      <c r="C46" s="114">
        <f t="shared" si="0"/>
        <v>0</v>
      </c>
      <c r="D46" s="82">
        <f t="shared" si="1"/>
        <v>0</v>
      </c>
    </row>
    <row r="47" spans="1:4" x14ac:dyDescent="0.35">
      <c r="A47" s="115">
        <v>20</v>
      </c>
      <c r="B47" s="169">
        <v>0</v>
      </c>
      <c r="C47" s="114">
        <f t="shared" si="0"/>
        <v>0</v>
      </c>
      <c r="D47" s="82">
        <f t="shared" si="1"/>
        <v>0</v>
      </c>
    </row>
    <row r="48" spans="1:4" x14ac:dyDescent="0.35">
      <c r="A48" s="115">
        <v>21</v>
      </c>
      <c r="B48" s="169">
        <v>0</v>
      </c>
      <c r="C48" s="114">
        <f t="shared" si="0"/>
        <v>0</v>
      </c>
      <c r="D48" s="82">
        <f t="shared" si="1"/>
        <v>0</v>
      </c>
    </row>
    <row r="49" spans="1:4" x14ac:dyDescent="0.35">
      <c r="A49" s="115">
        <v>22</v>
      </c>
      <c r="B49" s="169">
        <v>0</v>
      </c>
      <c r="C49" s="114">
        <f t="shared" si="0"/>
        <v>0</v>
      </c>
      <c r="D49" s="82">
        <f t="shared" si="1"/>
        <v>0</v>
      </c>
    </row>
    <row r="50" spans="1:4" x14ac:dyDescent="0.35">
      <c r="A50" s="115">
        <v>23</v>
      </c>
      <c r="B50" s="169">
        <v>0</v>
      </c>
      <c r="C50" s="114">
        <f t="shared" si="0"/>
        <v>0</v>
      </c>
      <c r="D50" s="82">
        <f t="shared" si="1"/>
        <v>0</v>
      </c>
    </row>
    <row r="51" spans="1:4" x14ac:dyDescent="0.35">
      <c r="A51" s="115">
        <v>24</v>
      </c>
      <c r="B51" s="169">
        <v>0</v>
      </c>
      <c r="C51" s="114">
        <f t="shared" si="0"/>
        <v>0</v>
      </c>
      <c r="D51" s="82">
        <f t="shared" si="1"/>
        <v>0</v>
      </c>
    </row>
    <row r="52" spans="1:4" x14ac:dyDescent="0.35">
      <c r="A52" s="115">
        <v>25</v>
      </c>
      <c r="B52" s="169">
        <v>0</v>
      </c>
      <c r="C52" s="114">
        <f t="shared" si="0"/>
        <v>0</v>
      </c>
      <c r="D52" s="82">
        <f t="shared" si="1"/>
        <v>0</v>
      </c>
    </row>
    <row r="53" spans="1:4" x14ac:dyDescent="0.35">
      <c r="A53" s="115">
        <v>26</v>
      </c>
      <c r="B53" s="169">
        <v>0</v>
      </c>
      <c r="C53" s="114">
        <f t="shared" si="0"/>
        <v>0</v>
      </c>
      <c r="D53" s="82">
        <f t="shared" si="1"/>
        <v>0</v>
      </c>
    </row>
    <row r="54" spans="1:4" x14ac:dyDescent="0.35">
      <c r="A54" s="115">
        <v>27</v>
      </c>
      <c r="B54" s="169">
        <v>0</v>
      </c>
      <c r="C54" s="114">
        <f t="shared" si="0"/>
        <v>0</v>
      </c>
      <c r="D54" s="82">
        <f t="shared" si="1"/>
        <v>0</v>
      </c>
    </row>
    <row r="55" spans="1:4" x14ac:dyDescent="0.35">
      <c r="A55" s="115">
        <v>28</v>
      </c>
      <c r="B55" s="169">
        <v>0</v>
      </c>
      <c r="C55" s="114">
        <f t="shared" si="0"/>
        <v>0</v>
      </c>
      <c r="D55" s="82">
        <f t="shared" si="1"/>
        <v>0</v>
      </c>
    </row>
    <row r="56" spans="1:4" x14ac:dyDescent="0.35">
      <c r="A56" s="115">
        <v>29</v>
      </c>
      <c r="B56" s="169">
        <v>0</v>
      </c>
      <c r="C56" s="114">
        <f t="shared" si="0"/>
        <v>0</v>
      </c>
      <c r="D56" s="82">
        <f t="shared" si="1"/>
        <v>0</v>
      </c>
    </row>
    <row r="57" spans="1:4" x14ac:dyDescent="0.35">
      <c r="A57" s="115">
        <v>30</v>
      </c>
      <c r="B57" s="169">
        <v>0</v>
      </c>
      <c r="C57" s="114">
        <f t="shared" si="0"/>
        <v>0</v>
      </c>
      <c r="D57" s="82">
        <f t="shared" si="1"/>
        <v>0</v>
      </c>
    </row>
    <row r="58" spans="1:4" x14ac:dyDescent="0.35">
      <c r="A58" s="115">
        <v>31</v>
      </c>
      <c r="B58" s="169">
        <v>0</v>
      </c>
      <c r="C58" s="114">
        <f t="shared" si="0"/>
        <v>0</v>
      </c>
      <c r="D58" s="82">
        <f t="shared" si="1"/>
        <v>0</v>
      </c>
    </row>
    <row r="59" spans="1:4" x14ac:dyDescent="0.35">
      <c r="A59" s="115">
        <v>32</v>
      </c>
      <c r="B59" s="169">
        <v>0</v>
      </c>
      <c r="C59" s="114">
        <f t="shared" si="0"/>
        <v>0</v>
      </c>
      <c r="D59" s="82">
        <f t="shared" si="1"/>
        <v>0</v>
      </c>
    </row>
    <row r="60" spans="1:4" x14ac:dyDescent="0.35">
      <c r="A60" s="115">
        <v>33</v>
      </c>
      <c r="B60" s="169">
        <v>0</v>
      </c>
      <c r="C60" s="114">
        <f t="shared" si="0"/>
        <v>0</v>
      </c>
      <c r="D60" s="82">
        <f t="shared" si="1"/>
        <v>0</v>
      </c>
    </row>
    <row r="61" spans="1:4" x14ac:dyDescent="0.35">
      <c r="A61" s="115">
        <v>34</v>
      </c>
      <c r="B61" s="169">
        <v>0</v>
      </c>
      <c r="C61" s="114">
        <f t="shared" si="0"/>
        <v>0</v>
      </c>
      <c r="D61" s="82">
        <f t="shared" si="1"/>
        <v>0</v>
      </c>
    </row>
    <row r="62" spans="1:4" x14ac:dyDescent="0.35">
      <c r="A62" s="115">
        <v>35</v>
      </c>
      <c r="B62" s="169">
        <v>0</v>
      </c>
      <c r="C62" s="114">
        <f t="shared" si="0"/>
        <v>0</v>
      </c>
      <c r="D62" s="82">
        <f t="shared" si="1"/>
        <v>0</v>
      </c>
    </row>
    <row r="63" spans="1:4" x14ac:dyDescent="0.35">
      <c r="A63" s="115">
        <v>36</v>
      </c>
      <c r="B63" s="169">
        <v>0</v>
      </c>
      <c r="C63" s="114">
        <f t="shared" si="0"/>
        <v>0</v>
      </c>
      <c r="D63" s="82">
        <f t="shared" si="1"/>
        <v>0</v>
      </c>
    </row>
    <row r="64" spans="1:4" x14ac:dyDescent="0.35">
      <c r="A64" s="115">
        <v>37</v>
      </c>
      <c r="B64" s="169">
        <v>0</v>
      </c>
      <c r="C64" s="114">
        <f t="shared" si="0"/>
        <v>0</v>
      </c>
      <c r="D64" s="82">
        <f t="shared" si="1"/>
        <v>0</v>
      </c>
    </row>
    <row r="65" spans="1:4" x14ac:dyDescent="0.35">
      <c r="A65" s="115">
        <v>38</v>
      </c>
      <c r="B65" s="169">
        <v>0</v>
      </c>
      <c r="C65" s="114">
        <f t="shared" si="0"/>
        <v>0</v>
      </c>
      <c r="D65" s="82">
        <f t="shared" si="1"/>
        <v>0</v>
      </c>
    </row>
    <row r="66" spans="1:4" x14ac:dyDescent="0.35">
      <c r="A66" s="115">
        <v>39</v>
      </c>
      <c r="B66" s="169">
        <v>0</v>
      </c>
      <c r="C66" s="114">
        <f t="shared" si="0"/>
        <v>0</v>
      </c>
      <c r="D66" s="82">
        <f t="shared" si="1"/>
        <v>0</v>
      </c>
    </row>
    <row r="67" spans="1:4" x14ac:dyDescent="0.35">
      <c r="A67" s="115">
        <v>40</v>
      </c>
      <c r="B67" s="169">
        <v>0</v>
      </c>
      <c r="C67" s="114">
        <f t="shared" si="0"/>
        <v>0</v>
      </c>
      <c r="D67" s="82">
        <f t="shared" si="1"/>
        <v>0</v>
      </c>
    </row>
    <row r="68" spans="1:4" x14ac:dyDescent="0.35">
      <c r="A68" s="115">
        <v>41</v>
      </c>
      <c r="B68" s="169">
        <v>0</v>
      </c>
      <c r="C68" s="114">
        <f t="shared" si="0"/>
        <v>0</v>
      </c>
      <c r="D68" s="82">
        <f t="shared" si="1"/>
        <v>0</v>
      </c>
    </row>
    <row r="69" spans="1:4" x14ac:dyDescent="0.35">
      <c r="A69" s="115">
        <v>42</v>
      </c>
      <c r="B69" s="169">
        <v>0</v>
      </c>
      <c r="C69" s="114">
        <f t="shared" si="0"/>
        <v>0</v>
      </c>
      <c r="D69" s="82">
        <f t="shared" si="1"/>
        <v>0</v>
      </c>
    </row>
    <row r="70" spans="1:4" x14ac:dyDescent="0.35">
      <c r="A70" s="115">
        <v>43</v>
      </c>
      <c r="B70" s="169">
        <v>0</v>
      </c>
      <c r="C70" s="114">
        <f t="shared" si="0"/>
        <v>0</v>
      </c>
      <c r="D70" s="82">
        <f t="shared" si="1"/>
        <v>0</v>
      </c>
    </row>
    <row r="71" spans="1:4" x14ac:dyDescent="0.35">
      <c r="A71" s="115">
        <v>44</v>
      </c>
      <c r="B71" s="169">
        <v>0</v>
      </c>
      <c r="C71" s="114">
        <f t="shared" si="0"/>
        <v>0</v>
      </c>
      <c r="D71" s="82">
        <f t="shared" si="1"/>
        <v>0</v>
      </c>
    </row>
    <row r="72" spans="1:4" x14ac:dyDescent="0.35">
      <c r="A72" s="115">
        <v>45</v>
      </c>
      <c r="B72" s="169">
        <v>0</v>
      </c>
      <c r="C72" s="114">
        <f t="shared" si="0"/>
        <v>0</v>
      </c>
      <c r="D72" s="82">
        <f t="shared" si="1"/>
        <v>0</v>
      </c>
    </row>
    <row r="73" spans="1:4" x14ac:dyDescent="0.35">
      <c r="A73" s="115">
        <v>46</v>
      </c>
      <c r="B73" s="169">
        <v>0</v>
      </c>
      <c r="C73" s="114">
        <f t="shared" si="0"/>
        <v>0</v>
      </c>
      <c r="D73" s="82">
        <f t="shared" si="1"/>
        <v>0</v>
      </c>
    </row>
    <row r="74" spans="1:4" x14ac:dyDescent="0.35">
      <c r="A74" s="115">
        <v>47</v>
      </c>
      <c r="B74" s="169">
        <v>0</v>
      </c>
      <c r="C74" s="114">
        <f t="shared" si="0"/>
        <v>0</v>
      </c>
      <c r="D74" s="82">
        <f t="shared" si="1"/>
        <v>0</v>
      </c>
    </row>
    <row r="75" spans="1:4" x14ac:dyDescent="0.35">
      <c r="A75" s="115">
        <v>48</v>
      </c>
      <c r="B75" s="169">
        <v>0</v>
      </c>
      <c r="C75" s="114">
        <f t="shared" si="0"/>
        <v>0</v>
      </c>
      <c r="D75" s="82">
        <f t="shared" si="1"/>
        <v>0</v>
      </c>
    </row>
    <row r="76" spans="1:4" x14ac:dyDescent="0.35">
      <c r="A76" s="115">
        <v>49</v>
      </c>
      <c r="B76" s="169">
        <v>0</v>
      </c>
      <c r="C76" s="114">
        <f t="shared" si="0"/>
        <v>0</v>
      </c>
      <c r="D76" s="82">
        <f t="shared" si="1"/>
        <v>0</v>
      </c>
    </row>
    <row r="77" spans="1:4" x14ac:dyDescent="0.35">
      <c r="A77" s="115">
        <v>50</v>
      </c>
      <c r="B77" s="169">
        <v>0</v>
      </c>
      <c r="C77" s="114">
        <f t="shared" si="0"/>
        <v>0</v>
      </c>
      <c r="D77" s="82">
        <f t="shared" si="1"/>
        <v>0</v>
      </c>
    </row>
    <row r="78" spans="1:4" x14ac:dyDescent="0.35">
      <c r="A78" s="115">
        <v>51</v>
      </c>
      <c r="B78" s="169">
        <v>0</v>
      </c>
      <c r="C78" s="114">
        <f t="shared" si="0"/>
        <v>0</v>
      </c>
      <c r="D78" s="82">
        <f t="shared" si="1"/>
        <v>0</v>
      </c>
    </row>
    <row r="79" spans="1:4" x14ac:dyDescent="0.35">
      <c r="A79" s="115">
        <v>52</v>
      </c>
      <c r="B79" s="169">
        <v>0</v>
      </c>
      <c r="C79" s="114">
        <f t="shared" si="0"/>
        <v>0</v>
      </c>
      <c r="D79" s="82">
        <f t="shared" si="1"/>
        <v>0</v>
      </c>
    </row>
    <row r="80" spans="1:4" x14ac:dyDescent="0.35">
      <c r="A80" s="115">
        <v>53</v>
      </c>
      <c r="B80" s="169">
        <v>0</v>
      </c>
      <c r="C80" s="114">
        <f t="shared" si="0"/>
        <v>0</v>
      </c>
      <c r="D80" s="82">
        <f t="shared" si="1"/>
        <v>0</v>
      </c>
    </row>
    <row r="81" spans="1:20" x14ac:dyDescent="0.35">
      <c r="A81" s="115">
        <v>54</v>
      </c>
      <c r="B81" s="169">
        <v>0</v>
      </c>
      <c r="C81" s="114">
        <f t="shared" si="0"/>
        <v>0</v>
      </c>
      <c r="D81" s="82">
        <f t="shared" si="1"/>
        <v>0</v>
      </c>
    </row>
    <row r="82" spans="1:20" x14ac:dyDescent="0.35">
      <c r="A82" s="115">
        <v>55</v>
      </c>
      <c r="B82" s="169">
        <v>0</v>
      </c>
      <c r="C82" s="114">
        <f t="shared" si="0"/>
        <v>0</v>
      </c>
      <c r="D82" s="82">
        <f t="shared" si="1"/>
        <v>0</v>
      </c>
    </row>
    <row r="83" spans="1:20" x14ac:dyDescent="0.35">
      <c r="A83" s="115">
        <v>56</v>
      </c>
      <c r="B83" s="169">
        <v>0</v>
      </c>
      <c r="C83" s="114">
        <f t="shared" si="0"/>
        <v>0</v>
      </c>
      <c r="D83" s="82">
        <f t="shared" si="1"/>
        <v>0</v>
      </c>
    </row>
    <row r="84" spans="1:20" x14ac:dyDescent="0.35">
      <c r="A84" s="115">
        <v>57</v>
      </c>
      <c r="B84" s="169">
        <v>0</v>
      </c>
      <c r="C84" s="114">
        <f t="shared" si="0"/>
        <v>0</v>
      </c>
      <c r="D84" s="82">
        <f t="shared" si="1"/>
        <v>0</v>
      </c>
    </row>
    <row r="85" spans="1:20" x14ac:dyDescent="0.35">
      <c r="A85" s="115">
        <v>58</v>
      </c>
      <c r="B85" s="169">
        <v>0</v>
      </c>
      <c r="C85" s="114">
        <f t="shared" si="0"/>
        <v>0</v>
      </c>
      <c r="D85" s="82">
        <f t="shared" si="1"/>
        <v>0</v>
      </c>
    </row>
    <row r="86" spans="1:20" x14ac:dyDescent="0.35">
      <c r="A86" s="115">
        <v>59</v>
      </c>
      <c r="B86" s="169">
        <v>0</v>
      </c>
      <c r="C86" s="114">
        <f t="shared" si="0"/>
        <v>0</v>
      </c>
      <c r="D86" s="82">
        <f t="shared" si="1"/>
        <v>0</v>
      </c>
    </row>
    <row r="87" spans="1:20" x14ac:dyDescent="0.35">
      <c r="A87" s="115">
        <v>60</v>
      </c>
      <c r="B87" s="169">
        <v>0</v>
      </c>
      <c r="C87" s="114">
        <f t="shared" si="0"/>
        <v>0</v>
      </c>
      <c r="D87" s="82">
        <f t="shared" si="1"/>
        <v>0</v>
      </c>
    </row>
    <row r="90" spans="1:20" ht="15" customHeight="1" x14ac:dyDescent="0.35">
      <c r="A90" s="168" t="s">
        <v>220</v>
      </c>
      <c r="B90" s="167"/>
      <c r="C90" s="167"/>
      <c r="D90" s="167"/>
      <c r="E90" s="167"/>
      <c r="F90" s="167"/>
      <c r="G90" s="167"/>
      <c r="H90" s="167"/>
      <c r="I90" s="167"/>
      <c r="J90" s="147"/>
      <c r="K90" s="147"/>
      <c r="L90" s="147"/>
      <c r="M90" s="147"/>
      <c r="N90" s="147"/>
      <c r="O90" s="147"/>
      <c r="P90" s="147"/>
      <c r="Q90" s="147"/>
      <c r="R90" s="147"/>
      <c r="S90" s="147"/>
      <c r="T90" s="147"/>
    </row>
    <row r="91" spans="1:20" ht="43.5" x14ac:dyDescent="0.35">
      <c r="A91" s="116" t="s">
        <v>216</v>
      </c>
      <c r="B91" s="116" t="s">
        <v>221</v>
      </c>
      <c r="C91" s="116" t="s">
        <v>222</v>
      </c>
      <c r="D91" s="116" t="s">
        <v>2</v>
      </c>
      <c r="E91" s="116" t="s">
        <v>223</v>
      </c>
      <c r="F91" s="116"/>
      <c r="G91" s="116" t="s">
        <v>8</v>
      </c>
      <c r="H91" s="116" t="s">
        <v>149</v>
      </c>
      <c r="I91" s="116" t="s">
        <v>224</v>
      </c>
    </row>
    <row r="92" spans="1:20" x14ac:dyDescent="0.35">
      <c r="A92" s="117">
        <v>1</v>
      </c>
      <c r="B92" s="118">
        <f ca="1">+F15</f>
        <v>6614566.1974120578</v>
      </c>
      <c r="C92" s="118">
        <f>IF($C$7=0,0, IF(1&lt;=$C$7, $F$16/$C$7, 0))</f>
        <v>35158.421153846153</v>
      </c>
      <c r="D92" s="118">
        <f t="shared" ref="D92:D123" si="2">IF(1&lt;=$C$7, $F$17*D28, 0)</f>
        <v>602124.53138760175</v>
      </c>
      <c r="E92" s="118">
        <f t="shared" ref="E92:E123" ca="1" si="3">IF(1&lt;=$C$7, $F$18*D28, 0)</f>
        <v>38949.049877701349</v>
      </c>
      <c r="F92" s="118"/>
      <c r="G92" s="118">
        <v>0</v>
      </c>
      <c r="H92" s="118">
        <f>IF(A92&lt;=$C$7,B218,0)</f>
        <v>0</v>
      </c>
      <c r="I92" s="118">
        <f t="shared" ref="I92:I123" ca="1" si="4">SUM(B92:H92)</f>
        <v>7290798.1998312073</v>
      </c>
    </row>
    <row r="93" spans="1:20" x14ac:dyDescent="0.35">
      <c r="A93" s="117">
        <v>2</v>
      </c>
      <c r="B93" s="118">
        <v>0</v>
      </c>
      <c r="C93" s="118">
        <f>IF($C$7=0,0, IF(2&lt;=$C$7, $F$16/$C$7, 0))</f>
        <v>35158.421153846153</v>
      </c>
      <c r="D93" s="118">
        <f t="shared" si="2"/>
        <v>732694.39734968147</v>
      </c>
      <c r="E93" s="118">
        <f t="shared" ca="1" si="3"/>
        <v>47395.097093485878</v>
      </c>
      <c r="F93" s="118"/>
      <c r="G93" s="118">
        <f t="shared" ref="G93:G124" ca="1" si="5">IF($C$7=0,0, IF(A93&lt;=$C$7, $F$19/($C$7-1), 0))</f>
        <v>0</v>
      </c>
      <c r="H93" s="118">
        <f t="shared" ref="H93:H151" si="6">IF(A93&lt;=$C$7,B219,0)</f>
        <v>0</v>
      </c>
      <c r="I93" s="118">
        <f t="shared" ca="1" si="4"/>
        <v>815247.91559701355</v>
      </c>
    </row>
    <row r="94" spans="1:20" x14ac:dyDescent="0.35">
      <c r="A94" s="117">
        <v>3</v>
      </c>
      <c r="B94" s="118">
        <v>0</v>
      </c>
      <c r="C94" s="118">
        <f>IF($C$7=0,0, IF(3&lt;=$C$7, $F$16/$C$7, 0))</f>
        <v>35158.421153846153</v>
      </c>
      <c r="D94" s="118">
        <f t="shared" si="2"/>
        <v>879898.30468906765</v>
      </c>
      <c r="E94" s="118">
        <f t="shared" ca="1" si="3"/>
        <v>56917.134529730974</v>
      </c>
      <c r="F94" s="118"/>
      <c r="G94" s="118">
        <f t="shared" ca="1" si="5"/>
        <v>0</v>
      </c>
      <c r="H94" s="118">
        <f t="shared" si="6"/>
        <v>0</v>
      </c>
      <c r="I94" s="118">
        <f t="shared" ca="1" si="4"/>
        <v>971973.86037264485</v>
      </c>
    </row>
    <row r="95" spans="1:20" x14ac:dyDescent="0.35">
      <c r="A95" s="117">
        <v>4</v>
      </c>
      <c r="B95" s="118">
        <v>0</v>
      </c>
      <c r="C95" s="118">
        <f>IF($C$7=0,0, IF(4&lt;=$C$7, $F$16/$C$7, 0))</f>
        <v>35158.421153846153</v>
      </c>
      <c r="D95" s="118">
        <f t="shared" si="2"/>
        <v>1040096.4663555826</v>
      </c>
      <c r="E95" s="118">
        <f t="shared" ca="1" si="3"/>
        <v>67279.718785658915</v>
      </c>
      <c r="F95" s="118"/>
      <c r="G95" s="118">
        <f t="shared" ca="1" si="5"/>
        <v>0</v>
      </c>
      <c r="H95" s="118">
        <f t="shared" si="6"/>
        <v>0</v>
      </c>
      <c r="I95" s="118">
        <f t="shared" ca="1" si="4"/>
        <v>1142534.6062950876</v>
      </c>
    </row>
    <row r="96" spans="1:20" x14ac:dyDescent="0.35">
      <c r="A96" s="117">
        <v>5</v>
      </c>
      <c r="B96" s="118">
        <v>0</v>
      </c>
      <c r="C96" s="118">
        <f>IF($C$7=0,0, IF(5&lt;=$C$7, $F$16/$C$7, 0))</f>
        <v>35158.421153846153</v>
      </c>
      <c r="D96" s="118">
        <f t="shared" si="2"/>
        <v>1206722.4484522364</v>
      </c>
      <c r="E96" s="118">
        <f t="shared" ca="1" si="3"/>
        <v>78058.093273486957</v>
      </c>
      <c r="F96" s="118"/>
      <c r="G96" s="118">
        <f t="shared" ca="1" si="5"/>
        <v>0</v>
      </c>
      <c r="H96" s="118">
        <f t="shared" si="6"/>
        <v>0</v>
      </c>
      <c r="I96" s="118">
        <f t="shared" ca="1" si="4"/>
        <v>1319938.9628795695</v>
      </c>
    </row>
    <row r="97" spans="1:9" x14ac:dyDescent="0.35">
      <c r="A97" s="117">
        <v>6</v>
      </c>
      <c r="B97" s="118">
        <v>0</v>
      </c>
      <c r="C97" s="118">
        <f>IF($C$7=0,0, IF(6&lt;=$C$7, $F$16/$C$7, 0))</f>
        <v>35158.421153846153</v>
      </c>
      <c r="D97" s="118">
        <f t="shared" si="2"/>
        <v>1370089.4568742365</v>
      </c>
      <c r="E97" s="118">
        <f t="shared" ca="1" si="3"/>
        <v>88625.65766873883</v>
      </c>
      <c r="F97" s="118"/>
      <c r="G97" s="118">
        <f t="shared" ca="1" si="5"/>
        <v>0</v>
      </c>
      <c r="H97" s="118">
        <f t="shared" si="6"/>
        <v>0</v>
      </c>
      <c r="I97" s="118">
        <f t="shared" ca="1" si="4"/>
        <v>1493873.5356968215</v>
      </c>
    </row>
    <row r="98" spans="1:9" x14ac:dyDescent="0.35">
      <c r="A98" s="117">
        <v>7</v>
      </c>
      <c r="B98" s="118">
        <v>0</v>
      </c>
      <c r="C98" s="118">
        <f>IF($C$7=0,0, IF(7&lt;=$C$7, $F$16/$C$7, 0))</f>
        <v>35158.421153846153</v>
      </c>
      <c r="D98" s="118">
        <f t="shared" si="2"/>
        <v>1517896.4967180016</v>
      </c>
      <c r="E98" s="118">
        <f t="shared" ca="1" si="3"/>
        <v>98186.709356640102</v>
      </c>
      <c r="F98" s="118"/>
      <c r="G98" s="118">
        <f t="shared" ca="1" si="5"/>
        <v>0</v>
      </c>
      <c r="H98" s="118">
        <f t="shared" si="6"/>
        <v>0</v>
      </c>
      <c r="I98" s="118">
        <f t="shared" ca="1" si="4"/>
        <v>1651241.6272284877</v>
      </c>
    </row>
    <row r="99" spans="1:9" x14ac:dyDescent="0.35">
      <c r="A99" s="117">
        <v>8</v>
      </c>
      <c r="B99" s="118">
        <v>0</v>
      </c>
      <c r="C99" s="118">
        <f>IF($C$7=0,0, IF(8&lt;=$C$7, $F$16/$C$7, 0))</f>
        <v>35158.421153846153</v>
      </c>
      <c r="D99" s="118">
        <f t="shared" si="2"/>
        <v>1636642.3728142162</v>
      </c>
      <c r="E99" s="118">
        <f t="shared" ca="1" si="3"/>
        <v>105867.90952329726</v>
      </c>
      <c r="F99" s="118"/>
      <c r="G99" s="118">
        <f t="shared" ca="1" si="5"/>
        <v>0</v>
      </c>
      <c r="H99" s="118">
        <f t="shared" si="6"/>
        <v>0</v>
      </c>
      <c r="I99" s="118">
        <f t="shared" ca="1" si="4"/>
        <v>1777668.7034913597</v>
      </c>
    </row>
    <row r="100" spans="1:9" x14ac:dyDescent="0.35">
      <c r="A100" s="117">
        <v>9</v>
      </c>
      <c r="B100" s="118">
        <v>0</v>
      </c>
      <c r="C100" s="118">
        <f>IF($C$7=0,0, IF(9&lt;=$C$7, $F$16/$C$7, 0))</f>
        <v>35158.421153846153</v>
      </c>
      <c r="D100" s="118">
        <f t="shared" si="2"/>
        <v>1713860.5414660589</v>
      </c>
      <c r="E100" s="118">
        <f t="shared" ca="1" si="3"/>
        <v>110862.84685852657</v>
      </c>
      <c r="F100" s="118"/>
      <c r="G100" s="118">
        <f t="shared" ca="1" si="5"/>
        <v>0</v>
      </c>
      <c r="H100" s="118">
        <f t="shared" si="6"/>
        <v>0</v>
      </c>
      <c r="I100" s="118">
        <f t="shared" ca="1" si="4"/>
        <v>1859881.8094784317</v>
      </c>
    </row>
    <row r="101" spans="1:9" x14ac:dyDescent="0.35">
      <c r="A101" s="117">
        <v>10</v>
      </c>
      <c r="B101" s="118">
        <v>0</v>
      </c>
      <c r="C101" s="118">
        <f>IF($C$7=0,0, IF(10&lt;=$C$7, $F$16/$C$7, 0))</f>
        <v>35158.421153846153</v>
      </c>
      <c r="D101" s="118">
        <f t="shared" si="2"/>
        <v>1740674.499174234</v>
      </c>
      <c r="E101" s="118">
        <f t="shared" ca="1" si="3"/>
        <v>112597.33552615733</v>
      </c>
      <c r="F101" s="118"/>
      <c r="G101" s="118">
        <f t="shared" ca="1" si="5"/>
        <v>0</v>
      </c>
      <c r="H101" s="118">
        <f t="shared" si="6"/>
        <v>0</v>
      </c>
      <c r="I101" s="118">
        <f t="shared" ca="1" si="4"/>
        <v>1888430.2558542376</v>
      </c>
    </row>
    <row r="102" spans="1:9" x14ac:dyDescent="0.35">
      <c r="A102" s="117">
        <v>11</v>
      </c>
      <c r="B102" s="118">
        <v>0</v>
      </c>
      <c r="C102" s="118">
        <f>IF($C$7=0,0, IF(11&lt;=$C$7, $F$16/$C$7, 0))</f>
        <v>35158.421153846153</v>
      </c>
      <c r="D102" s="118">
        <f t="shared" si="2"/>
        <v>1713860.5414660559</v>
      </c>
      <c r="E102" s="118">
        <f t="shared" ca="1" si="3"/>
        <v>110862.84685852636</v>
      </c>
      <c r="F102" s="118"/>
      <c r="G102" s="118">
        <f t="shared" ca="1" si="5"/>
        <v>0</v>
      </c>
      <c r="H102" s="118">
        <f t="shared" si="6"/>
        <v>0</v>
      </c>
      <c r="I102" s="118">
        <f t="shared" ca="1" si="4"/>
        <v>1859881.8094784284</v>
      </c>
    </row>
    <row r="103" spans="1:9" x14ac:dyDescent="0.35">
      <c r="A103" s="117">
        <v>12</v>
      </c>
      <c r="B103" s="118">
        <v>0</v>
      </c>
      <c r="C103" s="118">
        <f>IF($C$7=0,0, IF(12&lt;=$C$7, $F$16/$C$7, 0))</f>
        <v>35158.421153846153</v>
      </c>
      <c r="D103" s="118">
        <f t="shared" si="2"/>
        <v>1636642.3728142162</v>
      </c>
      <c r="E103" s="118">
        <f t="shared" ca="1" si="3"/>
        <v>105867.90952329726</v>
      </c>
      <c r="F103" s="118"/>
      <c r="G103" s="118">
        <f t="shared" ca="1" si="5"/>
        <v>0</v>
      </c>
      <c r="H103" s="118">
        <f t="shared" si="6"/>
        <v>0</v>
      </c>
      <c r="I103" s="118">
        <f t="shared" ca="1" si="4"/>
        <v>1777668.7034913597</v>
      </c>
    </row>
    <row r="104" spans="1:9" x14ac:dyDescent="0.35">
      <c r="A104" s="117">
        <v>13</v>
      </c>
      <c r="B104" s="118">
        <v>0</v>
      </c>
      <c r="C104" s="118">
        <f>IF($C$7=0,0, IF(13&lt;=$C$7, $F$16/$C$7, 0))</f>
        <v>35158.421153846153</v>
      </c>
      <c r="D104" s="118">
        <f t="shared" si="2"/>
        <v>1517896.4967180029</v>
      </c>
      <c r="E104" s="118">
        <f t="shared" ca="1" si="3"/>
        <v>98186.709356640204</v>
      </c>
      <c r="F104" s="118"/>
      <c r="G104" s="118">
        <f t="shared" ca="1" si="5"/>
        <v>0</v>
      </c>
      <c r="H104" s="118">
        <f t="shared" si="6"/>
        <v>0</v>
      </c>
      <c r="I104" s="118">
        <f t="shared" ca="1" si="4"/>
        <v>1651241.6272284894</v>
      </c>
    </row>
    <row r="105" spans="1:9" x14ac:dyDescent="0.35">
      <c r="A105" s="117">
        <v>14</v>
      </c>
      <c r="B105" s="118">
        <v>0</v>
      </c>
      <c r="C105" s="118">
        <f>IF($C$7=0,0, IF(14&lt;=$C$7, $F$16/$C$7, 0))</f>
        <v>35158.421153846153</v>
      </c>
      <c r="D105" s="118">
        <f t="shared" si="2"/>
        <v>1370089.4568742358</v>
      </c>
      <c r="E105" s="118">
        <f t="shared" ca="1" si="3"/>
        <v>88625.657668738786</v>
      </c>
      <c r="F105" s="118"/>
      <c r="G105" s="118">
        <f t="shared" ca="1" si="5"/>
        <v>0</v>
      </c>
      <c r="H105" s="118">
        <f t="shared" si="6"/>
        <v>0</v>
      </c>
      <c r="I105" s="118">
        <f t="shared" ca="1" si="4"/>
        <v>1493873.5356968208</v>
      </c>
    </row>
    <row r="106" spans="1:9" x14ac:dyDescent="0.35">
      <c r="A106" s="117">
        <v>15</v>
      </c>
      <c r="B106" s="118">
        <v>0</v>
      </c>
      <c r="C106" s="118">
        <f>IF($C$7=0,0, IF(15&lt;=$C$7, $F$16/$C$7, 0))</f>
        <v>35158.421153846153</v>
      </c>
      <c r="D106" s="118">
        <f t="shared" si="2"/>
        <v>1206722.4484522387</v>
      </c>
      <c r="E106" s="118">
        <f t="shared" ca="1" si="3"/>
        <v>78058.093273487117</v>
      </c>
      <c r="F106" s="118"/>
      <c r="G106" s="118">
        <f t="shared" ca="1" si="5"/>
        <v>0</v>
      </c>
      <c r="H106" s="118">
        <f t="shared" si="6"/>
        <v>0</v>
      </c>
      <c r="I106" s="118">
        <f t="shared" ca="1" si="4"/>
        <v>1319938.9628795721</v>
      </c>
    </row>
    <row r="107" spans="1:9" x14ac:dyDescent="0.35">
      <c r="A107" s="117">
        <v>16</v>
      </c>
      <c r="B107" s="118">
        <v>0</v>
      </c>
      <c r="C107" s="118">
        <f>IF($C$7=0,0, IF(16&lt;=$C$7, $F$16/$C$7, 0))</f>
        <v>35158.421153846153</v>
      </c>
      <c r="D107" s="118">
        <f t="shared" si="2"/>
        <v>1040096.4663555834</v>
      </c>
      <c r="E107" s="118">
        <f t="shared" ca="1" si="3"/>
        <v>67279.718785658974</v>
      </c>
      <c r="F107" s="118"/>
      <c r="G107" s="118">
        <f t="shared" ca="1" si="5"/>
        <v>0</v>
      </c>
      <c r="H107" s="118">
        <f t="shared" si="6"/>
        <v>0</v>
      </c>
      <c r="I107" s="118">
        <f t="shared" ca="1" si="4"/>
        <v>1142534.6062950885</v>
      </c>
    </row>
    <row r="108" spans="1:9" x14ac:dyDescent="0.35">
      <c r="A108" s="117">
        <v>17</v>
      </c>
      <c r="B108" s="118">
        <v>0</v>
      </c>
      <c r="C108" s="118">
        <f>IF($C$7=0,0, IF(17&lt;=$C$7, $F$16/$C$7, 0))</f>
        <v>35158.421153846153</v>
      </c>
      <c r="D108" s="118">
        <f t="shared" si="2"/>
        <v>879898.30468906218</v>
      </c>
      <c r="E108" s="118">
        <f t="shared" ca="1" si="3"/>
        <v>56917.134529730625</v>
      </c>
      <c r="F108" s="118"/>
      <c r="G108" s="118">
        <f t="shared" ca="1" si="5"/>
        <v>0</v>
      </c>
      <c r="H108" s="118">
        <f t="shared" si="6"/>
        <v>0</v>
      </c>
      <c r="I108" s="118">
        <f t="shared" ca="1" si="4"/>
        <v>971973.86037263903</v>
      </c>
    </row>
    <row r="109" spans="1:9" x14ac:dyDescent="0.35">
      <c r="A109" s="117">
        <v>18</v>
      </c>
      <c r="B109" s="118">
        <v>0</v>
      </c>
      <c r="C109" s="118">
        <f>IF($C$7=0,0, IF(18&lt;=$C$7, $F$16/$C$7, 0))</f>
        <v>35158.421153846153</v>
      </c>
      <c r="D109" s="118">
        <f t="shared" si="2"/>
        <v>732694.39734968171</v>
      </c>
      <c r="E109" s="118">
        <f t="shared" ca="1" si="3"/>
        <v>47395.0970934859</v>
      </c>
      <c r="F109" s="118"/>
      <c r="G109" s="118">
        <f t="shared" ca="1" si="5"/>
        <v>0</v>
      </c>
      <c r="H109" s="118">
        <f t="shared" si="6"/>
        <v>0</v>
      </c>
      <c r="I109" s="118">
        <f t="shared" ca="1" si="4"/>
        <v>815247.91559701378</v>
      </c>
    </row>
    <row r="110" spans="1:9" x14ac:dyDescent="0.35">
      <c r="A110" s="117">
        <v>19</v>
      </c>
      <c r="B110" s="118">
        <v>0</v>
      </c>
      <c r="C110" s="118">
        <f>IF($C$7=0,0, IF(19&lt;=$C$7, $F$16/$C$7, 0))</f>
        <v>35158.421153846153</v>
      </c>
      <c r="D110" s="118">
        <f t="shared" si="2"/>
        <v>0</v>
      </c>
      <c r="E110" s="118">
        <f t="shared" ca="1" si="3"/>
        <v>0</v>
      </c>
      <c r="F110" s="118"/>
      <c r="G110" s="118">
        <f t="shared" ca="1" si="5"/>
        <v>0</v>
      </c>
      <c r="H110" s="118">
        <f t="shared" si="6"/>
        <v>0</v>
      </c>
      <c r="I110" s="118">
        <f t="shared" ca="1" si="4"/>
        <v>35158.421153846153</v>
      </c>
    </row>
    <row r="111" spans="1:9" x14ac:dyDescent="0.35">
      <c r="A111" s="117">
        <v>20</v>
      </c>
      <c r="B111" s="118">
        <v>0</v>
      </c>
      <c r="C111" s="118">
        <f>IF($C$7=0,0, IF(20&lt;=$C$7, $F$16/$C$7, 0))</f>
        <v>35158.421153846153</v>
      </c>
      <c r="D111" s="118">
        <f t="shared" si="2"/>
        <v>0</v>
      </c>
      <c r="E111" s="118">
        <f t="shared" ca="1" si="3"/>
        <v>0</v>
      </c>
      <c r="F111" s="118"/>
      <c r="G111" s="118">
        <f t="shared" ca="1" si="5"/>
        <v>0</v>
      </c>
      <c r="H111" s="118">
        <f t="shared" si="6"/>
        <v>0</v>
      </c>
      <c r="I111" s="118">
        <f t="shared" ca="1" si="4"/>
        <v>35158.421153846153</v>
      </c>
    </row>
    <row r="112" spans="1:9" x14ac:dyDescent="0.35">
      <c r="A112" s="117">
        <v>21</v>
      </c>
      <c r="B112" s="118">
        <v>0</v>
      </c>
      <c r="C112" s="118">
        <f>IF($C$7=0,0, IF(21&lt;=$C$7, $F$16/$C$7, 0))</f>
        <v>35158.421153846153</v>
      </c>
      <c r="D112" s="118">
        <f t="shared" si="2"/>
        <v>0</v>
      </c>
      <c r="E112" s="118">
        <f t="shared" ca="1" si="3"/>
        <v>0</v>
      </c>
      <c r="F112" s="118"/>
      <c r="G112" s="118">
        <f t="shared" ca="1" si="5"/>
        <v>0</v>
      </c>
      <c r="H112" s="118">
        <f t="shared" si="6"/>
        <v>0</v>
      </c>
      <c r="I112" s="118">
        <f t="shared" ca="1" si="4"/>
        <v>35158.421153846153</v>
      </c>
    </row>
    <row r="113" spans="1:9" x14ac:dyDescent="0.35">
      <c r="A113" s="117">
        <v>22</v>
      </c>
      <c r="B113" s="118">
        <v>0</v>
      </c>
      <c r="C113" s="118">
        <f>IF($C$7=0,0, IF(22&lt;=$C$7, $F$16/$C$7, 0))</f>
        <v>35158.421153846153</v>
      </c>
      <c r="D113" s="118">
        <f t="shared" si="2"/>
        <v>0</v>
      </c>
      <c r="E113" s="118">
        <f t="shared" ca="1" si="3"/>
        <v>0</v>
      </c>
      <c r="F113" s="118"/>
      <c r="G113" s="118">
        <f t="shared" ca="1" si="5"/>
        <v>0</v>
      </c>
      <c r="H113" s="118">
        <f t="shared" si="6"/>
        <v>0</v>
      </c>
      <c r="I113" s="118">
        <f t="shared" ca="1" si="4"/>
        <v>35158.421153846153</v>
      </c>
    </row>
    <row r="114" spans="1:9" x14ac:dyDescent="0.35">
      <c r="A114" s="117">
        <v>23</v>
      </c>
      <c r="B114" s="118">
        <v>0</v>
      </c>
      <c r="C114" s="118">
        <f>IF($C$7=0,0, IF(23&lt;=$C$7, $F$16/$C$7, 0))</f>
        <v>35158.421153846153</v>
      </c>
      <c r="D114" s="118">
        <f t="shared" si="2"/>
        <v>0</v>
      </c>
      <c r="E114" s="118">
        <f t="shared" ca="1" si="3"/>
        <v>0</v>
      </c>
      <c r="F114" s="118"/>
      <c r="G114" s="118">
        <f t="shared" ca="1" si="5"/>
        <v>0</v>
      </c>
      <c r="H114" s="118">
        <f t="shared" si="6"/>
        <v>0</v>
      </c>
      <c r="I114" s="118">
        <f t="shared" ca="1" si="4"/>
        <v>35158.421153846153</v>
      </c>
    </row>
    <row r="115" spans="1:9" x14ac:dyDescent="0.35">
      <c r="A115" s="117">
        <v>24</v>
      </c>
      <c r="B115" s="118">
        <v>0</v>
      </c>
      <c r="C115" s="118">
        <f>IF($C$7=0,0, IF(24&lt;=$C$7, $F$16/$C$7, 0))</f>
        <v>35158.421153846153</v>
      </c>
      <c r="D115" s="118">
        <f t="shared" si="2"/>
        <v>0</v>
      </c>
      <c r="E115" s="118">
        <f t="shared" ca="1" si="3"/>
        <v>0</v>
      </c>
      <c r="F115" s="118"/>
      <c r="G115" s="118">
        <f t="shared" ca="1" si="5"/>
        <v>0</v>
      </c>
      <c r="H115" s="118">
        <f t="shared" si="6"/>
        <v>0</v>
      </c>
      <c r="I115" s="118">
        <f t="shared" ca="1" si="4"/>
        <v>35158.421153846153</v>
      </c>
    </row>
    <row r="116" spans="1:9" x14ac:dyDescent="0.35">
      <c r="A116" s="117">
        <v>25</v>
      </c>
      <c r="B116" s="118">
        <v>0</v>
      </c>
      <c r="C116" s="118">
        <f>IF($C$7=0,0, IF(25&lt;=$C$7, $F$16/$C$7, 0))</f>
        <v>35158.421153846153</v>
      </c>
      <c r="D116" s="118">
        <f t="shared" si="2"/>
        <v>0</v>
      </c>
      <c r="E116" s="118">
        <f t="shared" ca="1" si="3"/>
        <v>0</v>
      </c>
      <c r="F116" s="118"/>
      <c r="G116" s="118">
        <f t="shared" ca="1" si="5"/>
        <v>0</v>
      </c>
      <c r="H116" s="118">
        <f t="shared" si="6"/>
        <v>0</v>
      </c>
      <c r="I116" s="118">
        <f t="shared" ca="1" si="4"/>
        <v>35158.421153846153</v>
      </c>
    </row>
    <row r="117" spans="1:9" x14ac:dyDescent="0.35">
      <c r="A117" s="117">
        <v>26</v>
      </c>
      <c r="B117" s="118">
        <v>0</v>
      </c>
      <c r="C117" s="118">
        <f>IF($C$7=0,0, IF(26&lt;=$C$7, $F$16/$C$7, 0))</f>
        <v>35158.421153846153</v>
      </c>
      <c r="D117" s="118">
        <f t="shared" si="2"/>
        <v>0</v>
      </c>
      <c r="E117" s="118">
        <f t="shared" ca="1" si="3"/>
        <v>0</v>
      </c>
      <c r="F117" s="118"/>
      <c r="G117" s="118">
        <f t="shared" ca="1" si="5"/>
        <v>0</v>
      </c>
      <c r="H117" s="118">
        <f t="shared" si="6"/>
        <v>0</v>
      </c>
      <c r="I117" s="118">
        <f t="shared" ca="1" si="4"/>
        <v>35158.421153846153</v>
      </c>
    </row>
    <row r="118" spans="1:9" x14ac:dyDescent="0.35">
      <c r="A118" s="117">
        <v>27</v>
      </c>
      <c r="B118" s="118">
        <v>0</v>
      </c>
      <c r="C118" s="118">
        <f>IF($C$7=0,0, IF(27&lt;=$C$7, $F$16/$C$7, 0))</f>
        <v>0</v>
      </c>
      <c r="D118" s="118">
        <f t="shared" si="2"/>
        <v>0</v>
      </c>
      <c r="E118" s="118">
        <f t="shared" ca="1" si="3"/>
        <v>0</v>
      </c>
      <c r="F118" s="118"/>
      <c r="G118" s="118">
        <f t="shared" si="5"/>
        <v>0</v>
      </c>
      <c r="H118" s="118">
        <f t="shared" si="6"/>
        <v>0</v>
      </c>
      <c r="I118" s="118">
        <f t="shared" ca="1" si="4"/>
        <v>0</v>
      </c>
    </row>
    <row r="119" spans="1:9" x14ac:dyDescent="0.35">
      <c r="A119" s="117">
        <v>28</v>
      </c>
      <c r="B119" s="118">
        <v>0</v>
      </c>
      <c r="C119" s="118">
        <f>IF($C$7=0,0, IF(28&lt;=$C$7, $F$16/$C$7, 0))</f>
        <v>0</v>
      </c>
      <c r="D119" s="118">
        <f t="shared" si="2"/>
        <v>0</v>
      </c>
      <c r="E119" s="118">
        <f t="shared" ca="1" si="3"/>
        <v>0</v>
      </c>
      <c r="F119" s="118"/>
      <c r="G119" s="118">
        <f t="shared" si="5"/>
        <v>0</v>
      </c>
      <c r="H119" s="118">
        <f t="shared" si="6"/>
        <v>0</v>
      </c>
      <c r="I119" s="118">
        <f t="shared" ca="1" si="4"/>
        <v>0</v>
      </c>
    </row>
    <row r="120" spans="1:9" x14ac:dyDescent="0.35">
      <c r="A120" s="117">
        <v>29</v>
      </c>
      <c r="B120" s="118">
        <v>0</v>
      </c>
      <c r="C120" s="118">
        <f>IF($C$7=0,0, IF(29&lt;=$C$7, $F$16/$C$7, 0))</f>
        <v>0</v>
      </c>
      <c r="D120" s="118">
        <f t="shared" si="2"/>
        <v>0</v>
      </c>
      <c r="E120" s="118">
        <f t="shared" ca="1" si="3"/>
        <v>0</v>
      </c>
      <c r="F120" s="118"/>
      <c r="G120" s="118">
        <f t="shared" si="5"/>
        <v>0</v>
      </c>
      <c r="H120" s="118">
        <f t="shared" si="6"/>
        <v>0</v>
      </c>
      <c r="I120" s="118">
        <f t="shared" ca="1" si="4"/>
        <v>0</v>
      </c>
    </row>
    <row r="121" spans="1:9" x14ac:dyDescent="0.35">
      <c r="A121" s="117">
        <v>30</v>
      </c>
      <c r="B121" s="118">
        <v>0</v>
      </c>
      <c r="C121" s="118">
        <f>IF($C$7=0,0, IF(30&lt;=$C$7, $F$16/$C$7, 0))</f>
        <v>0</v>
      </c>
      <c r="D121" s="118">
        <f t="shared" si="2"/>
        <v>0</v>
      </c>
      <c r="E121" s="118">
        <f t="shared" ca="1" si="3"/>
        <v>0</v>
      </c>
      <c r="F121" s="118"/>
      <c r="G121" s="118">
        <f t="shared" si="5"/>
        <v>0</v>
      </c>
      <c r="H121" s="118">
        <f t="shared" si="6"/>
        <v>0</v>
      </c>
      <c r="I121" s="118">
        <f t="shared" ca="1" si="4"/>
        <v>0</v>
      </c>
    </row>
    <row r="122" spans="1:9" x14ac:dyDescent="0.35">
      <c r="A122" s="117">
        <v>31</v>
      </c>
      <c r="B122" s="118">
        <v>0</v>
      </c>
      <c r="C122" s="118">
        <f>IF($C$7=0,0, IF(31&lt;=$C$7, $F$16/$C$7, 0))</f>
        <v>0</v>
      </c>
      <c r="D122" s="118">
        <f t="shared" si="2"/>
        <v>0</v>
      </c>
      <c r="E122" s="118">
        <f t="shared" ca="1" si="3"/>
        <v>0</v>
      </c>
      <c r="F122" s="118"/>
      <c r="G122" s="118">
        <f t="shared" si="5"/>
        <v>0</v>
      </c>
      <c r="H122" s="118">
        <f t="shared" si="6"/>
        <v>0</v>
      </c>
      <c r="I122" s="118">
        <f t="shared" ca="1" si="4"/>
        <v>0</v>
      </c>
    </row>
    <row r="123" spans="1:9" x14ac:dyDescent="0.35">
      <c r="A123" s="117">
        <v>32</v>
      </c>
      <c r="B123" s="118">
        <v>0</v>
      </c>
      <c r="C123" s="118">
        <f>IF($C$7=0,0, IF(32&lt;=$C$7, $F$16/$C$7, 0))</f>
        <v>0</v>
      </c>
      <c r="D123" s="118">
        <f t="shared" si="2"/>
        <v>0</v>
      </c>
      <c r="E123" s="118">
        <f t="shared" ca="1" si="3"/>
        <v>0</v>
      </c>
      <c r="F123" s="118"/>
      <c r="G123" s="118">
        <f t="shared" si="5"/>
        <v>0</v>
      </c>
      <c r="H123" s="118">
        <f t="shared" si="6"/>
        <v>0</v>
      </c>
      <c r="I123" s="118">
        <f t="shared" ca="1" si="4"/>
        <v>0</v>
      </c>
    </row>
    <row r="124" spans="1:9" x14ac:dyDescent="0.35">
      <c r="A124" s="117">
        <v>33</v>
      </c>
      <c r="B124" s="118">
        <v>0</v>
      </c>
      <c r="C124" s="118">
        <f>IF($C$7=0,0, IF(33&lt;=$C$7, $F$16/$C$7, 0))</f>
        <v>0</v>
      </c>
      <c r="D124" s="118">
        <f t="shared" ref="D124:D151" si="7">IF(1&lt;=$C$7, $F$17*D60, 0)</f>
        <v>0</v>
      </c>
      <c r="E124" s="118">
        <f t="shared" ref="E124:E151" ca="1" si="8">IF(1&lt;=$C$7, $F$18*D60, 0)</f>
        <v>0</v>
      </c>
      <c r="F124" s="118"/>
      <c r="G124" s="118">
        <f t="shared" si="5"/>
        <v>0</v>
      </c>
      <c r="H124" s="118">
        <f t="shared" si="6"/>
        <v>0</v>
      </c>
      <c r="I124" s="118">
        <f t="shared" ref="I124:I151" ca="1" si="9">SUM(B124:H124)</f>
        <v>0</v>
      </c>
    </row>
    <row r="125" spans="1:9" x14ac:dyDescent="0.35">
      <c r="A125" s="117">
        <v>34</v>
      </c>
      <c r="B125" s="118">
        <v>0</v>
      </c>
      <c r="C125" s="118">
        <f>IF($C$7=0,0, IF(34&lt;=$C$7, $F$16/$C$7, 0))</f>
        <v>0</v>
      </c>
      <c r="D125" s="118">
        <f t="shared" si="7"/>
        <v>0</v>
      </c>
      <c r="E125" s="118">
        <f t="shared" ca="1" si="8"/>
        <v>0</v>
      </c>
      <c r="F125" s="118"/>
      <c r="G125" s="118">
        <f t="shared" ref="G125:G151" si="10">IF($C$7=0,0, IF(A125&lt;=$C$7, $F$19/($C$7-1), 0))</f>
        <v>0</v>
      </c>
      <c r="H125" s="118">
        <f t="shared" si="6"/>
        <v>0</v>
      </c>
      <c r="I125" s="118">
        <f t="shared" ca="1" si="9"/>
        <v>0</v>
      </c>
    </row>
    <row r="126" spans="1:9" x14ac:dyDescent="0.35">
      <c r="A126" s="117">
        <v>35</v>
      </c>
      <c r="B126" s="118">
        <v>0</v>
      </c>
      <c r="C126" s="118">
        <f>IF($C$7=0,0, IF(35&lt;=$C$7, $F$16/$C$7, 0))</f>
        <v>0</v>
      </c>
      <c r="D126" s="118">
        <f t="shared" si="7"/>
        <v>0</v>
      </c>
      <c r="E126" s="118">
        <f t="shared" ca="1" si="8"/>
        <v>0</v>
      </c>
      <c r="F126" s="118"/>
      <c r="G126" s="118">
        <f t="shared" si="10"/>
        <v>0</v>
      </c>
      <c r="H126" s="118">
        <f t="shared" si="6"/>
        <v>0</v>
      </c>
      <c r="I126" s="118">
        <f t="shared" ca="1" si="9"/>
        <v>0</v>
      </c>
    </row>
    <row r="127" spans="1:9" x14ac:dyDescent="0.35">
      <c r="A127" s="117">
        <v>36</v>
      </c>
      <c r="B127" s="118">
        <v>0</v>
      </c>
      <c r="C127" s="118">
        <f>IF($C$7=0,0, IF(36&lt;=$C$7, $F$16/$C$7, 0))</f>
        <v>0</v>
      </c>
      <c r="D127" s="118">
        <f t="shared" si="7"/>
        <v>0</v>
      </c>
      <c r="E127" s="118">
        <f t="shared" ca="1" si="8"/>
        <v>0</v>
      </c>
      <c r="F127" s="118"/>
      <c r="G127" s="118">
        <f t="shared" si="10"/>
        <v>0</v>
      </c>
      <c r="H127" s="118">
        <f t="shared" si="6"/>
        <v>0</v>
      </c>
      <c r="I127" s="118">
        <f t="shared" ca="1" si="9"/>
        <v>0</v>
      </c>
    </row>
    <row r="128" spans="1:9" x14ac:dyDescent="0.35">
      <c r="A128" s="117">
        <v>37</v>
      </c>
      <c r="B128" s="118">
        <v>0</v>
      </c>
      <c r="C128" s="118">
        <f>IF($C$7=0,0, IF(37&lt;=$C$7, $F$16/$C$7, 0))</f>
        <v>0</v>
      </c>
      <c r="D128" s="118">
        <f t="shared" si="7"/>
        <v>0</v>
      </c>
      <c r="E128" s="118">
        <f t="shared" ca="1" si="8"/>
        <v>0</v>
      </c>
      <c r="F128" s="118"/>
      <c r="G128" s="118">
        <f t="shared" si="10"/>
        <v>0</v>
      </c>
      <c r="H128" s="118">
        <f t="shared" si="6"/>
        <v>0</v>
      </c>
      <c r="I128" s="118">
        <f t="shared" ca="1" si="9"/>
        <v>0</v>
      </c>
    </row>
    <row r="129" spans="1:9" x14ac:dyDescent="0.35">
      <c r="A129" s="117">
        <v>38</v>
      </c>
      <c r="B129" s="118">
        <v>0</v>
      </c>
      <c r="C129" s="118">
        <f>IF($C$7=0,0, IF(38&lt;=$C$7, $F$16/$C$7, 0))</f>
        <v>0</v>
      </c>
      <c r="D129" s="118">
        <f t="shared" si="7"/>
        <v>0</v>
      </c>
      <c r="E129" s="118">
        <f t="shared" ca="1" si="8"/>
        <v>0</v>
      </c>
      <c r="F129" s="118"/>
      <c r="G129" s="118">
        <f t="shared" si="10"/>
        <v>0</v>
      </c>
      <c r="H129" s="118">
        <f t="shared" si="6"/>
        <v>0</v>
      </c>
      <c r="I129" s="118">
        <f t="shared" ca="1" si="9"/>
        <v>0</v>
      </c>
    </row>
    <row r="130" spans="1:9" x14ac:dyDescent="0.35">
      <c r="A130" s="117">
        <v>39</v>
      </c>
      <c r="B130" s="118">
        <v>0</v>
      </c>
      <c r="C130" s="118">
        <f>IF($C$7=0,0, IF(39&lt;=$C$7, $F$16/$C$7, 0))</f>
        <v>0</v>
      </c>
      <c r="D130" s="118">
        <f t="shared" si="7"/>
        <v>0</v>
      </c>
      <c r="E130" s="118">
        <f t="shared" ca="1" si="8"/>
        <v>0</v>
      </c>
      <c r="F130" s="118"/>
      <c r="G130" s="118">
        <f t="shared" si="10"/>
        <v>0</v>
      </c>
      <c r="H130" s="118">
        <f t="shared" si="6"/>
        <v>0</v>
      </c>
      <c r="I130" s="118">
        <f t="shared" ca="1" si="9"/>
        <v>0</v>
      </c>
    </row>
    <row r="131" spans="1:9" x14ac:dyDescent="0.35">
      <c r="A131" s="117">
        <v>40</v>
      </c>
      <c r="B131" s="118">
        <v>0</v>
      </c>
      <c r="C131" s="118">
        <f>IF($C$7=0,0, IF(40&lt;=$C$7, $F$16/$C$7, 0))</f>
        <v>0</v>
      </c>
      <c r="D131" s="118">
        <f t="shared" si="7"/>
        <v>0</v>
      </c>
      <c r="E131" s="118">
        <f t="shared" ca="1" si="8"/>
        <v>0</v>
      </c>
      <c r="F131" s="118"/>
      <c r="G131" s="118">
        <f t="shared" si="10"/>
        <v>0</v>
      </c>
      <c r="H131" s="118">
        <f t="shared" si="6"/>
        <v>0</v>
      </c>
      <c r="I131" s="118">
        <f t="shared" ca="1" si="9"/>
        <v>0</v>
      </c>
    </row>
    <row r="132" spans="1:9" x14ac:dyDescent="0.35">
      <c r="A132" s="117">
        <v>41</v>
      </c>
      <c r="B132" s="118">
        <v>0</v>
      </c>
      <c r="C132" s="118">
        <f>IF($C$7=0,0, IF(41&lt;=$C$7, $F$16/$C$7, 0))</f>
        <v>0</v>
      </c>
      <c r="D132" s="118">
        <f t="shared" si="7"/>
        <v>0</v>
      </c>
      <c r="E132" s="118">
        <f t="shared" ca="1" si="8"/>
        <v>0</v>
      </c>
      <c r="F132" s="118"/>
      <c r="G132" s="118">
        <f t="shared" si="10"/>
        <v>0</v>
      </c>
      <c r="H132" s="118">
        <f t="shared" si="6"/>
        <v>0</v>
      </c>
      <c r="I132" s="118">
        <f t="shared" ca="1" si="9"/>
        <v>0</v>
      </c>
    </row>
    <row r="133" spans="1:9" x14ac:dyDescent="0.35">
      <c r="A133" s="117">
        <v>42</v>
      </c>
      <c r="B133" s="118">
        <v>0</v>
      </c>
      <c r="C133" s="118">
        <f>IF($C$7=0,0, IF(42&lt;=$C$7, $F$16/$C$7, 0))</f>
        <v>0</v>
      </c>
      <c r="D133" s="118">
        <f t="shared" si="7"/>
        <v>0</v>
      </c>
      <c r="E133" s="118">
        <f t="shared" ca="1" si="8"/>
        <v>0</v>
      </c>
      <c r="F133" s="118"/>
      <c r="G133" s="118">
        <f t="shared" si="10"/>
        <v>0</v>
      </c>
      <c r="H133" s="118">
        <f t="shared" si="6"/>
        <v>0</v>
      </c>
      <c r="I133" s="118">
        <f t="shared" ca="1" si="9"/>
        <v>0</v>
      </c>
    </row>
    <row r="134" spans="1:9" x14ac:dyDescent="0.35">
      <c r="A134" s="117">
        <v>43</v>
      </c>
      <c r="B134" s="118">
        <v>0</v>
      </c>
      <c r="C134" s="118">
        <f>IF($C$7=0,0, IF(43&lt;=$C$7, $F$16/$C$7, 0))</f>
        <v>0</v>
      </c>
      <c r="D134" s="118">
        <f t="shared" si="7"/>
        <v>0</v>
      </c>
      <c r="E134" s="118">
        <f t="shared" ca="1" si="8"/>
        <v>0</v>
      </c>
      <c r="F134" s="118"/>
      <c r="G134" s="118">
        <f t="shared" si="10"/>
        <v>0</v>
      </c>
      <c r="H134" s="118">
        <f t="shared" si="6"/>
        <v>0</v>
      </c>
      <c r="I134" s="118">
        <f t="shared" ca="1" si="9"/>
        <v>0</v>
      </c>
    </row>
    <row r="135" spans="1:9" x14ac:dyDescent="0.35">
      <c r="A135" s="117">
        <v>44</v>
      </c>
      <c r="B135" s="118">
        <v>0</v>
      </c>
      <c r="C135" s="118">
        <f>IF($C$7=0,0, IF(44&lt;=$C$7, $F$16/$C$7, 0))</f>
        <v>0</v>
      </c>
      <c r="D135" s="118">
        <f t="shared" si="7"/>
        <v>0</v>
      </c>
      <c r="E135" s="118">
        <f t="shared" ca="1" si="8"/>
        <v>0</v>
      </c>
      <c r="F135" s="118"/>
      <c r="G135" s="118">
        <f t="shared" si="10"/>
        <v>0</v>
      </c>
      <c r="H135" s="118">
        <f t="shared" si="6"/>
        <v>0</v>
      </c>
      <c r="I135" s="118">
        <f t="shared" ca="1" si="9"/>
        <v>0</v>
      </c>
    </row>
    <row r="136" spans="1:9" x14ac:dyDescent="0.35">
      <c r="A136" s="117">
        <v>45</v>
      </c>
      <c r="B136" s="118">
        <v>0</v>
      </c>
      <c r="C136" s="118">
        <f>IF($C$7=0,0, IF(45&lt;=$C$7, $F$16/$C$7, 0))</f>
        <v>0</v>
      </c>
      <c r="D136" s="118">
        <f t="shared" si="7"/>
        <v>0</v>
      </c>
      <c r="E136" s="118">
        <f t="shared" ca="1" si="8"/>
        <v>0</v>
      </c>
      <c r="F136" s="118"/>
      <c r="G136" s="118">
        <f t="shared" si="10"/>
        <v>0</v>
      </c>
      <c r="H136" s="118">
        <f t="shared" si="6"/>
        <v>0</v>
      </c>
      <c r="I136" s="118">
        <f t="shared" ca="1" si="9"/>
        <v>0</v>
      </c>
    </row>
    <row r="137" spans="1:9" x14ac:dyDescent="0.35">
      <c r="A137" s="117">
        <v>46</v>
      </c>
      <c r="B137" s="118">
        <v>0</v>
      </c>
      <c r="C137" s="118">
        <f>IF($C$7=0,0, IF(46&lt;=$C$7, $F$16/$C$7, 0))</f>
        <v>0</v>
      </c>
      <c r="D137" s="118">
        <f t="shared" si="7"/>
        <v>0</v>
      </c>
      <c r="E137" s="118">
        <f t="shared" ca="1" si="8"/>
        <v>0</v>
      </c>
      <c r="F137" s="118"/>
      <c r="G137" s="118">
        <f t="shared" si="10"/>
        <v>0</v>
      </c>
      <c r="H137" s="118">
        <f t="shared" si="6"/>
        <v>0</v>
      </c>
      <c r="I137" s="118">
        <f t="shared" ca="1" si="9"/>
        <v>0</v>
      </c>
    </row>
    <row r="138" spans="1:9" x14ac:dyDescent="0.35">
      <c r="A138" s="117">
        <v>47</v>
      </c>
      <c r="B138" s="118">
        <v>0</v>
      </c>
      <c r="C138" s="118">
        <f>IF($C$7=0,0, IF(47&lt;=$C$7, $F$16/$C$7, 0))</f>
        <v>0</v>
      </c>
      <c r="D138" s="118">
        <f t="shared" si="7"/>
        <v>0</v>
      </c>
      <c r="E138" s="118">
        <f t="shared" ca="1" si="8"/>
        <v>0</v>
      </c>
      <c r="F138" s="118"/>
      <c r="G138" s="118">
        <f t="shared" si="10"/>
        <v>0</v>
      </c>
      <c r="H138" s="118">
        <f t="shared" si="6"/>
        <v>0</v>
      </c>
      <c r="I138" s="118">
        <f t="shared" ca="1" si="9"/>
        <v>0</v>
      </c>
    </row>
    <row r="139" spans="1:9" x14ac:dyDescent="0.35">
      <c r="A139" s="117">
        <v>48</v>
      </c>
      <c r="B139" s="118">
        <v>0</v>
      </c>
      <c r="C139" s="118">
        <f>IF($C$7=0,0, IF(48&lt;=$C$7, $F$16/$C$7, 0))</f>
        <v>0</v>
      </c>
      <c r="D139" s="118">
        <f t="shared" si="7"/>
        <v>0</v>
      </c>
      <c r="E139" s="118">
        <f t="shared" ca="1" si="8"/>
        <v>0</v>
      </c>
      <c r="F139" s="118"/>
      <c r="G139" s="118">
        <f t="shared" si="10"/>
        <v>0</v>
      </c>
      <c r="H139" s="118">
        <f t="shared" si="6"/>
        <v>0</v>
      </c>
      <c r="I139" s="118">
        <f t="shared" ca="1" si="9"/>
        <v>0</v>
      </c>
    </row>
    <row r="140" spans="1:9" x14ac:dyDescent="0.35">
      <c r="A140" s="117">
        <v>49</v>
      </c>
      <c r="B140" s="118">
        <v>0</v>
      </c>
      <c r="C140" s="118">
        <f>IF($C$7=0,0, IF(49&lt;=$C$7, $F$16/$C$7, 0))</f>
        <v>0</v>
      </c>
      <c r="D140" s="118">
        <f t="shared" si="7"/>
        <v>0</v>
      </c>
      <c r="E140" s="118">
        <f t="shared" ca="1" si="8"/>
        <v>0</v>
      </c>
      <c r="F140" s="118"/>
      <c r="G140" s="118">
        <f t="shared" si="10"/>
        <v>0</v>
      </c>
      <c r="H140" s="118">
        <f t="shared" si="6"/>
        <v>0</v>
      </c>
      <c r="I140" s="118">
        <f t="shared" ca="1" si="9"/>
        <v>0</v>
      </c>
    </row>
    <row r="141" spans="1:9" x14ac:dyDescent="0.35">
      <c r="A141" s="117">
        <v>50</v>
      </c>
      <c r="B141" s="118">
        <v>0</v>
      </c>
      <c r="C141" s="118">
        <f>IF($C$7=0,0, IF(50&lt;=$C$7, $F$16/$C$7, 0))</f>
        <v>0</v>
      </c>
      <c r="D141" s="118">
        <f t="shared" si="7"/>
        <v>0</v>
      </c>
      <c r="E141" s="118">
        <f t="shared" ca="1" si="8"/>
        <v>0</v>
      </c>
      <c r="F141" s="118"/>
      <c r="G141" s="118">
        <f t="shared" si="10"/>
        <v>0</v>
      </c>
      <c r="H141" s="118">
        <f t="shared" si="6"/>
        <v>0</v>
      </c>
      <c r="I141" s="118">
        <f t="shared" ca="1" si="9"/>
        <v>0</v>
      </c>
    </row>
    <row r="142" spans="1:9" x14ac:dyDescent="0.35">
      <c r="A142" s="117">
        <v>51</v>
      </c>
      <c r="B142" s="118">
        <v>0</v>
      </c>
      <c r="C142" s="118">
        <f>IF($C$7=0,0, IF(51&lt;=$C$7, $F$16/$C$7, 0))</f>
        <v>0</v>
      </c>
      <c r="D142" s="118">
        <f t="shared" si="7"/>
        <v>0</v>
      </c>
      <c r="E142" s="118">
        <f t="shared" ca="1" si="8"/>
        <v>0</v>
      </c>
      <c r="F142" s="118"/>
      <c r="G142" s="118">
        <f t="shared" si="10"/>
        <v>0</v>
      </c>
      <c r="H142" s="118">
        <f t="shared" si="6"/>
        <v>0</v>
      </c>
      <c r="I142" s="118">
        <f t="shared" ca="1" si="9"/>
        <v>0</v>
      </c>
    </row>
    <row r="143" spans="1:9" x14ac:dyDescent="0.35">
      <c r="A143" s="117">
        <v>52</v>
      </c>
      <c r="B143" s="118">
        <v>0</v>
      </c>
      <c r="C143" s="118">
        <f>IF($C$7=0,0, IF(52&lt;=$C$7, $F$16/$C$7, 0))</f>
        <v>0</v>
      </c>
      <c r="D143" s="118">
        <f t="shared" si="7"/>
        <v>0</v>
      </c>
      <c r="E143" s="118">
        <f t="shared" ca="1" si="8"/>
        <v>0</v>
      </c>
      <c r="F143" s="118"/>
      <c r="G143" s="118">
        <f t="shared" si="10"/>
        <v>0</v>
      </c>
      <c r="H143" s="118">
        <f t="shared" si="6"/>
        <v>0</v>
      </c>
      <c r="I143" s="118">
        <f t="shared" ca="1" si="9"/>
        <v>0</v>
      </c>
    </row>
    <row r="144" spans="1:9" x14ac:dyDescent="0.35">
      <c r="A144" s="117">
        <v>53</v>
      </c>
      <c r="B144" s="118">
        <v>0</v>
      </c>
      <c r="C144" s="118">
        <f>IF($C$7=0,0, IF(53&lt;=$C$7, $F$16/$C$7, 0))</f>
        <v>0</v>
      </c>
      <c r="D144" s="118">
        <f t="shared" si="7"/>
        <v>0</v>
      </c>
      <c r="E144" s="118">
        <f t="shared" ca="1" si="8"/>
        <v>0</v>
      </c>
      <c r="F144" s="118"/>
      <c r="G144" s="118">
        <f t="shared" si="10"/>
        <v>0</v>
      </c>
      <c r="H144" s="118">
        <f t="shared" si="6"/>
        <v>0</v>
      </c>
      <c r="I144" s="118">
        <f t="shared" ca="1" si="9"/>
        <v>0</v>
      </c>
    </row>
    <row r="145" spans="1:33" x14ac:dyDescent="0.35">
      <c r="A145" s="117">
        <v>54</v>
      </c>
      <c r="B145" s="118">
        <v>0</v>
      </c>
      <c r="C145" s="118">
        <f>IF($C$7=0,0, IF(54&lt;=$C$7, $F$16/$C$7, 0))</f>
        <v>0</v>
      </c>
      <c r="D145" s="118">
        <f t="shared" si="7"/>
        <v>0</v>
      </c>
      <c r="E145" s="118">
        <f t="shared" ca="1" si="8"/>
        <v>0</v>
      </c>
      <c r="F145" s="118"/>
      <c r="G145" s="118">
        <f t="shared" si="10"/>
        <v>0</v>
      </c>
      <c r="H145" s="118">
        <f t="shared" si="6"/>
        <v>0</v>
      </c>
      <c r="I145" s="118">
        <f t="shared" ca="1" si="9"/>
        <v>0</v>
      </c>
    </row>
    <row r="146" spans="1:33" x14ac:dyDescent="0.35">
      <c r="A146" s="117">
        <v>55</v>
      </c>
      <c r="B146" s="118">
        <v>0</v>
      </c>
      <c r="C146" s="118">
        <f>IF($C$7=0,0, IF(55&lt;=$C$7, $F$16/$C$7, 0))</f>
        <v>0</v>
      </c>
      <c r="D146" s="118">
        <f t="shared" si="7"/>
        <v>0</v>
      </c>
      <c r="E146" s="118">
        <f t="shared" ca="1" si="8"/>
        <v>0</v>
      </c>
      <c r="F146" s="118"/>
      <c r="G146" s="118">
        <f t="shared" si="10"/>
        <v>0</v>
      </c>
      <c r="H146" s="118">
        <f t="shared" si="6"/>
        <v>0</v>
      </c>
      <c r="I146" s="118">
        <f t="shared" ca="1" si="9"/>
        <v>0</v>
      </c>
    </row>
    <row r="147" spans="1:33" x14ac:dyDescent="0.35">
      <c r="A147" s="117">
        <v>56</v>
      </c>
      <c r="B147" s="118">
        <v>0</v>
      </c>
      <c r="C147" s="118">
        <f>IF($C$7=0,0, IF(56&lt;=$C$7, $F$16/$C$7, 0))</f>
        <v>0</v>
      </c>
      <c r="D147" s="118">
        <f t="shared" si="7"/>
        <v>0</v>
      </c>
      <c r="E147" s="118">
        <f t="shared" ca="1" si="8"/>
        <v>0</v>
      </c>
      <c r="F147" s="118"/>
      <c r="G147" s="118">
        <f t="shared" si="10"/>
        <v>0</v>
      </c>
      <c r="H147" s="118">
        <f t="shared" si="6"/>
        <v>0</v>
      </c>
      <c r="I147" s="118">
        <f t="shared" ca="1" si="9"/>
        <v>0</v>
      </c>
    </row>
    <row r="148" spans="1:33" x14ac:dyDescent="0.35">
      <c r="A148" s="117">
        <v>57</v>
      </c>
      <c r="B148" s="118">
        <v>0</v>
      </c>
      <c r="C148" s="118">
        <f>IF($C$7=0,0, IF(57&lt;=$C$7, $F$16/$C$7, 0))</f>
        <v>0</v>
      </c>
      <c r="D148" s="118">
        <f t="shared" si="7"/>
        <v>0</v>
      </c>
      <c r="E148" s="118">
        <f t="shared" ca="1" si="8"/>
        <v>0</v>
      </c>
      <c r="F148" s="118"/>
      <c r="G148" s="118">
        <f t="shared" si="10"/>
        <v>0</v>
      </c>
      <c r="H148" s="118">
        <f t="shared" si="6"/>
        <v>0</v>
      </c>
      <c r="I148" s="118">
        <f t="shared" ca="1" si="9"/>
        <v>0</v>
      </c>
    </row>
    <row r="149" spans="1:33" x14ac:dyDescent="0.35">
      <c r="A149" s="117">
        <v>58</v>
      </c>
      <c r="B149" s="118">
        <v>0</v>
      </c>
      <c r="C149" s="118">
        <f>IF($C$7=0,0, IF(58&lt;=$C$7, $F$16/$C$7, 0))</f>
        <v>0</v>
      </c>
      <c r="D149" s="118">
        <f t="shared" si="7"/>
        <v>0</v>
      </c>
      <c r="E149" s="118">
        <f t="shared" ca="1" si="8"/>
        <v>0</v>
      </c>
      <c r="F149" s="118"/>
      <c r="G149" s="118">
        <f t="shared" si="10"/>
        <v>0</v>
      </c>
      <c r="H149" s="118">
        <f t="shared" si="6"/>
        <v>0</v>
      </c>
      <c r="I149" s="118">
        <f t="shared" ca="1" si="9"/>
        <v>0</v>
      </c>
    </row>
    <row r="150" spans="1:33" x14ac:dyDescent="0.35">
      <c r="A150" s="117">
        <v>59</v>
      </c>
      <c r="B150" s="118">
        <v>0</v>
      </c>
      <c r="C150" s="118">
        <f>IF($C$7=0,0, IF(59&lt;=$C$7, $F$16/$C$7, 0))</f>
        <v>0</v>
      </c>
      <c r="D150" s="118">
        <f t="shared" si="7"/>
        <v>0</v>
      </c>
      <c r="E150" s="118">
        <f t="shared" ca="1" si="8"/>
        <v>0</v>
      </c>
      <c r="F150" s="118"/>
      <c r="G150" s="118">
        <f t="shared" si="10"/>
        <v>0</v>
      </c>
      <c r="H150" s="118">
        <f t="shared" si="6"/>
        <v>0</v>
      </c>
      <c r="I150" s="118">
        <f t="shared" ca="1" si="9"/>
        <v>0</v>
      </c>
    </row>
    <row r="151" spans="1:33" x14ac:dyDescent="0.35">
      <c r="A151" s="117">
        <v>60</v>
      </c>
      <c r="B151" s="118">
        <v>0</v>
      </c>
      <c r="C151" s="118">
        <f>IF($C$7=0,0, IF(60&lt;=$C$7, $F$16/$C$7, 0))</f>
        <v>0</v>
      </c>
      <c r="D151" s="118">
        <f t="shared" si="7"/>
        <v>0</v>
      </c>
      <c r="E151" s="118">
        <f t="shared" ca="1" si="8"/>
        <v>0</v>
      </c>
      <c r="F151" s="118"/>
      <c r="G151" s="118">
        <f t="shared" si="10"/>
        <v>0</v>
      </c>
      <c r="H151" s="118">
        <f t="shared" si="6"/>
        <v>0</v>
      </c>
      <c r="I151" s="118">
        <f t="shared" ca="1" si="9"/>
        <v>0</v>
      </c>
    </row>
    <row r="153" spans="1:33" ht="15" customHeight="1" x14ac:dyDescent="0.35">
      <c r="A153" s="168" t="s">
        <v>225</v>
      </c>
      <c r="B153" s="167"/>
      <c r="C153" s="167"/>
      <c r="D153" s="167"/>
      <c r="E153" s="167"/>
      <c r="F153" s="167"/>
      <c r="G153" s="167"/>
      <c r="H153" s="167"/>
      <c r="I153" s="167"/>
      <c r="J153" s="167"/>
      <c r="K153" s="167"/>
      <c r="L153" s="167"/>
      <c r="M153" s="167"/>
      <c r="N153" s="167"/>
      <c r="O153" s="167"/>
      <c r="P153" s="167"/>
      <c r="Q153" s="167"/>
      <c r="R153" s="167"/>
      <c r="S153" s="167"/>
      <c r="T153" s="167"/>
      <c r="U153" s="167"/>
      <c r="V153" s="167"/>
      <c r="W153" s="167"/>
      <c r="X153" s="167"/>
      <c r="Y153" s="167"/>
      <c r="Z153" s="167"/>
      <c r="AA153" s="167"/>
      <c r="AB153" s="167"/>
      <c r="AC153" s="167"/>
      <c r="AD153" s="167"/>
      <c r="AE153" s="167"/>
      <c r="AF153" s="167"/>
    </row>
    <row r="154" spans="1:33" x14ac:dyDescent="0.35">
      <c r="A154" s="116" t="s">
        <v>226</v>
      </c>
      <c r="B154" s="116" t="s">
        <v>0</v>
      </c>
      <c r="C154" s="121" t="s">
        <v>227</v>
      </c>
      <c r="D154" s="121" t="s">
        <v>228</v>
      </c>
      <c r="E154" s="121" t="s">
        <v>229</v>
      </c>
      <c r="F154" s="123" t="s">
        <v>230</v>
      </c>
      <c r="G154" s="123" t="s">
        <v>231</v>
      </c>
      <c r="H154" s="123" t="s">
        <v>232</v>
      </c>
      <c r="I154" s="125" t="s">
        <v>233</v>
      </c>
      <c r="J154" s="125" t="s">
        <v>234</v>
      </c>
      <c r="K154" s="125" t="s">
        <v>235</v>
      </c>
      <c r="L154" s="311" t="s">
        <v>707</v>
      </c>
      <c r="M154" s="311" t="s">
        <v>708</v>
      </c>
      <c r="N154" s="311" t="s">
        <v>709</v>
      </c>
      <c r="O154" s="311" t="s">
        <v>710</v>
      </c>
      <c r="P154" s="131" t="s">
        <v>244</v>
      </c>
      <c r="Q154" s="131" t="s">
        <v>245</v>
      </c>
      <c r="R154" s="131" t="s">
        <v>246</v>
      </c>
      <c r="S154" s="131" t="s">
        <v>247</v>
      </c>
      <c r="T154" s="127" t="s">
        <v>236</v>
      </c>
      <c r="U154" s="127" t="s">
        <v>237</v>
      </c>
      <c r="V154" s="127" t="s">
        <v>238</v>
      </c>
      <c r="W154" s="127" t="s">
        <v>239</v>
      </c>
      <c r="X154" s="129" t="s">
        <v>240</v>
      </c>
      <c r="Y154" s="129" t="s">
        <v>241</v>
      </c>
      <c r="Z154" s="129" t="s">
        <v>242</v>
      </c>
      <c r="AA154" s="129" t="s">
        <v>243</v>
      </c>
      <c r="AB154" s="116" t="s">
        <v>248</v>
      </c>
      <c r="AC154" s="116" t="s">
        <v>249</v>
      </c>
      <c r="AD154" s="116" t="s">
        <v>250</v>
      </c>
      <c r="AE154" s="116" t="s">
        <v>251</v>
      </c>
      <c r="AF154" s="116" t="s">
        <v>252</v>
      </c>
      <c r="AG154" s="116" t="s">
        <v>253</v>
      </c>
    </row>
    <row r="155" spans="1:33" x14ac:dyDescent="0.35">
      <c r="A155" s="117">
        <v>1</v>
      </c>
      <c r="B155" s="118">
        <f t="shared" ref="B155:B186" ca="1" si="11">I92</f>
        <v>7290798.1998312073</v>
      </c>
      <c r="C155" s="122">
        <f ca="1">$F$5</f>
        <v>1303495.8193931952</v>
      </c>
      <c r="D155" s="122">
        <f t="shared" ref="D155:D214" ca="1" si="12">MIN(B155, C155)</f>
        <v>1303495.8193931952</v>
      </c>
      <c r="E155" s="122">
        <f t="shared" ref="E155:E214" ca="1" si="13">C155-D155</f>
        <v>0</v>
      </c>
      <c r="F155" s="124">
        <f ca="1">$F$6*$C$13</f>
        <v>1408167.7105988646</v>
      </c>
      <c r="G155" s="124">
        <f t="shared" ref="G155:G214" ca="1" si="14">MIN(B155-D155, F155)</f>
        <v>1408167.7105988646</v>
      </c>
      <c r="H155" s="124">
        <f t="shared" ref="H155:H214" ca="1" si="15">F155-G155</f>
        <v>0</v>
      </c>
      <c r="I155" s="126">
        <f>$F$7</f>
        <v>0</v>
      </c>
      <c r="J155" s="126">
        <f t="shared" ref="J155:J214" ca="1" si="16">MIN(B155-D155-G155, I155)</f>
        <v>0</v>
      </c>
      <c r="K155" s="126">
        <f t="shared" ref="K155:K214" ca="1" si="17">I155-J155</f>
        <v>0</v>
      </c>
      <c r="L155" s="312"/>
      <c r="M155" s="312"/>
      <c r="N155" s="312"/>
      <c r="O155" s="312"/>
      <c r="P155" s="132">
        <v>0</v>
      </c>
      <c r="Q155" s="132">
        <f ca="1">MAX(0, MIN($F$10-SUM($Q154:Q$154), B155-D155-G155-J155-M155))</f>
        <v>0</v>
      </c>
      <c r="R155" s="132">
        <f>$D$19*P155</f>
        <v>0</v>
      </c>
      <c r="S155" s="132">
        <f ca="1">P155+Q155+R155</f>
        <v>0</v>
      </c>
      <c r="T155" s="128">
        <v>0</v>
      </c>
      <c r="U155" s="128">
        <f ca="1">MAX(0, MIN($F$8-SUM($U154:U$154), B155-D155-G155-J155-Q155-M155))</f>
        <v>4579134.6698391475</v>
      </c>
      <c r="V155" s="128">
        <f t="shared" ref="V155:V213" si="18">$D$17*T155</f>
        <v>0</v>
      </c>
      <c r="W155" s="128">
        <f t="shared" ref="W155:W156" ca="1" si="19">T155+U155+V155</f>
        <v>4579134.6698391475</v>
      </c>
      <c r="X155" s="130">
        <v>0</v>
      </c>
      <c r="Y155" s="130">
        <f ca="1">MAX(0, MIN($F$9-SUM($Y154:Y$154), B155-D155-G155-J155-U155-Q155-M155))</f>
        <v>0</v>
      </c>
      <c r="Z155" s="130">
        <f>$D$18*X155</f>
        <v>0</v>
      </c>
      <c r="AA155" s="130">
        <f ca="1">X155+Y155+Z155</f>
        <v>0</v>
      </c>
      <c r="AB155" s="118">
        <f>$F$11</f>
        <v>0</v>
      </c>
      <c r="AC155" s="118">
        <f ca="1">MAX(0, MIN(AB155, B155-D155-G155-J155-U155-Y155-Q155-M155))</f>
        <v>0</v>
      </c>
      <c r="AD155" s="118">
        <f t="shared" ref="AD155:AD156" ca="1" si="20">AB155-AC155</f>
        <v>0</v>
      </c>
      <c r="AE155" s="118">
        <f t="shared" ref="AE155:AE186" ca="1" si="21">C155+F155+I155+T155+X155+P155+AB155</f>
        <v>2711663.5299920598</v>
      </c>
      <c r="AF155" s="118">
        <f>V155+Z155+R155+N155</f>
        <v>0</v>
      </c>
      <c r="AG155" s="118">
        <f t="shared" ref="AG155:AG186" ca="1" si="22">E155+H155+K155+W155+AA155+S155+AD155</f>
        <v>4579134.6698391475</v>
      </c>
    </row>
    <row r="156" spans="1:33" x14ac:dyDescent="0.35">
      <c r="A156" s="117">
        <v>2</v>
      </c>
      <c r="B156" s="118">
        <f t="shared" ca="1" si="11"/>
        <v>815247.91559701355</v>
      </c>
      <c r="C156" s="122">
        <f t="shared" ref="C156:C214" ca="1" si="23">E155</f>
        <v>0</v>
      </c>
      <c r="D156" s="122">
        <f t="shared" ca="1" si="12"/>
        <v>0</v>
      </c>
      <c r="E156" s="122">
        <f t="shared" ca="1" si="13"/>
        <v>0</v>
      </c>
      <c r="F156" s="124">
        <f t="shared" ref="F156:F214" ca="1" si="24">H155</f>
        <v>0</v>
      </c>
      <c r="G156" s="124">
        <f t="shared" ca="1" si="14"/>
        <v>0</v>
      </c>
      <c r="H156" s="124">
        <f t="shared" ca="1" si="15"/>
        <v>0</v>
      </c>
      <c r="I156" s="126">
        <f t="shared" ref="I156:I214" ca="1" si="25">K155</f>
        <v>0</v>
      </c>
      <c r="J156" s="126">
        <f t="shared" ca="1" si="16"/>
        <v>0</v>
      </c>
      <c r="K156" s="126">
        <f t="shared" ca="1" si="17"/>
        <v>0</v>
      </c>
      <c r="L156" s="312"/>
      <c r="M156" s="312"/>
      <c r="N156" s="312"/>
      <c r="O156" s="312"/>
      <c r="P156" s="132">
        <f t="shared" ref="P156:P187" ca="1" si="26">IF($A156&lt;=$C$7,S155,0)</f>
        <v>0</v>
      </c>
      <c r="Q156" s="132">
        <f ca="1">MAX(0, MIN($F$10-SUM($Q$154:Q155), B156-D156-G156-J156-M156))</f>
        <v>0</v>
      </c>
      <c r="R156" s="132">
        <f ca="1">$D$19*P156</f>
        <v>0</v>
      </c>
      <c r="S156" s="132">
        <f ca="1">P156+Q156+R156</f>
        <v>0</v>
      </c>
      <c r="T156" s="128">
        <f t="shared" ref="T156:T187" ca="1" si="27">IF($A156&lt;=$C$7,W155,0)</f>
        <v>4579134.6698391475</v>
      </c>
      <c r="U156" s="128">
        <f ca="1">MAX(0, MIN($F$8-SUM($U$154:U155), B156-D156-G156-J156-Q156-M156))</f>
        <v>815247.91559701355</v>
      </c>
      <c r="V156" s="128">
        <f t="shared" ca="1" si="18"/>
        <v>22514.078793375807</v>
      </c>
      <c r="W156" s="128">
        <f t="shared" ca="1" si="19"/>
        <v>5416896.6642295364</v>
      </c>
      <c r="X156" s="130">
        <f t="shared" ref="X156:X187" ca="1" si="28">IF($A156&lt;=$C$7,AA155,0)</f>
        <v>0</v>
      </c>
      <c r="Y156" s="130">
        <f ca="1">MAX(0, MIN($F$9-SUM($Y$154:Y155), B156-D156-G156-J156-U156-Q156-M156))</f>
        <v>0</v>
      </c>
      <c r="Z156" s="130">
        <f t="shared" ref="Z156:Z213" ca="1" si="29">$D$18*X156</f>
        <v>0</v>
      </c>
      <c r="AA156" s="130">
        <f t="shared" ref="AA156" ca="1" si="30">X156+Y156+Z156</f>
        <v>0</v>
      </c>
      <c r="AB156" s="118">
        <f t="shared" ref="AB156:AB213" si="31">AB155</f>
        <v>0</v>
      </c>
      <c r="AC156" s="118">
        <f t="shared" ref="AC156:AC187" ca="1" si="32">MAX(0, MIN(AB156, B156-D156-G156-J156-U156-Y156-Q156))</f>
        <v>0</v>
      </c>
      <c r="AD156" s="118">
        <f t="shared" ca="1" si="20"/>
        <v>0</v>
      </c>
      <c r="AE156" s="118">
        <f t="shared" ca="1" si="21"/>
        <v>4579134.6698391475</v>
      </c>
      <c r="AF156" s="118">
        <f t="shared" ref="AF156:AF213" ca="1" si="33">V156+Z156+R156+N156</f>
        <v>22514.078793375807</v>
      </c>
      <c r="AG156" s="118">
        <f t="shared" ca="1" si="22"/>
        <v>5416896.6642295364</v>
      </c>
    </row>
    <row r="157" spans="1:33" x14ac:dyDescent="0.35">
      <c r="A157" s="117">
        <v>3</v>
      </c>
      <c r="B157" s="118">
        <f t="shared" ca="1" si="11"/>
        <v>971973.86037264485</v>
      </c>
      <c r="C157" s="122">
        <f t="shared" ca="1" si="23"/>
        <v>0</v>
      </c>
      <c r="D157" s="122">
        <f t="shared" ca="1" si="12"/>
        <v>0</v>
      </c>
      <c r="E157" s="122">
        <f t="shared" ca="1" si="13"/>
        <v>0</v>
      </c>
      <c r="F157" s="124">
        <f t="shared" ca="1" si="24"/>
        <v>0</v>
      </c>
      <c r="G157" s="124">
        <f t="shared" ca="1" si="14"/>
        <v>0</v>
      </c>
      <c r="H157" s="124">
        <f t="shared" ca="1" si="15"/>
        <v>0</v>
      </c>
      <c r="I157" s="126">
        <f t="shared" ca="1" si="25"/>
        <v>0</v>
      </c>
      <c r="J157" s="126">
        <f t="shared" ca="1" si="16"/>
        <v>0</v>
      </c>
      <c r="K157" s="126">
        <f t="shared" ca="1" si="17"/>
        <v>0</v>
      </c>
      <c r="L157" s="312"/>
      <c r="M157" s="312"/>
      <c r="N157" s="312"/>
      <c r="O157" s="312"/>
      <c r="P157" s="132">
        <f t="shared" ca="1" si="26"/>
        <v>0</v>
      </c>
      <c r="Q157" s="132">
        <f ca="1">MAX(0, MIN($F$10-SUM($Q$154:Q156), B157-D157-G157-J157-M157))</f>
        <v>0</v>
      </c>
      <c r="R157" s="132">
        <f t="shared" ref="R157:R214" ca="1" si="34">$D$19*P157</f>
        <v>0</v>
      </c>
      <c r="S157" s="132">
        <f t="shared" ref="S157:S214" ca="1" si="35">P157+Q157+R157</f>
        <v>0</v>
      </c>
      <c r="T157" s="128">
        <f t="shared" ca="1" si="27"/>
        <v>5416896.6642295364</v>
      </c>
      <c r="U157" s="128">
        <f ca="1">MAX(0, MIN($F$8-SUM($U$154:U156), B157-D157-G157-J157-Q157-M157))</f>
        <v>971973.86037264485</v>
      </c>
      <c r="V157" s="128">
        <f t="shared" ca="1" si="18"/>
        <v>26633.075265795218</v>
      </c>
      <c r="W157" s="128">
        <f t="shared" ref="W157:W213" ca="1" si="36">T157+U157+V157</f>
        <v>6415503.5998679763</v>
      </c>
      <c r="X157" s="130">
        <f t="shared" ca="1" si="28"/>
        <v>0</v>
      </c>
      <c r="Y157" s="130">
        <f ca="1">MAX(0, MIN($F$9-SUM($Y$154:Y156), B157-D157-G157-J157-U157-Q157-M157))</f>
        <v>0</v>
      </c>
      <c r="Z157" s="130">
        <f t="shared" ca="1" si="29"/>
        <v>0</v>
      </c>
      <c r="AA157" s="130">
        <f t="shared" ref="AA157:AA213" ca="1" si="37">X157+Y157+Z157</f>
        <v>0</v>
      </c>
      <c r="AB157" s="118">
        <f t="shared" si="31"/>
        <v>0</v>
      </c>
      <c r="AC157" s="118">
        <f t="shared" ca="1" si="32"/>
        <v>0</v>
      </c>
      <c r="AD157" s="118">
        <f t="shared" ref="AD157:AD213" ca="1" si="38">AB157-AC157</f>
        <v>0</v>
      </c>
      <c r="AE157" s="118">
        <f t="shared" ca="1" si="21"/>
        <v>5416896.6642295364</v>
      </c>
      <c r="AF157" s="118">
        <f t="shared" ca="1" si="33"/>
        <v>26633.075265795218</v>
      </c>
      <c r="AG157" s="118">
        <f t="shared" ca="1" si="22"/>
        <v>6415503.5998679763</v>
      </c>
    </row>
    <row r="158" spans="1:33" x14ac:dyDescent="0.35">
      <c r="A158" s="117">
        <v>4</v>
      </c>
      <c r="B158" s="118">
        <f t="shared" ca="1" si="11"/>
        <v>1142534.6062950876</v>
      </c>
      <c r="C158" s="122">
        <f t="shared" ca="1" si="23"/>
        <v>0</v>
      </c>
      <c r="D158" s="122">
        <f t="shared" ca="1" si="12"/>
        <v>0</v>
      </c>
      <c r="E158" s="122">
        <f t="shared" ca="1" si="13"/>
        <v>0</v>
      </c>
      <c r="F158" s="124">
        <f t="shared" ca="1" si="24"/>
        <v>0</v>
      </c>
      <c r="G158" s="124">
        <f t="shared" ca="1" si="14"/>
        <v>0</v>
      </c>
      <c r="H158" s="124">
        <f t="shared" ca="1" si="15"/>
        <v>0</v>
      </c>
      <c r="I158" s="126">
        <f t="shared" ca="1" si="25"/>
        <v>0</v>
      </c>
      <c r="J158" s="126">
        <f t="shared" ca="1" si="16"/>
        <v>0</v>
      </c>
      <c r="K158" s="126">
        <f t="shared" ca="1" si="17"/>
        <v>0</v>
      </c>
      <c r="L158" s="312"/>
      <c r="M158" s="312"/>
      <c r="N158" s="312"/>
      <c r="O158" s="312"/>
      <c r="P158" s="132">
        <f t="shared" ca="1" si="26"/>
        <v>0</v>
      </c>
      <c r="Q158" s="132">
        <f ca="1">MAX(0, MIN($F$10-SUM($Q$154:Q157), B158-D158-G158-J158-M158))</f>
        <v>0</v>
      </c>
      <c r="R158" s="132">
        <f t="shared" ca="1" si="34"/>
        <v>0</v>
      </c>
      <c r="S158" s="132">
        <f t="shared" ca="1" si="35"/>
        <v>0</v>
      </c>
      <c r="T158" s="128">
        <f t="shared" ca="1" si="27"/>
        <v>6415503.5998679763</v>
      </c>
      <c r="U158" s="128">
        <f ca="1">MAX(0, MIN($F$8-SUM($U$154:U157), B158-D158-G158-J158-Q158-M158))</f>
        <v>1142534.6062950876</v>
      </c>
      <c r="V158" s="128">
        <f t="shared" ca="1" si="18"/>
        <v>31542.892699350883</v>
      </c>
      <c r="W158" s="128">
        <f t="shared" ca="1" si="36"/>
        <v>7589581.0988624142</v>
      </c>
      <c r="X158" s="130">
        <f t="shared" ca="1" si="28"/>
        <v>0</v>
      </c>
      <c r="Y158" s="130">
        <f ca="1">MAX(0, MIN($F$9-SUM($Y$154:Y157), B158-D158-G158-J158-U158-Q158-M158))</f>
        <v>0</v>
      </c>
      <c r="Z158" s="130">
        <f t="shared" ca="1" si="29"/>
        <v>0</v>
      </c>
      <c r="AA158" s="130">
        <f t="shared" ca="1" si="37"/>
        <v>0</v>
      </c>
      <c r="AB158" s="118">
        <f t="shared" si="31"/>
        <v>0</v>
      </c>
      <c r="AC158" s="118">
        <f t="shared" ca="1" si="32"/>
        <v>0</v>
      </c>
      <c r="AD158" s="118">
        <f t="shared" ca="1" si="38"/>
        <v>0</v>
      </c>
      <c r="AE158" s="118">
        <f t="shared" ca="1" si="21"/>
        <v>6415503.5998679763</v>
      </c>
      <c r="AF158" s="118">
        <f t="shared" ca="1" si="33"/>
        <v>31542.892699350883</v>
      </c>
      <c r="AG158" s="118">
        <f t="shared" ca="1" si="22"/>
        <v>7589581.0988624142</v>
      </c>
    </row>
    <row r="159" spans="1:33" x14ac:dyDescent="0.35">
      <c r="A159" s="117">
        <v>5</v>
      </c>
      <c r="B159" s="118">
        <f t="shared" ca="1" si="11"/>
        <v>1319938.9628795695</v>
      </c>
      <c r="C159" s="122">
        <f t="shared" ca="1" si="23"/>
        <v>0</v>
      </c>
      <c r="D159" s="122">
        <f t="shared" ca="1" si="12"/>
        <v>0</v>
      </c>
      <c r="E159" s="122">
        <f t="shared" ca="1" si="13"/>
        <v>0</v>
      </c>
      <c r="F159" s="124">
        <f t="shared" ca="1" si="24"/>
        <v>0</v>
      </c>
      <c r="G159" s="124">
        <f t="shared" ca="1" si="14"/>
        <v>0</v>
      </c>
      <c r="H159" s="124">
        <f t="shared" ca="1" si="15"/>
        <v>0</v>
      </c>
      <c r="I159" s="126">
        <f t="shared" ca="1" si="25"/>
        <v>0</v>
      </c>
      <c r="J159" s="126">
        <f t="shared" ca="1" si="16"/>
        <v>0</v>
      </c>
      <c r="K159" s="126">
        <f t="shared" ca="1" si="17"/>
        <v>0</v>
      </c>
      <c r="L159" s="312"/>
      <c r="M159" s="312"/>
      <c r="N159" s="312"/>
      <c r="O159" s="312"/>
      <c r="P159" s="132">
        <f t="shared" ca="1" si="26"/>
        <v>0</v>
      </c>
      <c r="Q159" s="132">
        <f ca="1">MAX(0, MIN($F$10-SUM($Q$154:Q158), B159-D159-G159-J159-M159))</f>
        <v>0</v>
      </c>
      <c r="R159" s="132">
        <f t="shared" ca="1" si="34"/>
        <v>0</v>
      </c>
      <c r="S159" s="132">
        <f t="shared" ca="1" si="35"/>
        <v>0</v>
      </c>
      <c r="T159" s="128">
        <f t="shared" ca="1" si="27"/>
        <v>7589581.0988624142</v>
      </c>
      <c r="U159" s="128">
        <f ca="1">MAX(0, MIN($F$8-SUM($U$154:U158), B159-D159-G159-J159-Q159-M159))</f>
        <v>1319938.9628795695</v>
      </c>
      <c r="V159" s="128">
        <f t="shared" ca="1" si="18"/>
        <v>37315.440402740198</v>
      </c>
      <c r="W159" s="128">
        <f t="shared" ca="1" si="36"/>
        <v>8946835.5021447241</v>
      </c>
      <c r="X159" s="130">
        <f t="shared" ca="1" si="28"/>
        <v>0</v>
      </c>
      <c r="Y159" s="130">
        <f ca="1">MAX(0, MIN($F$9-SUM($Y$154:Y158), B159-D159-G159-J159-U159-Q159-M159))</f>
        <v>0</v>
      </c>
      <c r="Z159" s="130">
        <f t="shared" ca="1" si="29"/>
        <v>0</v>
      </c>
      <c r="AA159" s="130">
        <f t="shared" ca="1" si="37"/>
        <v>0</v>
      </c>
      <c r="AB159" s="118">
        <f t="shared" si="31"/>
        <v>0</v>
      </c>
      <c r="AC159" s="118">
        <f t="shared" ca="1" si="32"/>
        <v>0</v>
      </c>
      <c r="AD159" s="118">
        <f t="shared" ca="1" si="38"/>
        <v>0</v>
      </c>
      <c r="AE159" s="118">
        <f t="shared" ca="1" si="21"/>
        <v>7589581.0988624142</v>
      </c>
      <c r="AF159" s="118">
        <f t="shared" ca="1" si="33"/>
        <v>37315.440402740198</v>
      </c>
      <c r="AG159" s="118">
        <f t="shared" ca="1" si="22"/>
        <v>8946835.5021447241</v>
      </c>
    </row>
    <row r="160" spans="1:33" x14ac:dyDescent="0.35">
      <c r="A160" s="117">
        <v>6</v>
      </c>
      <c r="B160" s="118">
        <f t="shared" ca="1" si="11"/>
        <v>1493873.5356968215</v>
      </c>
      <c r="C160" s="122">
        <f t="shared" ca="1" si="23"/>
        <v>0</v>
      </c>
      <c r="D160" s="122">
        <f t="shared" ca="1" si="12"/>
        <v>0</v>
      </c>
      <c r="E160" s="122">
        <f t="shared" ca="1" si="13"/>
        <v>0</v>
      </c>
      <c r="F160" s="124">
        <f t="shared" ca="1" si="24"/>
        <v>0</v>
      </c>
      <c r="G160" s="124">
        <f t="shared" ca="1" si="14"/>
        <v>0</v>
      </c>
      <c r="H160" s="124">
        <f t="shared" ca="1" si="15"/>
        <v>0</v>
      </c>
      <c r="I160" s="126">
        <f t="shared" ca="1" si="25"/>
        <v>0</v>
      </c>
      <c r="J160" s="126">
        <f t="shared" ca="1" si="16"/>
        <v>0</v>
      </c>
      <c r="K160" s="126">
        <f t="shared" ca="1" si="17"/>
        <v>0</v>
      </c>
      <c r="L160" s="312"/>
      <c r="M160" s="312"/>
      <c r="N160" s="312"/>
      <c r="O160" s="312"/>
      <c r="P160" s="132">
        <f t="shared" ca="1" si="26"/>
        <v>0</v>
      </c>
      <c r="Q160" s="132">
        <f ca="1">MAX(0, MIN($F$10-SUM($Q$154:Q159), B160-D160-G160-J160-M160))</f>
        <v>0</v>
      </c>
      <c r="R160" s="132">
        <f t="shared" ca="1" si="34"/>
        <v>0</v>
      </c>
      <c r="S160" s="132">
        <f t="shared" ca="1" si="35"/>
        <v>0</v>
      </c>
      <c r="T160" s="128">
        <f t="shared" ca="1" si="27"/>
        <v>8946835.5021447241</v>
      </c>
      <c r="U160" s="128">
        <f ca="1">MAX(0, MIN($F$8-SUM($U$154:U159), B160-D160-G160-J160-Q160-M160))</f>
        <v>594248.02886145189</v>
      </c>
      <c r="V160" s="128">
        <f t="shared" ca="1" si="18"/>
        <v>43988.607885544894</v>
      </c>
      <c r="W160" s="128">
        <f t="shared" ca="1" si="36"/>
        <v>9585072.1388917211</v>
      </c>
      <c r="X160" s="130">
        <f t="shared" ca="1" si="28"/>
        <v>0</v>
      </c>
      <c r="Y160" s="130">
        <f ca="1">MAX(0, MIN($F$9-SUM($Y$154:Y159), B160-D160-G160-J160-U160-Q160-M160))</f>
        <v>899625.50683536963</v>
      </c>
      <c r="Z160" s="130">
        <f t="shared" ca="1" si="29"/>
        <v>0</v>
      </c>
      <c r="AA160" s="130">
        <f t="shared" ca="1" si="37"/>
        <v>899625.50683536963</v>
      </c>
      <c r="AB160" s="118">
        <f t="shared" si="31"/>
        <v>0</v>
      </c>
      <c r="AC160" s="118">
        <f t="shared" ca="1" si="32"/>
        <v>0</v>
      </c>
      <c r="AD160" s="118">
        <f t="shared" ca="1" si="38"/>
        <v>0</v>
      </c>
      <c r="AE160" s="118">
        <f t="shared" ca="1" si="21"/>
        <v>8946835.5021447241</v>
      </c>
      <c r="AF160" s="118">
        <f t="shared" ca="1" si="33"/>
        <v>43988.607885544894</v>
      </c>
      <c r="AG160" s="118">
        <f t="shared" ca="1" si="22"/>
        <v>10484697.645727091</v>
      </c>
    </row>
    <row r="161" spans="1:33" x14ac:dyDescent="0.35">
      <c r="A161" s="117">
        <v>7</v>
      </c>
      <c r="B161" s="118">
        <f t="shared" ca="1" si="11"/>
        <v>1651241.6272284877</v>
      </c>
      <c r="C161" s="122">
        <f t="shared" ca="1" si="23"/>
        <v>0</v>
      </c>
      <c r="D161" s="122">
        <f t="shared" ca="1" si="12"/>
        <v>0</v>
      </c>
      <c r="E161" s="122">
        <f t="shared" ca="1" si="13"/>
        <v>0</v>
      </c>
      <c r="F161" s="124">
        <f t="shared" ca="1" si="24"/>
        <v>0</v>
      </c>
      <c r="G161" s="124">
        <f t="shared" ca="1" si="14"/>
        <v>0</v>
      </c>
      <c r="H161" s="124">
        <f t="shared" ca="1" si="15"/>
        <v>0</v>
      </c>
      <c r="I161" s="126">
        <f t="shared" ca="1" si="25"/>
        <v>0</v>
      </c>
      <c r="J161" s="126">
        <f t="shared" ca="1" si="16"/>
        <v>0</v>
      </c>
      <c r="K161" s="126">
        <f t="shared" ca="1" si="17"/>
        <v>0</v>
      </c>
      <c r="L161" s="312"/>
      <c r="M161" s="312"/>
      <c r="N161" s="312"/>
      <c r="O161" s="312"/>
      <c r="P161" s="132">
        <f t="shared" ca="1" si="26"/>
        <v>0</v>
      </c>
      <c r="Q161" s="132">
        <f ca="1">MAX(0, MIN($F$10-SUM($Q$154:Q160), B161-D161-G161-J161-M161))</f>
        <v>0</v>
      </c>
      <c r="R161" s="132">
        <f t="shared" ca="1" si="34"/>
        <v>0</v>
      </c>
      <c r="S161" s="132">
        <f t="shared" ca="1" si="35"/>
        <v>0</v>
      </c>
      <c r="T161" s="128">
        <f t="shared" ca="1" si="27"/>
        <v>9585072.1388917211</v>
      </c>
      <c r="U161" s="128">
        <f ca="1">MAX(0, MIN($F$8-SUM($U$154:U160), B161-D161-G161-J161-Q161-M161))</f>
        <v>0</v>
      </c>
      <c r="V161" s="128">
        <f t="shared" ca="1" si="18"/>
        <v>47126.604682884295</v>
      </c>
      <c r="W161" s="128">
        <f t="shared" ca="1" si="36"/>
        <v>9632198.7435746063</v>
      </c>
      <c r="X161" s="130">
        <f t="shared" ca="1" si="28"/>
        <v>899625.50683536963</v>
      </c>
      <c r="Y161" s="130">
        <f ca="1">MAX(0, MIN($F$9-SUM($Y$154:Y160), B161-D161-G161-J161-U161-Q161-M161))</f>
        <v>1651241.6272284877</v>
      </c>
      <c r="Z161" s="130">
        <f t="shared" ca="1" si="29"/>
        <v>4423.1587419405669</v>
      </c>
      <c r="AA161" s="130">
        <f t="shared" ca="1" si="37"/>
        <v>2555290.2928057984</v>
      </c>
      <c r="AB161" s="118">
        <f t="shared" si="31"/>
        <v>0</v>
      </c>
      <c r="AC161" s="118">
        <f t="shared" ca="1" si="32"/>
        <v>0</v>
      </c>
      <c r="AD161" s="118">
        <f t="shared" ca="1" si="38"/>
        <v>0</v>
      </c>
      <c r="AE161" s="118">
        <f t="shared" ca="1" si="21"/>
        <v>10484697.645727091</v>
      </c>
      <c r="AF161" s="118">
        <f t="shared" ca="1" si="33"/>
        <v>51549.763424824865</v>
      </c>
      <c r="AG161" s="118">
        <f t="shared" ca="1" si="22"/>
        <v>12187489.036380405</v>
      </c>
    </row>
    <row r="162" spans="1:33" x14ac:dyDescent="0.35">
      <c r="A162" s="117">
        <v>8</v>
      </c>
      <c r="B162" s="118">
        <f t="shared" ca="1" si="11"/>
        <v>1777668.7034913597</v>
      </c>
      <c r="C162" s="122">
        <f t="shared" ca="1" si="23"/>
        <v>0</v>
      </c>
      <c r="D162" s="122">
        <f t="shared" ca="1" si="12"/>
        <v>0</v>
      </c>
      <c r="E162" s="122">
        <f t="shared" ca="1" si="13"/>
        <v>0</v>
      </c>
      <c r="F162" s="124">
        <f t="shared" ca="1" si="24"/>
        <v>0</v>
      </c>
      <c r="G162" s="124">
        <f t="shared" ca="1" si="14"/>
        <v>0</v>
      </c>
      <c r="H162" s="124">
        <f t="shared" ca="1" si="15"/>
        <v>0</v>
      </c>
      <c r="I162" s="126">
        <f t="shared" ca="1" si="25"/>
        <v>0</v>
      </c>
      <c r="J162" s="126">
        <f t="shared" ca="1" si="16"/>
        <v>0</v>
      </c>
      <c r="K162" s="126">
        <f t="shared" ca="1" si="17"/>
        <v>0</v>
      </c>
      <c r="L162" s="312"/>
      <c r="M162" s="312"/>
      <c r="N162" s="312"/>
      <c r="O162" s="312"/>
      <c r="P162" s="132">
        <f t="shared" ca="1" si="26"/>
        <v>0</v>
      </c>
      <c r="Q162" s="132">
        <f ca="1">MAX(0, MIN($F$10-SUM($Q$154:Q161), B162-D162-G162-J162-M162))</f>
        <v>0</v>
      </c>
      <c r="R162" s="132">
        <f t="shared" ca="1" si="34"/>
        <v>0</v>
      </c>
      <c r="S162" s="132">
        <f t="shared" ca="1" si="35"/>
        <v>0</v>
      </c>
      <c r="T162" s="128">
        <f t="shared" ca="1" si="27"/>
        <v>9632198.7435746063</v>
      </c>
      <c r="U162" s="128">
        <f ca="1">MAX(0, MIN($F$8-SUM($U$154:U161), B162-D162-G162-J162-Q162-M162))</f>
        <v>0</v>
      </c>
      <c r="V162" s="128">
        <f t="shared" ca="1" si="18"/>
        <v>47358.310489241812</v>
      </c>
      <c r="W162" s="128">
        <f t="shared" ca="1" si="36"/>
        <v>9679557.0540638473</v>
      </c>
      <c r="X162" s="130">
        <f t="shared" ca="1" si="28"/>
        <v>2555290.2928057984</v>
      </c>
      <c r="Y162" s="130">
        <f ca="1">MAX(0, MIN($F$9-SUM($Y$154:Y161), B162-D162-G162-J162-U162-Q162-M162))</f>
        <v>1777668.7034913597</v>
      </c>
      <c r="Z162" s="130">
        <f t="shared" ca="1" si="29"/>
        <v>12563.510606295175</v>
      </c>
      <c r="AA162" s="130">
        <f t="shared" ca="1" si="37"/>
        <v>4345522.5069034537</v>
      </c>
      <c r="AB162" s="118">
        <f t="shared" si="31"/>
        <v>0</v>
      </c>
      <c r="AC162" s="118">
        <f t="shared" ca="1" si="32"/>
        <v>0</v>
      </c>
      <c r="AD162" s="118">
        <f t="shared" ca="1" si="38"/>
        <v>0</v>
      </c>
      <c r="AE162" s="118">
        <f t="shared" ca="1" si="21"/>
        <v>12187489.036380405</v>
      </c>
      <c r="AF162" s="118">
        <f t="shared" ca="1" si="33"/>
        <v>59921.821095536987</v>
      </c>
      <c r="AG162" s="118">
        <f t="shared" ca="1" si="22"/>
        <v>14025079.5609673</v>
      </c>
    </row>
    <row r="163" spans="1:33" x14ac:dyDescent="0.35">
      <c r="A163" s="117">
        <v>9</v>
      </c>
      <c r="B163" s="118">
        <f t="shared" ca="1" si="11"/>
        <v>1859881.8094784317</v>
      </c>
      <c r="C163" s="122">
        <f t="shared" ca="1" si="23"/>
        <v>0</v>
      </c>
      <c r="D163" s="122">
        <f t="shared" ca="1" si="12"/>
        <v>0</v>
      </c>
      <c r="E163" s="122">
        <f t="shared" ca="1" si="13"/>
        <v>0</v>
      </c>
      <c r="F163" s="124">
        <f t="shared" ca="1" si="24"/>
        <v>0</v>
      </c>
      <c r="G163" s="124">
        <f t="shared" ca="1" si="14"/>
        <v>0</v>
      </c>
      <c r="H163" s="124">
        <f t="shared" ca="1" si="15"/>
        <v>0</v>
      </c>
      <c r="I163" s="126">
        <f t="shared" ca="1" si="25"/>
        <v>0</v>
      </c>
      <c r="J163" s="126">
        <f t="shared" ca="1" si="16"/>
        <v>0</v>
      </c>
      <c r="K163" s="126">
        <f t="shared" ca="1" si="17"/>
        <v>0</v>
      </c>
      <c r="L163" s="312"/>
      <c r="M163" s="312"/>
      <c r="N163" s="312"/>
      <c r="O163" s="312"/>
      <c r="P163" s="132">
        <f t="shared" ca="1" si="26"/>
        <v>0</v>
      </c>
      <c r="Q163" s="132">
        <f ca="1">MAX(0, MIN($F$10-SUM($Q$154:Q162), B163-D163-G163-J163-M163))</f>
        <v>0</v>
      </c>
      <c r="R163" s="132">
        <f t="shared" ca="1" si="34"/>
        <v>0</v>
      </c>
      <c r="S163" s="132">
        <f t="shared" ca="1" si="35"/>
        <v>0</v>
      </c>
      <c r="T163" s="128">
        <f t="shared" ca="1" si="27"/>
        <v>9679557.0540638473</v>
      </c>
      <c r="U163" s="128">
        <f ca="1">MAX(0, MIN($F$8-SUM($U$154:U162), B163-D163-G163-J163-Q163-M163))</f>
        <v>0</v>
      </c>
      <c r="V163" s="128">
        <f t="shared" ca="1" si="18"/>
        <v>47591.155515813916</v>
      </c>
      <c r="W163" s="128">
        <f t="shared" ca="1" si="36"/>
        <v>9727148.2095796615</v>
      </c>
      <c r="X163" s="130">
        <f t="shared" ca="1" si="28"/>
        <v>4345522.5069034537</v>
      </c>
      <c r="Y163" s="130">
        <f ca="1">MAX(0, MIN($F$9-SUM($Y$154:Y162), B163-D163-G163-J163-U163-Q163-M163))</f>
        <v>1859881.8094784317</v>
      </c>
      <c r="Z163" s="130">
        <f t="shared" ca="1" si="29"/>
        <v>21365.48565894198</v>
      </c>
      <c r="AA163" s="130">
        <f t="shared" ca="1" si="37"/>
        <v>6226769.8020408275</v>
      </c>
      <c r="AB163" s="118">
        <f t="shared" si="31"/>
        <v>0</v>
      </c>
      <c r="AC163" s="118">
        <f t="shared" ca="1" si="32"/>
        <v>0</v>
      </c>
      <c r="AD163" s="118">
        <f t="shared" ca="1" si="38"/>
        <v>0</v>
      </c>
      <c r="AE163" s="118">
        <f t="shared" ca="1" si="21"/>
        <v>14025079.5609673</v>
      </c>
      <c r="AF163" s="118">
        <f t="shared" ca="1" si="33"/>
        <v>68956.641174755903</v>
      </c>
      <c r="AG163" s="118">
        <f t="shared" ca="1" si="22"/>
        <v>15953918.011620488</v>
      </c>
    </row>
    <row r="164" spans="1:33" x14ac:dyDescent="0.35">
      <c r="A164" s="117">
        <v>10</v>
      </c>
      <c r="B164" s="118">
        <f t="shared" ca="1" si="11"/>
        <v>1888430.2558542376</v>
      </c>
      <c r="C164" s="122">
        <f t="shared" ca="1" si="23"/>
        <v>0</v>
      </c>
      <c r="D164" s="122">
        <f t="shared" ca="1" si="12"/>
        <v>0</v>
      </c>
      <c r="E164" s="122">
        <f t="shared" ca="1" si="13"/>
        <v>0</v>
      </c>
      <c r="F164" s="124">
        <f t="shared" ca="1" si="24"/>
        <v>0</v>
      </c>
      <c r="G164" s="124">
        <f t="shared" ca="1" si="14"/>
        <v>0</v>
      </c>
      <c r="H164" s="124">
        <f t="shared" ca="1" si="15"/>
        <v>0</v>
      </c>
      <c r="I164" s="126">
        <f t="shared" ca="1" si="25"/>
        <v>0</v>
      </c>
      <c r="J164" s="126">
        <f t="shared" ca="1" si="16"/>
        <v>0</v>
      </c>
      <c r="K164" s="126">
        <f t="shared" ca="1" si="17"/>
        <v>0</v>
      </c>
      <c r="L164" s="312"/>
      <c r="M164" s="312"/>
      <c r="N164" s="312"/>
      <c r="O164" s="312"/>
      <c r="P164" s="132">
        <f t="shared" ca="1" si="26"/>
        <v>0</v>
      </c>
      <c r="Q164" s="132">
        <f ca="1">MAX(0, MIN($F$10-SUM($Q$154:Q163), B164-D164-G164-J164-M164))</f>
        <v>0</v>
      </c>
      <c r="R164" s="132">
        <f t="shared" ca="1" si="34"/>
        <v>0</v>
      </c>
      <c r="S164" s="132">
        <f t="shared" ca="1" si="35"/>
        <v>0</v>
      </c>
      <c r="T164" s="128">
        <f t="shared" ca="1" si="27"/>
        <v>9727148.2095796615</v>
      </c>
      <c r="U164" s="128">
        <f ca="1">MAX(0, MIN($F$8-SUM($U$154:U163), B164-D164-G164-J164-Q164-M164))</f>
        <v>0</v>
      </c>
      <c r="V164" s="128">
        <f t="shared" ca="1" si="18"/>
        <v>47825.145363766664</v>
      </c>
      <c r="W164" s="128">
        <f t="shared" ca="1" si="36"/>
        <v>9774973.3549434282</v>
      </c>
      <c r="X164" s="130">
        <f t="shared" ca="1" si="28"/>
        <v>6226769.8020408275</v>
      </c>
      <c r="Y164" s="130">
        <f ca="1">MAX(0, MIN($F$9-SUM($Y$154:Y163), B164-D164-G164-J164-U164-Q164-M164))</f>
        <v>1888430.2558542376</v>
      </c>
      <c r="Z164" s="130">
        <f t="shared" ca="1" si="29"/>
        <v>30614.951526700734</v>
      </c>
      <c r="AA164" s="130">
        <f t="shared" ca="1" si="37"/>
        <v>8145815.0094217658</v>
      </c>
      <c r="AB164" s="118">
        <f t="shared" si="31"/>
        <v>0</v>
      </c>
      <c r="AC164" s="118">
        <f t="shared" ca="1" si="32"/>
        <v>0</v>
      </c>
      <c r="AD164" s="118">
        <f t="shared" ca="1" si="38"/>
        <v>0</v>
      </c>
      <c r="AE164" s="118">
        <f t="shared" ca="1" si="21"/>
        <v>15953918.011620488</v>
      </c>
      <c r="AF164" s="118">
        <f t="shared" ca="1" si="33"/>
        <v>78440.096890467394</v>
      </c>
      <c r="AG164" s="118">
        <f t="shared" ca="1" si="22"/>
        <v>17920788.364365194</v>
      </c>
    </row>
    <row r="165" spans="1:33" x14ac:dyDescent="0.35">
      <c r="A165" s="117">
        <v>11</v>
      </c>
      <c r="B165" s="118">
        <f t="shared" ca="1" si="11"/>
        <v>1859881.8094784284</v>
      </c>
      <c r="C165" s="122">
        <f t="shared" ca="1" si="23"/>
        <v>0</v>
      </c>
      <c r="D165" s="122">
        <f t="shared" ca="1" si="12"/>
        <v>0</v>
      </c>
      <c r="E165" s="122">
        <f t="shared" ca="1" si="13"/>
        <v>0</v>
      </c>
      <c r="F165" s="124">
        <f t="shared" ca="1" si="24"/>
        <v>0</v>
      </c>
      <c r="G165" s="124">
        <f t="shared" ca="1" si="14"/>
        <v>0</v>
      </c>
      <c r="H165" s="124">
        <f t="shared" ca="1" si="15"/>
        <v>0</v>
      </c>
      <c r="I165" s="126">
        <f t="shared" ca="1" si="25"/>
        <v>0</v>
      </c>
      <c r="J165" s="126">
        <f t="shared" ca="1" si="16"/>
        <v>0</v>
      </c>
      <c r="K165" s="126">
        <f t="shared" ca="1" si="17"/>
        <v>0</v>
      </c>
      <c r="L165" s="312"/>
      <c r="M165" s="312"/>
      <c r="N165" s="312"/>
      <c r="O165" s="312"/>
      <c r="P165" s="132">
        <f t="shared" ca="1" si="26"/>
        <v>0</v>
      </c>
      <c r="Q165" s="132">
        <f ca="1">MAX(0, MIN($F$10-SUM($Q$154:Q164), B165-D165-G165-J165-M165))</f>
        <v>0</v>
      </c>
      <c r="R165" s="132">
        <f t="shared" ca="1" si="34"/>
        <v>0</v>
      </c>
      <c r="S165" s="132">
        <f t="shared" ca="1" si="35"/>
        <v>0</v>
      </c>
      <c r="T165" s="128">
        <f t="shared" ca="1" si="27"/>
        <v>9774973.3549434282</v>
      </c>
      <c r="U165" s="128">
        <f ca="1">MAX(0, MIN($F$8-SUM($U$154:U164), B165-D165-G165-J165-Q165-M165))</f>
        <v>0</v>
      </c>
      <c r="V165" s="128">
        <f t="shared" ca="1" si="18"/>
        <v>48060.285661805188</v>
      </c>
      <c r="W165" s="128">
        <f t="shared" ca="1" si="36"/>
        <v>9823033.6406052336</v>
      </c>
      <c r="X165" s="130">
        <f t="shared" ca="1" si="28"/>
        <v>8145815.0094217658</v>
      </c>
      <c r="Y165" s="130">
        <f ca="1">MAX(0, MIN($F$9-SUM($Y$154:Y164), B165-D165-G165-J165-U165-Q165-M165))</f>
        <v>1859881.8094784284</v>
      </c>
      <c r="Z165" s="130">
        <f t="shared" ca="1" si="29"/>
        <v>40050.25712965701</v>
      </c>
      <c r="AA165" s="130">
        <f t="shared" ca="1" si="37"/>
        <v>10045747.07602985</v>
      </c>
      <c r="AB165" s="118">
        <f t="shared" si="31"/>
        <v>0</v>
      </c>
      <c r="AC165" s="118">
        <f t="shared" ca="1" si="32"/>
        <v>0</v>
      </c>
      <c r="AD165" s="118">
        <f t="shared" ca="1" si="38"/>
        <v>0</v>
      </c>
      <c r="AE165" s="118">
        <f t="shared" ca="1" si="21"/>
        <v>17920788.364365194</v>
      </c>
      <c r="AF165" s="118">
        <f t="shared" ca="1" si="33"/>
        <v>88110.542791462198</v>
      </c>
      <c r="AG165" s="118">
        <f t="shared" ca="1" si="22"/>
        <v>19868780.716635086</v>
      </c>
    </row>
    <row r="166" spans="1:33" x14ac:dyDescent="0.35">
      <c r="A166" s="117">
        <v>12</v>
      </c>
      <c r="B166" s="118">
        <f t="shared" ca="1" si="11"/>
        <v>1777668.7034913597</v>
      </c>
      <c r="C166" s="122">
        <f t="shared" ca="1" si="23"/>
        <v>0</v>
      </c>
      <c r="D166" s="122">
        <f t="shared" ca="1" si="12"/>
        <v>0</v>
      </c>
      <c r="E166" s="122">
        <f t="shared" ca="1" si="13"/>
        <v>0</v>
      </c>
      <c r="F166" s="124">
        <f t="shared" ca="1" si="24"/>
        <v>0</v>
      </c>
      <c r="G166" s="124">
        <f t="shared" ca="1" si="14"/>
        <v>0</v>
      </c>
      <c r="H166" s="124">
        <f t="shared" ca="1" si="15"/>
        <v>0</v>
      </c>
      <c r="I166" s="126">
        <f t="shared" ca="1" si="25"/>
        <v>0</v>
      </c>
      <c r="J166" s="126">
        <f t="shared" ca="1" si="16"/>
        <v>0</v>
      </c>
      <c r="K166" s="126">
        <f t="shared" ca="1" si="17"/>
        <v>0</v>
      </c>
      <c r="L166" s="312"/>
      <c r="M166" s="312"/>
      <c r="N166" s="312"/>
      <c r="O166" s="312"/>
      <c r="P166" s="132">
        <f t="shared" ca="1" si="26"/>
        <v>0</v>
      </c>
      <c r="Q166" s="132">
        <f ca="1">MAX(0, MIN($F$10-SUM($Q$154:Q165), B166-D166-G166-J166-M166))</f>
        <v>0</v>
      </c>
      <c r="R166" s="132">
        <f t="shared" ca="1" si="34"/>
        <v>0</v>
      </c>
      <c r="S166" s="132">
        <f t="shared" ca="1" si="35"/>
        <v>0</v>
      </c>
      <c r="T166" s="128">
        <f t="shared" ca="1" si="27"/>
        <v>9823033.6406052336</v>
      </c>
      <c r="U166" s="128">
        <f ca="1">MAX(0, MIN($F$8-SUM($U$154:U165), B166-D166-G166-J166-Q166-M166))</f>
        <v>0</v>
      </c>
      <c r="V166" s="128">
        <f t="shared" ca="1" si="18"/>
        <v>48296.582066309064</v>
      </c>
      <c r="W166" s="128">
        <f t="shared" ca="1" si="36"/>
        <v>9871330.2226715423</v>
      </c>
      <c r="X166" s="130">
        <f t="shared" ca="1" si="28"/>
        <v>10045747.07602985</v>
      </c>
      <c r="Y166" s="130">
        <f ca="1">MAX(0, MIN($F$9-SUM($Y$154:Y165), B166-D166-G166-J166-U166-Q166-M166))</f>
        <v>1777668.7034913597</v>
      </c>
      <c r="Z166" s="130">
        <f t="shared" ca="1" si="29"/>
        <v>49391.589790480095</v>
      </c>
      <c r="AA166" s="130">
        <f t="shared" ca="1" si="37"/>
        <v>11872807.36931169</v>
      </c>
      <c r="AB166" s="118">
        <f t="shared" si="31"/>
        <v>0</v>
      </c>
      <c r="AC166" s="118">
        <f t="shared" ca="1" si="32"/>
        <v>0</v>
      </c>
      <c r="AD166" s="118">
        <f t="shared" ca="1" si="38"/>
        <v>0</v>
      </c>
      <c r="AE166" s="118">
        <f t="shared" ca="1" si="21"/>
        <v>19868780.716635086</v>
      </c>
      <c r="AF166" s="118">
        <f t="shared" ca="1" si="33"/>
        <v>97688.171856789151</v>
      </c>
      <c r="AG166" s="118">
        <f t="shared" ca="1" si="22"/>
        <v>21744137.591983233</v>
      </c>
    </row>
    <row r="167" spans="1:33" x14ac:dyDescent="0.35">
      <c r="A167" s="117">
        <v>13</v>
      </c>
      <c r="B167" s="118">
        <f t="shared" ca="1" si="11"/>
        <v>1651241.6272284894</v>
      </c>
      <c r="C167" s="122">
        <f t="shared" ca="1" si="23"/>
        <v>0</v>
      </c>
      <c r="D167" s="122">
        <f t="shared" ca="1" si="12"/>
        <v>0</v>
      </c>
      <c r="E167" s="122">
        <f t="shared" ca="1" si="13"/>
        <v>0</v>
      </c>
      <c r="F167" s="124">
        <f t="shared" ca="1" si="24"/>
        <v>0</v>
      </c>
      <c r="G167" s="124">
        <f t="shared" ca="1" si="14"/>
        <v>0</v>
      </c>
      <c r="H167" s="124">
        <f t="shared" ca="1" si="15"/>
        <v>0</v>
      </c>
      <c r="I167" s="126">
        <f t="shared" ca="1" si="25"/>
        <v>0</v>
      </c>
      <c r="J167" s="126">
        <f t="shared" ca="1" si="16"/>
        <v>0</v>
      </c>
      <c r="K167" s="126">
        <f t="shared" ca="1" si="17"/>
        <v>0</v>
      </c>
      <c r="L167" s="312"/>
      <c r="M167" s="312"/>
      <c r="N167" s="312"/>
      <c r="O167" s="312"/>
      <c r="P167" s="132">
        <f t="shared" ca="1" si="26"/>
        <v>0</v>
      </c>
      <c r="Q167" s="132">
        <f ca="1">MAX(0, MIN($F$10-SUM($Q$154:Q166), B167-D167-G167-J167-M167))</f>
        <v>0</v>
      </c>
      <c r="R167" s="132">
        <f t="shared" ca="1" si="34"/>
        <v>0</v>
      </c>
      <c r="S167" s="132">
        <f t="shared" ca="1" si="35"/>
        <v>0</v>
      </c>
      <c r="T167" s="128">
        <f t="shared" ca="1" si="27"/>
        <v>9871330.2226715423</v>
      </c>
      <c r="U167" s="128">
        <f ca="1">MAX(0, MIN($F$8-SUM($U$154:U166), B167-D167-G167-J167-Q167-M167))</f>
        <v>0</v>
      </c>
      <c r="V167" s="128">
        <f t="shared" ca="1" si="18"/>
        <v>48534.040261468414</v>
      </c>
      <c r="W167" s="128">
        <f t="shared" ca="1" si="36"/>
        <v>9919864.2629330102</v>
      </c>
      <c r="X167" s="130">
        <f t="shared" ca="1" si="28"/>
        <v>11872807.36931169</v>
      </c>
      <c r="Y167" s="130">
        <f ca="1">MAX(0, MIN($F$9-SUM($Y$154:Y166), B167-D167-G167-J167-U167-Q167-M167))</f>
        <v>1651241.6272284894</v>
      </c>
      <c r="Z167" s="130">
        <f t="shared" ca="1" si="29"/>
        <v>58374.636232449142</v>
      </c>
      <c r="AA167" s="130">
        <f t="shared" ca="1" si="37"/>
        <v>13582423.632772628</v>
      </c>
      <c r="AB167" s="118">
        <f t="shared" si="31"/>
        <v>0</v>
      </c>
      <c r="AC167" s="118">
        <f t="shared" ca="1" si="32"/>
        <v>0</v>
      </c>
      <c r="AD167" s="118">
        <f t="shared" ca="1" si="38"/>
        <v>0</v>
      </c>
      <c r="AE167" s="118">
        <f t="shared" ca="1" si="21"/>
        <v>21744137.591983233</v>
      </c>
      <c r="AF167" s="118">
        <f t="shared" ca="1" si="33"/>
        <v>106908.67649391756</v>
      </c>
      <c r="AG167" s="118">
        <f t="shared" ca="1" si="22"/>
        <v>23502287.89570564</v>
      </c>
    </row>
    <row r="168" spans="1:33" x14ac:dyDescent="0.35">
      <c r="A168" s="117">
        <v>14</v>
      </c>
      <c r="B168" s="118">
        <f t="shared" ca="1" si="11"/>
        <v>1493873.5356968208</v>
      </c>
      <c r="C168" s="122">
        <f t="shared" ca="1" si="23"/>
        <v>0</v>
      </c>
      <c r="D168" s="122">
        <f t="shared" ca="1" si="12"/>
        <v>0</v>
      </c>
      <c r="E168" s="122">
        <f t="shared" ca="1" si="13"/>
        <v>0</v>
      </c>
      <c r="F168" s="124">
        <f t="shared" ca="1" si="24"/>
        <v>0</v>
      </c>
      <c r="G168" s="124">
        <f t="shared" ca="1" si="14"/>
        <v>0</v>
      </c>
      <c r="H168" s="124">
        <f t="shared" ca="1" si="15"/>
        <v>0</v>
      </c>
      <c r="I168" s="126">
        <f t="shared" ca="1" si="25"/>
        <v>0</v>
      </c>
      <c r="J168" s="126">
        <f t="shared" ca="1" si="16"/>
        <v>0</v>
      </c>
      <c r="K168" s="126">
        <f t="shared" ca="1" si="17"/>
        <v>0</v>
      </c>
      <c r="L168" s="312"/>
      <c r="M168" s="312"/>
      <c r="N168" s="312"/>
      <c r="O168" s="312"/>
      <c r="P168" s="132">
        <f t="shared" ca="1" si="26"/>
        <v>0</v>
      </c>
      <c r="Q168" s="132">
        <f ca="1">MAX(0, MIN($F$10-SUM($Q$154:Q167), B168-D168-G168-J168-M168))</f>
        <v>0</v>
      </c>
      <c r="R168" s="132">
        <f t="shared" ca="1" si="34"/>
        <v>0</v>
      </c>
      <c r="S168" s="132">
        <f t="shared" ca="1" si="35"/>
        <v>0</v>
      </c>
      <c r="T168" s="128">
        <f t="shared" ca="1" si="27"/>
        <v>9919864.2629330102</v>
      </c>
      <c r="U168" s="128">
        <f ca="1">MAX(0, MIN($F$8-SUM($U$154:U167), B168-D168-G168-J168-Q168-M168))</f>
        <v>0</v>
      </c>
      <c r="V168" s="128">
        <f t="shared" ca="1" si="18"/>
        <v>48772.665959420628</v>
      </c>
      <c r="W168" s="128">
        <f t="shared" ca="1" si="36"/>
        <v>9968636.9288924318</v>
      </c>
      <c r="X168" s="130">
        <f t="shared" ca="1" si="28"/>
        <v>13582423.632772628</v>
      </c>
      <c r="Y168" s="130">
        <f ca="1">MAX(0, MIN($F$9-SUM($Y$154:Y167), B168-D168-G168-J168-U168-Q168-M168))</f>
        <v>1493873.5356968208</v>
      </c>
      <c r="Z168" s="130">
        <f t="shared" ca="1" si="29"/>
        <v>66780.249527798747</v>
      </c>
      <c r="AA168" s="130">
        <f t="shared" ca="1" si="37"/>
        <v>15143077.417997248</v>
      </c>
      <c r="AB168" s="118">
        <f t="shared" si="31"/>
        <v>0</v>
      </c>
      <c r="AC168" s="118">
        <f t="shared" ca="1" si="32"/>
        <v>0</v>
      </c>
      <c r="AD168" s="118">
        <f t="shared" ca="1" si="38"/>
        <v>0</v>
      </c>
      <c r="AE168" s="118">
        <f t="shared" ca="1" si="21"/>
        <v>23502287.89570564</v>
      </c>
      <c r="AF168" s="118">
        <f t="shared" ca="1" si="33"/>
        <v>115552.91548721938</v>
      </c>
      <c r="AG168" s="118">
        <f t="shared" ca="1" si="22"/>
        <v>25111714.346889682</v>
      </c>
    </row>
    <row r="169" spans="1:33" x14ac:dyDescent="0.35">
      <c r="A169" s="117">
        <v>15</v>
      </c>
      <c r="B169" s="118">
        <f t="shared" ca="1" si="11"/>
        <v>1319938.9628795721</v>
      </c>
      <c r="C169" s="122">
        <f t="shared" ca="1" si="23"/>
        <v>0</v>
      </c>
      <c r="D169" s="122">
        <f t="shared" ca="1" si="12"/>
        <v>0</v>
      </c>
      <c r="E169" s="122">
        <f t="shared" ca="1" si="13"/>
        <v>0</v>
      </c>
      <c r="F169" s="124">
        <f t="shared" ca="1" si="24"/>
        <v>0</v>
      </c>
      <c r="G169" s="124">
        <f t="shared" ca="1" si="14"/>
        <v>0</v>
      </c>
      <c r="H169" s="124">
        <f t="shared" ca="1" si="15"/>
        <v>0</v>
      </c>
      <c r="I169" s="126">
        <f t="shared" ca="1" si="25"/>
        <v>0</v>
      </c>
      <c r="J169" s="126">
        <f t="shared" ca="1" si="16"/>
        <v>0</v>
      </c>
      <c r="K169" s="126">
        <f t="shared" ca="1" si="17"/>
        <v>0</v>
      </c>
      <c r="L169" s="312"/>
      <c r="M169" s="312"/>
      <c r="N169" s="312"/>
      <c r="O169" s="312"/>
      <c r="P169" s="132">
        <f t="shared" ca="1" si="26"/>
        <v>0</v>
      </c>
      <c r="Q169" s="132">
        <f ca="1">MAX(0, MIN($F$10-SUM($Q$154:Q168), B169-D169-G169-J169-M169))</f>
        <v>0</v>
      </c>
      <c r="R169" s="132">
        <f t="shared" ca="1" si="34"/>
        <v>0</v>
      </c>
      <c r="S169" s="132">
        <f t="shared" ca="1" si="35"/>
        <v>0</v>
      </c>
      <c r="T169" s="128">
        <f t="shared" ca="1" si="27"/>
        <v>9968636.9288924318</v>
      </c>
      <c r="U169" s="128">
        <f ca="1">MAX(0, MIN($F$8-SUM($U$154:U168), B169-D169-G169-J169-Q169-M169))</f>
        <v>0</v>
      </c>
      <c r="V169" s="128">
        <f t="shared" ca="1" si="18"/>
        <v>49012.464900387786</v>
      </c>
      <c r="W169" s="128">
        <f t="shared" ca="1" si="36"/>
        <v>10017649.393792819</v>
      </c>
      <c r="X169" s="130">
        <f t="shared" ca="1" si="28"/>
        <v>15143077.417997248</v>
      </c>
      <c r="Y169" s="130">
        <f ca="1">MAX(0, MIN($F$9-SUM($Y$154:Y168), B169-D169-G169-J169-U169-Q169-M169))</f>
        <v>1319938.9628795721</v>
      </c>
      <c r="Z169" s="130">
        <f t="shared" ca="1" si="29"/>
        <v>74453.463971819801</v>
      </c>
      <c r="AA169" s="130">
        <f t="shared" ca="1" si="37"/>
        <v>16537469.84484864</v>
      </c>
      <c r="AB169" s="118">
        <f t="shared" si="31"/>
        <v>0</v>
      </c>
      <c r="AC169" s="118">
        <f t="shared" ca="1" si="32"/>
        <v>0</v>
      </c>
      <c r="AD169" s="118">
        <f t="shared" ca="1" si="38"/>
        <v>0</v>
      </c>
      <c r="AE169" s="118">
        <f t="shared" ca="1" si="21"/>
        <v>25111714.346889682</v>
      </c>
      <c r="AF169" s="118">
        <f t="shared" ca="1" si="33"/>
        <v>123465.92887220759</v>
      </c>
      <c r="AG169" s="118">
        <f t="shared" ca="1" si="22"/>
        <v>26555119.238641459</v>
      </c>
    </row>
    <row r="170" spans="1:33" x14ac:dyDescent="0.35">
      <c r="A170" s="117">
        <v>16</v>
      </c>
      <c r="B170" s="118">
        <f t="shared" ca="1" si="11"/>
        <v>1142534.6062950885</v>
      </c>
      <c r="C170" s="122">
        <f t="shared" ca="1" si="23"/>
        <v>0</v>
      </c>
      <c r="D170" s="122">
        <f t="shared" ca="1" si="12"/>
        <v>0</v>
      </c>
      <c r="E170" s="122">
        <f t="shared" ca="1" si="13"/>
        <v>0</v>
      </c>
      <c r="F170" s="124">
        <f t="shared" ca="1" si="24"/>
        <v>0</v>
      </c>
      <c r="G170" s="124">
        <f t="shared" ca="1" si="14"/>
        <v>0</v>
      </c>
      <c r="H170" s="124">
        <f t="shared" ca="1" si="15"/>
        <v>0</v>
      </c>
      <c r="I170" s="126">
        <f t="shared" ca="1" si="25"/>
        <v>0</v>
      </c>
      <c r="J170" s="126">
        <f t="shared" ca="1" si="16"/>
        <v>0</v>
      </c>
      <c r="K170" s="126">
        <f t="shared" ca="1" si="17"/>
        <v>0</v>
      </c>
      <c r="L170" s="312"/>
      <c r="M170" s="312"/>
      <c r="N170" s="312"/>
      <c r="O170" s="312"/>
      <c r="P170" s="132">
        <f t="shared" ca="1" si="26"/>
        <v>0</v>
      </c>
      <c r="Q170" s="132">
        <f ca="1">MAX(0, MIN($F$10-SUM($Q$154:Q169), B170-D170-G170-J170-M170))</f>
        <v>0</v>
      </c>
      <c r="R170" s="132">
        <f t="shared" ca="1" si="34"/>
        <v>0</v>
      </c>
      <c r="S170" s="132">
        <f t="shared" ca="1" si="35"/>
        <v>0</v>
      </c>
      <c r="T170" s="128">
        <f t="shared" ca="1" si="27"/>
        <v>10017649.393792819</v>
      </c>
      <c r="U170" s="128">
        <f ca="1">MAX(0, MIN($F$8-SUM($U$154:U169), B170-D170-G170-J170-Q170-M170))</f>
        <v>0</v>
      </c>
      <c r="V170" s="128">
        <f t="shared" ca="1" si="18"/>
        <v>49253.442852814689</v>
      </c>
      <c r="W170" s="128">
        <f t="shared" ca="1" si="36"/>
        <v>10066902.836645635</v>
      </c>
      <c r="X170" s="130">
        <f t="shared" ca="1" si="28"/>
        <v>16537469.84484864</v>
      </c>
      <c r="Y170" s="130">
        <f ca="1">MAX(0, MIN($F$9-SUM($Y$154:Y169), B170-D170-G170-J170-U170-Q170-M170))</f>
        <v>1142534.6062950885</v>
      </c>
      <c r="Z170" s="130">
        <f t="shared" ca="1" si="29"/>
        <v>81309.226737172474</v>
      </c>
      <c r="AA170" s="130">
        <f t="shared" ca="1" si="37"/>
        <v>17761313.677880902</v>
      </c>
      <c r="AB170" s="118">
        <f t="shared" si="31"/>
        <v>0</v>
      </c>
      <c r="AC170" s="118">
        <f t="shared" ca="1" si="32"/>
        <v>0</v>
      </c>
      <c r="AD170" s="118">
        <f t="shared" ca="1" si="38"/>
        <v>0</v>
      </c>
      <c r="AE170" s="118">
        <f t="shared" ca="1" si="21"/>
        <v>26555119.238641459</v>
      </c>
      <c r="AF170" s="118">
        <f t="shared" ca="1" si="33"/>
        <v>130562.66958998717</v>
      </c>
      <c r="AG170" s="118">
        <f t="shared" ca="1" si="22"/>
        <v>27828216.514526539</v>
      </c>
    </row>
    <row r="171" spans="1:33" x14ac:dyDescent="0.35">
      <c r="A171" s="117">
        <v>17</v>
      </c>
      <c r="B171" s="118">
        <f t="shared" ca="1" si="11"/>
        <v>971973.86037263903</v>
      </c>
      <c r="C171" s="122">
        <f t="shared" ca="1" si="23"/>
        <v>0</v>
      </c>
      <c r="D171" s="122">
        <f t="shared" ca="1" si="12"/>
        <v>0</v>
      </c>
      <c r="E171" s="122">
        <f t="shared" ca="1" si="13"/>
        <v>0</v>
      </c>
      <c r="F171" s="124">
        <f t="shared" ca="1" si="24"/>
        <v>0</v>
      </c>
      <c r="G171" s="124">
        <f t="shared" ca="1" si="14"/>
        <v>0</v>
      </c>
      <c r="H171" s="124">
        <f t="shared" ca="1" si="15"/>
        <v>0</v>
      </c>
      <c r="I171" s="126">
        <f t="shared" ca="1" si="25"/>
        <v>0</v>
      </c>
      <c r="J171" s="126">
        <f t="shared" ca="1" si="16"/>
        <v>0</v>
      </c>
      <c r="K171" s="126">
        <f t="shared" ca="1" si="17"/>
        <v>0</v>
      </c>
      <c r="L171" s="312"/>
      <c r="M171" s="312"/>
      <c r="N171" s="312"/>
      <c r="O171" s="312"/>
      <c r="P171" s="132">
        <f t="shared" ca="1" si="26"/>
        <v>0</v>
      </c>
      <c r="Q171" s="132">
        <f ca="1">MAX(0, MIN($F$10-SUM($Q$154:Q170), B171-D171-G171-J171-M171))</f>
        <v>0</v>
      </c>
      <c r="R171" s="132">
        <f t="shared" ca="1" si="34"/>
        <v>0</v>
      </c>
      <c r="S171" s="132">
        <f t="shared" ca="1" si="35"/>
        <v>0</v>
      </c>
      <c r="T171" s="128">
        <f t="shared" ca="1" si="27"/>
        <v>10066902.836645635</v>
      </c>
      <c r="U171" s="128">
        <f ca="1">MAX(0, MIN($F$8-SUM($U$154:U170), B171-D171-G171-J171-Q171-M171))</f>
        <v>0</v>
      </c>
      <c r="V171" s="128">
        <f t="shared" ca="1" si="18"/>
        <v>49495.605613507701</v>
      </c>
      <c r="W171" s="128">
        <f t="shared" ca="1" si="36"/>
        <v>10116398.442259142</v>
      </c>
      <c r="X171" s="130">
        <f t="shared" ca="1" si="28"/>
        <v>17761313.677880902</v>
      </c>
      <c r="Y171" s="130">
        <f ca="1">MAX(0, MIN($F$9-SUM($Y$154:Y170), B171-D171-G171-J171-U171-Q171-M171))</f>
        <v>971973.86037263903</v>
      </c>
      <c r="Z171" s="130">
        <f t="shared" ca="1" si="29"/>
        <v>87326.458916247764</v>
      </c>
      <c r="AA171" s="130">
        <f t="shared" ca="1" si="37"/>
        <v>18820613.997169789</v>
      </c>
      <c r="AB171" s="118">
        <f t="shared" si="31"/>
        <v>0</v>
      </c>
      <c r="AC171" s="118">
        <f t="shared" ca="1" si="32"/>
        <v>0</v>
      </c>
      <c r="AD171" s="118">
        <f t="shared" ca="1" si="38"/>
        <v>0</v>
      </c>
      <c r="AE171" s="118">
        <f t="shared" ca="1" si="21"/>
        <v>27828216.514526539</v>
      </c>
      <c r="AF171" s="118">
        <f t="shared" ca="1" si="33"/>
        <v>136822.06452975547</v>
      </c>
      <c r="AG171" s="118">
        <f t="shared" ca="1" si="22"/>
        <v>28937012.439428933</v>
      </c>
    </row>
    <row r="172" spans="1:33" x14ac:dyDescent="0.35">
      <c r="A172" s="117">
        <v>18</v>
      </c>
      <c r="B172" s="118">
        <f t="shared" ca="1" si="11"/>
        <v>815247.91559701378</v>
      </c>
      <c r="C172" s="122">
        <f t="shared" ca="1" si="23"/>
        <v>0</v>
      </c>
      <c r="D172" s="122">
        <f t="shared" ca="1" si="12"/>
        <v>0</v>
      </c>
      <c r="E172" s="122">
        <f t="shared" ca="1" si="13"/>
        <v>0</v>
      </c>
      <c r="F172" s="124">
        <f t="shared" ca="1" si="24"/>
        <v>0</v>
      </c>
      <c r="G172" s="124">
        <f t="shared" ca="1" si="14"/>
        <v>0</v>
      </c>
      <c r="H172" s="124">
        <f t="shared" ca="1" si="15"/>
        <v>0</v>
      </c>
      <c r="I172" s="126">
        <f t="shared" ca="1" si="25"/>
        <v>0</v>
      </c>
      <c r="J172" s="126">
        <f t="shared" ca="1" si="16"/>
        <v>0</v>
      </c>
      <c r="K172" s="126">
        <f t="shared" ca="1" si="17"/>
        <v>0</v>
      </c>
      <c r="L172" s="312"/>
      <c r="M172" s="312"/>
      <c r="N172" s="312"/>
      <c r="O172" s="312"/>
      <c r="P172" s="132">
        <f t="shared" ca="1" si="26"/>
        <v>0</v>
      </c>
      <c r="Q172" s="132">
        <f ca="1">MAX(0, MIN($F$10-SUM($Q$154:Q171), B172-D172-G172-J172-M172))</f>
        <v>0</v>
      </c>
      <c r="R172" s="132">
        <f t="shared" ca="1" si="34"/>
        <v>0</v>
      </c>
      <c r="S172" s="132">
        <f t="shared" ca="1" si="35"/>
        <v>0</v>
      </c>
      <c r="T172" s="128">
        <f t="shared" ca="1" si="27"/>
        <v>10116398.442259142</v>
      </c>
      <c r="U172" s="128">
        <f ca="1">MAX(0, MIN($F$8-SUM($U$154:U171), B172-D172-G172-J172-Q172-M172))</f>
        <v>0</v>
      </c>
      <c r="V172" s="128">
        <f t="shared" ca="1" si="18"/>
        <v>49738.959007774116</v>
      </c>
      <c r="W172" s="128">
        <f t="shared" ca="1" si="36"/>
        <v>10166137.401266916</v>
      </c>
      <c r="X172" s="130">
        <f t="shared" ca="1" si="28"/>
        <v>18820613.997169789</v>
      </c>
      <c r="Y172" s="130">
        <f ca="1">MAX(0, MIN($F$9-SUM($Y$154:Y171), B172-D172-G172-J172-U172-Q172-M172))</f>
        <v>815247.91559701378</v>
      </c>
      <c r="Z172" s="130">
        <f t="shared" ca="1" si="29"/>
        <v>92534.685486084796</v>
      </c>
      <c r="AA172" s="130">
        <f t="shared" ca="1" si="37"/>
        <v>19728396.598252889</v>
      </c>
      <c r="AB172" s="118">
        <f t="shared" si="31"/>
        <v>0</v>
      </c>
      <c r="AC172" s="118">
        <f t="shared" ca="1" si="32"/>
        <v>0</v>
      </c>
      <c r="AD172" s="118">
        <f t="shared" ca="1" si="38"/>
        <v>0</v>
      </c>
      <c r="AE172" s="118">
        <f t="shared" ca="1" si="21"/>
        <v>28937012.439428933</v>
      </c>
      <c r="AF172" s="118">
        <f t="shared" ca="1" si="33"/>
        <v>142273.64449385891</v>
      </c>
      <c r="AG172" s="118">
        <f t="shared" ca="1" si="22"/>
        <v>29894533.999519803</v>
      </c>
    </row>
    <row r="173" spans="1:33" x14ac:dyDescent="0.35">
      <c r="A173" s="117">
        <v>19</v>
      </c>
      <c r="B173" s="118">
        <f t="shared" ca="1" si="11"/>
        <v>35158.421153846153</v>
      </c>
      <c r="C173" s="122">
        <f t="shared" ca="1" si="23"/>
        <v>0</v>
      </c>
      <c r="D173" s="122">
        <f t="shared" ca="1" si="12"/>
        <v>0</v>
      </c>
      <c r="E173" s="122">
        <f t="shared" ca="1" si="13"/>
        <v>0</v>
      </c>
      <c r="F173" s="124">
        <f t="shared" ca="1" si="24"/>
        <v>0</v>
      </c>
      <c r="G173" s="124">
        <f t="shared" ca="1" si="14"/>
        <v>0</v>
      </c>
      <c r="H173" s="124">
        <f t="shared" ca="1" si="15"/>
        <v>0</v>
      </c>
      <c r="I173" s="126">
        <f t="shared" ca="1" si="25"/>
        <v>0</v>
      </c>
      <c r="J173" s="126">
        <f t="shared" ca="1" si="16"/>
        <v>0</v>
      </c>
      <c r="K173" s="126">
        <f t="shared" ca="1" si="17"/>
        <v>0</v>
      </c>
      <c r="L173" s="312"/>
      <c r="M173" s="312"/>
      <c r="N173" s="312"/>
      <c r="O173" s="312"/>
      <c r="P173" s="132">
        <f t="shared" ca="1" si="26"/>
        <v>0</v>
      </c>
      <c r="Q173" s="132">
        <f ca="1">MAX(0, MIN($F$10-SUM($Q$154:Q172), B173-D173-G173-J173-M173))</f>
        <v>0</v>
      </c>
      <c r="R173" s="132">
        <f t="shared" ca="1" si="34"/>
        <v>0</v>
      </c>
      <c r="S173" s="132">
        <f t="shared" ca="1" si="35"/>
        <v>0</v>
      </c>
      <c r="T173" s="128">
        <f t="shared" ca="1" si="27"/>
        <v>10166137.401266916</v>
      </c>
      <c r="U173" s="128">
        <f ca="1">MAX(0, MIN($F$8-SUM($U$154:U172), B173-D173-G173-J173-Q173-M173))</f>
        <v>0</v>
      </c>
      <c r="V173" s="128">
        <f t="shared" ca="1" si="18"/>
        <v>49983.508889562334</v>
      </c>
      <c r="W173" s="128">
        <f t="shared" ca="1" si="36"/>
        <v>10216120.910156477</v>
      </c>
      <c r="X173" s="130">
        <f t="shared" ca="1" si="28"/>
        <v>19728396.598252889</v>
      </c>
      <c r="Y173" s="130">
        <f ca="1">MAX(0, MIN($F$9-SUM($Y$154:Y172), B173-D173-G173-J173-U173-Q173-M173))</f>
        <v>35158.421153846153</v>
      </c>
      <c r="Z173" s="130">
        <f t="shared" ca="1" si="29"/>
        <v>96997.949941410028</v>
      </c>
      <c r="AA173" s="130">
        <f t="shared" ca="1" si="37"/>
        <v>19860552.969348148</v>
      </c>
      <c r="AB173" s="118">
        <f t="shared" si="31"/>
        <v>0</v>
      </c>
      <c r="AC173" s="118">
        <f t="shared" ca="1" si="32"/>
        <v>0</v>
      </c>
      <c r="AD173" s="118">
        <f t="shared" ca="1" si="38"/>
        <v>0</v>
      </c>
      <c r="AE173" s="118">
        <f t="shared" ca="1" si="21"/>
        <v>29894533.999519803</v>
      </c>
      <c r="AF173" s="118">
        <f t="shared" ca="1" si="33"/>
        <v>146981.45883097238</v>
      </c>
      <c r="AG173" s="118">
        <f t="shared" ca="1" si="22"/>
        <v>30076673.879504625</v>
      </c>
    </row>
    <row r="174" spans="1:33" x14ac:dyDescent="0.35">
      <c r="A174" s="117">
        <v>20</v>
      </c>
      <c r="B174" s="118">
        <f t="shared" ca="1" si="11"/>
        <v>35158.421153846153</v>
      </c>
      <c r="C174" s="122">
        <f t="shared" ca="1" si="23"/>
        <v>0</v>
      </c>
      <c r="D174" s="122">
        <f t="shared" ca="1" si="12"/>
        <v>0</v>
      </c>
      <c r="E174" s="122">
        <f t="shared" ca="1" si="13"/>
        <v>0</v>
      </c>
      <c r="F174" s="124">
        <f t="shared" ca="1" si="24"/>
        <v>0</v>
      </c>
      <c r="G174" s="124">
        <f t="shared" ca="1" si="14"/>
        <v>0</v>
      </c>
      <c r="H174" s="124">
        <f t="shared" ca="1" si="15"/>
        <v>0</v>
      </c>
      <c r="I174" s="126">
        <f t="shared" ca="1" si="25"/>
        <v>0</v>
      </c>
      <c r="J174" s="126">
        <f t="shared" ca="1" si="16"/>
        <v>0</v>
      </c>
      <c r="K174" s="126">
        <f t="shared" ca="1" si="17"/>
        <v>0</v>
      </c>
      <c r="L174" s="312"/>
      <c r="M174" s="312"/>
      <c r="N174" s="312"/>
      <c r="O174" s="312"/>
      <c r="P174" s="132">
        <f t="shared" ca="1" si="26"/>
        <v>0</v>
      </c>
      <c r="Q174" s="132">
        <f ca="1">MAX(0, MIN($F$10-SUM($Q$154:Q173), B174-D174-G174-J174-M174))</f>
        <v>0</v>
      </c>
      <c r="R174" s="132">
        <f t="shared" ca="1" si="34"/>
        <v>0</v>
      </c>
      <c r="S174" s="132">
        <f t="shared" ca="1" si="35"/>
        <v>0</v>
      </c>
      <c r="T174" s="128">
        <f t="shared" ca="1" si="27"/>
        <v>10216120.910156477</v>
      </c>
      <c r="U174" s="128">
        <f ca="1">MAX(0, MIN($F$8-SUM($U$154:U173), B174-D174-G174-J174-Q174-M174))</f>
        <v>0</v>
      </c>
      <c r="V174" s="128">
        <f t="shared" ca="1" si="18"/>
        <v>50229.261141602678</v>
      </c>
      <c r="W174" s="128">
        <f t="shared" ca="1" si="36"/>
        <v>10266350.171298079</v>
      </c>
      <c r="X174" s="130">
        <f t="shared" ca="1" si="28"/>
        <v>19860552.969348148</v>
      </c>
      <c r="Y174" s="130">
        <f ca="1">MAX(0, MIN($F$9-SUM($Y$154:Y173), B174-D174-G174-J174-U174-Q174-M174))</f>
        <v>35158.421153846153</v>
      </c>
      <c r="Z174" s="130">
        <f t="shared" ca="1" si="29"/>
        <v>97647.718765961719</v>
      </c>
      <c r="AA174" s="130">
        <f t="shared" ca="1" si="37"/>
        <v>19993359.109267958</v>
      </c>
      <c r="AB174" s="118">
        <f t="shared" si="31"/>
        <v>0</v>
      </c>
      <c r="AC174" s="118">
        <f t="shared" ca="1" si="32"/>
        <v>0</v>
      </c>
      <c r="AD174" s="118">
        <f t="shared" ca="1" si="38"/>
        <v>0</v>
      </c>
      <c r="AE174" s="118">
        <f t="shared" ca="1" si="21"/>
        <v>30076673.879504625</v>
      </c>
      <c r="AF174" s="118">
        <f t="shared" ca="1" si="33"/>
        <v>147876.97990756441</v>
      </c>
      <c r="AG174" s="118">
        <f t="shared" ca="1" si="22"/>
        <v>30259709.280566037</v>
      </c>
    </row>
    <row r="175" spans="1:33" x14ac:dyDescent="0.35">
      <c r="A175" s="117">
        <v>21</v>
      </c>
      <c r="B175" s="118">
        <f t="shared" ca="1" si="11"/>
        <v>35158.421153846153</v>
      </c>
      <c r="C175" s="122">
        <f t="shared" ca="1" si="23"/>
        <v>0</v>
      </c>
      <c r="D175" s="122">
        <f t="shared" ca="1" si="12"/>
        <v>0</v>
      </c>
      <c r="E175" s="122">
        <f t="shared" ca="1" si="13"/>
        <v>0</v>
      </c>
      <c r="F175" s="124">
        <f t="shared" ca="1" si="24"/>
        <v>0</v>
      </c>
      <c r="G175" s="124">
        <f t="shared" ca="1" si="14"/>
        <v>0</v>
      </c>
      <c r="H175" s="124">
        <f t="shared" ca="1" si="15"/>
        <v>0</v>
      </c>
      <c r="I175" s="126">
        <f t="shared" ca="1" si="25"/>
        <v>0</v>
      </c>
      <c r="J175" s="126">
        <f t="shared" ca="1" si="16"/>
        <v>0</v>
      </c>
      <c r="K175" s="126">
        <f t="shared" ca="1" si="17"/>
        <v>0</v>
      </c>
      <c r="L175" s="312"/>
      <c r="M175" s="312"/>
      <c r="N175" s="312"/>
      <c r="O175" s="312"/>
      <c r="P175" s="132">
        <f t="shared" ca="1" si="26"/>
        <v>0</v>
      </c>
      <c r="Q175" s="132">
        <f ca="1">MAX(0, MIN($F$10-SUM($Q$154:Q174), B175-D175-G175-J175-M175))</f>
        <v>0</v>
      </c>
      <c r="R175" s="132">
        <f t="shared" ca="1" si="34"/>
        <v>0</v>
      </c>
      <c r="S175" s="132">
        <f t="shared" ca="1" si="35"/>
        <v>0</v>
      </c>
      <c r="T175" s="128">
        <f t="shared" ca="1" si="27"/>
        <v>10266350.171298079</v>
      </c>
      <c r="U175" s="128">
        <f ca="1">MAX(0, MIN($F$8-SUM($U$154:U174), B175-D175-G175-J175-Q175-M175))</f>
        <v>0</v>
      </c>
      <c r="V175" s="128">
        <f t="shared" ca="1" si="18"/>
        <v>50476.221675548884</v>
      </c>
      <c r="W175" s="128">
        <f t="shared" ca="1" si="36"/>
        <v>10316826.392973628</v>
      </c>
      <c r="X175" s="130">
        <f t="shared" ca="1" si="28"/>
        <v>19993359.109267958</v>
      </c>
      <c r="Y175" s="130">
        <f ca="1">MAX(0, MIN($F$9-SUM($Y$154:Y174), B175-D175-G175-J175-U175-Q175-M175))</f>
        <v>35158.421153846153</v>
      </c>
      <c r="Z175" s="130">
        <f t="shared" ca="1" si="29"/>
        <v>98300.682287234114</v>
      </c>
      <c r="AA175" s="130">
        <f t="shared" ca="1" si="37"/>
        <v>20126818.212709039</v>
      </c>
      <c r="AB175" s="118">
        <f t="shared" si="31"/>
        <v>0</v>
      </c>
      <c r="AC175" s="118">
        <f t="shared" ca="1" si="32"/>
        <v>0</v>
      </c>
      <c r="AD175" s="118">
        <f t="shared" ca="1" si="38"/>
        <v>0</v>
      </c>
      <c r="AE175" s="118">
        <f t="shared" ca="1" si="21"/>
        <v>30259709.280566037</v>
      </c>
      <c r="AF175" s="118">
        <f t="shared" ca="1" si="33"/>
        <v>148776.90396278299</v>
      </c>
      <c r="AG175" s="118">
        <f t="shared" ca="1" si="22"/>
        <v>30443644.605682667</v>
      </c>
    </row>
    <row r="176" spans="1:33" x14ac:dyDescent="0.35">
      <c r="A176" s="117">
        <v>22</v>
      </c>
      <c r="B176" s="118">
        <f t="shared" ca="1" si="11"/>
        <v>35158.421153846153</v>
      </c>
      <c r="C176" s="122">
        <f t="shared" ca="1" si="23"/>
        <v>0</v>
      </c>
      <c r="D176" s="122">
        <f t="shared" ca="1" si="12"/>
        <v>0</v>
      </c>
      <c r="E176" s="122">
        <f t="shared" ca="1" si="13"/>
        <v>0</v>
      </c>
      <c r="F176" s="124">
        <f t="shared" ca="1" si="24"/>
        <v>0</v>
      </c>
      <c r="G176" s="124">
        <f t="shared" ca="1" si="14"/>
        <v>0</v>
      </c>
      <c r="H176" s="124">
        <f t="shared" ca="1" si="15"/>
        <v>0</v>
      </c>
      <c r="I176" s="126">
        <f t="shared" ca="1" si="25"/>
        <v>0</v>
      </c>
      <c r="J176" s="126">
        <f t="shared" ca="1" si="16"/>
        <v>0</v>
      </c>
      <c r="K176" s="126">
        <f t="shared" ca="1" si="17"/>
        <v>0</v>
      </c>
      <c r="L176" s="312"/>
      <c r="M176" s="312"/>
      <c r="N176" s="312"/>
      <c r="O176" s="312"/>
      <c r="P176" s="132">
        <f t="shared" ca="1" si="26"/>
        <v>0</v>
      </c>
      <c r="Q176" s="132">
        <f ca="1">MAX(0, MIN($F$10-SUM($Q$154:Q175), B176-D176-G176-J176-M176))</f>
        <v>0</v>
      </c>
      <c r="R176" s="132">
        <f t="shared" ca="1" si="34"/>
        <v>0</v>
      </c>
      <c r="S176" s="132">
        <f t="shared" ca="1" si="35"/>
        <v>0</v>
      </c>
      <c r="T176" s="128">
        <f t="shared" ca="1" si="27"/>
        <v>10316826.392973628</v>
      </c>
      <c r="U176" s="128">
        <f ca="1">MAX(0, MIN($F$8-SUM($U$154:U175), B176-D176-G176-J176-Q176-M176))</f>
        <v>0</v>
      </c>
      <c r="V176" s="128">
        <f t="shared" ca="1" si="18"/>
        <v>50724.396432120331</v>
      </c>
      <c r="W176" s="128">
        <f t="shared" ca="1" si="36"/>
        <v>10367550.789405748</v>
      </c>
      <c r="X176" s="130">
        <f t="shared" ca="1" si="28"/>
        <v>20126818.212709039</v>
      </c>
      <c r="Y176" s="130">
        <f ca="1">MAX(0, MIN($F$9-SUM($Y$154:Y175), B176-D176-G176-J176-U176-Q176-M176))</f>
        <v>35158.421153846153</v>
      </c>
      <c r="Z176" s="130">
        <f t="shared" ca="1" si="29"/>
        <v>98956.856212486106</v>
      </c>
      <c r="AA176" s="130">
        <f t="shared" ca="1" si="37"/>
        <v>20260933.490075372</v>
      </c>
      <c r="AB176" s="118">
        <f t="shared" si="31"/>
        <v>0</v>
      </c>
      <c r="AC176" s="118">
        <f t="shared" ca="1" si="32"/>
        <v>0</v>
      </c>
      <c r="AD176" s="118">
        <f t="shared" ca="1" si="38"/>
        <v>0</v>
      </c>
      <c r="AE176" s="118">
        <f t="shared" ca="1" si="21"/>
        <v>30443644.605682667</v>
      </c>
      <c r="AF176" s="118">
        <f t="shared" ca="1" si="33"/>
        <v>149681.25264460643</v>
      </c>
      <c r="AG176" s="118">
        <f t="shared" ca="1" si="22"/>
        <v>30628484.27948112</v>
      </c>
    </row>
    <row r="177" spans="1:33" x14ac:dyDescent="0.35">
      <c r="A177" s="117">
        <v>23</v>
      </c>
      <c r="B177" s="118">
        <f t="shared" ca="1" si="11"/>
        <v>35158.421153846153</v>
      </c>
      <c r="C177" s="122">
        <f t="shared" ca="1" si="23"/>
        <v>0</v>
      </c>
      <c r="D177" s="122">
        <f t="shared" ca="1" si="12"/>
        <v>0</v>
      </c>
      <c r="E177" s="122">
        <f t="shared" ca="1" si="13"/>
        <v>0</v>
      </c>
      <c r="F177" s="124">
        <f t="shared" ca="1" si="24"/>
        <v>0</v>
      </c>
      <c r="G177" s="124">
        <f t="shared" ca="1" si="14"/>
        <v>0</v>
      </c>
      <c r="H177" s="124">
        <f t="shared" ca="1" si="15"/>
        <v>0</v>
      </c>
      <c r="I177" s="126">
        <f t="shared" ca="1" si="25"/>
        <v>0</v>
      </c>
      <c r="J177" s="126">
        <f t="shared" ca="1" si="16"/>
        <v>0</v>
      </c>
      <c r="K177" s="126">
        <f t="shared" ca="1" si="17"/>
        <v>0</v>
      </c>
      <c r="L177" s="312"/>
      <c r="M177" s="312"/>
      <c r="N177" s="312"/>
      <c r="O177" s="312"/>
      <c r="P177" s="132">
        <f t="shared" ca="1" si="26"/>
        <v>0</v>
      </c>
      <c r="Q177" s="132">
        <f ca="1">MAX(0, MIN($F$10-SUM($Q$154:Q176), B177-D177-G177-J177-M177))</f>
        <v>0</v>
      </c>
      <c r="R177" s="132">
        <f t="shared" ca="1" si="34"/>
        <v>0</v>
      </c>
      <c r="S177" s="132">
        <f t="shared" ca="1" si="35"/>
        <v>0</v>
      </c>
      <c r="T177" s="128">
        <f t="shared" ca="1" si="27"/>
        <v>10367550.789405748</v>
      </c>
      <c r="U177" s="128">
        <f ca="1">MAX(0, MIN($F$8-SUM($U$154:U176), B177-D177-G177-J177-Q177-M177))</f>
        <v>0</v>
      </c>
      <c r="V177" s="128">
        <f t="shared" ca="1" si="18"/>
        <v>50973.791381244926</v>
      </c>
      <c r="W177" s="128">
        <f t="shared" ca="1" si="36"/>
        <v>10418524.580786994</v>
      </c>
      <c r="X177" s="130">
        <f t="shared" ca="1" si="28"/>
        <v>20260933.490075372</v>
      </c>
      <c r="Y177" s="130">
        <f ca="1">MAX(0, MIN($F$9-SUM($Y$154:Y176), B177-D177-G177-J177-U177-Q177-M177))</f>
        <v>35158.421153846153</v>
      </c>
      <c r="Z177" s="130">
        <f t="shared" ca="1" si="29"/>
        <v>99616.256326203904</v>
      </c>
      <c r="AA177" s="130">
        <f t="shared" ca="1" si="37"/>
        <v>20395708.167555422</v>
      </c>
      <c r="AB177" s="118">
        <f t="shared" si="31"/>
        <v>0</v>
      </c>
      <c r="AC177" s="118">
        <f t="shared" ca="1" si="32"/>
        <v>0</v>
      </c>
      <c r="AD177" s="118">
        <f t="shared" ca="1" si="38"/>
        <v>0</v>
      </c>
      <c r="AE177" s="118">
        <f t="shared" ca="1" si="21"/>
        <v>30628484.27948112</v>
      </c>
      <c r="AF177" s="118">
        <f t="shared" ca="1" si="33"/>
        <v>150590.04770744883</v>
      </c>
      <c r="AG177" s="118">
        <f t="shared" ca="1" si="22"/>
        <v>30814232.748342417</v>
      </c>
    </row>
    <row r="178" spans="1:33" x14ac:dyDescent="0.35">
      <c r="A178" s="117">
        <v>24</v>
      </c>
      <c r="B178" s="118">
        <f t="shared" ca="1" si="11"/>
        <v>35158.421153846153</v>
      </c>
      <c r="C178" s="122">
        <f t="shared" ca="1" si="23"/>
        <v>0</v>
      </c>
      <c r="D178" s="122">
        <f t="shared" ca="1" si="12"/>
        <v>0</v>
      </c>
      <c r="E178" s="122">
        <f t="shared" ca="1" si="13"/>
        <v>0</v>
      </c>
      <c r="F178" s="124">
        <f t="shared" ca="1" si="24"/>
        <v>0</v>
      </c>
      <c r="G178" s="124">
        <f t="shared" ca="1" si="14"/>
        <v>0</v>
      </c>
      <c r="H178" s="124">
        <f t="shared" ca="1" si="15"/>
        <v>0</v>
      </c>
      <c r="I178" s="126">
        <f t="shared" ca="1" si="25"/>
        <v>0</v>
      </c>
      <c r="J178" s="126">
        <f t="shared" ca="1" si="16"/>
        <v>0</v>
      </c>
      <c r="K178" s="126">
        <f t="shared" ca="1" si="17"/>
        <v>0</v>
      </c>
      <c r="L178" s="312"/>
      <c r="M178" s="312"/>
      <c r="N178" s="312"/>
      <c r="O178" s="312"/>
      <c r="P178" s="132">
        <f t="shared" ca="1" si="26"/>
        <v>0</v>
      </c>
      <c r="Q178" s="132">
        <f ca="1">MAX(0, MIN($F$10-SUM($Q$154:Q177), B178-D178-G178-J178-M178))</f>
        <v>0</v>
      </c>
      <c r="R178" s="132">
        <f t="shared" ca="1" si="34"/>
        <v>0</v>
      </c>
      <c r="S178" s="132">
        <f t="shared" ca="1" si="35"/>
        <v>0</v>
      </c>
      <c r="T178" s="128">
        <f t="shared" ca="1" si="27"/>
        <v>10418524.580786994</v>
      </c>
      <c r="U178" s="128">
        <f ca="1">MAX(0, MIN($F$8-SUM($U$154:U177), B178-D178-G178-J178-Q178-M178))</f>
        <v>0</v>
      </c>
      <c r="V178" s="128">
        <f t="shared" ca="1" si="18"/>
        <v>51224.412522202714</v>
      </c>
      <c r="W178" s="128">
        <f t="shared" ca="1" si="36"/>
        <v>10469748.993309196</v>
      </c>
      <c r="X178" s="130">
        <f t="shared" ca="1" si="28"/>
        <v>20395708.167555422</v>
      </c>
      <c r="Y178" s="130">
        <f ca="1">MAX(0, MIN($F$9-SUM($Y$154:Y177), B178-D178-G178-J178-U178-Q178-M178))</f>
        <v>35158.421153846153</v>
      </c>
      <c r="Z178" s="130">
        <f t="shared" ca="1" si="29"/>
        <v>100278.89849048082</v>
      </c>
      <c r="AA178" s="130">
        <f t="shared" ca="1" si="37"/>
        <v>20531145.48719975</v>
      </c>
      <c r="AB178" s="118">
        <f t="shared" si="31"/>
        <v>0</v>
      </c>
      <c r="AC178" s="118">
        <f t="shared" ca="1" si="32"/>
        <v>0</v>
      </c>
      <c r="AD178" s="118">
        <f t="shared" ca="1" si="38"/>
        <v>0</v>
      </c>
      <c r="AE178" s="118">
        <f t="shared" ca="1" si="21"/>
        <v>30814232.748342417</v>
      </c>
      <c r="AF178" s="118">
        <f t="shared" ca="1" si="33"/>
        <v>151503.31101268352</v>
      </c>
      <c r="AG178" s="118">
        <f t="shared" ca="1" si="22"/>
        <v>31000894.480508946</v>
      </c>
    </row>
    <row r="179" spans="1:33" x14ac:dyDescent="0.35">
      <c r="A179" s="117">
        <v>25</v>
      </c>
      <c r="B179" s="118">
        <f t="shared" ca="1" si="11"/>
        <v>35158.421153846153</v>
      </c>
      <c r="C179" s="122">
        <f t="shared" ca="1" si="23"/>
        <v>0</v>
      </c>
      <c r="D179" s="122">
        <f t="shared" ca="1" si="12"/>
        <v>0</v>
      </c>
      <c r="E179" s="122">
        <f t="shared" ca="1" si="13"/>
        <v>0</v>
      </c>
      <c r="F179" s="124">
        <f t="shared" ca="1" si="24"/>
        <v>0</v>
      </c>
      <c r="G179" s="124">
        <f t="shared" ca="1" si="14"/>
        <v>0</v>
      </c>
      <c r="H179" s="124">
        <f t="shared" ca="1" si="15"/>
        <v>0</v>
      </c>
      <c r="I179" s="126">
        <f t="shared" ca="1" si="25"/>
        <v>0</v>
      </c>
      <c r="J179" s="126">
        <f t="shared" ca="1" si="16"/>
        <v>0</v>
      </c>
      <c r="K179" s="126">
        <f t="shared" ca="1" si="17"/>
        <v>0</v>
      </c>
      <c r="L179" s="312"/>
      <c r="M179" s="312"/>
      <c r="N179" s="312"/>
      <c r="O179" s="312"/>
      <c r="P179" s="132">
        <f t="shared" ca="1" si="26"/>
        <v>0</v>
      </c>
      <c r="Q179" s="132">
        <f ca="1">MAX(0, MIN($F$10-SUM($Q$154:Q178), B179-D179-G179-J179-M179))</f>
        <v>0</v>
      </c>
      <c r="R179" s="132">
        <f t="shared" ca="1" si="34"/>
        <v>0</v>
      </c>
      <c r="S179" s="132">
        <f t="shared" ca="1" si="35"/>
        <v>0</v>
      </c>
      <c r="T179" s="128">
        <f t="shared" ca="1" si="27"/>
        <v>10469748.993309196</v>
      </c>
      <c r="U179" s="128">
        <f ca="1">MAX(0, MIN($F$8-SUM($U$154:U178), B179-D179-G179-J179-Q179-M179))</f>
        <v>0</v>
      </c>
      <c r="V179" s="128">
        <f t="shared" ca="1" si="18"/>
        <v>51476.265883770211</v>
      </c>
      <c r="W179" s="128">
        <f t="shared" ca="1" si="36"/>
        <v>10521225.259192966</v>
      </c>
      <c r="X179" s="130">
        <f t="shared" ca="1" si="28"/>
        <v>20531145.48719975</v>
      </c>
      <c r="Y179" s="130">
        <f ca="1">MAX(0, MIN($F$9-SUM($Y$154:Y178), B179-D179-G179-J179-U179-Q179-M179))</f>
        <v>35158.421153846153</v>
      </c>
      <c r="Z179" s="130">
        <f t="shared" ca="1" si="29"/>
        <v>100944.79864539877</v>
      </c>
      <c r="AA179" s="130">
        <f t="shared" ca="1" si="37"/>
        <v>20667248.706998996</v>
      </c>
      <c r="AB179" s="118">
        <f t="shared" si="31"/>
        <v>0</v>
      </c>
      <c r="AC179" s="118">
        <f t="shared" ca="1" si="32"/>
        <v>0</v>
      </c>
      <c r="AD179" s="118">
        <f t="shared" ca="1" si="38"/>
        <v>0</v>
      </c>
      <c r="AE179" s="118">
        <f t="shared" ca="1" si="21"/>
        <v>31000894.480508946</v>
      </c>
      <c r="AF179" s="118">
        <f t="shared" ca="1" si="33"/>
        <v>152421.06452916897</v>
      </c>
      <c r="AG179" s="118">
        <f t="shared" ca="1" si="22"/>
        <v>31188473.966191962</v>
      </c>
    </row>
    <row r="180" spans="1:33" x14ac:dyDescent="0.35">
      <c r="A180" s="117">
        <v>26</v>
      </c>
      <c r="B180" s="118">
        <f t="shared" ca="1" si="11"/>
        <v>35158.421153846153</v>
      </c>
      <c r="C180" s="122">
        <f t="shared" ca="1" si="23"/>
        <v>0</v>
      </c>
      <c r="D180" s="122">
        <f t="shared" ca="1" si="12"/>
        <v>0</v>
      </c>
      <c r="E180" s="122">
        <f t="shared" ca="1" si="13"/>
        <v>0</v>
      </c>
      <c r="F180" s="124">
        <f t="shared" ca="1" si="24"/>
        <v>0</v>
      </c>
      <c r="G180" s="124">
        <f t="shared" ca="1" si="14"/>
        <v>0</v>
      </c>
      <c r="H180" s="124">
        <f t="shared" ca="1" si="15"/>
        <v>0</v>
      </c>
      <c r="I180" s="126">
        <f t="shared" ca="1" si="25"/>
        <v>0</v>
      </c>
      <c r="J180" s="126">
        <f t="shared" ca="1" si="16"/>
        <v>0</v>
      </c>
      <c r="K180" s="126">
        <f t="shared" ca="1" si="17"/>
        <v>0</v>
      </c>
      <c r="L180" s="312"/>
      <c r="M180" s="312"/>
      <c r="N180" s="312"/>
      <c r="O180" s="312"/>
      <c r="P180" s="132">
        <f t="shared" ca="1" si="26"/>
        <v>0</v>
      </c>
      <c r="Q180" s="132">
        <f ca="1">MAX(0, MIN($F$10-SUM($Q$154:Q179), B180-D180-G180-J180-M180))</f>
        <v>0</v>
      </c>
      <c r="R180" s="132">
        <f t="shared" ca="1" si="34"/>
        <v>0</v>
      </c>
      <c r="S180" s="132">
        <f t="shared" ca="1" si="35"/>
        <v>0</v>
      </c>
      <c r="T180" s="128">
        <f t="shared" ca="1" si="27"/>
        <v>10521225.259192966</v>
      </c>
      <c r="U180" s="128">
        <f ca="1">MAX(0, MIN($F$8-SUM($U$154:U179), B180-D180-G180-J180-Q180-M180))</f>
        <v>0</v>
      </c>
      <c r="V180" s="128">
        <f t="shared" ca="1" si="18"/>
        <v>51729.357524365412</v>
      </c>
      <c r="W180" s="128">
        <f t="shared" ca="1" si="36"/>
        <v>10572954.616717331</v>
      </c>
      <c r="X180" s="130">
        <f t="shared" ca="1" si="28"/>
        <v>20667248.706998996</v>
      </c>
      <c r="Y180" s="130">
        <f ca="1">MAX(0, MIN($F$9-SUM($Y$154:Y179), B180-D180-G180-J180-U180-Q180-M180))</f>
        <v>35158.421153846153</v>
      </c>
      <c r="Z180" s="130">
        <f t="shared" ca="1" si="29"/>
        <v>101613.97280941173</v>
      </c>
      <c r="AA180" s="130">
        <f t="shared" ca="1" si="37"/>
        <v>20804021.100962255</v>
      </c>
      <c r="AB180" s="118">
        <f t="shared" si="31"/>
        <v>0</v>
      </c>
      <c r="AC180" s="118">
        <f t="shared" ca="1" si="32"/>
        <v>0</v>
      </c>
      <c r="AD180" s="118">
        <f t="shared" ca="1" si="38"/>
        <v>0</v>
      </c>
      <c r="AE180" s="118">
        <f t="shared" ca="1" si="21"/>
        <v>31188473.966191962</v>
      </c>
      <c r="AF180" s="118">
        <f t="shared" ca="1" si="33"/>
        <v>153343.33033377715</v>
      </c>
      <c r="AG180" s="118">
        <f t="shared" ca="1" si="22"/>
        <v>31376975.717679586</v>
      </c>
    </row>
    <row r="181" spans="1:33" x14ac:dyDescent="0.35">
      <c r="A181" s="117">
        <v>27</v>
      </c>
      <c r="B181" s="118">
        <f t="shared" ca="1" si="11"/>
        <v>0</v>
      </c>
      <c r="C181" s="122">
        <f t="shared" ca="1" si="23"/>
        <v>0</v>
      </c>
      <c r="D181" s="122">
        <f t="shared" ca="1" si="12"/>
        <v>0</v>
      </c>
      <c r="E181" s="122">
        <f t="shared" ca="1" si="13"/>
        <v>0</v>
      </c>
      <c r="F181" s="124">
        <f t="shared" ca="1" si="24"/>
        <v>0</v>
      </c>
      <c r="G181" s="124">
        <f t="shared" ca="1" si="14"/>
        <v>0</v>
      </c>
      <c r="H181" s="124">
        <f t="shared" ca="1" si="15"/>
        <v>0</v>
      </c>
      <c r="I181" s="126">
        <f t="shared" ca="1" si="25"/>
        <v>0</v>
      </c>
      <c r="J181" s="126">
        <f t="shared" ca="1" si="16"/>
        <v>0</v>
      </c>
      <c r="K181" s="126">
        <f t="shared" ca="1" si="17"/>
        <v>0</v>
      </c>
      <c r="L181" s="312"/>
      <c r="M181" s="312"/>
      <c r="N181" s="312"/>
      <c r="O181" s="312"/>
      <c r="P181" s="132">
        <f t="shared" si="26"/>
        <v>0</v>
      </c>
      <c r="Q181" s="132">
        <f ca="1">MAX(0, MIN($F$10-SUM($Q$154:Q180), B181-D181-G181-J181-M181))</f>
        <v>0</v>
      </c>
      <c r="R181" s="132">
        <f t="shared" si="34"/>
        <v>0</v>
      </c>
      <c r="S181" s="132">
        <f t="shared" ca="1" si="35"/>
        <v>0</v>
      </c>
      <c r="T181" s="128">
        <f t="shared" si="27"/>
        <v>0</v>
      </c>
      <c r="U181" s="128">
        <f ca="1">MAX(0, MIN($F$8-SUM($U$154:U180), B181-D181-G181-J181-Q181-M181))</f>
        <v>0</v>
      </c>
      <c r="V181" s="128">
        <f t="shared" si="18"/>
        <v>0</v>
      </c>
      <c r="W181" s="128">
        <f t="shared" ca="1" si="36"/>
        <v>0</v>
      </c>
      <c r="X181" s="130">
        <f t="shared" si="28"/>
        <v>0</v>
      </c>
      <c r="Y181" s="130">
        <f ca="1">MAX(0, MIN($F$9-SUM($Y$154:Y180), B181-D181-G181-J181-U181-Q181-M181))</f>
        <v>0</v>
      </c>
      <c r="Z181" s="130">
        <f t="shared" si="29"/>
        <v>0</v>
      </c>
      <c r="AA181" s="130">
        <f t="shared" ca="1" si="37"/>
        <v>0</v>
      </c>
      <c r="AB181" s="118">
        <f t="shared" si="31"/>
        <v>0</v>
      </c>
      <c r="AC181" s="118">
        <f t="shared" ca="1" si="32"/>
        <v>0</v>
      </c>
      <c r="AD181" s="118">
        <f t="shared" ca="1" si="38"/>
        <v>0</v>
      </c>
      <c r="AE181" s="118">
        <f t="shared" ca="1" si="21"/>
        <v>0</v>
      </c>
      <c r="AF181" s="118">
        <f t="shared" si="33"/>
        <v>0</v>
      </c>
      <c r="AG181" s="118">
        <f t="shared" ca="1" si="22"/>
        <v>0</v>
      </c>
    </row>
    <row r="182" spans="1:33" x14ac:dyDescent="0.35">
      <c r="A182" s="117">
        <v>28</v>
      </c>
      <c r="B182" s="118">
        <f t="shared" ca="1" si="11"/>
        <v>0</v>
      </c>
      <c r="C182" s="122">
        <f t="shared" ca="1" si="23"/>
        <v>0</v>
      </c>
      <c r="D182" s="122">
        <f t="shared" ca="1" si="12"/>
        <v>0</v>
      </c>
      <c r="E182" s="122">
        <f t="shared" ca="1" si="13"/>
        <v>0</v>
      </c>
      <c r="F182" s="124">
        <f t="shared" ca="1" si="24"/>
        <v>0</v>
      </c>
      <c r="G182" s="124">
        <f t="shared" ca="1" si="14"/>
        <v>0</v>
      </c>
      <c r="H182" s="124">
        <f t="shared" ca="1" si="15"/>
        <v>0</v>
      </c>
      <c r="I182" s="126">
        <f t="shared" ca="1" si="25"/>
        <v>0</v>
      </c>
      <c r="J182" s="126">
        <f t="shared" ca="1" si="16"/>
        <v>0</v>
      </c>
      <c r="K182" s="126">
        <f t="shared" ca="1" si="17"/>
        <v>0</v>
      </c>
      <c r="L182" s="312"/>
      <c r="M182" s="312"/>
      <c r="N182" s="312"/>
      <c r="O182" s="312"/>
      <c r="P182" s="132">
        <f t="shared" si="26"/>
        <v>0</v>
      </c>
      <c r="Q182" s="132">
        <f ca="1">MAX(0, MIN($F$10-SUM($Q$154:Q181), B182-D182-G182-J182-M182))</f>
        <v>0</v>
      </c>
      <c r="R182" s="132">
        <f t="shared" si="34"/>
        <v>0</v>
      </c>
      <c r="S182" s="132">
        <f t="shared" ca="1" si="35"/>
        <v>0</v>
      </c>
      <c r="T182" s="128">
        <f t="shared" si="27"/>
        <v>0</v>
      </c>
      <c r="U182" s="128">
        <f ca="1">MAX(0, MIN($F$8-SUM($U$154:U181), B182-D182-G182-J182-Q182-M182))</f>
        <v>0</v>
      </c>
      <c r="V182" s="128">
        <f t="shared" si="18"/>
        <v>0</v>
      </c>
      <c r="W182" s="128">
        <f t="shared" ca="1" si="36"/>
        <v>0</v>
      </c>
      <c r="X182" s="130">
        <f t="shared" si="28"/>
        <v>0</v>
      </c>
      <c r="Y182" s="130">
        <f ca="1">MAX(0, MIN($F$9-SUM($Y$154:Y181), B182-D182-G182-J182-U182-Q182-M182))</f>
        <v>0</v>
      </c>
      <c r="Z182" s="130">
        <f t="shared" si="29"/>
        <v>0</v>
      </c>
      <c r="AA182" s="130">
        <f t="shared" ca="1" si="37"/>
        <v>0</v>
      </c>
      <c r="AB182" s="118">
        <f t="shared" si="31"/>
        <v>0</v>
      </c>
      <c r="AC182" s="118">
        <f t="shared" ca="1" si="32"/>
        <v>0</v>
      </c>
      <c r="AD182" s="118">
        <f t="shared" ca="1" si="38"/>
        <v>0</v>
      </c>
      <c r="AE182" s="118">
        <f t="shared" ca="1" si="21"/>
        <v>0</v>
      </c>
      <c r="AF182" s="118">
        <f t="shared" si="33"/>
        <v>0</v>
      </c>
      <c r="AG182" s="118">
        <f t="shared" ca="1" si="22"/>
        <v>0</v>
      </c>
    </row>
    <row r="183" spans="1:33" x14ac:dyDescent="0.35">
      <c r="A183" s="117">
        <v>29</v>
      </c>
      <c r="B183" s="118">
        <f t="shared" ca="1" si="11"/>
        <v>0</v>
      </c>
      <c r="C183" s="122">
        <f t="shared" ca="1" si="23"/>
        <v>0</v>
      </c>
      <c r="D183" s="122">
        <f t="shared" ca="1" si="12"/>
        <v>0</v>
      </c>
      <c r="E183" s="122">
        <f t="shared" ca="1" si="13"/>
        <v>0</v>
      </c>
      <c r="F183" s="124">
        <f t="shared" ca="1" si="24"/>
        <v>0</v>
      </c>
      <c r="G183" s="124">
        <f t="shared" ca="1" si="14"/>
        <v>0</v>
      </c>
      <c r="H183" s="124">
        <f t="shared" ca="1" si="15"/>
        <v>0</v>
      </c>
      <c r="I183" s="126">
        <f t="shared" ca="1" si="25"/>
        <v>0</v>
      </c>
      <c r="J183" s="126">
        <f t="shared" ca="1" si="16"/>
        <v>0</v>
      </c>
      <c r="K183" s="126">
        <f t="shared" ca="1" si="17"/>
        <v>0</v>
      </c>
      <c r="L183" s="312"/>
      <c r="M183" s="312"/>
      <c r="N183" s="312"/>
      <c r="O183" s="312"/>
      <c r="P183" s="132">
        <f t="shared" si="26"/>
        <v>0</v>
      </c>
      <c r="Q183" s="132">
        <f ca="1">MAX(0, MIN($F$10-SUM($Q$154:Q182), B183-D183-G183-J183-M183))</f>
        <v>0</v>
      </c>
      <c r="R183" s="132">
        <f t="shared" si="34"/>
        <v>0</v>
      </c>
      <c r="S183" s="132">
        <f t="shared" ca="1" si="35"/>
        <v>0</v>
      </c>
      <c r="T183" s="128">
        <f t="shared" si="27"/>
        <v>0</v>
      </c>
      <c r="U183" s="128">
        <f ca="1">MAX(0, MIN($F$8-SUM($U$154:U182), B183-D183-G183-J183-Q183-M183))</f>
        <v>0</v>
      </c>
      <c r="V183" s="128">
        <f t="shared" si="18"/>
        <v>0</v>
      </c>
      <c r="W183" s="128">
        <f t="shared" ca="1" si="36"/>
        <v>0</v>
      </c>
      <c r="X183" s="130">
        <f t="shared" si="28"/>
        <v>0</v>
      </c>
      <c r="Y183" s="130">
        <f ca="1">MAX(0, MIN($F$9-SUM($Y$154:Y182), B183-D183-G183-J183-U183-Q183-M183))</f>
        <v>0</v>
      </c>
      <c r="Z183" s="130">
        <f t="shared" si="29"/>
        <v>0</v>
      </c>
      <c r="AA183" s="130">
        <f t="shared" ca="1" si="37"/>
        <v>0</v>
      </c>
      <c r="AB183" s="118">
        <f t="shared" si="31"/>
        <v>0</v>
      </c>
      <c r="AC183" s="118">
        <f t="shared" ca="1" si="32"/>
        <v>0</v>
      </c>
      <c r="AD183" s="118">
        <f t="shared" ca="1" si="38"/>
        <v>0</v>
      </c>
      <c r="AE183" s="118">
        <f t="shared" ca="1" si="21"/>
        <v>0</v>
      </c>
      <c r="AF183" s="118">
        <f t="shared" si="33"/>
        <v>0</v>
      </c>
      <c r="AG183" s="118">
        <f t="shared" ca="1" si="22"/>
        <v>0</v>
      </c>
    </row>
    <row r="184" spans="1:33" x14ac:dyDescent="0.35">
      <c r="A184" s="117">
        <v>30</v>
      </c>
      <c r="B184" s="118">
        <f t="shared" ca="1" si="11"/>
        <v>0</v>
      </c>
      <c r="C184" s="122">
        <f t="shared" ca="1" si="23"/>
        <v>0</v>
      </c>
      <c r="D184" s="122">
        <f t="shared" ca="1" si="12"/>
        <v>0</v>
      </c>
      <c r="E184" s="122">
        <f t="shared" ca="1" si="13"/>
        <v>0</v>
      </c>
      <c r="F184" s="124">
        <f t="shared" ca="1" si="24"/>
        <v>0</v>
      </c>
      <c r="G184" s="124">
        <f t="shared" ca="1" si="14"/>
        <v>0</v>
      </c>
      <c r="H184" s="124">
        <f t="shared" ca="1" si="15"/>
        <v>0</v>
      </c>
      <c r="I184" s="126">
        <f t="shared" ca="1" si="25"/>
        <v>0</v>
      </c>
      <c r="J184" s="126">
        <f t="shared" ca="1" si="16"/>
        <v>0</v>
      </c>
      <c r="K184" s="126">
        <f t="shared" ca="1" si="17"/>
        <v>0</v>
      </c>
      <c r="L184" s="312"/>
      <c r="M184" s="312"/>
      <c r="N184" s="312"/>
      <c r="O184" s="312"/>
      <c r="P184" s="132">
        <f t="shared" si="26"/>
        <v>0</v>
      </c>
      <c r="Q184" s="132">
        <f ca="1">MAX(0, MIN($F$10-SUM($Q$154:Q183), B184-D184-G184-J184-M184))</f>
        <v>0</v>
      </c>
      <c r="R184" s="132">
        <f t="shared" si="34"/>
        <v>0</v>
      </c>
      <c r="S184" s="132">
        <f t="shared" ca="1" si="35"/>
        <v>0</v>
      </c>
      <c r="T184" s="128">
        <f t="shared" si="27"/>
        <v>0</v>
      </c>
      <c r="U184" s="128">
        <f ca="1">MAX(0, MIN($F$8-SUM($U$154:U183), B184-D184-G184-J184-Q184-M184))</f>
        <v>0</v>
      </c>
      <c r="V184" s="128">
        <f t="shared" si="18"/>
        <v>0</v>
      </c>
      <c r="W184" s="128">
        <f t="shared" ca="1" si="36"/>
        <v>0</v>
      </c>
      <c r="X184" s="130">
        <f t="shared" si="28"/>
        <v>0</v>
      </c>
      <c r="Y184" s="130">
        <f ca="1">MAX(0, MIN($F$9-SUM($Y$154:Y183), B184-D184-G184-J184-U184-Q184-M184))</f>
        <v>0</v>
      </c>
      <c r="Z184" s="130">
        <f t="shared" si="29"/>
        <v>0</v>
      </c>
      <c r="AA184" s="130">
        <f t="shared" ca="1" si="37"/>
        <v>0</v>
      </c>
      <c r="AB184" s="118">
        <f t="shared" si="31"/>
        <v>0</v>
      </c>
      <c r="AC184" s="118">
        <f t="shared" ca="1" si="32"/>
        <v>0</v>
      </c>
      <c r="AD184" s="118">
        <f t="shared" ca="1" si="38"/>
        <v>0</v>
      </c>
      <c r="AE184" s="118">
        <f t="shared" ca="1" si="21"/>
        <v>0</v>
      </c>
      <c r="AF184" s="118">
        <f t="shared" si="33"/>
        <v>0</v>
      </c>
      <c r="AG184" s="118">
        <f t="shared" ca="1" si="22"/>
        <v>0</v>
      </c>
    </row>
    <row r="185" spans="1:33" x14ac:dyDescent="0.35">
      <c r="A185" s="117">
        <v>31</v>
      </c>
      <c r="B185" s="118">
        <f t="shared" ca="1" si="11"/>
        <v>0</v>
      </c>
      <c r="C185" s="122">
        <f t="shared" ca="1" si="23"/>
        <v>0</v>
      </c>
      <c r="D185" s="122">
        <f t="shared" ca="1" si="12"/>
        <v>0</v>
      </c>
      <c r="E185" s="122">
        <f t="shared" ca="1" si="13"/>
        <v>0</v>
      </c>
      <c r="F185" s="124">
        <f t="shared" ca="1" si="24"/>
        <v>0</v>
      </c>
      <c r="G185" s="124">
        <f t="shared" ca="1" si="14"/>
        <v>0</v>
      </c>
      <c r="H185" s="124">
        <f t="shared" ca="1" si="15"/>
        <v>0</v>
      </c>
      <c r="I185" s="126">
        <f t="shared" ca="1" si="25"/>
        <v>0</v>
      </c>
      <c r="J185" s="126">
        <f t="shared" ca="1" si="16"/>
        <v>0</v>
      </c>
      <c r="K185" s="126">
        <f t="shared" ca="1" si="17"/>
        <v>0</v>
      </c>
      <c r="L185" s="312"/>
      <c r="M185" s="312"/>
      <c r="N185" s="312"/>
      <c r="O185" s="312"/>
      <c r="P185" s="132">
        <f t="shared" si="26"/>
        <v>0</v>
      </c>
      <c r="Q185" s="132">
        <f ca="1">MAX(0, MIN($F$10-SUM($Q$154:Q184), B185-D185-G185-J185-M185))</f>
        <v>0</v>
      </c>
      <c r="R185" s="132">
        <f t="shared" si="34"/>
        <v>0</v>
      </c>
      <c r="S185" s="132">
        <f t="shared" ca="1" si="35"/>
        <v>0</v>
      </c>
      <c r="T185" s="128">
        <f t="shared" si="27"/>
        <v>0</v>
      </c>
      <c r="U185" s="128">
        <f ca="1">MAX(0, MIN($F$8-SUM($U$154:U184), B185-D185-G185-J185-Q185-M185))</f>
        <v>0</v>
      </c>
      <c r="V185" s="128">
        <f t="shared" si="18"/>
        <v>0</v>
      </c>
      <c r="W185" s="128">
        <f t="shared" ca="1" si="36"/>
        <v>0</v>
      </c>
      <c r="X185" s="130">
        <f t="shared" si="28"/>
        <v>0</v>
      </c>
      <c r="Y185" s="130">
        <f ca="1">MAX(0, MIN($F$9-SUM($Y$154:Y184), B185-D185-G185-J185-U185-Q185-M185))</f>
        <v>0</v>
      </c>
      <c r="Z185" s="130">
        <f t="shared" si="29"/>
        <v>0</v>
      </c>
      <c r="AA185" s="130">
        <f t="shared" ca="1" si="37"/>
        <v>0</v>
      </c>
      <c r="AB185" s="118">
        <f t="shared" si="31"/>
        <v>0</v>
      </c>
      <c r="AC185" s="118">
        <f t="shared" ca="1" si="32"/>
        <v>0</v>
      </c>
      <c r="AD185" s="118">
        <f t="shared" ca="1" si="38"/>
        <v>0</v>
      </c>
      <c r="AE185" s="118">
        <f t="shared" ca="1" si="21"/>
        <v>0</v>
      </c>
      <c r="AF185" s="118">
        <f t="shared" si="33"/>
        <v>0</v>
      </c>
      <c r="AG185" s="118">
        <f t="shared" ca="1" si="22"/>
        <v>0</v>
      </c>
    </row>
    <row r="186" spans="1:33" x14ac:dyDescent="0.35">
      <c r="A186" s="117">
        <v>32</v>
      </c>
      <c r="B186" s="118">
        <f t="shared" ca="1" si="11"/>
        <v>0</v>
      </c>
      <c r="C186" s="122">
        <f t="shared" ca="1" si="23"/>
        <v>0</v>
      </c>
      <c r="D186" s="122">
        <f t="shared" ca="1" si="12"/>
        <v>0</v>
      </c>
      <c r="E186" s="122">
        <f t="shared" ca="1" si="13"/>
        <v>0</v>
      </c>
      <c r="F186" s="124">
        <f t="shared" ca="1" si="24"/>
        <v>0</v>
      </c>
      <c r="G186" s="124">
        <f t="shared" ca="1" si="14"/>
        <v>0</v>
      </c>
      <c r="H186" s="124">
        <f t="shared" ca="1" si="15"/>
        <v>0</v>
      </c>
      <c r="I186" s="126">
        <f t="shared" ca="1" si="25"/>
        <v>0</v>
      </c>
      <c r="J186" s="126">
        <f t="shared" ca="1" si="16"/>
        <v>0</v>
      </c>
      <c r="K186" s="126">
        <f t="shared" ca="1" si="17"/>
        <v>0</v>
      </c>
      <c r="L186" s="312"/>
      <c r="M186" s="312"/>
      <c r="N186" s="312"/>
      <c r="O186" s="312"/>
      <c r="P186" s="132">
        <f t="shared" si="26"/>
        <v>0</v>
      </c>
      <c r="Q186" s="132">
        <f ca="1">MAX(0, MIN($F$10-SUM($Q$154:Q185), B186-D186-G186-J186-M186))</f>
        <v>0</v>
      </c>
      <c r="R186" s="132">
        <f t="shared" si="34"/>
        <v>0</v>
      </c>
      <c r="S186" s="132">
        <f t="shared" ca="1" si="35"/>
        <v>0</v>
      </c>
      <c r="T186" s="128">
        <f t="shared" si="27"/>
        <v>0</v>
      </c>
      <c r="U186" s="128">
        <f ca="1">MAX(0, MIN($F$8-SUM($U$154:U185), B186-D186-G186-J186-Q186-M186))</f>
        <v>0</v>
      </c>
      <c r="V186" s="128">
        <f t="shared" si="18"/>
        <v>0</v>
      </c>
      <c r="W186" s="128">
        <f t="shared" ca="1" si="36"/>
        <v>0</v>
      </c>
      <c r="X186" s="130">
        <f t="shared" si="28"/>
        <v>0</v>
      </c>
      <c r="Y186" s="130">
        <f ca="1">MAX(0, MIN($F$9-SUM($Y$154:Y185), B186-D186-G186-J186-U186-Q186-M186))</f>
        <v>0</v>
      </c>
      <c r="Z186" s="130">
        <f t="shared" si="29"/>
        <v>0</v>
      </c>
      <c r="AA186" s="130">
        <f t="shared" ca="1" si="37"/>
        <v>0</v>
      </c>
      <c r="AB186" s="118">
        <f t="shared" si="31"/>
        <v>0</v>
      </c>
      <c r="AC186" s="118">
        <f t="shared" ca="1" si="32"/>
        <v>0</v>
      </c>
      <c r="AD186" s="118">
        <f t="shared" ca="1" si="38"/>
        <v>0</v>
      </c>
      <c r="AE186" s="118">
        <f t="shared" ca="1" si="21"/>
        <v>0</v>
      </c>
      <c r="AF186" s="118">
        <f t="shared" si="33"/>
        <v>0</v>
      </c>
      <c r="AG186" s="118">
        <f t="shared" ca="1" si="22"/>
        <v>0</v>
      </c>
    </row>
    <row r="187" spans="1:33" x14ac:dyDescent="0.35">
      <c r="A187" s="117">
        <v>33</v>
      </c>
      <c r="B187" s="118">
        <f t="shared" ref="B187:B214" ca="1" si="39">I124</f>
        <v>0</v>
      </c>
      <c r="C187" s="122">
        <f t="shared" ca="1" si="23"/>
        <v>0</v>
      </c>
      <c r="D187" s="122">
        <f t="shared" ca="1" si="12"/>
        <v>0</v>
      </c>
      <c r="E187" s="122">
        <f t="shared" ca="1" si="13"/>
        <v>0</v>
      </c>
      <c r="F187" s="124">
        <f t="shared" ca="1" si="24"/>
        <v>0</v>
      </c>
      <c r="G187" s="124">
        <f t="shared" ca="1" si="14"/>
        <v>0</v>
      </c>
      <c r="H187" s="124">
        <f t="shared" ca="1" si="15"/>
        <v>0</v>
      </c>
      <c r="I187" s="126">
        <f t="shared" ca="1" si="25"/>
        <v>0</v>
      </c>
      <c r="J187" s="126">
        <f t="shared" ca="1" si="16"/>
        <v>0</v>
      </c>
      <c r="K187" s="126">
        <f t="shared" ca="1" si="17"/>
        <v>0</v>
      </c>
      <c r="L187" s="312"/>
      <c r="M187" s="312"/>
      <c r="N187" s="312"/>
      <c r="O187" s="312"/>
      <c r="P187" s="132">
        <f t="shared" si="26"/>
        <v>0</v>
      </c>
      <c r="Q187" s="132">
        <f ca="1">MAX(0, MIN($F$10-SUM($Q$154:Q186), B187-D187-G187-J187-M187))</f>
        <v>0</v>
      </c>
      <c r="R187" s="132">
        <f t="shared" si="34"/>
        <v>0</v>
      </c>
      <c r="S187" s="132">
        <f t="shared" ca="1" si="35"/>
        <v>0</v>
      </c>
      <c r="T187" s="128">
        <f t="shared" si="27"/>
        <v>0</v>
      </c>
      <c r="U187" s="128">
        <f ca="1">MAX(0, MIN($F$8-SUM($U$154:U186), B187-D187-G187-J187-Q187-M187))</f>
        <v>0</v>
      </c>
      <c r="V187" s="128">
        <f t="shared" si="18"/>
        <v>0</v>
      </c>
      <c r="W187" s="128">
        <f t="shared" ca="1" si="36"/>
        <v>0</v>
      </c>
      <c r="X187" s="130">
        <f t="shared" si="28"/>
        <v>0</v>
      </c>
      <c r="Y187" s="130">
        <f ca="1">MAX(0, MIN($F$9-SUM($Y$154:Y186), B187-D187-G187-J187-U187-Q187-M187))</f>
        <v>0</v>
      </c>
      <c r="Z187" s="130">
        <f t="shared" si="29"/>
        <v>0</v>
      </c>
      <c r="AA187" s="130">
        <f t="shared" ca="1" si="37"/>
        <v>0</v>
      </c>
      <c r="AB187" s="118">
        <f t="shared" si="31"/>
        <v>0</v>
      </c>
      <c r="AC187" s="118">
        <f t="shared" ca="1" si="32"/>
        <v>0</v>
      </c>
      <c r="AD187" s="118">
        <f t="shared" ca="1" si="38"/>
        <v>0</v>
      </c>
      <c r="AE187" s="118">
        <f t="shared" ref="AE187:AE214" ca="1" si="40">C187+F187+I187+T187+X187+P187+AB187</f>
        <v>0</v>
      </c>
      <c r="AF187" s="118">
        <f t="shared" si="33"/>
        <v>0</v>
      </c>
      <c r="AG187" s="118">
        <f t="shared" ref="AG187:AG214" ca="1" si="41">E187+H187+K187+W187+AA187+S187+AD187</f>
        <v>0</v>
      </c>
    </row>
    <row r="188" spans="1:33" x14ac:dyDescent="0.35">
      <c r="A188" s="117">
        <v>34</v>
      </c>
      <c r="B188" s="118">
        <f t="shared" ca="1" si="39"/>
        <v>0</v>
      </c>
      <c r="C188" s="122">
        <f t="shared" ca="1" si="23"/>
        <v>0</v>
      </c>
      <c r="D188" s="122">
        <f t="shared" ca="1" si="12"/>
        <v>0</v>
      </c>
      <c r="E188" s="122">
        <f t="shared" ca="1" si="13"/>
        <v>0</v>
      </c>
      <c r="F188" s="124">
        <f t="shared" ca="1" si="24"/>
        <v>0</v>
      </c>
      <c r="G188" s="124">
        <f t="shared" ca="1" si="14"/>
        <v>0</v>
      </c>
      <c r="H188" s="124">
        <f t="shared" ca="1" si="15"/>
        <v>0</v>
      </c>
      <c r="I188" s="126">
        <f t="shared" ca="1" si="25"/>
        <v>0</v>
      </c>
      <c r="J188" s="126">
        <f t="shared" ca="1" si="16"/>
        <v>0</v>
      </c>
      <c r="K188" s="126">
        <f t="shared" ca="1" si="17"/>
        <v>0</v>
      </c>
      <c r="L188" s="312"/>
      <c r="M188" s="312"/>
      <c r="N188" s="312"/>
      <c r="O188" s="312"/>
      <c r="P188" s="132">
        <f t="shared" ref="P188:P214" si="42">IF($A188&lt;=$C$7,S187,0)</f>
        <v>0</v>
      </c>
      <c r="Q188" s="132">
        <f ca="1">MAX(0, MIN($F$10-SUM($Q$154:Q187), B188-D188-G188-J188-M188))</f>
        <v>0</v>
      </c>
      <c r="R188" s="132">
        <f t="shared" si="34"/>
        <v>0</v>
      </c>
      <c r="S188" s="132">
        <f t="shared" ca="1" si="35"/>
        <v>0</v>
      </c>
      <c r="T188" s="128">
        <f t="shared" ref="T188:T214" si="43">IF($A188&lt;=$C$7,W187,0)</f>
        <v>0</v>
      </c>
      <c r="U188" s="128">
        <f ca="1">MAX(0, MIN($F$8-SUM($U$154:U187), B188-D188-G188-J188-Q188-M188))</f>
        <v>0</v>
      </c>
      <c r="V188" s="128">
        <f t="shared" si="18"/>
        <v>0</v>
      </c>
      <c r="W188" s="128">
        <f t="shared" ca="1" si="36"/>
        <v>0</v>
      </c>
      <c r="X188" s="130">
        <f t="shared" ref="X188:X214" si="44">IF($A188&lt;=$C$7,AA187,0)</f>
        <v>0</v>
      </c>
      <c r="Y188" s="130">
        <f ca="1">MAX(0, MIN($F$9-SUM($Y$154:Y187), B188-D188-G188-J188-U188-Q188-M188))</f>
        <v>0</v>
      </c>
      <c r="Z188" s="130">
        <f t="shared" si="29"/>
        <v>0</v>
      </c>
      <c r="AA188" s="130">
        <f t="shared" ca="1" si="37"/>
        <v>0</v>
      </c>
      <c r="AB188" s="118">
        <f t="shared" si="31"/>
        <v>0</v>
      </c>
      <c r="AC188" s="118">
        <f t="shared" ref="AC188:AC214" ca="1" si="45">MAX(0, MIN(AB188, B188-D188-G188-J188-U188-Y188-Q188))</f>
        <v>0</v>
      </c>
      <c r="AD188" s="118">
        <f t="shared" ca="1" si="38"/>
        <v>0</v>
      </c>
      <c r="AE188" s="118">
        <f t="shared" ca="1" si="40"/>
        <v>0</v>
      </c>
      <c r="AF188" s="118">
        <f t="shared" si="33"/>
        <v>0</v>
      </c>
      <c r="AG188" s="118">
        <f t="shared" ca="1" si="41"/>
        <v>0</v>
      </c>
    </row>
    <row r="189" spans="1:33" x14ac:dyDescent="0.35">
      <c r="A189" s="117">
        <v>35</v>
      </c>
      <c r="B189" s="118">
        <f t="shared" ca="1" si="39"/>
        <v>0</v>
      </c>
      <c r="C189" s="122">
        <f t="shared" ca="1" si="23"/>
        <v>0</v>
      </c>
      <c r="D189" s="122">
        <f t="shared" ca="1" si="12"/>
        <v>0</v>
      </c>
      <c r="E189" s="122">
        <f t="shared" ca="1" si="13"/>
        <v>0</v>
      </c>
      <c r="F189" s="124">
        <f t="shared" ca="1" si="24"/>
        <v>0</v>
      </c>
      <c r="G189" s="124">
        <f t="shared" ca="1" si="14"/>
        <v>0</v>
      </c>
      <c r="H189" s="124">
        <f t="shared" ca="1" si="15"/>
        <v>0</v>
      </c>
      <c r="I189" s="126">
        <f t="shared" ca="1" si="25"/>
        <v>0</v>
      </c>
      <c r="J189" s="126">
        <f t="shared" ca="1" si="16"/>
        <v>0</v>
      </c>
      <c r="K189" s="126">
        <f t="shared" ca="1" si="17"/>
        <v>0</v>
      </c>
      <c r="L189" s="312"/>
      <c r="M189" s="312"/>
      <c r="N189" s="312"/>
      <c r="O189" s="312"/>
      <c r="P189" s="132">
        <f t="shared" si="42"/>
        <v>0</v>
      </c>
      <c r="Q189" s="132">
        <f ca="1">MAX(0, MIN($F$10-SUM($Q$154:Q188), B189-D189-G189-J189-M189))</f>
        <v>0</v>
      </c>
      <c r="R189" s="132">
        <f t="shared" si="34"/>
        <v>0</v>
      </c>
      <c r="S189" s="132">
        <f t="shared" ca="1" si="35"/>
        <v>0</v>
      </c>
      <c r="T189" s="128">
        <f t="shared" si="43"/>
        <v>0</v>
      </c>
      <c r="U189" s="128">
        <f ca="1">MAX(0, MIN($F$8-SUM($U$154:U188), B189-D189-G189-J189-Q189-M189))</f>
        <v>0</v>
      </c>
      <c r="V189" s="128">
        <f t="shared" si="18"/>
        <v>0</v>
      </c>
      <c r="W189" s="128">
        <f t="shared" ca="1" si="36"/>
        <v>0</v>
      </c>
      <c r="X189" s="130">
        <f t="shared" si="44"/>
        <v>0</v>
      </c>
      <c r="Y189" s="130">
        <f ca="1">MAX(0, MIN($F$9-SUM($Y$154:Y188), B189-D189-G189-J189-U189-Q189-M189))</f>
        <v>0</v>
      </c>
      <c r="Z189" s="130">
        <f t="shared" si="29"/>
        <v>0</v>
      </c>
      <c r="AA189" s="130">
        <f t="shared" ca="1" si="37"/>
        <v>0</v>
      </c>
      <c r="AB189" s="118">
        <f t="shared" si="31"/>
        <v>0</v>
      </c>
      <c r="AC189" s="118">
        <f t="shared" ca="1" si="45"/>
        <v>0</v>
      </c>
      <c r="AD189" s="118">
        <f t="shared" ca="1" si="38"/>
        <v>0</v>
      </c>
      <c r="AE189" s="118">
        <f t="shared" ca="1" si="40"/>
        <v>0</v>
      </c>
      <c r="AF189" s="118">
        <f t="shared" si="33"/>
        <v>0</v>
      </c>
      <c r="AG189" s="118">
        <f t="shared" ca="1" si="41"/>
        <v>0</v>
      </c>
    </row>
    <row r="190" spans="1:33" x14ac:dyDescent="0.35">
      <c r="A190" s="117">
        <v>36</v>
      </c>
      <c r="B190" s="118">
        <f t="shared" ca="1" si="39"/>
        <v>0</v>
      </c>
      <c r="C190" s="122">
        <f t="shared" ca="1" si="23"/>
        <v>0</v>
      </c>
      <c r="D190" s="122">
        <f t="shared" ca="1" si="12"/>
        <v>0</v>
      </c>
      <c r="E190" s="122">
        <f t="shared" ca="1" si="13"/>
        <v>0</v>
      </c>
      <c r="F190" s="124">
        <f t="shared" ca="1" si="24"/>
        <v>0</v>
      </c>
      <c r="G190" s="124">
        <f t="shared" ca="1" si="14"/>
        <v>0</v>
      </c>
      <c r="H190" s="124">
        <f t="shared" ca="1" si="15"/>
        <v>0</v>
      </c>
      <c r="I190" s="126">
        <f t="shared" ca="1" si="25"/>
        <v>0</v>
      </c>
      <c r="J190" s="126">
        <f t="shared" ca="1" si="16"/>
        <v>0</v>
      </c>
      <c r="K190" s="126">
        <f t="shared" ca="1" si="17"/>
        <v>0</v>
      </c>
      <c r="L190" s="312"/>
      <c r="M190" s="312"/>
      <c r="N190" s="312"/>
      <c r="O190" s="312"/>
      <c r="P190" s="132">
        <f t="shared" si="42"/>
        <v>0</v>
      </c>
      <c r="Q190" s="132">
        <f ca="1">MAX(0, MIN($F$10-SUM($Q$154:Q189), B190-D190-G190-J190-M190))</f>
        <v>0</v>
      </c>
      <c r="R190" s="132">
        <f t="shared" si="34"/>
        <v>0</v>
      </c>
      <c r="S190" s="132">
        <f t="shared" ca="1" si="35"/>
        <v>0</v>
      </c>
      <c r="T190" s="128">
        <f t="shared" si="43"/>
        <v>0</v>
      </c>
      <c r="U190" s="128">
        <f ca="1">MAX(0, MIN($F$8-SUM($U$154:U189), B190-D190-G190-J190-Q190-M190))</f>
        <v>0</v>
      </c>
      <c r="V190" s="128">
        <f t="shared" si="18"/>
        <v>0</v>
      </c>
      <c r="W190" s="128">
        <f t="shared" ca="1" si="36"/>
        <v>0</v>
      </c>
      <c r="X190" s="130">
        <f t="shared" si="44"/>
        <v>0</v>
      </c>
      <c r="Y190" s="130">
        <f ca="1">MAX(0, MIN($F$9-SUM($Y$154:Y189), B190-D190-G190-J190-U190-Q190-M190))</f>
        <v>0</v>
      </c>
      <c r="Z190" s="130">
        <f t="shared" si="29"/>
        <v>0</v>
      </c>
      <c r="AA190" s="130">
        <f t="shared" ca="1" si="37"/>
        <v>0</v>
      </c>
      <c r="AB190" s="118">
        <f t="shared" si="31"/>
        <v>0</v>
      </c>
      <c r="AC190" s="118">
        <f t="shared" ca="1" si="45"/>
        <v>0</v>
      </c>
      <c r="AD190" s="118">
        <f t="shared" ca="1" si="38"/>
        <v>0</v>
      </c>
      <c r="AE190" s="118">
        <f t="shared" ca="1" si="40"/>
        <v>0</v>
      </c>
      <c r="AF190" s="118">
        <f t="shared" si="33"/>
        <v>0</v>
      </c>
      <c r="AG190" s="118">
        <f t="shared" ca="1" si="41"/>
        <v>0</v>
      </c>
    </row>
    <row r="191" spans="1:33" x14ac:dyDescent="0.35">
      <c r="A191" s="117">
        <v>37</v>
      </c>
      <c r="B191" s="118">
        <f t="shared" ca="1" si="39"/>
        <v>0</v>
      </c>
      <c r="C191" s="122">
        <f t="shared" ca="1" si="23"/>
        <v>0</v>
      </c>
      <c r="D191" s="122">
        <f t="shared" ca="1" si="12"/>
        <v>0</v>
      </c>
      <c r="E191" s="122">
        <f t="shared" ca="1" si="13"/>
        <v>0</v>
      </c>
      <c r="F191" s="124">
        <f t="shared" ca="1" si="24"/>
        <v>0</v>
      </c>
      <c r="G191" s="124">
        <f t="shared" ca="1" si="14"/>
        <v>0</v>
      </c>
      <c r="H191" s="124">
        <f t="shared" ca="1" si="15"/>
        <v>0</v>
      </c>
      <c r="I191" s="126">
        <f t="shared" ca="1" si="25"/>
        <v>0</v>
      </c>
      <c r="J191" s="126">
        <f t="shared" ca="1" si="16"/>
        <v>0</v>
      </c>
      <c r="K191" s="126">
        <f t="shared" ca="1" si="17"/>
        <v>0</v>
      </c>
      <c r="L191" s="312"/>
      <c r="M191" s="312"/>
      <c r="N191" s="312"/>
      <c r="O191" s="312"/>
      <c r="P191" s="132">
        <f t="shared" si="42"/>
        <v>0</v>
      </c>
      <c r="Q191" s="132">
        <f ca="1">MAX(0, MIN($F$10-SUM($Q$154:Q190), B191-D191-G191-J191-M191))</f>
        <v>0</v>
      </c>
      <c r="R191" s="132">
        <f t="shared" si="34"/>
        <v>0</v>
      </c>
      <c r="S191" s="132">
        <f t="shared" ca="1" si="35"/>
        <v>0</v>
      </c>
      <c r="T191" s="128">
        <f t="shared" si="43"/>
        <v>0</v>
      </c>
      <c r="U191" s="128">
        <f ca="1">MAX(0, MIN($F$8-SUM($U$154:U190), B191-D191-G191-J191-Q191-M191))</f>
        <v>0</v>
      </c>
      <c r="V191" s="128">
        <f t="shared" si="18"/>
        <v>0</v>
      </c>
      <c r="W191" s="128">
        <f t="shared" ca="1" si="36"/>
        <v>0</v>
      </c>
      <c r="X191" s="130">
        <f t="shared" si="44"/>
        <v>0</v>
      </c>
      <c r="Y191" s="130">
        <f ca="1">MAX(0, MIN($F$9-SUM($Y$154:Y190), B191-D191-G191-J191-U191-Q191-M191))</f>
        <v>0</v>
      </c>
      <c r="Z191" s="130">
        <f t="shared" si="29"/>
        <v>0</v>
      </c>
      <c r="AA191" s="130">
        <f t="shared" ca="1" si="37"/>
        <v>0</v>
      </c>
      <c r="AB191" s="118">
        <f t="shared" si="31"/>
        <v>0</v>
      </c>
      <c r="AC191" s="118">
        <f t="shared" ca="1" si="45"/>
        <v>0</v>
      </c>
      <c r="AD191" s="118">
        <f t="shared" ca="1" si="38"/>
        <v>0</v>
      </c>
      <c r="AE191" s="118">
        <f t="shared" ca="1" si="40"/>
        <v>0</v>
      </c>
      <c r="AF191" s="118">
        <f t="shared" si="33"/>
        <v>0</v>
      </c>
      <c r="AG191" s="118">
        <f t="shared" ca="1" si="41"/>
        <v>0</v>
      </c>
    </row>
    <row r="192" spans="1:33" x14ac:dyDescent="0.35">
      <c r="A192" s="117">
        <v>38</v>
      </c>
      <c r="B192" s="118">
        <f t="shared" ca="1" si="39"/>
        <v>0</v>
      </c>
      <c r="C192" s="122">
        <f t="shared" ca="1" si="23"/>
        <v>0</v>
      </c>
      <c r="D192" s="122">
        <f t="shared" ca="1" si="12"/>
        <v>0</v>
      </c>
      <c r="E192" s="122">
        <f t="shared" ca="1" si="13"/>
        <v>0</v>
      </c>
      <c r="F192" s="124">
        <f t="shared" ca="1" si="24"/>
        <v>0</v>
      </c>
      <c r="G192" s="124">
        <f t="shared" ca="1" si="14"/>
        <v>0</v>
      </c>
      <c r="H192" s="124">
        <f t="shared" ca="1" si="15"/>
        <v>0</v>
      </c>
      <c r="I192" s="126">
        <f t="shared" ca="1" si="25"/>
        <v>0</v>
      </c>
      <c r="J192" s="126">
        <f t="shared" ca="1" si="16"/>
        <v>0</v>
      </c>
      <c r="K192" s="126">
        <f t="shared" ca="1" si="17"/>
        <v>0</v>
      </c>
      <c r="L192" s="312"/>
      <c r="M192" s="312"/>
      <c r="N192" s="312"/>
      <c r="O192" s="312"/>
      <c r="P192" s="132">
        <f t="shared" si="42"/>
        <v>0</v>
      </c>
      <c r="Q192" s="132">
        <f ca="1">MAX(0, MIN($F$10-SUM($Q$154:Q191), B192-D192-G192-J192-M192))</f>
        <v>0</v>
      </c>
      <c r="R192" s="132">
        <f t="shared" si="34"/>
        <v>0</v>
      </c>
      <c r="S192" s="132">
        <f t="shared" ca="1" si="35"/>
        <v>0</v>
      </c>
      <c r="T192" s="128">
        <f t="shared" si="43"/>
        <v>0</v>
      </c>
      <c r="U192" s="128">
        <f ca="1">MAX(0, MIN($F$8-SUM($U$154:U191), B192-D192-G192-J192-Q192-M192))</f>
        <v>0</v>
      </c>
      <c r="V192" s="128">
        <f t="shared" si="18"/>
        <v>0</v>
      </c>
      <c r="W192" s="128">
        <f t="shared" ca="1" si="36"/>
        <v>0</v>
      </c>
      <c r="X192" s="130">
        <f t="shared" si="44"/>
        <v>0</v>
      </c>
      <c r="Y192" s="130">
        <f ca="1">MAX(0, MIN($F$9-SUM($Y$154:Y191), B192-D192-G192-J192-U192-Q192-M192))</f>
        <v>0</v>
      </c>
      <c r="Z192" s="130">
        <f t="shared" si="29"/>
        <v>0</v>
      </c>
      <c r="AA192" s="130">
        <f t="shared" ca="1" si="37"/>
        <v>0</v>
      </c>
      <c r="AB192" s="118">
        <f t="shared" si="31"/>
        <v>0</v>
      </c>
      <c r="AC192" s="118">
        <f t="shared" ca="1" si="45"/>
        <v>0</v>
      </c>
      <c r="AD192" s="118">
        <f t="shared" ca="1" si="38"/>
        <v>0</v>
      </c>
      <c r="AE192" s="118">
        <f t="shared" ca="1" si="40"/>
        <v>0</v>
      </c>
      <c r="AF192" s="118">
        <f t="shared" si="33"/>
        <v>0</v>
      </c>
      <c r="AG192" s="118">
        <f t="shared" ca="1" si="41"/>
        <v>0</v>
      </c>
    </row>
    <row r="193" spans="1:33" x14ac:dyDescent="0.35">
      <c r="A193" s="117">
        <v>39</v>
      </c>
      <c r="B193" s="118">
        <f t="shared" ca="1" si="39"/>
        <v>0</v>
      </c>
      <c r="C193" s="122">
        <f t="shared" ca="1" si="23"/>
        <v>0</v>
      </c>
      <c r="D193" s="122">
        <f t="shared" ca="1" si="12"/>
        <v>0</v>
      </c>
      <c r="E193" s="122">
        <f t="shared" ca="1" si="13"/>
        <v>0</v>
      </c>
      <c r="F193" s="124">
        <f t="shared" ca="1" si="24"/>
        <v>0</v>
      </c>
      <c r="G193" s="124">
        <f t="shared" ca="1" si="14"/>
        <v>0</v>
      </c>
      <c r="H193" s="124">
        <f t="shared" ca="1" si="15"/>
        <v>0</v>
      </c>
      <c r="I193" s="126">
        <f t="shared" ca="1" si="25"/>
        <v>0</v>
      </c>
      <c r="J193" s="126">
        <f t="shared" ca="1" si="16"/>
        <v>0</v>
      </c>
      <c r="K193" s="126">
        <f t="shared" ca="1" si="17"/>
        <v>0</v>
      </c>
      <c r="L193" s="312"/>
      <c r="M193" s="312"/>
      <c r="N193" s="312"/>
      <c r="O193" s="312"/>
      <c r="P193" s="132">
        <f t="shared" si="42"/>
        <v>0</v>
      </c>
      <c r="Q193" s="132">
        <f ca="1">MAX(0, MIN($F$10-SUM($Q$154:Q192), B193-D193-G193-J193-M193))</f>
        <v>0</v>
      </c>
      <c r="R193" s="132">
        <f t="shared" si="34"/>
        <v>0</v>
      </c>
      <c r="S193" s="132">
        <f t="shared" ca="1" si="35"/>
        <v>0</v>
      </c>
      <c r="T193" s="128">
        <f t="shared" si="43"/>
        <v>0</v>
      </c>
      <c r="U193" s="128">
        <f ca="1">MAX(0, MIN($F$8-SUM($U$154:U192), B193-D193-G193-J193-Q193-M193))</f>
        <v>0</v>
      </c>
      <c r="V193" s="128">
        <f t="shared" si="18"/>
        <v>0</v>
      </c>
      <c r="W193" s="128">
        <f t="shared" ca="1" si="36"/>
        <v>0</v>
      </c>
      <c r="X193" s="130">
        <f t="shared" si="44"/>
        <v>0</v>
      </c>
      <c r="Y193" s="130">
        <f ca="1">MAX(0, MIN($F$9-SUM($Y$154:Y192), B193-D193-G193-J193-U193-Q193-M193))</f>
        <v>0</v>
      </c>
      <c r="Z193" s="130">
        <f t="shared" si="29"/>
        <v>0</v>
      </c>
      <c r="AA193" s="130">
        <f t="shared" ca="1" si="37"/>
        <v>0</v>
      </c>
      <c r="AB193" s="118">
        <f t="shared" si="31"/>
        <v>0</v>
      </c>
      <c r="AC193" s="118">
        <f t="shared" ca="1" si="45"/>
        <v>0</v>
      </c>
      <c r="AD193" s="118">
        <f t="shared" ca="1" si="38"/>
        <v>0</v>
      </c>
      <c r="AE193" s="118">
        <f t="shared" ca="1" si="40"/>
        <v>0</v>
      </c>
      <c r="AF193" s="118">
        <f t="shared" si="33"/>
        <v>0</v>
      </c>
      <c r="AG193" s="118">
        <f t="shared" ca="1" si="41"/>
        <v>0</v>
      </c>
    </row>
    <row r="194" spans="1:33" x14ac:dyDescent="0.35">
      <c r="A194" s="117">
        <v>40</v>
      </c>
      <c r="B194" s="118">
        <f t="shared" ca="1" si="39"/>
        <v>0</v>
      </c>
      <c r="C194" s="122">
        <f t="shared" ca="1" si="23"/>
        <v>0</v>
      </c>
      <c r="D194" s="122">
        <f t="shared" ca="1" si="12"/>
        <v>0</v>
      </c>
      <c r="E194" s="122">
        <f t="shared" ca="1" si="13"/>
        <v>0</v>
      </c>
      <c r="F194" s="124">
        <f t="shared" ca="1" si="24"/>
        <v>0</v>
      </c>
      <c r="G194" s="124">
        <f t="shared" ca="1" si="14"/>
        <v>0</v>
      </c>
      <c r="H194" s="124">
        <f t="shared" ca="1" si="15"/>
        <v>0</v>
      </c>
      <c r="I194" s="126">
        <f t="shared" ca="1" si="25"/>
        <v>0</v>
      </c>
      <c r="J194" s="126">
        <f t="shared" ca="1" si="16"/>
        <v>0</v>
      </c>
      <c r="K194" s="126">
        <f t="shared" ca="1" si="17"/>
        <v>0</v>
      </c>
      <c r="L194" s="312"/>
      <c r="M194" s="312"/>
      <c r="N194" s="312"/>
      <c r="O194" s="312"/>
      <c r="P194" s="132">
        <f t="shared" si="42"/>
        <v>0</v>
      </c>
      <c r="Q194" s="132">
        <f ca="1">MAX(0, MIN($F$10-SUM($Q$154:Q193), B194-D194-G194-J194-M194))</f>
        <v>0</v>
      </c>
      <c r="R194" s="132">
        <f t="shared" si="34"/>
        <v>0</v>
      </c>
      <c r="S194" s="132">
        <f t="shared" ca="1" si="35"/>
        <v>0</v>
      </c>
      <c r="T194" s="128">
        <f t="shared" si="43"/>
        <v>0</v>
      </c>
      <c r="U194" s="128">
        <f ca="1">MAX(0, MIN($F$8-SUM($U$154:U193), B194-D194-G194-J194-Q194-M194))</f>
        <v>0</v>
      </c>
      <c r="V194" s="128">
        <f t="shared" si="18"/>
        <v>0</v>
      </c>
      <c r="W194" s="128">
        <f t="shared" ca="1" si="36"/>
        <v>0</v>
      </c>
      <c r="X194" s="130">
        <f t="shared" si="44"/>
        <v>0</v>
      </c>
      <c r="Y194" s="130">
        <f ca="1">MAX(0, MIN($F$9-SUM($Y$154:Y193), B194-D194-G194-J194-U194-Q194-M194))</f>
        <v>0</v>
      </c>
      <c r="Z194" s="130">
        <f t="shared" si="29"/>
        <v>0</v>
      </c>
      <c r="AA194" s="130">
        <f t="shared" ca="1" si="37"/>
        <v>0</v>
      </c>
      <c r="AB194" s="118">
        <f t="shared" si="31"/>
        <v>0</v>
      </c>
      <c r="AC194" s="118">
        <f t="shared" ca="1" si="45"/>
        <v>0</v>
      </c>
      <c r="AD194" s="118">
        <f t="shared" ca="1" si="38"/>
        <v>0</v>
      </c>
      <c r="AE194" s="118">
        <f t="shared" ca="1" si="40"/>
        <v>0</v>
      </c>
      <c r="AF194" s="118">
        <f t="shared" si="33"/>
        <v>0</v>
      </c>
      <c r="AG194" s="118">
        <f t="shared" ca="1" si="41"/>
        <v>0</v>
      </c>
    </row>
    <row r="195" spans="1:33" x14ac:dyDescent="0.35">
      <c r="A195" s="117">
        <v>41</v>
      </c>
      <c r="B195" s="118">
        <f t="shared" ca="1" si="39"/>
        <v>0</v>
      </c>
      <c r="C195" s="122">
        <f t="shared" ca="1" si="23"/>
        <v>0</v>
      </c>
      <c r="D195" s="122">
        <f t="shared" ca="1" si="12"/>
        <v>0</v>
      </c>
      <c r="E195" s="122">
        <f t="shared" ca="1" si="13"/>
        <v>0</v>
      </c>
      <c r="F195" s="124">
        <f t="shared" ca="1" si="24"/>
        <v>0</v>
      </c>
      <c r="G195" s="124">
        <f t="shared" ca="1" si="14"/>
        <v>0</v>
      </c>
      <c r="H195" s="124">
        <f t="shared" ca="1" si="15"/>
        <v>0</v>
      </c>
      <c r="I195" s="126">
        <f t="shared" ca="1" si="25"/>
        <v>0</v>
      </c>
      <c r="J195" s="126">
        <f t="shared" ca="1" si="16"/>
        <v>0</v>
      </c>
      <c r="K195" s="126">
        <f t="shared" ca="1" si="17"/>
        <v>0</v>
      </c>
      <c r="L195" s="312"/>
      <c r="M195" s="312"/>
      <c r="N195" s="312"/>
      <c r="O195" s="312"/>
      <c r="P195" s="132">
        <f t="shared" si="42"/>
        <v>0</v>
      </c>
      <c r="Q195" s="132">
        <f ca="1">MAX(0, MIN($F$10-SUM($Q$154:Q194), B195-D195-G195-J195-M195))</f>
        <v>0</v>
      </c>
      <c r="R195" s="132">
        <f t="shared" si="34"/>
        <v>0</v>
      </c>
      <c r="S195" s="132">
        <f t="shared" ca="1" si="35"/>
        <v>0</v>
      </c>
      <c r="T195" s="128">
        <f t="shared" si="43"/>
        <v>0</v>
      </c>
      <c r="U195" s="128">
        <f ca="1">MAX(0, MIN($F$8-SUM($U$154:U194), B195-D195-G195-J195-Q195-M195))</f>
        <v>0</v>
      </c>
      <c r="V195" s="128">
        <f t="shared" si="18"/>
        <v>0</v>
      </c>
      <c r="W195" s="128">
        <f t="shared" ca="1" si="36"/>
        <v>0</v>
      </c>
      <c r="X195" s="130">
        <f t="shared" si="44"/>
        <v>0</v>
      </c>
      <c r="Y195" s="130">
        <f ca="1">MAX(0, MIN($F$9-SUM($Y$154:Y194), B195-D195-G195-J195-U195-Q195-M195))</f>
        <v>0</v>
      </c>
      <c r="Z195" s="130">
        <f t="shared" si="29"/>
        <v>0</v>
      </c>
      <c r="AA195" s="130">
        <f t="shared" ca="1" si="37"/>
        <v>0</v>
      </c>
      <c r="AB195" s="118">
        <f t="shared" si="31"/>
        <v>0</v>
      </c>
      <c r="AC195" s="118">
        <f t="shared" ca="1" si="45"/>
        <v>0</v>
      </c>
      <c r="AD195" s="118">
        <f t="shared" ca="1" si="38"/>
        <v>0</v>
      </c>
      <c r="AE195" s="118">
        <f t="shared" ca="1" si="40"/>
        <v>0</v>
      </c>
      <c r="AF195" s="118">
        <f t="shared" si="33"/>
        <v>0</v>
      </c>
      <c r="AG195" s="118">
        <f t="shared" ca="1" si="41"/>
        <v>0</v>
      </c>
    </row>
    <row r="196" spans="1:33" x14ac:dyDescent="0.35">
      <c r="A196" s="117">
        <v>42</v>
      </c>
      <c r="B196" s="118">
        <f t="shared" ca="1" si="39"/>
        <v>0</v>
      </c>
      <c r="C196" s="122">
        <f t="shared" ca="1" si="23"/>
        <v>0</v>
      </c>
      <c r="D196" s="122">
        <f t="shared" ca="1" si="12"/>
        <v>0</v>
      </c>
      <c r="E196" s="122">
        <f t="shared" ca="1" si="13"/>
        <v>0</v>
      </c>
      <c r="F196" s="124">
        <f t="shared" ca="1" si="24"/>
        <v>0</v>
      </c>
      <c r="G196" s="124">
        <f t="shared" ca="1" si="14"/>
        <v>0</v>
      </c>
      <c r="H196" s="124">
        <f t="shared" ca="1" si="15"/>
        <v>0</v>
      </c>
      <c r="I196" s="126">
        <f t="shared" ca="1" si="25"/>
        <v>0</v>
      </c>
      <c r="J196" s="126">
        <f t="shared" ca="1" si="16"/>
        <v>0</v>
      </c>
      <c r="K196" s="126">
        <f t="shared" ca="1" si="17"/>
        <v>0</v>
      </c>
      <c r="L196" s="312"/>
      <c r="M196" s="312"/>
      <c r="N196" s="312"/>
      <c r="O196" s="312"/>
      <c r="P196" s="132">
        <f t="shared" si="42"/>
        <v>0</v>
      </c>
      <c r="Q196" s="132">
        <f ca="1">MAX(0, MIN($F$10-SUM($Q$154:Q195), B196-D196-G196-J196-M196))</f>
        <v>0</v>
      </c>
      <c r="R196" s="132">
        <f t="shared" si="34"/>
        <v>0</v>
      </c>
      <c r="S196" s="132">
        <f t="shared" ca="1" si="35"/>
        <v>0</v>
      </c>
      <c r="T196" s="128">
        <f t="shared" si="43"/>
        <v>0</v>
      </c>
      <c r="U196" s="128">
        <f ca="1">MAX(0, MIN($F$8-SUM($U$154:U195), B196-D196-G196-J196-Q196-M196))</f>
        <v>0</v>
      </c>
      <c r="V196" s="128">
        <f t="shared" si="18"/>
        <v>0</v>
      </c>
      <c r="W196" s="128">
        <f t="shared" ca="1" si="36"/>
        <v>0</v>
      </c>
      <c r="X196" s="130">
        <f t="shared" si="44"/>
        <v>0</v>
      </c>
      <c r="Y196" s="130">
        <f ca="1">MAX(0, MIN($F$9-SUM($Y$154:Y195), B196-D196-G196-J196-U196-Q196-M196))</f>
        <v>0</v>
      </c>
      <c r="Z196" s="130">
        <f t="shared" si="29"/>
        <v>0</v>
      </c>
      <c r="AA196" s="130">
        <f t="shared" ca="1" si="37"/>
        <v>0</v>
      </c>
      <c r="AB196" s="118">
        <f t="shared" si="31"/>
        <v>0</v>
      </c>
      <c r="AC196" s="118">
        <f t="shared" ca="1" si="45"/>
        <v>0</v>
      </c>
      <c r="AD196" s="118">
        <f t="shared" ca="1" si="38"/>
        <v>0</v>
      </c>
      <c r="AE196" s="118">
        <f t="shared" ca="1" si="40"/>
        <v>0</v>
      </c>
      <c r="AF196" s="118">
        <f t="shared" si="33"/>
        <v>0</v>
      </c>
      <c r="AG196" s="118">
        <f t="shared" ca="1" si="41"/>
        <v>0</v>
      </c>
    </row>
    <row r="197" spans="1:33" x14ac:dyDescent="0.35">
      <c r="A197" s="117">
        <v>43</v>
      </c>
      <c r="B197" s="118">
        <f t="shared" ca="1" si="39"/>
        <v>0</v>
      </c>
      <c r="C197" s="122">
        <f t="shared" ca="1" si="23"/>
        <v>0</v>
      </c>
      <c r="D197" s="122">
        <f t="shared" ca="1" si="12"/>
        <v>0</v>
      </c>
      <c r="E197" s="122">
        <f t="shared" ca="1" si="13"/>
        <v>0</v>
      </c>
      <c r="F197" s="124">
        <f t="shared" ca="1" si="24"/>
        <v>0</v>
      </c>
      <c r="G197" s="124">
        <f t="shared" ca="1" si="14"/>
        <v>0</v>
      </c>
      <c r="H197" s="124">
        <f t="shared" ca="1" si="15"/>
        <v>0</v>
      </c>
      <c r="I197" s="126">
        <f t="shared" ca="1" si="25"/>
        <v>0</v>
      </c>
      <c r="J197" s="126">
        <f t="shared" ca="1" si="16"/>
        <v>0</v>
      </c>
      <c r="K197" s="126">
        <f t="shared" ca="1" si="17"/>
        <v>0</v>
      </c>
      <c r="L197" s="312"/>
      <c r="M197" s="312"/>
      <c r="N197" s="312"/>
      <c r="O197" s="312"/>
      <c r="P197" s="132">
        <f t="shared" si="42"/>
        <v>0</v>
      </c>
      <c r="Q197" s="132">
        <f ca="1">MAX(0, MIN($F$10-SUM($Q$154:Q196), B197-D197-G197-J197-M197))</f>
        <v>0</v>
      </c>
      <c r="R197" s="132">
        <f t="shared" si="34"/>
        <v>0</v>
      </c>
      <c r="S197" s="132">
        <f t="shared" ca="1" si="35"/>
        <v>0</v>
      </c>
      <c r="T197" s="128">
        <f t="shared" si="43"/>
        <v>0</v>
      </c>
      <c r="U197" s="128">
        <f ca="1">MAX(0, MIN($F$8-SUM($U$154:U196), B197-D197-G197-J197-Q197-M197))</f>
        <v>0</v>
      </c>
      <c r="V197" s="128">
        <f t="shared" si="18"/>
        <v>0</v>
      </c>
      <c r="W197" s="128">
        <f t="shared" ca="1" si="36"/>
        <v>0</v>
      </c>
      <c r="X197" s="130">
        <f t="shared" si="44"/>
        <v>0</v>
      </c>
      <c r="Y197" s="130">
        <f ca="1">MAX(0, MIN($F$9-SUM($Y$154:Y196), B197-D197-G197-J197-U197-Q197-M197))</f>
        <v>0</v>
      </c>
      <c r="Z197" s="130">
        <f t="shared" si="29"/>
        <v>0</v>
      </c>
      <c r="AA197" s="130">
        <f t="shared" ca="1" si="37"/>
        <v>0</v>
      </c>
      <c r="AB197" s="118">
        <f t="shared" si="31"/>
        <v>0</v>
      </c>
      <c r="AC197" s="118">
        <f t="shared" ca="1" si="45"/>
        <v>0</v>
      </c>
      <c r="AD197" s="118">
        <f t="shared" ca="1" si="38"/>
        <v>0</v>
      </c>
      <c r="AE197" s="118">
        <f t="shared" ca="1" si="40"/>
        <v>0</v>
      </c>
      <c r="AF197" s="118">
        <f t="shared" si="33"/>
        <v>0</v>
      </c>
      <c r="AG197" s="118">
        <f t="shared" ca="1" si="41"/>
        <v>0</v>
      </c>
    </row>
    <row r="198" spans="1:33" x14ac:dyDescent="0.35">
      <c r="A198" s="117">
        <v>44</v>
      </c>
      <c r="B198" s="118">
        <f t="shared" ca="1" si="39"/>
        <v>0</v>
      </c>
      <c r="C198" s="122">
        <f t="shared" ca="1" si="23"/>
        <v>0</v>
      </c>
      <c r="D198" s="122">
        <f t="shared" ca="1" si="12"/>
        <v>0</v>
      </c>
      <c r="E198" s="122">
        <f t="shared" ca="1" si="13"/>
        <v>0</v>
      </c>
      <c r="F198" s="124">
        <f t="shared" ca="1" si="24"/>
        <v>0</v>
      </c>
      <c r="G198" s="124">
        <f t="shared" ca="1" si="14"/>
        <v>0</v>
      </c>
      <c r="H198" s="124">
        <f t="shared" ca="1" si="15"/>
        <v>0</v>
      </c>
      <c r="I198" s="126">
        <f t="shared" ca="1" si="25"/>
        <v>0</v>
      </c>
      <c r="J198" s="126">
        <f t="shared" ca="1" si="16"/>
        <v>0</v>
      </c>
      <c r="K198" s="126">
        <f t="shared" ca="1" si="17"/>
        <v>0</v>
      </c>
      <c r="L198" s="312"/>
      <c r="M198" s="312"/>
      <c r="N198" s="312"/>
      <c r="O198" s="312"/>
      <c r="P198" s="132">
        <f t="shared" si="42"/>
        <v>0</v>
      </c>
      <c r="Q198" s="132">
        <f ca="1">MAX(0, MIN($F$10-SUM($Q$154:Q197), B198-D198-G198-J198-M198))</f>
        <v>0</v>
      </c>
      <c r="R198" s="132">
        <f t="shared" si="34"/>
        <v>0</v>
      </c>
      <c r="S198" s="132">
        <f t="shared" ca="1" si="35"/>
        <v>0</v>
      </c>
      <c r="T198" s="128">
        <f t="shared" si="43"/>
        <v>0</v>
      </c>
      <c r="U198" s="128">
        <f ca="1">MAX(0, MIN($F$8-SUM($U$154:U197), B198-D198-G198-J198-Q198-M198))</f>
        <v>0</v>
      </c>
      <c r="V198" s="128">
        <f t="shared" si="18"/>
        <v>0</v>
      </c>
      <c r="W198" s="128">
        <f t="shared" ca="1" si="36"/>
        <v>0</v>
      </c>
      <c r="X198" s="130">
        <f t="shared" si="44"/>
        <v>0</v>
      </c>
      <c r="Y198" s="130">
        <f ca="1">MAX(0, MIN($F$9-SUM($Y$154:Y197), B198-D198-G198-J198-U198-Q198-M198))</f>
        <v>0</v>
      </c>
      <c r="Z198" s="130">
        <f t="shared" si="29"/>
        <v>0</v>
      </c>
      <c r="AA198" s="130">
        <f t="shared" ca="1" si="37"/>
        <v>0</v>
      </c>
      <c r="AB198" s="118">
        <f t="shared" si="31"/>
        <v>0</v>
      </c>
      <c r="AC198" s="118">
        <f t="shared" ca="1" si="45"/>
        <v>0</v>
      </c>
      <c r="AD198" s="118">
        <f t="shared" ca="1" si="38"/>
        <v>0</v>
      </c>
      <c r="AE198" s="118">
        <f t="shared" ca="1" si="40"/>
        <v>0</v>
      </c>
      <c r="AF198" s="118">
        <f t="shared" si="33"/>
        <v>0</v>
      </c>
      <c r="AG198" s="118">
        <f t="shared" ca="1" si="41"/>
        <v>0</v>
      </c>
    </row>
    <row r="199" spans="1:33" x14ac:dyDescent="0.35">
      <c r="A199" s="117">
        <v>45</v>
      </c>
      <c r="B199" s="118">
        <f t="shared" ca="1" si="39"/>
        <v>0</v>
      </c>
      <c r="C199" s="122">
        <f t="shared" ca="1" si="23"/>
        <v>0</v>
      </c>
      <c r="D199" s="122">
        <f t="shared" ca="1" si="12"/>
        <v>0</v>
      </c>
      <c r="E199" s="122">
        <f t="shared" ca="1" si="13"/>
        <v>0</v>
      </c>
      <c r="F199" s="124">
        <f t="shared" ca="1" si="24"/>
        <v>0</v>
      </c>
      <c r="G199" s="124">
        <f t="shared" ca="1" si="14"/>
        <v>0</v>
      </c>
      <c r="H199" s="124">
        <f t="shared" ca="1" si="15"/>
        <v>0</v>
      </c>
      <c r="I199" s="126">
        <f t="shared" ca="1" si="25"/>
        <v>0</v>
      </c>
      <c r="J199" s="126">
        <f t="shared" ca="1" si="16"/>
        <v>0</v>
      </c>
      <c r="K199" s="126">
        <f t="shared" ca="1" si="17"/>
        <v>0</v>
      </c>
      <c r="L199" s="312"/>
      <c r="M199" s="312"/>
      <c r="N199" s="312"/>
      <c r="O199" s="312"/>
      <c r="P199" s="132">
        <f t="shared" si="42"/>
        <v>0</v>
      </c>
      <c r="Q199" s="132">
        <f ca="1">MAX(0, MIN($F$10-SUM($Q$154:Q198), B199-D199-G199-J199-M199))</f>
        <v>0</v>
      </c>
      <c r="R199" s="132">
        <f t="shared" si="34"/>
        <v>0</v>
      </c>
      <c r="S199" s="132">
        <f t="shared" ca="1" si="35"/>
        <v>0</v>
      </c>
      <c r="T199" s="128">
        <f t="shared" si="43"/>
        <v>0</v>
      </c>
      <c r="U199" s="128">
        <f ca="1">MAX(0, MIN($F$8-SUM($U$154:U198), B199-D199-G199-J199-Q199-M199))</f>
        <v>0</v>
      </c>
      <c r="V199" s="128">
        <f t="shared" si="18"/>
        <v>0</v>
      </c>
      <c r="W199" s="128">
        <f t="shared" ca="1" si="36"/>
        <v>0</v>
      </c>
      <c r="X199" s="130">
        <f t="shared" si="44"/>
        <v>0</v>
      </c>
      <c r="Y199" s="130">
        <f ca="1">MAX(0, MIN($F$9-SUM($Y$154:Y198), B199-D199-G199-J199-U199-Q199-M199))</f>
        <v>0</v>
      </c>
      <c r="Z199" s="130">
        <f t="shared" si="29"/>
        <v>0</v>
      </c>
      <c r="AA199" s="130">
        <f t="shared" ca="1" si="37"/>
        <v>0</v>
      </c>
      <c r="AB199" s="118">
        <f t="shared" si="31"/>
        <v>0</v>
      </c>
      <c r="AC199" s="118">
        <f t="shared" ca="1" si="45"/>
        <v>0</v>
      </c>
      <c r="AD199" s="118">
        <f t="shared" ca="1" si="38"/>
        <v>0</v>
      </c>
      <c r="AE199" s="118">
        <f t="shared" ca="1" si="40"/>
        <v>0</v>
      </c>
      <c r="AF199" s="118">
        <f t="shared" si="33"/>
        <v>0</v>
      </c>
      <c r="AG199" s="118">
        <f t="shared" ca="1" si="41"/>
        <v>0</v>
      </c>
    </row>
    <row r="200" spans="1:33" x14ac:dyDescent="0.35">
      <c r="A200" s="117">
        <v>46</v>
      </c>
      <c r="B200" s="118">
        <f t="shared" ca="1" si="39"/>
        <v>0</v>
      </c>
      <c r="C200" s="122">
        <f t="shared" ca="1" si="23"/>
        <v>0</v>
      </c>
      <c r="D200" s="122">
        <f t="shared" ca="1" si="12"/>
        <v>0</v>
      </c>
      <c r="E200" s="122">
        <f t="shared" ca="1" si="13"/>
        <v>0</v>
      </c>
      <c r="F200" s="124">
        <f t="shared" ca="1" si="24"/>
        <v>0</v>
      </c>
      <c r="G200" s="124">
        <f t="shared" ca="1" si="14"/>
        <v>0</v>
      </c>
      <c r="H200" s="124">
        <f t="shared" ca="1" si="15"/>
        <v>0</v>
      </c>
      <c r="I200" s="126">
        <f t="shared" ca="1" si="25"/>
        <v>0</v>
      </c>
      <c r="J200" s="126">
        <f t="shared" ca="1" si="16"/>
        <v>0</v>
      </c>
      <c r="K200" s="126">
        <f t="shared" ca="1" si="17"/>
        <v>0</v>
      </c>
      <c r="L200" s="312"/>
      <c r="M200" s="312"/>
      <c r="N200" s="312"/>
      <c r="O200" s="312"/>
      <c r="P200" s="132">
        <f t="shared" si="42"/>
        <v>0</v>
      </c>
      <c r="Q200" s="132">
        <f ca="1">MAX(0, MIN($F$10-SUM($Q$154:Q199), B200-D200-G200-J200-M200))</f>
        <v>0</v>
      </c>
      <c r="R200" s="132">
        <f t="shared" si="34"/>
        <v>0</v>
      </c>
      <c r="S200" s="132">
        <f t="shared" ca="1" si="35"/>
        <v>0</v>
      </c>
      <c r="T200" s="128">
        <f t="shared" si="43"/>
        <v>0</v>
      </c>
      <c r="U200" s="128">
        <f ca="1">MAX(0, MIN($F$8-SUM($U$154:U199), B200-D200-G200-J200-Q200-M200))</f>
        <v>0</v>
      </c>
      <c r="V200" s="128">
        <f t="shared" si="18"/>
        <v>0</v>
      </c>
      <c r="W200" s="128">
        <f t="shared" ca="1" si="36"/>
        <v>0</v>
      </c>
      <c r="X200" s="130">
        <f t="shared" si="44"/>
        <v>0</v>
      </c>
      <c r="Y200" s="130">
        <f ca="1">MAX(0, MIN($F$9-SUM($Y$154:Y199), B200-D200-G200-J200-U200-Q200-M200))</f>
        <v>0</v>
      </c>
      <c r="Z200" s="130">
        <f t="shared" si="29"/>
        <v>0</v>
      </c>
      <c r="AA200" s="130">
        <f t="shared" ca="1" si="37"/>
        <v>0</v>
      </c>
      <c r="AB200" s="118">
        <f t="shared" si="31"/>
        <v>0</v>
      </c>
      <c r="AC200" s="118">
        <f t="shared" ca="1" si="45"/>
        <v>0</v>
      </c>
      <c r="AD200" s="118">
        <f t="shared" ca="1" si="38"/>
        <v>0</v>
      </c>
      <c r="AE200" s="118">
        <f t="shared" ca="1" si="40"/>
        <v>0</v>
      </c>
      <c r="AF200" s="118">
        <f t="shared" si="33"/>
        <v>0</v>
      </c>
      <c r="AG200" s="118">
        <f t="shared" ca="1" si="41"/>
        <v>0</v>
      </c>
    </row>
    <row r="201" spans="1:33" x14ac:dyDescent="0.35">
      <c r="A201" s="117">
        <v>47</v>
      </c>
      <c r="B201" s="118">
        <f t="shared" ca="1" si="39"/>
        <v>0</v>
      </c>
      <c r="C201" s="122">
        <f t="shared" ca="1" si="23"/>
        <v>0</v>
      </c>
      <c r="D201" s="122">
        <f t="shared" ca="1" si="12"/>
        <v>0</v>
      </c>
      <c r="E201" s="122">
        <f t="shared" ca="1" si="13"/>
        <v>0</v>
      </c>
      <c r="F201" s="124">
        <f t="shared" ca="1" si="24"/>
        <v>0</v>
      </c>
      <c r="G201" s="124">
        <f t="shared" ca="1" si="14"/>
        <v>0</v>
      </c>
      <c r="H201" s="124">
        <f t="shared" ca="1" si="15"/>
        <v>0</v>
      </c>
      <c r="I201" s="126">
        <f t="shared" ca="1" si="25"/>
        <v>0</v>
      </c>
      <c r="J201" s="126">
        <f t="shared" ca="1" si="16"/>
        <v>0</v>
      </c>
      <c r="K201" s="126">
        <f t="shared" ca="1" si="17"/>
        <v>0</v>
      </c>
      <c r="L201" s="312"/>
      <c r="M201" s="312"/>
      <c r="N201" s="312"/>
      <c r="O201" s="312"/>
      <c r="P201" s="132">
        <f t="shared" si="42"/>
        <v>0</v>
      </c>
      <c r="Q201" s="132">
        <f ca="1">MAX(0, MIN($F$10-SUM($Q$154:Q200), B201-D201-G201-J201-M201))</f>
        <v>0</v>
      </c>
      <c r="R201" s="132">
        <f t="shared" si="34"/>
        <v>0</v>
      </c>
      <c r="S201" s="132">
        <f t="shared" ca="1" si="35"/>
        <v>0</v>
      </c>
      <c r="T201" s="128">
        <f t="shared" si="43"/>
        <v>0</v>
      </c>
      <c r="U201" s="128">
        <f ca="1">MAX(0, MIN($F$8-SUM($U$154:U200), B201-D201-G201-J201-Q201-M201))</f>
        <v>0</v>
      </c>
      <c r="V201" s="128">
        <f t="shared" si="18"/>
        <v>0</v>
      </c>
      <c r="W201" s="128">
        <f t="shared" ca="1" si="36"/>
        <v>0</v>
      </c>
      <c r="X201" s="130">
        <f t="shared" si="44"/>
        <v>0</v>
      </c>
      <c r="Y201" s="130">
        <f ca="1">MAX(0, MIN($F$9-SUM($Y$154:Y200), B201-D201-G201-J201-U201-Q201-M201))</f>
        <v>0</v>
      </c>
      <c r="Z201" s="130">
        <f t="shared" si="29"/>
        <v>0</v>
      </c>
      <c r="AA201" s="130">
        <f t="shared" ca="1" si="37"/>
        <v>0</v>
      </c>
      <c r="AB201" s="118">
        <f t="shared" si="31"/>
        <v>0</v>
      </c>
      <c r="AC201" s="118">
        <f t="shared" ca="1" si="45"/>
        <v>0</v>
      </c>
      <c r="AD201" s="118">
        <f t="shared" ca="1" si="38"/>
        <v>0</v>
      </c>
      <c r="AE201" s="118">
        <f t="shared" ca="1" si="40"/>
        <v>0</v>
      </c>
      <c r="AF201" s="118">
        <f t="shared" si="33"/>
        <v>0</v>
      </c>
      <c r="AG201" s="118">
        <f t="shared" ca="1" si="41"/>
        <v>0</v>
      </c>
    </row>
    <row r="202" spans="1:33" x14ac:dyDescent="0.35">
      <c r="A202" s="117">
        <v>48</v>
      </c>
      <c r="B202" s="118">
        <f t="shared" ca="1" si="39"/>
        <v>0</v>
      </c>
      <c r="C202" s="122">
        <f t="shared" ca="1" si="23"/>
        <v>0</v>
      </c>
      <c r="D202" s="122">
        <f t="shared" ca="1" si="12"/>
        <v>0</v>
      </c>
      <c r="E202" s="122">
        <f t="shared" ca="1" si="13"/>
        <v>0</v>
      </c>
      <c r="F202" s="124">
        <f t="shared" ca="1" si="24"/>
        <v>0</v>
      </c>
      <c r="G202" s="124">
        <f t="shared" ca="1" si="14"/>
        <v>0</v>
      </c>
      <c r="H202" s="124">
        <f t="shared" ca="1" si="15"/>
        <v>0</v>
      </c>
      <c r="I202" s="126">
        <f t="shared" ca="1" si="25"/>
        <v>0</v>
      </c>
      <c r="J202" s="126">
        <f t="shared" ca="1" si="16"/>
        <v>0</v>
      </c>
      <c r="K202" s="126">
        <f t="shared" ca="1" si="17"/>
        <v>0</v>
      </c>
      <c r="L202" s="312"/>
      <c r="M202" s="312"/>
      <c r="N202" s="312"/>
      <c r="O202" s="312"/>
      <c r="P202" s="132">
        <f t="shared" si="42"/>
        <v>0</v>
      </c>
      <c r="Q202" s="132">
        <f ca="1">MAX(0, MIN($F$10-SUM($Q$154:Q201), B202-D202-G202-J202-M202))</f>
        <v>0</v>
      </c>
      <c r="R202" s="132">
        <f t="shared" si="34"/>
        <v>0</v>
      </c>
      <c r="S202" s="132">
        <f t="shared" ca="1" si="35"/>
        <v>0</v>
      </c>
      <c r="T202" s="128">
        <f t="shared" si="43"/>
        <v>0</v>
      </c>
      <c r="U202" s="128">
        <f ca="1">MAX(0, MIN($F$8-SUM($U$154:U201), B202-D202-G202-J202-Q202-M202))</f>
        <v>0</v>
      </c>
      <c r="V202" s="128">
        <f t="shared" si="18"/>
        <v>0</v>
      </c>
      <c r="W202" s="128">
        <f t="shared" ca="1" si="36"/>
        <v>0</v>
      </c>
      <c r="X202" s="130">
        <f t="shared" si="44"/>
        <v>0</v>
      </c>
      <c r="Y202" s="130">
        <f ca="1">MAX(0, MIN($F$9-SUM($Y$154:Y201), B202-D202-G202-J202-U202-Q202-M202))</f>
        <v>0</v>
      </c>
      <c r="Z202" s="130">
        <f t="shared" si="29"/>
        <v>0</v>
      </c>
      <c r="AA202" s="130">
        <f t="shared" ca="1" si="37"/>
        <v>0</v>
      </c>
      <c r="AB202" s="118">
        <f t="shared" si="31"/>
        <v>0</v>
      </c>
      <c r="AC202" s="118">
        <f t="shared" ca="1" si="45"/>
        <v>0</v>
      </c>
      <c r="AD202" s="118">
        <f t="shared" ca="1" si="38"/>
        <v>0</v>
      </c>
      <c r="AE202" s="118">
        <f t="shared" ca="1" si="40"/>
        <v>0</v>
      </c>
      <c r="AF202" s="118">
        <f t="shared" si="33"/>
        <v>0</v>
      </c>
      <c r="AG202" s="118">
        <f t="shared" ca="1" si="41"/>
        <v>0</v>
      </c>
    </row>
    <row r="203" spans="1:33" x14ac:dyDescent="0.35">
      <c r="A203" s="117">
        <v>49</v>
      </c>
      <c r="B203" s="118">
        <f t="shared" ca="1" si="39"/>
        <v>0</v>
      </c>
      <c r="C203" s="122">
        <f t="shared" ca="1" si="23"/>
        <v>0</v>
      </c>
      <c r="D203" s="122">
        <f t="shared" ca="1" si="12"/>
        <v>0</v>
      </c>
      <c r="E203" s="122">
        <f t="shared" ca="1" si="13"/>
        <v>0</v>
      </c>
      <c r="F203" s="124">
        <f t="shared" ca="1" si="24"/>
        <v>0</v>
      </c>
      <c r="G203" s="124">
        <f t="shared" ca="1" si="14"/>
        <v>0</v>
      </c>
      <c r="H203" s="124">
        <f t="shared" ca="1" si="15"/>
        <v>0</v>
      </c>
      <c r="I203" s="126">
        <f t="shared" ca="1" si="25"/>
        <v>0</v>
      </c>
      <c r="J203" s="126">
        <f t="shared" ca="1" si="16"/>
        <v>0</v>
      </c>
      <c r="K203" s="126">
        <f t="shared" ca="1" si="17"/>
        <v>0</v>
      </c>
      <c r="L203" s="312"/>
      <c r="M203" s="312"/>
      <c r="N203" s="312"/>
      <c r="O203" s="312"/>
      <c r="P203" s="132">
        <f t="shared" si="42"/>
        <v>0</v>
      </c>
      <c r="Q203" s="132">
        <f ca="1">MAX(0, MIN($F$10-SUM($Q$154:Q202), B203-D203-G203-J203-M203))</f>
        <v>0</v>
      </c>
      <c r="R203" s="132">
        <f t="shared" si="34"/>
        <v>0</v>
      </c>
      <c r="S203" s="132">
        <f t="shared" ca="1" si="35"/>
        <v>0</v>
      </c>
      <c r="T203" s="128">
        <f t="shared" si="43"/>
        <v>0</v>
      </c>
      <c r="U203" s="128">
        <f ca="1">MAX(0, MIN($F$8-SUM($U$154:U202), B203-D203-G203-J203-Q203-M203))</f>
        <v>0</v>
      </c>
      <c r="V203" s="128">
        <f t="shared" si="18"/>
        <v>0</v>
      </c>
      <c r="W203" s="128">
        <f t="shared" ca="1" si="36"/>
        <v>0</v>
      </c>
      <c r="X203" s="130">
        <f t="shared" si="44"/>
        <v>0</v>
      </c>
      <c r="Y203" s="130">
        <f ca="1">MAX(0, MIN($F$9-SUM($Y$154:Y202), B203-D203-G203-J203-U203-Q203-M203))</f>
        <v>0</v>
      </c>
      <c r="Z203" s="130">
        <f t="shared" si="29"/>
        <v>0</v>
      </c>
      <c r="AA203" s="130">
        <f t="shared" ca="1" si="37"/>
        <v>0</v>
      </c>
      <c r="AB203" s="118">
        <f t="shared" si="31"/>
        <v>0</v>
      </c>
      <c r="AC203" s="118">
        <f t="shared" ca="1" si="45"/>
        <v>0</v>
      </c>
      <c r="AD203" s="118">
        <f t="shared" ca="1" si="38"/>
        <v>0</v>
      </c>
      <c r="AE203" s="118">
        <f t="shared" ca="1" si="40"/>
        <v>0</v>
      </c>
      <c r="AF203" s="118">
        <f t="shared" si="33"/>
        <v>0</v>
      </c>
      <c r="AG203" s="118">
        <f t="shared" ca="1" si="41"/>
        <v>0</v>
      </c>
    </row>
    <row r="204" spans="1:33" x14ac:dyDescent="0.35">
      <c r="A204" s="117">
        <v>50</v>
      </c>
      <c r="B204" s="118">
        <f t="shared" ca="1" si="39"/>
        <v>0</v>
      </c>
      <c r="C204" s="122">
        <f t="shared" ca="1" si="23"/>
        <v>0</v>
      </c>
      <c r="D204" s="122">
        <f t="shared" ca="1" si="12"/>
        <v>0</v>
      </c>
      <c r="E204" s="122">
        <f t="shared" ca="1" si="13"/>
        <v>0</v>
      </c>
      <c r="F204" s="124">
        <f t="shared" ca="1" si="24"/>
        <v>0</v>
      </c>
      <c r="G204" s="124">
        <f t="shared" ca="1" si="14"/>
        <v>0</v>
      </c>
      <c r="H204" s="124">
        <f t="shared" ca="1" si="15"/>
        <v>0</v>
      </c>
      <c r="I204" s="126">
        <f t="shared" ca="1" si="25"/>
        <v>0</v>
      </c>
      <c r="J204" s="126">
        <f t="shared" ca="1" si="16"/>
        <v>0</v>
      </c>
      <c r="K204" s="126">
        <f t="shared" ca="1" si="17"/>
        <v>0</v>
      </c>
      <c r="L204" s="312"/>
      <c r="M204" s="312"/>
      <c r="N204" s="312"/>
      <c r="O204" s="312"/>
      <c r="P204" s="132">
        <f t="shared" si="42"/>
        <v>0</v>
      </c>
      <c r="Q204" s="132">
        <f ca="1">MAX(0, MIN($F$10-SUM($Q$154:Q203), B204-D204-G204-J204-M204))</f>
        <v>0</v>
      </c>
      <c r="R204" s="132">
        <f t="shared" si="34"/>
        <v>0</v>
      </c>
      <c r="S204" s="132">
        <f t="shared" ca="1" si="35"/>
        <v>0</v>
      </c>
      <c r="T204" s="128">
        <f t="shared" si="43"/>
        <v>0</v>
      </c>
      <c r="U204" s="128">
        <f ca="1">MAX(0, MIN($F$8-SUM($U$154:U203), B204-D204-G204-J204-Q204-M204))</f>
        <v>0</v>
      </c>
      <c r="V204" s="128">
        <f t="shared" si="18"/>
        <v>0</v>
      </c>
      <c r="W204" s="128">
        <f t="shared" ca="1" si="36"/>
        <v>0</v>
      </c>
      <c r="X204" s="130">
        <f t="shared" si="44"/>
        <v>0</v>
      </c>
      <c r="Y204" s="130">
        <f ca="1">MAX(0, MIN($F$9-SUM($Y$154:Y203), B204-D204-G204-J204-U204-Q204-M204))</f>
        <v>0</v>
      </c>
      <c r="Z204" s="130">
        <f t="shared" si="29"/>
        <v>0</v>
      </c>
      <c r="AA204" s="130">
        <f t="shared" ca="1" si="37"/>
        <v>0</v>
      </c>
      <c r="AB204" s="118">
        <f t="shared" si="31"/>
        <v>0</v>
      </c>
      <c r="AC204" s="118">
        <f t="shared" ca="1" si="45"/>
        <v>0</v>
      </c>
      <c r="AD204" s="118">
        <f t="shared" ca="1" si="38"/>
        <v>0</v>
      </c>
      <c r="AE204" s="118">
        <f t="shared" ca="1" si="40"/>
        <v>0</v>
      </c>
      <c r="AF204" s="118">
        <f t="shared" si="33"/>
        <v>0</v>
      </c>
      <c r="AG204" s="118">
        <f t="shared" ca="1" si="41"/>
        <v>0</v>
      </c>
    </row>
    <row r="205" spans="1:33" x14ac:dyDescent="0.35">
      <c r="A205" s="117">
        <v>51</v>
      </c>
      <c r="B205" s="118">
        <f t="shared" ca="1" si="39"/>
        <v>0</v>
      </c>
      <c r="C205" s="122">
        <f t="shared" ca="1" si="23"/>
        <v>0</v>
      </c>
      <c r="D205" s="122">
        <f t="shared" ca="1" si="12"/>
        <v>0</v>
      </c>
      <c r="E205" s="122">
        <f t="shared" ca="1" si="13"/>
        <v>0</v>
      </c>
      <c r="F205" s="124">
        <f t="shared" ca="1" si="24"/>
        <v>0</v>
      </c>
      <c r="G205" s="124">
        <f t="shared" ca="1" si="14"/>
        <v>0</v>
      </c>
      <c r="H205" s="124">
        <f t="shared" ca="1" si="15"/>
        <v>0</v>
      </c>
      <c r="I205" s="126">
        <f t="shared" ca="1" si="25"/>
        <v>0</v>
      </c>
      <c r="J205" s="126">
        <f t="shared" ca="1" si="16"/>
        <v>0</v>
      </c>
      <c r="K205" s="126">
        <f t="shared" ca="1" si="17"/>
        <v>0</v>
      </c>
      <c r="L205" s="312"/>
      <c r="M205" s="312"/>
      <c r="N205" s="312"/>
      <c r="O205" s="312"/>
      <c r="P205" s="132">
        <f t="shared" si="42"/>
        <v>0</v>
      </c>
      <c r="Q205" s="132">
        <f ca="1">MAX(0, MIN($F$10-SUM($Q$154:Q204), B205-D205-G205-J205-M205))</f>
        <v>0</v>
      </c>
      <c r="R205" s="132">
        <f t="shared" si="34"/>
        <v>0</v>
      </c>
      <c r="S205" s="132">
        <f t="shared" ca="1" si="35"/>
        <v>0</v>
      </c>
      <c r="T205" s="128">
        <f t="shared" si="43"/>
        <v>0</v>
      </c>
      <c r="U205" s="128">
        <f ca="1">MAX(0, MIN($F$8-SUM($U$154:U204), B205-D205-G205-J205-Q205-M205))</f>
        <v>0</v>
      </c>
      <c r="V205" s="128">
        <f t="shared" si="18"/>
        <v>0</v>
      </c>
      <c r="W205" s="128">
        <f t="shared" ca="1" si="36"/>
        <v>0</v>
      </c>
      <c r="X205" s="130">
        <f t="shared" si="44"/>
        <v>0</v>
      </c>
      <c r="Y205" s="130">
        <f ca="1">MAX(0, MIN($F$9-SUM($Y$154:Y204), B205-D205-G205-J205-U205-Q205-M205))</f>
        <v>0</v>
      </c>
      <c r="Z205" s="130">
        <f t="shared" si="29"/>
        <v>0</v>
      </c>
      <c r="AA205" s="130">
        <f t="shared" ca="1" si="37"/>
        <v>0</v>
      </c>
      <c r="AB205" s="118">
        <f t="shared" si="31"/>
        <v>0</v>
      </c>
      <c r="AC205" s="118">
        <f t="shared" ca="1" si="45"/>
        <v>0</v>
      </c>
      <c r="AD205" s="118">
        <f t="shared" ca="1" si="38"/>
        <v>0</v>
      </c>
      <c r="AE205" s="118">
        <f t="shared" ca="1" si="40"/>
        <v>0</v>
      </c>
      <c r="AF205" s="118">
        <f t="shared" si="33"/>
        <v>0</v>
      </c>
      <c r="AG205" s="118">
        <f t="shared" ca="1" si="41"/>
        <v>0</v>
      </c>
    </row>
    <row r="206" spans="1:33" x14ac:dyDescent="0.35">
      <c r="A206" s="117">
        <v>52</v>
      </c>
      <c r="B206" s="118">
        <f t="shared" ca="1" si="39"/>
        <v>0</v>
      </c>
      <c r="C206" s="122">
        <f t="shared" ca="1" si="23"/>
        <v>0</v>
      </c>
      <c r="D206" s="122">
        <f t="shared" ca="1" si="12"/>
        <v>0</v>
      </c>
      <c r="E206" s="122">
        <f t="shared" ca="1" si="13"/>
        <v>0</v>
      </c>
      <c r="F206" s="124">
        <f t="shared" ca="1" si="24"/>
        <v>0</v>
      </c>
      <c r="G206" s="124">
        <f t="shared" ca="1" si="14"/>
        <v>0</v>
      </c>
      <c r="H206" s="124">
        <f t="shared" ca="1" si="15"/>
        <v>0</v>
      </c>
      <c r="I206" s="126">
        <f t="shared" ca="1" si="25"/>
        <v>0</v>
      </c>
      <c r="J206" s="126">
        <f t="shared" ca="1" si="16"/>
        <v>0</v>
      </c>
      <c r="K206" s="126">
        <f t="shared" ca="1" si="17"/>
        <v>0</v>
      </c>
      <c r="L206" s="312"/>
      <c r="M206" s="312"/>
      <c r="N206" s="312"/>
      <c r="O206" s="312"/>
      <c r="P206" s="132">
        <f t="shared" si="42"/>
        <v>0</v>
      </c>
      <c r="Q206" s="132">
        <f ca="1">MAX(0, MIN($F$10-SUM($Q$154:Q205), B206-D206-G206-J206-M206))</f>
        <v>0</v>
      </c>
      <c r="R206" s="132">
        <f t="shared" si="34"/>
        <v>0</v>
      </c>
      <c r="S206" s="132">
        <f t="shared" ca="1" si="35"/>
        <v>0</v>
      </c>
      <c r="T206" s="128">
        <f t="shared" si="43"/>
        <v>0</v>
      </c>
      <c r="U206" s="128">
        <f ca="1">MAX(0, MIN($F$8-SUM($U$154:U205), B206-D206-G206-J206-Q206-M206))</f>
        <v>0</v>
      </c>
      <c r="V206" s="128">
        <f t="shared" si="18"/>
        <v>0</v>
      </c>
      <c r="W206" s="128">
        <f t="shared" ca="1" si="36"/>
        <v>0</v>
      </c>
      <c r="X206" s="130">
        <f t="shared" si="44"/>
        <v>0</v>
      </c>
      <c r="Y206" s="130">
        <f ca="1">MAX(0, MIN($F$9-SUM($Y$154:Y205), B206-D206-G206-J206-U206-Q206-M206))</f>
        <v>0</v>
      </c>
      <c r="Z206" s="130">
        <f t="shared" si="29"/>
        <v>0</v>
      </c>
      <c r="AA206" s="130">
        <f t="shared" ca="1" si="37"/>
        <v>0</v>
      </c>
      <c r="AB206" s="118">
        <f t="shared" si="31"/>
        <v>0</v>
      </c>
      <c r="AC206" s="118">
        <f t="shared" ca="1" si="45"/>
        <v>0</v>
      </c>
      <c r="AD206" s="118">
        <f t="shared" ca="1" si="38"/>
        <v>0</v>
      </c>
      <c r="AE206" s="118">
        <f t="shared" ca="1" si="40"/>
        <v>0</v>
      </c>
      <c r="AF206" s="118">
        <f t="shared" si="33"/>
        <v>0</v>
      </c>
      <c r="AG206" s="118">
        <f t="shared" ca="1" si="41"/>
        <v>0</v>
      </c>
    </row>
    <row r="207" spans="1:33" x14ac:dyDescent="0.35">
      <c r="A207" s="117">
        <v>53</v>
      </c>
      <c r="B207" s="118">
        <f t="shared" ca="1" si="39"/>
        <v>0</v>
      </c>
      <c r="C207" s="122">
        <f t="shared" ca="1" si="23"/>
        <v>0</v>
      </c>
      <c r="D207" s="122">
        <f t="shared" ca="1" si="12"/>
        <v>0</v>
      </c>
      <c r="E207" s="122">
        <f t="shared" ca="1" si="13"/>
        <v>0</v>
      </c>
      <c r="F207" s="124">
        <f t="shared" ca="1" si="24"/>
        <v>0</v>
      </c>
      <c r="G207" s="124">
        <f t="shared" ca="1" si="14"/>
        <v>0</v>
      </c>
      <c r="H207" s="124">
        <f t="shared" ca="1" si="15"/>
        <v>0</v>
      </c>
      <c r="I207" s="126">
        <f t="shared" ca="1" si="25"/>
        <v>0</v>
      </c>
      <c r="J207" s="126">
        <f t="shared" ca="1" si="16"/>
        <v>0</v>
      </c>
      <c r="K207" s="126">
        <f t="shared" ca="1" si="17"/>
        <v>0</v>
      </c>
      <c r="L207" s="312"/>
      <c r="M207" s="312"/>
      <c r="N207" s="312"/>
      <c r="O207" s="312"/>
      <c r="P207" s="132">
        <f t="shared" si="42"/>
        <v>0</v>
      </c>
      <c r="Q207" s="132">
        <f ca="1">MAX(0, MIN($F$10-SUM($Q$154:Q206), B207-D207-G207-J207-M207))</f>
        <v>0</v>
      </c>
      <c r="R207" s="132">
        <f t="shared" si="34"/>
        <v>0</v>
      </c>
      <c r="S207" s="132">
        <f t="shared" ca="1" si="35"/>
        <v>0</v>
      </c>
      <c r="T207" s="128">
        <f t="shared" si="43"/>
        <v>0</v>
      </c>
      <c r="U207" s="128">
        <f ca="1">MAX(0, MIN($F$8-SUM($U$154:U206), B207-D207-G207-J207-Q207-M207))</f>
        <v>0</v>
      </c>
      <c r="V207" s="128">
        <f t="shared" si="18"/>
        <v>0</v>
      </c>
      <c r="W207" s="128">
        <f t="shared" ca="1" si="36"/>
        <v>0</v>
      </c>
      <c r="X207" s="130">
        <f t="shared" si="44"/>
        <v>0</v>
      </c>
      <c r="Y207" s="130">
        <f ca="1">MAX(0, MIN($F$9-SUM($Y$154:Y206), B207-D207-G207-J207-U207-Q207-M207))</f>
        <v>0</v>
      </c>
      <c r="Z207" s="130">
        <f t="shared" si="29"/>
        <v>0</v>
      </c>
      <c r="AA207" s="130">
        <f t="shared" ca="1" si="37"/>
        <v>0</v>
      </c>
      <c r="AB207" s="118">
        <f t="shared" si="31"/>
        <v>0</v>
      </c>
      <c r="AC207" s="118">
        <f t="shared" ca="1" si="45"/>
        <v>0</v>
      </c>
      <c r="AD207" s="118">
        <f t="shared" ca="1" si="38"/>
        <v>0</v>
      </c>
      <c r="AE207" s="118">
        <f t="shared" ca="1" si="40"/>
        <v>0</v>
      </c>
      <c r="AF207" s="118">
        <f t="shared" si="33"/>
        <v>0</v>
      </c>
      <c r="AG207" s="118">
        <f t="shared" ca="1" si="41"/>
        <v>0</v>
      </c>
    </row>
    <row r="208" spans="1:33" x14ac:dyDescent="0.35">
      <c r="A208" s="117">
        <v>54</v>
      </c>
      <c r="B208" s="118">
        <f t="shared" ca="1" si="39"/>
        <v>0</v>
      </c>
      <c r="C208" s="122">
        <f t="shared" ca="1" si="23"/>
        <v>0</v>
      </c>
      <c r="D208" s="122">
        <f t="shared" ca="1" si="12"/>
        <v>0</v>
      </c>
      <c r="E208" s="122">
        <f t="shared" ca="1" si="13"/>
        <v>0</v>
      </c>
      <c r="F208" s="124">
        <f t="shared" ca="1" si="24"/>
        <v>0</v>
      </c>
      <c r="G208" s="124">
        <f t="shared" ca="1" si="14"/>
        <v>0</v>
      </c>
      <c r="H208" s="124">
        <f t="shared" ca="1" si="15"/>
        <v>0</v>
      </c>
      <c r="I208" s="126">
        <f t="shared" ca="1" si="25"/>
        <v>0</v>
      </c>
      <c r="J208" s="126">
        <f t="shared" ca="1" si="16"/>
        <v>0</v>
      </c>
      <c r="K208" s="126">
        <f t="shared" ca="1" si="17"/>
        <v>0</v>
      </c>
      <c r="L208" s="312"/>
      <c r="M208" s="312"/>
      <c r="N208" s="312"/>
      <c r="O208" s="312"/>
      <c r="P208" s="132">
        <f t="shared" si="42"/>
        <v>0</v>
      </c>
      <c r="Q208" s="132">
        <f ca="1">MAX(0, MIN($F$10-SUM($Q$154:Q207), B208-D208-G208-J208-M208))</f>
        <v>0</v>
      </c>
      <c r="R208" s="132">
        <f t="shared" si="34"/>
        <v>0</v>
      </c>
      <c r="S208" s="132">
        <f t="shared" ca="1" si="35"/>
        <v>0</v>
      </c>
      <c r="T208" s="128">
        <f t="shared" si="43"/>
        <v>0</v>
      </c>
      <c r="U208" s="128">
        <f ca="1">MAX(0, MIN($F$8-SUM($U$154:U207), B208-D208-G208-J208-Q208-M208))</f>
        <v>0</v>
      </c>
      <c r="V208" s="128">
        <f t="shared" si="18"/>
        <v>0</v>
      </c>
      <c r="W208" s="128">
        <f t="shared" ca="1" si="36"/>
        <v>0</v>
      </c>
      <c r="X208" s="130">
        <f t="shared" si="44"/>
        <v>0</v>
      </c>
      <c r="Y208" s="130">
        <f ca="1">MAX(0, MIN($F$9-SUM($Y$154:Y207), B208-D208-G208-J208-U208-Q208-M208))</f>
        <v>0</v>
      </c>
      <c r="Z208" s="130">
        <f t="shared" si="29"/>
        <v>0</v>
      </c>
      <c r="AA208" s="130">
        <f t="shared" ca="1" si="37"/>
        <v>0</v>
      </c>
      <c r="AB208" s="118">
        <f t="shared" si="31"/>
        <v>0</v>
      </c>
      <c r="AC208" s="118">
        <f t="shared" ca="1" si="45"/>
        <v>0</v>
      </c>
      <c r="AD208" s="118">
        <f t="shared" ca="1" si="38"/>
        <v>0</v>
      </c>
      <c r="AE208" s="118">
        <f t="shared" ca="1" si="40"/>
        <v>0</v>
      </c>
      <c r="AF208" s="118">
        <f t="shared" si="33"/>
        <v>0</v>
      </c>
      <c r="AG208" s="118">
        <f t="shared" ca="1" si="41"/>
        <v>0</v>
      </c>
    </row>
    <row r="209" spans="1:33" x14ac:dyDescent="0.35">
      <c r="A209" s="117">
        <v>55</v>
      </c>
      <c r="B209" s="118">
        <f t="shared" ca="1" si="39"/>
        <v>0</v>
      </c>
      <c r="C209" s="122">
        <f t="shared" ca="1" si="23"/>
        <v>0</v>
      </c>
      <c r="D209" s="122">
        <f t="shared" ca="1" si="12"/>
        <v>0</v>
      </c>
      <c r="E209" s="122">
        <f t="shared" ca="1" si="13"/>
        <v>0</v>
      </c>
      <c r="F209" s="124">
        <f t="shared" ca="1" si="24"/>
        <v>0</v>
      </c>
      <c r="G209" s="124">
        <f t="shared" ca="1" si="14"/>
        <v>0</v>
      </c>
      <c r="H209" s="124">
        <f t="shared" ca="1" si="15"/>
        <v>0</v>
      </c>
      <c r="I209" s="126">
        <f t="shared" ca="1" si="25"/>
        <v>0</v>
      </c>
      <c r="J209" s="126">
        <f t="shared" ca="1" si="16"/>
        <v>0</v>
      </c>
      <c r="K209" s="126">
        <f t="shared" ca="1" si="17"/>
        <v>0</v>
      </c>
      <c r="L209" s="312"/>
      <c r="M209" s="312"/>
      <c r="N209" s="312"/>
      <c r="O209" s="312"/>
      <c r="P209" s="132">
        <f t="shared" si="42"/>
        <v>0</v>
      </c>
      <c r="Q209" s="132">
        <f ca="1">MAX(0, MIN($F$10-SUM($Q$154:Q208), B209-D209-G209-J209-M209))</f>
        <v>0</v>
      </c>
      <c r="R209" s="132">
        <f t="shared" si="34"/>
        <v>0</v>
      </c>
      <c r="S209" s="132">
        <f t="shared" ca="1" si="35"/>
        <v>0</v>
      </c>
      <c r="T209" s="128">
        <f t="shared" si="43"/>
        <v>0</v>
      </c>
      <c r="U209" s="128">
        <f ca="1">MAX(0, MIN($F$8-SUM($U$154:U208), B209-D209-G209-J209-Q209-M209))</f>
        <v>0</v>
      </c>
      <c r="V209" s="128">
        <f t="shared" si="18"/>
        <v>0</v>
      </c>
      <c r="W209" s="128">
        <f t="shared" ca="1" si="36"/>
        <v>0</v>
      </c>
      <c r="X209" s="130">
        <f t="shared" si="44"/>
        <v>0</v>
      </c>
      <c r="Y209" s="130">
        <f ca="1">MAX(0, MIN($F$9-SUM($Y$154:Y208), B209-D209-G209-J209-U209-Q209-M209))</f>
        <v>0</v>
      </c>
      <c r="Z209" s="130">
        <f t="shared" si="29"/>
        <v>0</v>
      </c>
      <c r="AA209" s="130">
        <f t="shared" ca="1" si="37"/>
        <v>0</v>
      </c>
      <c r="AB209" s="118">
        <f t="shared" si="31"/>
        <v>0</v>
      </c>
      <c r="AC209" s="118">
        <f t="shared" ca="1" si="45"/>
        <v>0</v>
      </c>
      <c r="AD209" s="118">
        <f t="shared" ca="1" si="38"/>
        <v>0</v>
      </c>
      <c r="AE209" s="118">
        <f t="shared" ca="1" si="40"/>
        <v>0</v>
      </c>
      <c r="AF209" s="118">
        <f t="shared" si="33"/>
        <v>0</v>
      </c>
      <c r="AG209" s="118">
        <f t="shared" ca="1" si="41"/>
        <v>0</v>
      </c>
    </row>
    <row r="210" spans="1:33" x14ac:dyDescent="0.35">
      <c r="A210" s="117">
        <v>56</v>
      </c>
      <c r="B210" s="118">
        <f t="shared" ca="1" si="39"/>
        <v>0</v>
      </c>
      <c r="C210" s="122">
        <f t="shared" ca="1" si="23"/>
        <v>0</v>
      </c>
      <c r="D210" s="122">
        <f t="shared" ca="1" si="12"/>
        <v>0</v>
      </c>
      <c r="E210" s="122">
        <f t="shared" ca="1" si="13"/>
        <v>0</v>
      </c>
      <c r="F210" s="124">
        <f t="shared" ca="1" si="24"/>
        <v>0</v>
      </c>
      <c r="G210" s="124">
        <f t="shared" ca="1" si="14"/>
        <v>0</v>
      </c>
      <c r="H210" s="124">
        <f t="shared" ca="1" si="15"/>
        <v>0</v>
      </c>
      <c r="I210" s="126">
        <f t="shared" ca="1" si="25"/>
        <v>0</v>
      </c>
      <c r="J210" s="126">
        <f t="shared" ca="1" si="16"/>
        <v>0</v>
      </c>
      <c r="K210" s="126">
        <f t="shared" ca="1" si="17"/>
        <v>0</v>
      </c>
      <c r="L210" s="312"/>
      <c r="M210" s="312"/>
      <c r="N210" s="312"/>
      <c r="O210" s="312"/>
      <c r="P210" s="132">
        <f t="shared" si="42"/>
        <v>0</v>
      </c>
      <c r="Q210" s="132">
        <f ca="1">MAX(0, MIN($F$10-SUM($Q$154:Q209), B210-D210-G210-J210-M210))</f>
        <v>0</v>
      </c>
      <c r="R210" s="132">
        <f t="shared" si="34"/>
        <v>0</v>
      </c>
      <c r="S210" s="132">
        <f t="shared" ca="1" si="35"/>
        <v>0</v>
      </c>
      <c r="T210" s="128">
        <f t="shared" si="43"/>
        <v>0</v>
      </c>
      <c r="U210" s="128">
        <f ca="1">MAX(0, MIN($F$8-SUM($U$154:U209), B210-D210-G210-J210-Q210-M210))</f>
        <v>0</v>
      </c>
      <c r="V210" s="128">
        <f t="shared" si="18"/>
        <v>0</v>
      </c>
      <c r="W210" s="128">
        <f t="shared" ca="1" si="36"/>
        <v>0</v>
      </c>
      <c r="X210" s="130">
        <f t="shared" si="44"/>
        <v>0</v>
      </c>
      <c r="Y210" s="130">
        <f ca="1">MAX(0, MIN($F$9-SUM($Y$154:Y209), B210-D210-G210-J210-U210-Q210-M210))</f>
        <v>0</v>
      </c>
      <c r="Z210" s="130">
        <f t="shared" si="29"/>
        <v>0</v>
      </c>
      <c r="AA210" s="130">
        <f t="shared" ca="1" si="37"/>
        <v>0</v>
      </c>
      <c r="AB210" s="118">
        <f t="shared" si="31"/>
        <v>0</v>
      </c>
      <c r="AC210" s="118">
        <f t="shared" ca="1" si="45"/>
        <v>0</v>
      </c>
      <c r="AD210" s="118">
        <f t="shared" ca="1" si="38"/>
        <v>0</v>
      </c>
      <c r="AE210" s="118">
        <f t="shared" ca="1" si="40"/>
        <v>0</v>
      </c>
      <c r="AF210" s="118">
        <f t="shared" si="33"/>
        <v>0</v>
      </c>
      <c r="AG210" s="118">
        <f t="shared" ca="1" si="41"/>
        <v>0</v>
      </c>
    </row>
    <row r="211" spans="1:33" x14ac:dyDescent="0.35">
      <c r="A211" s="117">
        <v>57</v>
      </c>
      <c r="B211" s="118">
        <f t="shared" ca="1" si="39"/>
        <v>0</v>
      </c>
      <c r="C211" s="122">
        <f t="shared" ca="1" si="23"/>
        <v>0</v>
      </c>
      <c r="D211" s="122">
        <f t="shared" ca="1" si="12"/>
        <v>0</v>
      </c>
      <c r="E211" s="122">
        <f t="shared" ca="1" si="13"/>
        <v>0</v>
      </c>
      <c r="F211" s="124">
        <f t="shared" ca="1" si="24"/>
        <v>0</v>
      </c>
      <c r="G211" s="124">
        <f t="shared" ca="1" si="14"/>
        <v>0</v>
      </c>
      <c r="H211" s="124">
        <f t="shared" ca="1" si="15"/>
        <v>0</v>
      </c>
      <c r="I211" s="126">
        <f t="shared" ca="1" si="25"/>
        <v>0</v>
      </c>
      <c r="J211" s="126">
        <f t="shared" ca="1" si="16"/>
        <v>0</v>
      </c>
      <c r="K211" s="126">
        <f t="shared" ca="1" si="17"/>
        <v>0</v>
      </c>
      <c r="L211" s="312"/>
      <c r="M211" s="312"/>
      <c r="N211" s="312"/>
      <c r="O211" s="312"/>
      <c r="P211" s="132">
        <f t="shared" si="42"/>
        <v>0</v>
      </c>
      <c r="Q211" s="132">
        <f ca="1">MAX(0, MIN($F$10-SUM($Q$154:Q210), B211-D211-G211-J211-M211))</f>
        <v>0</v>
      </c>
      <c r="R211" s="132">
        <f t="shared" si="34"/>
        <v>0</v>
      </c>
      <c r="S211" s="132">
        <f t="shared" ca="1" si="35"/>
        <v>0</v>
      </c>
      <c r="T211" s="128">
        <f t="shared" si="43"/>
        <v>0</v>
      </c>
      <c r="U211" s="128">
        <f ca="1">MAX(0, MIN($F$8-SUM($U$154:U210), B211-D211-G211-J211-Q211-M211))</f>
        <v>0</v>
      </c>
      <c r="V211" s="128">
        <f t="shared" si="18"/>
        <v>0</v>
      </c>
      <c r="W211" s="128">
        <f t="shared" ca="1" si="36"/>
        <v>0</v>
      </c>
      <c r="X211" s="130">
        <f t="shared" si="44"/>
        <v>0</v>
      </c>
      <c r="Y211" s="130">
        <f ca="1">MAX(0, MIN($F$9-SUM($Y$154:Y210), B211-D211-G211-J211-U211-Q211-M211))</f>
        <v>0</v>
      </c>
      <c r="Z211" s="130">
        <f t="shared" si="29"/>
        <v>0</v>
      </c>
      <c r="AA211" s="130">
        <f t="shared" ca="1" si="37"/>
        <v>0</v>
      </c>
      <c r="AB211" s="118">
        <f t="shared" si="31"/>
        <v>0</v>
      </c>
      <c r="AC211" s="118">
        <f t="shared" ca="1" si="45"/>
        <v>0</v>
      </c>
      <c r="AD211" s="118">
        <f t="shared" ca="1" si="38"/>
        <v>0</v>
      </c>
      <c r="AE211" s="118">
        <f t="shared" ca="1" si="40"/>
        <v>0</v>
      </c>
      <c r="AF211" s="118">
        <f t="shared" si="33"/>
        <v>0</v>
      </c>
      <c r="AG211" s="118">
        <f t="shared" ca="1" si="41"/>
        <v>0</v>
      </c>
    </row>
    <row r="212" spans="1:33" x14ac:dyDescent="0.35">
      <c r="A212" s="117">
        <v>58</v>
      </c>
      <c r="B212" s="118">
        <f t="shared" ca="1" si="39"/>
        <v>0</v>
      </c>
      <c r="C212" s="122">
        <f t="shared" ca="1" si="23"/>
        <v>0</v>
      </c>
      <c r="D212" s="122">
        <f t="shared" ca="1" si="12"/>
        <v>0</v>
      </c>
      <c r="E212" s="122">
        <f t="shared" ca="1" si="13"/>
        <v>0</v>
      </c>
      <c r="F212" s="124">
        <f t="shared" ca="1" si="24"/>
        <v>0</v>
      </c>
      <c r="G212" s="124">
        <f t="shared" ca="1" si="14"/>
        <v>0</v>
      </c>
      <c r="H212" s="124">
        <f t="shared" ca="1" si="15"/>
        <v>0</v>
      </c>
      <c r="I212" s="126">
        <f t="shared" ca="1" si="25"/>
        <v>0</v>
      </c>
      <c r="J212" s="126">
        <f t="shared" ca="1" si="16"/>
        <v>0</v>
      </c>
      <c r="K212" s="126">
        <f t="shared" ca="1" si="17"/>
        <v>0</v>
      </c>
      <c r="L212" s="312"/>
      <c r="M212" s="312"/>
      <c r="N212" s="312"/>
      <c r="O212" s="312"/>
      <c r="P212" s="132">
        <f t="shared" si="42"/>
        <v>0</v>
      </c>
      <c r="Q212" s="132">
        <f ca="1">MAX(0, MIN($F$10-SUM($Q$154:Q211), B212-D212-G212-J212-M212))</f>
        <v>0</v>
      </c>
      <c r="R212" s="132">
        <f t="shared" si="34"/>
        <v>0</v>
      </c>
      <c r="S212" s="132">
        <f t="shared" ca="1" si="35"/>
        <v>0</v>
      </c>
      <c r="T212" s="128">
        <f t="shared" si="43"/>
        <v>0</v>
      </c>
      <c r="U212" s="128">
        <f ca="1">MAX(0, MIN($F$8-SUM($U$154:U211), B212-D212-G212-J212-Q212-M212))</f>
        <v>0</v>
      </c>
      <c r="V212" s="128">
        <f t="shared" si="18"/>
        <v>0</v>
      </c>
      <c r="W212" s="128">
        <f t="shared" ca="1" si="36"/>
        <v>0</v>
      </c>
      <c r="X212" s="130">
        <f t="shared" si="44"/>
        <v>0</v>
      </c>
      <c r="Y212" s="130">
        <f ca="1">MAX(0, MIN($F$9-SUM($Y$154:Y211), B212-D212-G212-J212-U212-Q212-M212))</f>
        <v>0</v>
      </c>
      <c r="Z212" s="130">
        <f t="shared" si="29"/>
        <v>0</v>
      </c>
      <c r="AA212" s="130">
        <f t="shared" ca="1" si="37"/>
        <v>0</v>
      </c>
      <c r="AB212" s="118">
        <f t="shared" si="31"/>
        <v>0</v>
      </c>
      <c r="AC212" s="118">
        <f t="shared" ca="1" si="45"/>
        <v>0</v>
      </c>
      <c r="AD212" s="118">
        <f t="shared" ca="1" si="38"/>
        <v>0</v>
      </c>
      <c r="AE212" s="118">
        <f t="shared" ca="1" si="40"/>
        <v>0</v>
      </c>
      <c r="AF212" s="118">
        <f t="shared" si="33"/>
        <v>0</v>
      </c>
      <c r="AG212" s="118">
        <f t="shared" ca="1" si="41"/>
        <v>0</v>
      </c>
    </row>
    <row r="213" spans="1:33" x14ac:dyDescent="0.35">
      <c r="A213" s="117">
        <v>59</v>
      </c>
      <c r="B213" s="118">
        <f t="shared" ca="1" si="39"/>
        <v>0</v>
      </c>
      <c r="C213" s="122">
        <f t="shared" ca="1" si="23"/>
        <v>0</v>
      </c>
      <c r="D213" s="122">
        <f t="shared" ca="1" si="12"/>
        <v>0</v>
      </c>
      <c r="E213" s="122">
        <f t="shared" ca="1" si="13"/>
        <v>0</v>
      </c>
      <c r="F213" s="124">
        <f t="shared" ca="1" si="24"/>
        <v>0</v>
      </c>
      <c r="G213" s="124">
        <f t="shared" ca="1" si="14"/>
        <v>0</v>
      </c>
      <c r="H213" s="124">
        <f t="shared" ca="1" si="15"/>
        <v>0</v>
      </c>
      <c r="I213" s="126">
        <f t="shared" ca="1" si="25"/>
        <v>0</v>
      </c>
      <c r="J213" s="126">
        <f t="shared" ca="1" si="16"/>
        <v>0</v>
      </c>
      <c r="K213" s="126">
        <f t="shared" ca="1" si="17"/>
        <v>0</v>
      </c>
      <c r="L213" s="312"/>
      <c r="M213" s="312"/>
      <c r="N213" s="312"/>
      <c r="O213" s="312"/>
      <c r="P213" s="132">
        <f t="shared" si="42"/>
        <v>0</v>
      </c>
      <c r="Q213" s="132">
        <f ca="1">MAX(0, MIN($F$10-SUM($Q$154:Q212), B213-D213-G213-J213-M213))</f>
        <v>0</v>
      </c>
      <c r="R213" s="132">
        <f t="shared" si="34"/>
        <v>0</v>
      </c>
      <c r="S213" s="132">
        <f t="shared" ca="1" si="35"/>
        <v>0</v>
      </c>
      <c r="T213" s="128">
        <f t="shared" si="43"/>
        <v>0</v>
      </c>
      <c r="U213" s="128">
        <f ca="1">MAX(0, MIN($F$8-SUM($U$154:U212), B213-D213-G213-J213-Q213-M213))</f>
        <v>0</v>
      </c>
      <c r="V213" s="128">
        <f t="shared" si="18"/>
        <v>0</v>
      </c>
      <c r="W213" s="128">
        <f t="shared" ca="1" si="36"/>
        <v>0</v>
      </c>
      <c r="X213" s="130">
        <f t="shared" si="44"/>
        <v>0</v>
      </c>
      <c r="Y213" s="130">
        <f ca="1">MAX(0, MIN($F$9-SUM($Y$154:Y212), B213-D213-G213-J213-U213-Q213-M213))</f>
        <v>0</v>
      </c>
      <c r="Z213" s="130">
        <f t="shared" si="29"/>
        <v>0</v>
      </c>
      <c r="AA213" s="130">
        <f t="shared" ca="1" si="37"/>
        <v>0</v>
      </c>
      <c r="AB213" s="118">
        <f t="shared" si="31"/>
        <v>0</v>
      </c>
      <c r="AC213" s="118">
        <f t="shared" ca="1" si="45"/>
        <v>0</v>
      </c>
      <c r="AD213" s="118">
        <f t="shared" ca="1" si="38"/>
        <v>0</v>
      </c>
      <c r="AE213" s="118">
        <f t="shared" ca="1" si="40"/>
        <v>0</v>
      </c>
      <c r="AF213" s="118">
        <f t="shared" si="33"/>
        <v>0</v>
      </c>
      <c r="AG213" s="118">
        <f t="shared" ca="1" si="41"/>
        <v>0</v>
      </c>
    </row>
    <row r="214" spans="1:33" x14ac:dyDescent="0.35">
      <c r="A214" s="117">
        <v>60</v>
      </c>
      <c r="B214" s="118">
        <f t="shared" ca="1" si="39"/>
        <v>0</v>
      </c>
      <c r="C214" s="122">
        <f t="shared" ca="1" si="23"/>
        <v>0</v>
      </c>
      <c r="D214" s="122">
        <f t="shared" ca="1" si="12"/>
        <v>0</v>
      </c>
      <c r="E214" s="122">
        <f t="shared" ca="1" si="13"/>
        <v>0</v>
      </c>
      <c r="F214" s="124">
        <f t="shared" ca="1" si="24"/>
        <v>0</v>
      </c>
      <c r="G214" s="124">
        <f t="shared" ca="1" si="14"/>
        <v>0</v>
      </c>
      <c r="H214" s="124">
        <f t="shared" ca="1" si="15"/>
        <v>0</v>
      </c>
      <c r="I214" s="126">
        <f t="shared" ca="1" si="25"/>
        <v>0</v>
      </c>
      <c r="J214" s="126">
        <f t="shared" ca="1" si="16"/>
        <v>0</v>
      </c>
      <c r="K214" s="126">
        <f t="shared" ca="1" si="17"/>
        <v>0</v>
      </c>
      <c r="L214" s="312"/>
      <c r="M214" s="312"/>
      <c r="N214" s="312"/>
      <c r="O214" s="312"/>
      <c r="P214" s="132">
        <f t="shared" si="42"/>
        <v>0</v>
      </c>
      <c r="Q214" s="132">
        <f ca="1">MAX(0, MIN($F$10-SUM($Q$155:Q213), B214-D214-G214-J214-U214-Y214))</f>
        <v>0</v>
      </c>
      <c r="R214" s="132">
        <f t="shared" si="34"/>
        <v>0</v>
      </c>
      <c r="S214" s="132">
        <f t="shared" ca="1" si="35"/>
        <v>0</v>
      </c>
      <c r="T214" s="128">
        <f t="shared" si="43"/>
        <v>0</v>
      </c>
      <c r="U214" s="128">
        <f ca="1">MAX(0, MIN($F$8-SUM($U$155:U213), B214-D214-G214-J214))</f>
        <v>0</v>
      </c>
      <c r="V214" s="128">
        <f t="shared" ref="V214" si="46">$D$17*T214</f>
        <v>0</v>
      </c>
      <c r="W214" s="128">
        <f t="shared" ref="W214" ca="1" si="47">T214+U214+V214</f>
        <v>0</v>
      </c>
      <c r="X214" s="130">
        <f t="shared" si="44"/>
        <v>0</v>
      </c>
      <c r="Y214" s="130">
        <f ca="1">MAX(0, MIN($F$9-X214, B214-D214-G214-J214-U214-V214))</f>
        <v>0</v>
      </c>
      <c r="Z214" s="130">
        <f t="shared" ref="Z214" si="48">$D$18*X214</f>
        <v>0</v>
      </c>
      <c r="AA214" s="130">
        <f t="shared" ref="AA214" ca="1" si="49">X214+Y214+Z214</f>
        <v>0</v>
      </c>
      <c r="AB214" s="118">
        <f t="shared" ref="AB214" si="50">AB213</f>
        <v>0</v>
      </c>
      <c r="AC214" s="118">
        <f t="shared" ca="1" si="45"/>
        <v>0</v>
      </c>
      <c r="AD214" s="118">
        <f t="shared" ref="AD214" ca="1" si="51">AB214-AC214</f>
        <v>0</v>
      </c>
      <c r="AE214" s="118">
        <f t="shared" ca="1" si="40"/>
        <v>0</v>
      </c>
      <c r="AF214" s="118">
        <f>V214+Z214+R214</f>
        <v>0</v>
      </c>
      <c r="AG214" s="118">
        <f t="shared" ca="1" si="41"/>
        <v>0</v>
      </c>
    </row>
    <row r="216" spans="1:33" x14ac:dyDescent="0.35">
      <c r="A216" s="171" t="s">
        <v>295</v>
      </c>
      <c r="B216" s="172"/>
    </row>
    <row r="217" spans="1:33" x14ac:dyDescent="0.35">
      <c r="A217" s="173" t="s">
        <v>278</v>
      </c>
      <c r="B217" s="173" t="s">
        <v>60</v>
      </c>
    </row>
    <row r="218" spans="1:33" x14ac:dyDescent="0.35">
      <c r="A218" s="115">
        <v>1</v>
      </c>
      <c r="B218" s="2">
        <f>Pro_Forma!$S$21/12*(1+Pro_Forma!$S$22)^ROUNDDOWN((A218-1)/12,0)</f>
        <v>0</v>
      </c>
    </row>
    <row r="219" spans="1:33" x14ac:dyDescent="0.35">
      <c r="A219" s="115">
        <f>1+A218</f>
        <v>2</v>
      </c>
      <c r="B219" s="2">
        <f>Pro_Forma!$S$21/12*(1+Pro_Forma!$S$22)^ROUNDDOWN((A219-1)/12,0)</f>
        <v>0</v>
      </c>
    </row>
    <row r="220" spans="1:33" x14ac:dyDescent="0.35">
      <c r="A220" s="115">
        <f t="shared" ref="A220:A283" si="52">1+A219</f>
        <v>3</v>
      </c>
      <c r="B220" s="2">
        <f>Pro_Forma!$S$21/12*(1+Pro_Forma!$S$22)^ROUNDDOWN((A220-1)/12,0)</f>
        <v>0</v>
      </c>
    </row>
    <row r="221" spans="1:33" x14ac:dyDescent="0.35">
      <c r="A221" s="115">
        <f t="shared" si="52"/>
        <v>4</v>
      </c>
      <c r="B221" s="2">
        <f>Pro_Forma!$S$21/12*(1+Pro_Forma!$S$22)^ROUNDDOWN((A221-1)/12,0)</f>
        <v>0</v>
      </c>
    </row>
    <row r="222" spans="1:33" x14ac:dyDescent="0.35">
      <c r="A222" s="115">
        <f t="shared" si="52"/>
        <v>5</v>
      </c>
      <c r="B222" s="2">
        <f>Pro_Forma!$S$21/12*(1+Pro_Forma!$S$22)^ROUNDDOWN((A222-1)/12,0)</f>
        <v>0</v>
      </c>
    </row>
    <row r="223" spans="1:33" x14ac:dyDescent="0.35">
      <c r="A223" s="115">
        <f t="shared" si="52"/>
        <v>6</v>
      </c>
      <c r="B223" s="2">
        <f>Pro_Forma!$S$21/12*(1+Pro_Forma!$S$22)^ROUNDDOWN((A223-1)/12,0)</f>
        <v>0</v>
      </c>
    </row>
    <row r="224" spans="1:33" x14ac:dyDescent="0.35">
      <c r="A224" s="115">
        <f t="shared" si="52"/>
        <v>7</v>
      </c>
      <c r="B224" s="2">
        <f>Pro_Forma!$S$21/12*(1+Pro_Forma!$S$22)^ROUNDDOWN((A224-1)/12,0)</f>
        <v>0</v>
      </c>
    </row>
    <row r="225" spans="1:2" x14ac:dyDescent="0.35">
      <c r="A225" s="115">
        <f t="shared" si="52"/>
        <v>8</v>
      </c>
      <c r="B225" s="2">
        <f>Pro_Forma!$S$21/12*(1+Pro_Forma!$S$22)^ROUNDDOWN((A225-1)/12,0)</f>
        <v>0</v>
      </c>
    </row>
    <row r="226" spans="1:2" x14ac:dyDescent="0.35">
      <c r="A226" s="115">
        <f t="shared" si="52"/>
        <v>9</v>
      </c>
      <c r="B226" s="2">
        <f>Pro_Forma!$S$21/12*(1+Pro_Forma!$S$22)^ROUNDDOWN((A226-1)/12,0)</f>
        <v>0</v>
      </c>
    </row>
    <row r="227" spans="1:2" x14ac:dyDescent="0.35">
      <c r="A227" s="115">
        <f t="shared" si="52"/>
        <v>10</v>
      </c>
      <c r="B227" s="2">
        <f>Pro_Forma!$S$21/12*(1+Pro_Forma!$S$22)^ROUNDDOWN((A227-1)/12,0)</f>
        <v>0</v>
      </c>
    </row>
    <row r="228" spans="1:2" x14ac:dyDescent="0.35">
      <c r="A228" s="115">
        <f t="shared" si="52"/>
        <v>11</v>
      </c>
      <c r="B228" s="2">
        <f>Pro_Forma!$S$21/12*(1+Pro_Forma!$S$22)^ROUNDDOWN((A228-1)/12,0)</f>
        <v>0</v>
      </c>
    </row>
    <row r="229" spans="1:2" x14ac:dyDescent="0.35">
      <c r="A229" s="115">
        <f t="shared" si="52"/>
        <v>12</v>
      </c>
      <c r="B229" s="2">
        <f>Pro_Forma!$S$21/12*(1+Pro_Forma!$S$22)^ROUNDDOWN((A229-1)/12,0)</f>
        <v>0</v>
      </c>
    </row>
    <row r="230" spans="1:2" x14ac:dyDescent="0.35">
      <c r="A230" s="115">
        <f t="shared" si="52"/>
        <v>13</v>
      </c>
      <c r="B230" s="2">
        <f>Pro_Forma!$S$21/12*(1+Pro_Forma!$S$22)^ROUNDDOWN((A230-1)/12,0)</f>
        <v>0</v>
      </c>
    </row>
    <row r="231" spans="1:2" x14ac:dyDescent="0.35">
      <c r="A231" s="115">
        <f t="shared" si="52"/>
        <v>14</v>
      </c>
      <c r="B231" s="2">
        <f>Pro_Forma!$S$21/12*(1+Pro_Forma!$S$22)^ROUNDDOWN((A231-1)/12,0)</f>
        <v>0</v>
      </c>
    </row>
    <row r="232" spans="1:2" x14ac:dyDescent="0.35">
      <c r="A232" s="115">
        <f t="shared" si="52"/>
        <v>15</v>
      </c>
      <c r="B232" s="2">
        <f>Pro_Forma!$S$21/12*(1+Pro_Forma!$S$22)^ROUNDDOWN((A232-1)/12,0)</f>
        <v>0</v>
      </c>
    </row>
    <row r="233" spans="1:2" x14ac:dyDescent="0.35">
      <c r="A233" s="115">
        <f t="shared" si="52"/>
        <v>16</v>
      </c>
      <c r="B233" s="2">
        <f>Pro_Forma!$S$21/12*(1+Pro_Forma!$S$22)^ROUNDDOWN((A233-1)/12,0)</f>
        <v>0</v>
      </c>
    </row>
    <row r="234" spans="1:2" x14ac:dyDescent="0.35">
      <c r="A234" s="115">
        <f t="shared" si="52"/>
        <v>17</v>
      </c>
      <c r="B234" s="2">
        <f>Pro_Forma!$S$21/12*(1+Pro_Forma!$S$22)^ROUNDDOWN((A234-1)/12,0)</f>
        <v>0</v>
      </c>
    </row>
    <row r="235" spans="1:2" x14ac:dyDescent="0.35">
      <c r="A235" s="115">
        <f t="shared" si="52"/>
        <v>18</v>
      </c>
      <c r="B235" s="2">
        <f>Pro_Forma!$S$21/12*(1+Pro_Forma!$S$22)^ROUNDDOWN((A235-1)/12,0)</f>
        <v>0</v>
      </c>
    </row>
    <row r="236" spans="1:2" x14ac:dyDescent="0.35">
      <c r="A236" s="115">
        <f t="shared" si="52"/>
        <v>19</v>
      </c>
      <c r="B236" s="2">
        <f>Pro_Forma!$S$21/12*(1+Pro_Forma!$S$22)^ROUNDDOWN((A236-1)/12,0)</f>
        <v>0</v>
      </c>
    </row>
    <row r="237" spans="1:2" x14ac:dyDescent="0.35">
      <c r="A237" s="115">
        <f t="shared" si="52"/>
        <v>20</v>
      </c>
      <c r="B237" s="2">
        <f>Pro_Forma!$S$21/12*(1+Pro_Forma!$S$22)^ROUNDDOWN((A237-1)/12,0)</f>
        <v>0</v>
      </c>
    </row>
    <row r="238" spans="1:2" x14ac:dyDescent="0.35">
      <c r="A238" s="115">
        <f t="shared" si="52"/>
        <v>21</v>
      </c>
      <c r="B238" s="2">
        <f>Pro_Forma!$S$21/12*(1+Pro_Forma!$S$22)^ROUNDDOWN((A238-1)/12,0)</f>
        <v>0</v>
      </c>
    </row>
    <row r="239" spans="1:2" x14ac:dyDescent="0.35">
      <c r="A239" s="115">
        <f t="shared" si="52"/>
        <v>22</v>
      </c>
      <c r="B239" s="2">
        <f>Pro_Forma!$S$21/12*(1+Pro_Forma!$S$22)^ROUNDDOWN((A239-1)/12,0)</f>
        <v>0</v>
      </c>
    </row>
    <row r="240" spans="1:2" x14ac:dyDescent="0.35">
      <c r="A240" s="115">
        <f t="shared" si="52"/>
        <v>23</v>
      </c>
      <c r="B240" s="2">
        <f>Pro_Forma!$S$21/12*(1+Pro_Forma!$S$22)^ROUNDDOWN((A240-1)/12,0)</f>
        <v>0</v>
      </c>
    </row>
    <row r="241" spans="1:2" x14ac:dyDescent="0.35">
      <c r="A241" s="115">
        <f t="shared" si="52"/>
        <v>24</v>
      </c>
      <c r="B241" s="2">
        <f>Pro_Forma!$S$21/12*(1+Pro_Forma!$S$22)^ROUNDDOWN((A241-1)/12,0)</f>
        <v>0</v>
      </c>
    </row>
    <row r="242" spans="1:2" x14ac:dyDescent="0.35">
      <c r="A242" s="115">
        <f t="shared" si="52"/>
        <v>25</v>
      </c>
      <c r="B242" s="2">
        <f>Pro_Forma!$S$21/12*(1+Pro_Forma!$S$22)^ROUNDDOWN((A242-1)/12,0)</f>
        <v>0</v>
      </c>
    </row>
    <row r="243" spans="1:2" x14ac:dyDescent="0.35">
      <c r="A243" s="115">
        <f t="shared" si="52"/>
        <v>26</v>
      </c>
      <c r="B243" s="2">
        <f>Pro_Forma!$S$21/12*(1+Pro_Forma!$S$22)^ROUNDDOWN((A243-1)/12,0)</f>
        <v>0</v>
      </c>
    </row>
    <row r="244" spans="1:2" x14ac:dyDescent="0.35">
      <c r="A244" s="115">
        <f t="shared" si="52"/>
        <v>27</v>
      </c>
      <c r="B244" s="2">
        <f>Pro_Forma!$S$21/12*(1+Pro_Forma!$S$22)^ROUNDDOWN((A244-1)/12,0)</f>
        <v>0</v>
      </c>
    </row>
    <row r="245" spans="1:2" x14ac:dyDescent="0.35">
      <c r="A245" s="115">
        <f t="shared" si="52"/>
        <v>28</v>
      </c>
      <c r="B245" s="2">
        <f>Pro_Forma!$S$21/12*(1+Pro_Forma!$S$22)^ROUNDDOWN((A245-1)/12,0)</f>
        <v>0</v>
      </c>
    </row>
    <row r="246" spans="1:2" x14ac:dyDescent="0.35">
      <c r="A246" s="115">
        <f t="shared" si="52"/>
        <v>29</v>
      </c>
      <c r="B246" s="2">
        <f>Pro_Forma!$S$21/12*(1+Pro_Forma!$S$22)^ROUNDDOWN((A246-1)/12,0)</f>
        <v>0</v>
      </c>
    </row>
    <row r="247" spans="1:2" x14ac:dyDescent="0.35">
      <c r="A247" s="115">
        <f t="shared" si="52"/>
        <v>30</v>
      </c>
      <c r="B247" s="2">
        <f>Pro_Forma!$S$21/12*(1+Pro_Forma!$S$22)^ROUNDDOWN((A247-1)/12,0)</f>
        <v>0</v>
      </c>
    </row>
    <row r="248" spans="1:2" x14ac:dyDescent="0.35">
      <c r="A248" s="115">
        <f t="shared" si="52"/>
        <v>31</v>
      </c>
      <c r="B248" s="2">
        <f>Pro_Forma!$S$21/12*(1+Pro_Forma!$S$22)^ROUNDDOWN((A248-1)/12,0)</f>
        <v>0</v>
      </c>
    </row>
    <row r="249" spans="1:2" x14ac:dyDescent="0.35">
      <c r="A249" s="115">
        <f t="shared" si="52"/>
        <v>32</v>
      </c>
      <c r="B249" s="2">
        <f>Pro_Forma!$S$21/12*(1+Pro_Forma!$S$22)^ROUNDDOWN((A249-1)/12,0)</f>
        <v>0</v>
      </c>
    </row>
    <row r="250" spans="1:2" x14ac:dyDescent="0.35">
      <c r="A250" s="115">
        <f t="shared" si="52"/>
        <v>33</v>
      </c>
      <c r="B250" s="2">
        <f>Pro_Forma!$S$21/12*(1+Pro_Forma!$S$22)^ROUNDDOWN((A250-1)/12,0)</f>
        <v>0</v>
      </c>
    </row>
    <row r="251" spans="1:2" x14ac:dyDescent="0.35">
      <c r="A251" s="115">
        <f t="shared" si="52"/>
        <v>34</v>
      </c>
      <c r="B251" s="2">
        <f>Pro_Forma!$S$21/12*(1+Pro_Forma!$S$22)^ROUNDDOWN((A251-1)/12,0)</f>
        <v>0</v>
      </c>
    </row>
    <row r="252" spans="1:2" x14ac:dyDescent="0.35">
      <c r="A252" s="115">
        <f t="shared" si="52"/>
        <v>35</v>
      </c>
      <c r="B252" s="2">
        <f>Pro_Forma!$S$21/12*(1+Pro_Forma!$S$22)^ROUNDDOWN((A252-1)/12,0)</f>
        <v>0</v>
      </c>
    </row>
    <row r="253" spans="1:2" x14ac:dyDescent="0.35">
      <c r="A253" s="115">
        <f t="shared" si="52"/>
        <v>36</v>
      </c>
      <c r="B253" s="2">
        <f>Pro_Forma!$S$21/12*(1+Pro_Forma!$S$22)^ROUNDDOWN((A253-1)/12,0)</f>
        <v>0</v>
      </c>
    </row>
    <row r="254" spans="1:2" x14ac:dyDescent="0.35">
      <c r="A254" s="115">
        <f t="shared" si="52"/>
        <v>37</v>
      </c>
      <c r="B254" s="2">
        <f>Pro_Forma!$S$21/12*(1+Pro_Forma!$S$22)^ROUNDDOWN((A254-1)/12,0)</f>
        <v>0</v>
      </c>
    </row>
    <row r="255" spans="1:2" x14ac:dyDescent="0.35">
      <c r="A255" s="115">
        <f t="shared" si="52"/>
        <v>38</v>
      </c>
      <c r="B255" s="2">
        <f>Pro_Forma!$S$21/12*(1+Pro_Forma!$S$22)^ROUNDDOWN((A255-1)/12,0)</f>
        <v>0</v>
      </c>
    </row>
    <row r="256" spans="1:2" x14ac:dyDescent="0.35">
      <c r="A256" s="115">
        <f t="shared" si="52"/>
        <v>39</v>
      </c>
      <c r="B256" s="2">
        <f>Pro_Forma!$S$21/12*(1+Pro_Forma!$S$22)^ROUNDDOWN((A256-1)/12,0)</f>
        <v>0</v>
      </c>
    </row>
    <row r="257" spans="1:2" x14ac:dyDescent="0.35">
      <c r="A257" s="115">
        <f t="shared" si="52"/>
        <v>40</v>
      </c>
      <c r="B257" s="2">
        <f>Pro_Forma!$S$21/12*(1+Pro_Forma!$S$22)^ROUNDDOWN((A257-1)/12,0)</f>
        <v>0</v>
      </c>
    </row>
    <row r="258" spans="1:2" x14ac:dyDescent="0.35">
      <c r="A258" s="115">
        <f t="shared" si="52"/>
        <v>41</v>
      </c>
      <c r="B258" s="2">
        <f>Pro_Forma!$S$21/12*(1+Pro_Forma!$S$22)^ROUNDDOWN((A258-1)/12,0)</f>
        <v>0</v>
      </c>
    </row>
    <row r="259" spans="1:2" x14ac:dyDescent="0.35">
      <c r="A259" s="115">
        <f t="shared" si="52"/>
        <v>42</v>
      </c>
      <c r="B259" s="2">
        <f>Pro_Forma!$S$21/12*(1+Pro_Forma!$S$22)^ROUNDDOWN((A259-1)/12,0)</f>
        <v>0</v>
      </c>
    </row>
    <row r="260" spans="1:2" x14ac:dyDescent="0.35">
      <c r="A260" s="115">
        <f t="shared" si="52"/>
        <v>43</v>
      </c>
      <c r="B260" s="2">
        <f>Pro_Forma!$S$21/12*(1+Pro_Forma!$S$22)^ROUNDDOWN((A260-1)/12,0)</f>
        <v>0</v>
      </c>
    </row>
    <row r="261" spans="1:2" x14ac:dyDescent="0.35">
      <c r="A261" s="115">
        <f t="shared" si="52"/>
        <v>44</v>
      </c>
      <c r="B261" s="2">
        <f>Pro_Forma!$S$21/12*(1+Pro_Forma!$S$22)^ROUNDDOWN((A261-1)/12,0)</f>
        <v>0</v>
      </c>
    </row>
    <row r="262" spans="1:2" x14ac:dyDescent="0.35">
      <c r="A262" s="115">
        <f t="shared" si="52"/>
        <v>45</v>
      </c>
      <c r="B262" s="2">
        <f>Pro_Forma!$S$21/12*(1+Pro_Forma!$S$22)^ROUNDDOWN((A262-1)/12,0)</f>
        <v>0</v>
      </c>
    </row>
    <row r="263" spans="1:2" x14ac:dyDescent="0.35">
      <c r="A263" s="115">
        <f t="shared" si="52"/>
        <v>46</v>
      </c>
      <c r="B263" s="2">
        <f>Pro_Forma!$S$21/12*(1+Pro_Forma!$S$22)^ROUNDDOWN((A263-1)/12,0)</f>
        <v>0</v>
      </c>
    </row>
    <row r="264" spans="1:2" x14ac:dyDescent="0.35">
      <c r="A264" s="115">
        <f t="shared" si="52"/>
        <v>47</v>
      </c>
      <c r="B264" s="2">
        <f>Pro_Forma!$S$21/12*(1+Pro_Forma!$S$22)^ROUNDDOWN((A264-1)/12,0)</f>
        <v>0</v>
      </c>
    </row>
    <row r="265" spans="1:2" x14ac:dyDescent="0.35">
      <c r="A265" s="115">
        <f t="shared" si="52"/>
        <v>48</v>
      </c>
      <c r="B265" s="2">
        <f>Pro_Forma!$S$21/12*(1+Pro_Forma!$S$22)^ROUNDDOWN((A265-1)/12,0)</f>
        <v>0</v>
      </c>
    </row>
    <row r="266" spans="1:2" x14ac:dyDescent="0.35">
      <c r="A266" s="115">
        <f t="shared" si="52"/>
        <v>49</v>
      </c>
      <c r="B266" s="2">
        <f>Pro_Forma!$S$21/12*(1+Pro_Forma!$S$22)^ROUNDDOWN((A266-1)/12,0)</f>
        <v>0</v>
      </c>
    </row>
    <row r="267" spans="1:2" x14ac:dyDescent="0.35">
      <c r="A267" s="115">
        <f t="shared" si="52"/>
        <v>50</v>
      </c>
      <c r="B267" s="2">
        <f>Pro_Forma!$S$21/12*(1+Pro_Forma!$S$22)^ROUNDDOWN((A267-1)/12,0)</f>
        <v>0</v>
      </c>
    </row>
    <row r="268" spans="1:2" x14ac:dyDescent="0.35">
      <c r="A268" s="115">
        <f t="shared" si="52"/>
        <v>51</v>
      </c>
      <c r="B268" s="2">
        <f>Pro_Forma!$S$21/12*(1+Pro_Forma!$S$22)^ROUNDDOWN((A268-1)/12,0)</f>
        <v>0</v>
      </c>
    </row>
    <row r="269" spans="1:2" x14ac:dyDescent="0.35">
      <c r="A269" s="115">
        <f t="shared" si="52"/>
        <v>52</v>
      </c>
      <c r="B269" s="2">
        <f>Pro_Forma!$S$21/12*(1+Pro_Forma!$S$22)^ROUNDDOWN((A269-1)/12,0)</f>
        <v>0</v>
      </c>
    </row>
    <row r="270" spans="1:2" x14ac:dyDescent="0.35">
      <c r="A270" s="115">
        <f t="shared" si="52"/>
        <v>53</v>
      </c>
      <c r="B270" s="2">
        <f>Pro_Forma!$S$21/12*(1+Pro_Forma!$S$22)^ROUNDDOWN((A270-1)/12,0)</f>
        <v>0</v>
      </c>
    </row>
    <row r="271" spans="1:2" x14ac:dyDescent="0.35">
      <c r="A271" s="115">
        <f t="shared" si="52"/>
        <v>54</v>
      </c>
      <c r="B271" s="2">
        <f>Pro_Forma!$S$21/12*(1+Pro_Forma!$S$22)^ROUNDDOWN((A271-1)/12,0)</f>
        <v>0</v>
      </c>
    </row>
    <row r="272" spans="1:2" x14ac:dyDescent="0.35">
      <c r="A272" s="115">
        <f t="shared" si="52"/>
        <v>55</v>
      </c>
      <c r="B272" s="2">
        <f>Pro_Forma!$S$21/12*(1+Pro_Forma!$S$22)^ROUNDDOWN((A272-1)/12,0)</f>
        <v>0</v>
      </c>
    </row>
    <row r="273" spans="1:2" x14ac:dyDescent="0.35">
      <c r="A273" s="115">
        <f t="shared" si="52"/>
        <v>56</v>
      </c>
      <c r="B273" s="2">
        <f>Pro_Forma!$S$21/12*(1+Pro_Forma!$S$22)^ROUNDDOWN((A273-1)/12,0)</f>
        <v>0</v>
      </c>
    </row>
    <row r="274" spans="1:2" x14ac:dyDescent="0.35">
      <c r="A274" s="115">
        <f t="shared" si="52"/>
        <v>57</v>
      </c>
      <c r="B274" s="2">
        <f>Pro_Forma!$S$21/12*(1+Pro_Forma!$S$22)^ROUNDDOWN((A274-1)/12,0)</f>
        <v>0</v>
      </c>
    </row>
    <row r="275" spans="1:2" x14ac:dyDescent="0.35">
      <c r="A275" s="115">
        <f t="shared" si="52"/>
        <v>58</v>
      </c>
      <c r="B275" s="2">
        <f>Pro_Forma!$S$21/12*(1+Pro_Forma!$S$22)^ROUNDDOWN((A275-1)/12,0)</f>
        <v>0</v>
      </c>
    </row>
    <row r="276" spans="1:2" x14ac:dyDescent="0.35">
      <c r="A276" s="115">
        <f t="shared" si="52"/>
        <v>59</v>
      </c>
      <c r="B276" s="2">
        <f>Pro_Forma!$S$21/12*(1+Pro_Forma!$S$22)^ROUNDDOWN((A276-1)/12,0)</f>
        <v>0</v>
      </c>
    </row>
    <row r="277" spans="1:2" x14ac:dyDescent="0.35">
      <c r="A277" s="115">
        <f t="shared" si="52"/>
        <v>60</v>
      </c>
      <c r="B277" s="2">
        <f>Pro_Forma!$S$21/12*(1+Pro_Forma!$S$22)^ROUNDDOWN((A277-1)/12,0)</f>
        <v>0</v>
      </c>
    </row>
    <row r="278" spans="1:2" x14ac:dyDescent="0.35">
      <c r="A278" s="115">
        <f t="shared" si="52"/>
        <v>61</v>
      </c>
      <c r="B278" s="2">
        <f>Pro_Forma!$S$21/12*(1+Pro_Forma!$S$22)^ROUNDDOWN((A278-1)/12,0)</f>
        <v>0</v>
      </c>
    </row>
    <row r="279" spans="1:2" x14ac:dyDescent="0.35">
      <c r="A279" s="115">
        <f t="shared" si="52"/>
        <v>62</v>
      </c>
      <c r="B279" s="2">
        <f>Pro_Forma!$S$21/12*(1+Pro_Forma!$S$22)^ROUNDDOWN((A279-1)/12,0)</f>
        <v>0</v>
      </c>
    </row>
    <row r="280" spans="1:2" x14ac:dyDescent="0.35">
      <c r="A280" s="115">
        <f t="shared" si="52"/>
        <v>63</v>
      </c>
      <c r="B280" s="2">
        <f>Pro_Forma!$S$21/12*(1+Pro_Forma!$S$22)^ROUNDDOWN((A280-1)/12,0)</f>
        <v>0</v>
      </c>
    </row>
    <row r="281" spans="1:2" x14ac:dyDescent="0.35">
      <c r="A281" s="115">
        <f t="shared" si="52"/>
        <v>64</v>
      </c>
      <c r="B281" s="2">
        <f>Pro_Forma!$S$21/12*(1+Pro_Forma!$S$22)^ROUNDDOWN((A281-1)/12,0)</f>
        <v>0</v>
      </c>
    </row>
    <row r="282" spans="1:2" x14ac:dyDescent="0.35">
      <c r="A282" s="115">
        <f t="shared" si="52"/>
        <v>65</v>
      </c>
      <c r="B282" s="2">
        <f>Pro_Forma!$S$21/12*(1+Pro_Forma!$S$22)^ROUNDDOWN((A282-1)/12,0)</f>
        <v>0</v>
      </c>
    </row>
    <row r="283" spans="1:2" x14ac:dyDescent="0.35">
      <c r="A283" s="115">
        <f t="shared" si="52"/>
        <v>66</v>
      </c>
      <c r="B283" s="2">
        <f>Pro_Forma!$S$21/12*(1+Pro_Forma!$S$22)^ROUNDDOWN((A283-1)/12,0)</f>
        <v>0</v>
      </c>
    </row>
    <row r="284" spans="1:2" x14ac:dyDescent="0.35">
      <c r="A284" s="115">
        <f t="shared" ref="A284:A347" si="53">1+A283</f>
        <v>67</v>
      </c>
      <c r="B284" s="2">
        <f>Pro_Forma!$S$21/12*(1+Pro_Forma!$S$22)^ROUNDDOWN((A284-1)/12,0)</f>
        <v>0</v>
      </c>
    </row>
    <row r="285" spans="1:2" x14ac:dyDescent="0.35">
      <c r="A285" s="115">
        <f t="shared" si="53"/>
        <v>68</v>
      </c>
      <c r="B285" s="2">
        <f>Pro_Forma!$S$21/12*(1+Pro_Forma!$S$22)^ROUNDDOWN((A285-1)/12,0)</f>
        <v>0</v>
      </c>
    </row>
    <row r="286" spans="1:2" x14ac:dyDescent="0.35">
      <c r="A286" s="115">
        <f t="shared" si="53"/>
        <v>69</v>
      </c>
      <c r="B286" s="2">
        <f>Pro_Forma!$S$21/12*(1+Pro_Forma!$S$22)^ROUNDDOWN((A286-1)/12,0)</f>
        <v>0</v>
      </c>
    </row>
    <row r="287" spans="1:2" x14ac:dyDescent="0.35">
      <c r="A287" s="115">
        <f t="shared" si="53"/>
        <v>70</v>
      </c>
      <c r="B287" s="2">
        <f>Pro_Forma!$S$21/12*(1+Pro_Forma!$S$22)^ROUNDDOWN((A287-1)/12,0)</f>
        <v>0</v>
      </c>
    </row>
    <row r="288" spans="1:2" x14ac:dyDescent="0.35">
      <c r="A288" s="115">
        <f t="shared" si="53"/>
        <v>71</v>
      </c>
      <c r="B288" s="2">
        <f>Pro_Forma!$S$21/12*(1+Pro_Forma!$S$22)^ROUNDDOWN((A288-1)/12,0)</f>
        <v>0</v>
      </c>
    </row>
    <row r="289" spans="1:2" x14ac:dyDescent="0.35">
      <c r="A289" s="115">
        <f t="shared" si="53"/>
        <v>72</v>
      </c>
      <c r="B289" s="2">
        <f>Pro_Forma!$S$21/12*(1+Pro_Forma!$S$22)^ROUNDDOWN((A289-1)/12,0)</f>
        <v>0</v>
      </c>
    </row>
    <row r="290" spans="1:2" x14ac:dyDescent="0.35">
      <c r="A290" s="115">
        <f t="shared" si="53"/>
        <v>73</v>
      </c>
      <c r="B290" s="2">
        <f>Pro_Forma!$S$21/12*(1+Pro_Forma!$S$22)^ROUNDDOWN((A290-1)/12,0)</f>
        <v>0</v>
      </c>
    </row>
    <row r="291" spans="1:2" x14ac:dyDescent="0.35">
      <c r="A291" s="115">
        <f t="shared" si="53"/>
        <v>74</v>
      </c>
      <c r="B291" s="2">
        <f>Pro_Forma!$S$21/12*(1+Pro_Forma!$S$22)^ROUNDDOWN((A291-1)/12,0)</f>
        <v>0</v>
      </c>
    </row>
    <row r="292" spans="1:2" x14ac:dyDescent="0.35">
      <c r="A292" s="115">
        <f t="shared" si="53"/>
        <v>75</v>
      </c>
      <c r="B292" s="2">
        <f>Pro_Forma!$S$21/12*(1+Pro_Forma!$S$22)^ROUNDDOWN((A292-1)/12,0)</f>
        <v>0</v>
      </c>
    </row>
    <row r="293" spans="1:2" x14ac:dyDescent="0.35">
      <c r="A293" s="115">
        <f t="shared" si="53"/>
        <v>76</v>
      </c>
      <c r="B293" s="2">
        <f>Pro_Forma!$S$21/12*(1+Pro_Forma!$S$22)^ROUNDDOWN((A293-1)/12,0)</f>
        <v>0</v>
      </c>
    </row>
    <row r="294" spans="1:2" x14ac:dyDescent="0.35">
      <c r="A294" s="115">
        <f t="shared" si="53"/>
        <v>77</v>
      </c>
      <c r="B294" s="2">
        <f>Pro_Forma!$S$21/12*(1+Pro_Forma!$S$22)^ROUNDDOWN((A294-1)/12,0)</f>
        <v>0</v>
      </c>
    </row>
    <row r="295" spans="1:2" x14ac:dyDescent="0.35">
      <c r="A295" s="115">
        <f t="shared" si="53"/>
        <v>78</v>
      </c>
      <c r="B295" s="2">
        <f>Pro_Forma!$S$21/12*(1+Pro_Forma!$S$22)^ROUNDDOWN((A295-1)/12,0)</f>
        <v>0</v>
      </c>
    </row>
    <row r="296" spans="1:2" x14ac:dyDescent="0.35">
      <c r="A296" s="115">
        <f t="shared" si="53"/>
        <v>79</v>
      </c>
      <c r="B296" s="2">
        <f>Pro_Forma!$S$21/12*(1+Pro_Forma!$S$22)^ROUNDDOWN((A296-1)/12,0)</f>
        <v>0</v>
      </c>
    </row>
    <row r="297" spans="1:2" x14ac:dyDescent="0.35">
      <c r="A297" s="115">
        <f t="shared" si="53"/>
        <v>80</v>
      </c>
      <c r="B297" s="2">
        <f>Pro_Forma!$S$21/12*(1+Pro_Forma!$S$22)^ROUNDDOWN((A297-1)/12,0)</f>
        <v>0</v>
      </c>
    </row>
    <row r="298" spans="1:2" x14ac:dyDescent="0.35">
      <c r="A298" s="115">
        <f t="shared" si="53"/>
        <v>81</v>
      </c>
      <c r="B298" s="2">
        <f>Pro_Forma!$S$21/12*(1+Pro_Forma!$S$22)^ROUNDDOWN((A298-1)/12,0)</f>
        <v>0</v>
      </c>
    </row>
    <row r="299" spans="1:2" x14ac:dyDescent="0.35">
      <c r="A299" s="115">
        <f t="shared" si="53"/>
        <v>82</v>
      </c>
      <c r="B299" s="2">
        <f>Pro_Forma!$S$21/12*(1+Pro_Forma!$S$22)^ROUNDDOWN((A299-1)/12,0)</f>
        <v>0</v>
      </c>
    </row>
    <row r="300" spans="1:2" x14ac:dyDescent="0.35">
      <c r="A300" s="115">
        <f t="shared" si="53"/>
        <v>83</v>
      </c>
      <c r="B300" s="2">
        <f>Pro_Forma!$S$21/12*(1+Pro_Forma!$S$22)^ROUNDDOWN((A300-1)/12,0)</f>
        <v>0</v>
      </c>
    </row>
    <row r="301" spans="1:2" x14ac:dyDescent="0.35">
      <c r="A301" s="115">
        <f t="shared" si="53"/>
        <v>84</v>
      </c>
      <c r="B301" s="2">
        <f>Pro_Forma!$S$21/12*(1+Pro_Forma!$S$22)^ROUNDDOWN((A301-1)/12,0)</f>
        <v>0</v>
      </c>
    </row>
    <row r="302" spans="1:2" x14ac:dyDescent="0.35">
      <c r="A302" s="115">
        <f t="shared" si="53"/>
        <v>85</v>
      </c>
      <c r="B302" s="2">
        <f>Pro_Forma!$S$21/12*(1+Pro_Forma!$S$22)^ROUNDDOWN((A302-1)/12,0)</f>
        <v>0</v>
      </c>
    </row>
    <row r="303" spans="1:2" x14ac:dyDescent="0.35">
      <c r="A303" s="115">
        <f t="shared" si="53"/>
        <v>86</v>
      </c>
      <c r="B303" s="2">
        <f>Pro_Forma!$S$21/12*(1+Pro_Forma!$S$22)^ROUNDDOWN((A303-1)/12,0)</f>
        <v>0</v>
      </c>
    </row>
    <row r="304" spans="1:2" x14ac:dyDescent="0.35">
      <c r="A304" s="115">
        <f t="shared" si="53"/>
        <v>87</v>
      </c>
      <c r="B304" s="2">
        <f>Pro_Forma!$S$21/12*(1+Pro_Forma!$S$22)^ROUNDDOWN((A304-1)/12,0)</f>
        <v>0</v>
      </c>
    </row>
    <row r="305" spans="1:2" x14ac:dyDescent="0.35">
      <c r="A305" s="115">
        <f t="shared" si="53"/>
        <v>88</v>
      </c>
      <c r="B305" s="2">
        <f>Pro_Forma!$S$21/12*(1+Pro_Forma!$S$22)^ROUNDDOWN((A305-1)/12,0)</f>
        <v>0</v>
      </c>
    </row>
    <row r="306" spans="1:2" x14ac:dyDescent="0.35">
      <c r="A306" s="115">
        <f t="shared" si="53"/>
        <v>89</v>
      </c>
      <c r="B306" s="2">
        <f>Pro_Forma!$S$21/12*(1+Pro_Forma!$S$22)^ROUNDDOWN((A306-1)/12,0)</f>
        <v>0</v>
      </c>
    </row>
    <row r="307" spans="1:2" x14ac:dyDescent="0.35">
      <c r="A307" s="115">
        <f t="shared" si="53"/>
        <v>90</v>
      </c>
      <c r="B307" s="2">
        <f>Pro_Forma!$S$21/12*(1+Pro_Forma!$S$22)^ROUNDDOWN((A307-1)/12,0)</f>
        <v>0</v>
      </c>
    </row>
    <row r="308" spans="1:2" x14ac:dyDescent="0.35">
      <c r="A308" s="115">
        <f t="shared" si="53"/>
        <v>91</v>
      </c>
      <c r="B308" s="2">
        <f>Pro_Forma!$S$21/12*(1+Pro_Forma!$S$22)^ROUNDDOWN((A308-1)/12,0)</f>
        <v>0</v>
      </c>
    </row>
    <row r="309" spans="1:2" x14ac:dyDescent="0.35">
      <c r="A309" s="115">
        <f t="shared" si="53"/>
        <v>92</v>
      </c>
      <c r="B309" s="2">
        <f>Pro_Forma!$S$21/12*(1+Pro_Forma!$S$22)^ROUNDDOWN((A309-1)/12,0)</f>
        <v>0</v>
      </c>
    </row>
    <row r="310" spans="1:2" x14ac:dyDescent="0.35">
      <c r="A310" s="115">
        <f t="shared" si="53"/>
        <v>93</v>
      </c>
      <c r="B310" s="2">
        <f>Pro_Forma!$S$21/12*(1+Pro_Forma!$S$22)^ROUNDDOWN((A310-1)/12,0)</f>
        <v>0</v>
      </c>
    </row>
    <row r="311" spans="1:2" x14ac:dyDescent="0.35">
      <c r="A311" s="115">
        <f t="shared" si="53"/>
        <v>94</v>
      </c>
      <c r="B311" s="2">
        <f>Pro_Forma!$S$21/12*(1+Pro_Forma!$S$22)^ROUNDDOWN((A311-1)/12,0)</f>
        <v>0</v>
      </c>
    </row>
    <row r="312" spans="1:2" x14ac:dyDescent="0.35">
      <c r="A312" s="115">
        <f t="shared" si="53"/>
        <v>95</v>
      </c>
      <c r="B312" s="2">
        <f>Pro_Forma!$S$21/12*(1+Pro_Forma!$S$22)^ROUNDDOWN((A312-1)/12,0)</f>
        <v>0</v>
      </c>
    </row>
    <row r="313" spans="1:2" x14ac:dyDescent="0.35">
      <c r="A313" s="115">
        <f t="shared" si="53"/>
        <v>96</v>
      </c>
      <c r="B313" s="2">
        <f>Pro_Forma!$S$21/12*(1+Pro_Forma!$S$22)^ROUNDDOWN((A313-1)/12,0)</f>
        <v>0</v>
      </c>
    </row>
    <row r="314" spans="1:2" x14ac:dyDescent="0.35">
      <c r="A314" s="115">
        <f t="shared" si="53"/>
        <v>97</v>
      </c>
      <c r="B314" s="2">
        <f>Pro_Forma!$S$21/12*(1+Pro_Forma!$S$22)^ROUNDDOWN((A314-1)/12,0)</f>
        <v>0</v>
      </c>
    </row>
    <row r="315" spans="1:2" x14ac:dyDescent="0.35">
      <c r="A315" s="115">
        <f t="shared" si="53"/>
        <v>98</v>
      </c>
      <c r="B315" s="2">
        <f>Pro_Forma!$S$21/12*(1+Pro_Forma!$S$22)^ROUNDDOWN((A315-1)/12,0)</f>
        <v>0</v>
      </c>
    </row>
    <row r="316" spans="1:2" x14ac:dyDescent="0.35">
      <c r="A316" s="115">
        <f t="shared" si="53"/>
        <v>99</v>
      </c>
      <c r="B316" s="2">
        <f>Pro_Forma!$S$21/12*(1+Pro_Forma!$S$22)^ROUNDDOWN((A316-1)/12,0)</f>
        <v>0</v>
      </c>
    </row>
    <row r="317" spans="1:2" x14ac:dyDescent="0.35">
      <c r="A317" s="115">
        <f t="shared" si="53"/>
        <v>100</v>
      </c>
      <c r="B317" s="2">
        <f>Pro_Forma!$S$21/12*(1+Pro_Forma!$S$22)^ROUNDDOWN((A317-1)/12,0)</f>
        <v>0</v>
      </c>
    </row>
    <row r="318" spans="1:2" x14ac:dyDescent="0.35">
      <c r="A318" s="115">
        <f t="shared" si="53"/>
        <v>101</v>
      </c>
      <c r="B318" s="2">
        <f>Pro_Forma!$S$21/12*(1+Pro_Forma!$S$22)^ROUNDDOWN((A318-1)/12,0)</f>
        <v>0</v>
      </c>
    </row>
    <row r="319" spans="1:2" x14ac:dyDescent="0.35">
      <c r="A319" s="115">
        <f t="shared" si="53"/>
        <v>102</v>
      </c>
      <c r="B319" s="2">
        <f>Pro_Forma!$S$21/12*(1+Pro_Forma!$S$22)^ROUNDDOWN((A319-1)/12,0)</f>
        <v>0</v>
      </c>
    </row>
    <row r="320" spans="1:2" x14ac:dyDescent="0.35">
      <c r="A320" s="115">
        <f t="shared" si="53"/>
        <v>103</v>
      </c>
      <c r="B320" s="2">
        <f>Pro_Forma!$S$21/12*(1+Pro_Forma!$S$22)^ROUNDDOWN((A320-1)/12,0)</f>
        <v>0</v>
      </c>
    </row>
    <row r="321" spans="1:2" x14ac:dyDescent="0.35">
      <c r="A321" s="115">
        <f t="shared" si="53"/>
        <v>104</v>
      </c>
      <c r="B321" s="2">
        <f>Pro_Forma!$S$21/12*(1+Pro_Forma!$S$22)^ROUNDDOWN((A321-1)/12,0)</f>
        <v>0</v>
      </c>
    </row>
    <row r="322" spans="1:2" x14ac:dyDescent="0.35">
      <c r="A322" s="115">
        <f t="shared" si="53"/>
        <v>105</v>
      </c>
      <c r="B322" s="2">
        <f>Pro_Forma!$S$21/12*(1+Pro_Forma!$S$22)^ROUNDDOWN((A322-1)/12,0)</f>
        <v>0</v>
      </c>
    </row>
    <row r="323" spans="1:2" x14ac:dyDescent="0.35">
      <c r="A323" s="115">
        <f t="shared" si="53"/>
        <v>106</v>
      </c>
      <c r="B323" s="2">
        <f>Pro_Forma!$S$21/12*(1+Pro_Forma!$S$22)^ROUNDDOWN((A323-1)/12,0)</f>
        <v>0</v>
      </c>
    </row>
    <row r="324" spans="1:2" x14ac:dyDescent="0.35">
      <c r="A324" s="115">
        <f t="shared" si="53"/>
        <v>107</v>
      </c>
      <c r="B324" s="2">
        <f>Pro_Forma!$S$21/12*(1+Pro_Forma!$S$22)^ROUNDDOWN((A324-1)/12,0)</f>
        <v>0</v>
      </c>
    </row>
    <row r="325" spans="1:2" x14ac:dyDescent="0.35">
      <c r="A325" s="115">
        <f t="shared" si="53"/>
        <v>108</v>
      </c>
      <c r="B325" s="2">
        <f>Pro_Forma!$S$21/12*(1+Pro_Forma!$S$22)^ROUNDDOWN((A325-1)/12,0)</f>
        <v>0</v>
      </c>
    </row>
    <row r="326" spans="1:2" x14ac:dyDescent="0.35">
      <c r="A326" s="115">
        <f t="shared" si="53"/>
        <v>109</v>
      </c>
      <c r="B326" s="2">
        <f>Pro_Forma!$S$21/12*(1+Pro_Forma!$S$22)^ROUNDDOWN((A326-1)/12,0)</f>
        <v>0</v>
      </c>
    </row>
    <row r="327" spans="1:2" x14ac:dyDescent="0.35">
      <c r="A327" s="115">
        <f t="shared" si="53"/>
        <v>110</v>
      </c>
      <c r="B327" s="2">
        <f>Pro_Forma!$S$21/12*(1+Pro_Forma!$S$22)^ROUNDDOWN((A327-1)/12,0)</f>
        <v>0</v>
      </c>
    </row>
    <row r="328" spans="1:2" x14ac:dyDescent="0.35">
      <c r="A328" s="115">
        <f t="shared" si="53"/>
        <v>111</v>
      </c>
      <c r="B328" s="2">
        <f>Pro_Forma!$S$21/12*(1+Pro_Forma!$S$22)^ROUNDDOWN((A328-1)/12,0)</f>
        <v>0</v>
      </c>
    </row>
    <row r="329" spans="1:2" x14ac:dyDescent="0.35">
      <c r="A329" s="115">
        <f t="shared" si="53"/>
        <v>112</v>
      </c>
      <c r="B329" s="2">
        <f>Pro_Forma!$S$21/12*(1+Pro_Forma!$S$22)^ROUNDDOWN((A329-1)/12,0)</f>
        <v>0</v>
      </c>
    </row>
    <row r="330" spans="1:2" x14ac:dyDescent="0.35">
      <c r="A330" s="115">
        <f t="shared" si="53"/>
        <v>113</v>
      </c>
      <c r="B330" s="2">
        <f>Pro_Forma!$S$21/12*(1+Pro_Forma!$S$22)^ROUNDDOWN((A330-1)/12,0)</f>
        <v>0</v>
      </c>
    </row>
    <row r="331" spans="1:2" x14ac:dyDescent="0.35">
      <c r="A331" s="115">
        <f t="shared" si="53"/>
        <v>114</v>
      </c>
      <c r="B331" s="2">
        <f>Pro_Forma!$S$21/12*(1+Pro_Forma!$S$22)^ROUNDDOWN((A331-1)/12,0)</f>
        <v>0</v>
      </c>
    </row>
    <row r="332" spans="1:2" x14ac:dyDescent="0.35">
      <c r="A332" s="115">
        <f t="shared" si="53"/>
        <v>115</v>
      </c>
      <c r="B332" s="2">
        <f>Pro_Forma!$S$21/12*(1+Pro_Forma!$S$22)^ROUNDDOWN((A332-1)/12,0)</f>
        <v>0</v>
      </c>
    </row>
    <row r="333" spans="1:2" x14ac:dyDescent="0.35">
      <c r="A333" s="115">
        <f t="shared" si="53"/>
        <v>116</v>
      </c>
      <c r="B333" s="2">
        <f>Pro_Forma!$S$21/12*(1+Pro_Forma!$S$22)^ROUNDDOWN((A333-1)/12,0)</f>
        <v>0</v>
      </c>
    </row>
    <row r="334" spans="1:2" x14ac:dyDescent="0.35">
      <c r="A334" s="115">
        <f t="shared" si="53"/>
        <v>117</v>
      </c>
      <c r="B334" s="2">
        <f>Pro_Forma!$S$21/12*(1+Pro_Forma!$S$22)^ROUNDDOWN((A334-1)/12,0)</f>
        <v>0</v>
      </c>
    </row>
    <row r="335" spans="1:2" x14ac:dyDescent="0.35">
      <c r="A335" s="115">
        <f t="shared" si="53"/>
        <v>118</v>
      </c>
      <c r="B335" s="2">
        <f>Pro_Forma!$S$21/12*(1+Pro_Forma!$S$22)^ROUNDDOWN((A335-1)/12,0)</f>
        <v>0</v>
      </c>
    </row>
    <row r="336" spans="1:2" x14ac:dyDescent="0.35">
      <c r="A336" s="115">
        <f t="shared" si="53"/>
        <v>119</v>
      </c>
      <c r="B336" s="2">
        <f>Pro_Forma!$S$21/12*(1+Pro_Forma!$S$22)^ROUNDDOWN((A336-1)/12,0)</f>
        <v>0</v>
      </c>
    </row>
    <row r="337" spans="1:2" x14ac:dyDescent="0.35">
      <c r="A337" s="115">
        <f t="shared" si="53"/>
        <v>120</v>
      </c>
      <c r="B337" s="2">
        <f>Pro_Forma!$S$21/12*(1+Pro_Forma!$S$22)^ROUNDDOWN((A337-1)/12,0)</f>
        <v>0</v>
      </c>
    </row>
    <row r="338" spans="1:2" x14ac:dyDescent="0.35">
      <c r="A338" s="115">
        <f t="shared" si="53"/>
        <v>121</v>
      </c>
      <c r="B338" s="2">
        <f>Pro_Forma!$S$21/12*(1+Pro_Forma!$S$22)^ROUNDDOWN((A338-1)/12,0)</f>
        <v>0</v>
      </c>
    </row>
    <row r="339" spans="1:2" x14ac:dyDescent="0.35">
      <c r="A339" s="115">
        <f t="shared" si="53"/>
        <v>122</v>
      </c>
      <c r="B339" s="2">
        <f>Pro_Forma!$S$21/12*(1+Pro_Forma!$S$22)^ROUNDDOWN((A339-1)/12,0)</f>
        <v>0</v>
      </c>
    </row>
    <row r="340" spans="1:2" x14ac:dyDescent="0.35">
      <c r="A340" s="115">
        <f t="shared" si="53"/>
        <v>123</v>
      </c>
      <c r="B340" s="2">
        <f>Pro_Forma!$S$21/12*(1+Pro_Forma!$S$22)^ROUNDDOWN((A340-1)/12,0)</f>
        <v>0</v>
      </c>
    </row>
    <row r="341" spans="1:2" x14ac:dyDescent="0.35">
      <c r="A341" s="115">
        <f t="shared" si="53"/>
        <v>124</v>
      </c>
      <c r="B341" s="2">
        <f>Pro_Forma!$S$21/12*(1+Pro_Forma!$S$22)^ROUNDDOWN((A341-1)/12,0)</f>
        <v>0</v>
      </c>
    </row>
    <row r="342" spans="1:2" x14ac:dyDescent="0.35">
      <c r="A342" s="115">
        <f t="shared" si="53"/>
        <v>125</v>
      </c>
      <c r="B342" s="2">
        <f>Pro_Forma!$S$21/12*(1+Pro_Forma!$S$22)^ROUNDDOWN((A342-1)/12,0)</f>
        <v>0</v>
      </c>
    </row>
    <row r="343" spans="1:2" x14ac:dyDescent="0.35">
      <c r="A343" s="115">
        <f t="shared" si="53"/>
        <v>126</v>
      </c>
      <c r="B343" s="2">
        <f>Pro_Forma!$S$21/12*(1+Pro_Forma!$S$22)^ROUNDDOWN((A343-1)/12,0)</f>
        <v>0</v>
      </c>
    </row>
    <row r="344" spans="1:2" x14ac:dyDescent="0.35">
      <c r="A344" s="115">
        <f t="shared" si="53"/>
        <v>127</v>
      </c>
      <c r="B344" s="2">
        <f>Pro_Forma!$S$21/12*(1+Pro_Forma!$S$22)^ROUNDDOWN((A344-1)/12,0)</f>
        <v>0</v>
      </c>
    </row>
    <row r="345" spans="1:2" x14ac:dyDescent="0.35">
      <c r="A345" s="115">
        <f t="shared" si="53"/>
        <v>128</v>
      </c>
      <c r="B345" s="2">
        <f>Pro_Forma!$S$21/12*(1+Pro_Forma!$S$22)^ROUNDDOWN((A345-1)/12,0)</f>
        <v>0</v>
      </c>
    </row>
    <row r="346" spans="1:2" x14ac:dyDescent="0.35">
      <c r="A346" s="115">
        <f t="shared" si="53"/>
        <v>129</v>
      </c>
      <c r="B346" s="2">
        <f>Pro_Forma!$S$21/12*(1+Pro_Forma!$S$22)^ROUNDDOWN((A346-1)/12,0)</f>
        <v>0</v>
      </c>
    </row>
    <row r="347" spans="1:2" x14ac:dyDescent="0.35">
      <c r="A347" s="115">
        <f t="shared" si="53"/>
        <v>130</v>
      </c>
      <c r="B347" s="2">
        <f>Pro_Forma!$S$21/12*(1+Pro_Forma!$S$22)^ROUNDDOWN((A347-1)/12,0)</f>
        <v>0</v>
      </c>
    </row>
    <row r="348" spans="1:2" x14ac:dyDescent="0.35">
      <c r="A348" s="115">
        <f t="shared" ref="A348:A411" si="54">1+A347</f>
        <v>131</v>
      </c>
      <c r="B348" s="2">
        <f>Pro_Forma!$S$21/12*(1+Pro_Forma!$S$22)^ROUNDDOWN((A348-1)/12,0)</f>
        <v>0</v>
      </c>
    </row>
    <row r="349" spans="1:2" x14ac:dyDescent="0.35">
      <c r="A349" s="115">
        <f t="shared" si="54"/>
        <v>132</v>
      </c>
      <c r="B349" s="2">
        <f>Pro_Forma!$S$21/12*(1+Pro_Forma!$S$22)^ROUNDDOWN((A349-1)/12,0)</f>
        <v>0</v>
      </c>
    </row>
    <row r="350" spans="1:2" x14ac:dyDescent="0.35">
      <c r="A350" s="115">
        <f t="shared" si="54"/>
        <v>133</v>
      </c>
      <c r="B350" s="2">
        <f>Pro_Forma!$S$21/12*(1+Pro_Forma!$S$22)^ROUNDDOWN((A350-1)/12,0)</f>
        <v>0</v>
      </c>
    </row>
    <row r="351" spans="1:2" x14ac:dyDescent="0.35">
      <c r="A351" s="115">
        <f t="shared" si="54"/>
        <v>134</v>
      </c>
      <c r="B351" s="2">
        <f>Pro_Forma!$S$21/12*(1+Pro_Forma!$S$22)^ROUNDDOWN((A351-1)/12,0)</f>
        <v>0</v>
      </c>
    </row>
    <row r="352" spans="1:2" x14ac:dyDescent="0.35">
      <c r="A352" s="115">
        <f t="shared" si="54"/>
        <v>135</v>
      </c>
      <c r="B352" s="2">
        <f>Pro_Forma!$S$21/12*(1+Pro_Forma!$S$22)^ROUNDDOWN((A352-1)/12,0)</f>
        <v>0</v>
      </c>
    </row>
    <row r="353" spans="1:2" x14ac:dyDescent="0.35">
      <c r="A353" s="115">
        <f t="shared" si="54"/>
        <v>136</v>
      </c>
      <c r="B353" s="2">
        <f>Pro_Forma!$S$21/12*(1+Pro_Forma!$S$22)^ROUNDDOWN((A353-1)/12,0)</f>
        <v>0</v>
      </c>
    </row>
    <row r="354" spans="1:2" x14ac:dyDescent="0.35">
      <c r="A354" s="115">
        <f t="shared" si="54"/>
        <v>137</v>
      </c>
      <c r="B354" s="2">
        <f>Pro_Forma!$S$21/12*(1+Pro_Forma!$S$22)^ROUNDDOWN((A354-1)/12,0)</f>
        <v>0</v>
      </c>
    </row>
    <row r="355" spans="1:2" x14ac:dyDescent="0.35">
      <c r="A355" s="115">
        <f t="shared" si="54"/>
        <v>138</v>
      </c>
      <c r="B355" s="2">
        <f>Pro_Forma!$S$21/12*(1+Pro_Forma!$S$22)^ROUNDDOWN((A355-1)/12,0)</f>
        <v>0</v>
      </c>
    </row>
    <row r="356" spans="1:2" x14ac:dyDescent="0.35">
      <c r="A356" s="115">
        <f t="shared" si="54"/>
        <v>139</v>
      </c>
      <c r="B356" s="2">
        <f>Pro_Forma!$S$21/12*(1+Pro_Forma!$S$22)^ROUNDDOWN((A356-1)/12,0)</f>
        <v>0</v>
      </c>
    </row>
    <row r="357" spans="1:2" x14ac:dyDescent="0.35">
      <c r="A357" s="115">
        <f t="shared" si="54"/>
        <v>140</v>
      </c>
      <c r="B357" s="2">
        <f>Pro_Forma!$S$21/12*(1+Pro_Forma!$S$22)^ROUNDDOWN((A357-1)/12,0)</f>
        <v>0</v>
      </c>
    </row>
    <row r="358" spans="1:2" x14ac:dyDescent="0.35">
      <c r="A358" s="115">
        <f t="shared" si="54"/>
        <v>141</v>
      </c>
      <c r="B358" s="2">
        <f>Pro_Forma!$S$21/12*(1+Pro_Forma!$S$22)^ROUNDDOWN((A358-1)/12,0)</f>
        <v>0</v>
      </c>
    </row>
    <row r="359" spans="1:2" x14ac:dyDescent="0.35">
      <c r="A359" s="115">
        <f t="shared" si="54"/>
        <v>142</v>
      </c>
      <c r="B359" s="2">
        <f>Pro_Forma!$S$21/12*(1+Pro_Forma!$S$22)^ROUNDDOWN((A359-1)/12,0)</f>
        <v>0</v>
      </c>
    </row>
    <row r="360" spans="1:2" x14ac:dyDescent="0.35">
      <c r="A360" s="115">
        <f t="shared" si="54"/>
        <v>143</v>
      </c>
      <c r="B360" s="2">
        <f>Pro_Forma!$S$21/12*(1+Pro_Forma!$S$22)^ROUNDDOWN((A360-1)/12,0)</f>
        <v>0</v>
      </c>
    </row>
    <row r="361" spans="1:2" x14ac:dyDescent="0.35">
      <c r="A361" s="115">
        <f t="shared" si="54"/>
        <v>144</v>
      </c>
      <c r="B361" s="2">
        <f>Pro_Forma!$S$21/12*(1+Pro_Forma!$S$22)^ROUNDDOWN((A361-1)/12,0)</f>
        <v>0</v>
      </c>
    </row>
    <row r="362" spans="1:2" x14ac:dyDescent="0.35">
      <c r="A362" s="115">
        <f t="shared" si="54"/>
        <v>145</v>
      </c>
      <c r="B362" s="2">
        <f>Pro_Forma!$S$21/12*(1+Pro_Forma!$S$22)^ROUNDDOWN((A362-1)/12,0)</f>
        <v>0</v>
      </c>
    </row>
    <row r="363" spans="1:2" x14ac:dyDescent="0.35">
      <c r="A363" s="115">
        <f t="shared" si="54"/>
        <v>146</v>
      </c>
      <c r="B363" s="2">
        <f>Pro_Forma!$S$21/12*(1+Pro_Forma!$S$22)^ROUNDDOWN((A363-1)/12,0)</f>
        <v>0</v>
      </c>
    </row>
    <row r="364" spans="1:2" x14ac:dyDescent="0.35">
      <c r="A364" s="115">
        <f t="shared" si="54"/>
        <v>147</v>
      </c>
      <c r="B364" s="2">
        <f>Pro_Forma!$S$21/12*(1+Pro_Forma!$S$22)^ROUNDDOWN((A364-1)/12,0)</f>
        <v>0</v>
      </c>
    </row>
    <row r="365" spans="1:2" x14ac:dyDescent="0.35">
      <c r="A365" s="115">
        <f t="shared" si="54"/>
        <v>148</v>
      </c>
      <c r="B365" s="2">
        <f>Pro_Forma!$S$21/12*(1+Pro_Forma!$S$22)^ROUNDDOWN((A365-1)/12,0)</f>
        <v>0</v>
      </c>
    </row>
    <row r="366" spans="1:2" x14ac:dyDescent="0.35">
      <c r="A366" s="115">
        <f t="shared" si="54"/>
        <v>149</v>
      </c>
      <c r="B366" s="2">
        <f>Pro_Forma!$S$21/12*(1+Pro_Forma!$S$22)^ROUNDDOWN((A366-1)/12,0)</f>
        <v>0</v>
      </c>
    </row>
    <row r="367" spans="1:2" x14ac:dyDescent="0.35">
      <c r="A367" s="115">
        <f t="shared" si="54"/>
        <v>150</v>
      </c>
      <c r="B367" s="2">
        <f>Pro_Forma!$S$21/12*(1+Pro_Forma!$S$22)^ROUNDDOWN((A367-1)/12,0)</f>
        <v>0</v>
      </c>
    </row>
    <row r="368" spans="1:2" x14ac:dyDescent="0.35">
      <c r="A368" s="115">
        <f t="shared" si="54"/>
        <v>151</v>
      </c>
      <c r="B368" s="2">
        <f>Pro_Forma!$S$21/12*(1+Pro_Forma!$S$22)^ROUNDDOWN((A368-1)/12,0)</f>
        <v>0</v>
      </c>
    </row>
    <row r="369" spans="1:2" x14ac:dyDescent="0.35">
      <c r="A369" s="115">
        <f t="shared" si="54"/>
        <v>152</v>
      </c>
      <c r="B369" s="2">
        <f>Pro_Forma!$S$21/12*(1+Pro_Forma!$S$22)^ROUNDDOWN((A369-1)/12,0)</f>
        <v>0</v>
      </c>
    </row>
    <row r="370" spans="1:2" x14ac:dyDescent="0.35">
      <c r="A370" s="115">
        <f t="shared" si="54"/>
        <v>153</v>
      </c>
      <c r="B370" s="2">
        <f>Pro_Forma!$S$21/12*(1+Pro_Forma!$S$22)^ROUNDDOWN((A370-1)/12,0)</f>
        <v>0</v>
      </c>
    </row>
    <row r="371" spans="1:2" x14ac:dyDescent="0.35">
      <c r="A371" s="115">
        <f t="shared" si="54"/>
        <v>154</v>
      </c>
      <c r="B371" s="2">
        <f>Pro_Forma!$S$21/12*(1+Pro_Forma!$S$22)^ROUNDDOWN((A371-1)/12,0)</f>
        <v>0</v>
      </c>
    </row>
    <row r="372" spans="1:2" x14ac:dyDescent="0.35">
      <c r="A372" s="115">
        <f t="shared" si="54"/>
        <v>155</v>
      </c>
      <c r="B372" s="2">
        <f>Pro_Forma!$S$21/12*(1+Pro_Forma!$S$22)^ROUNDDOWN((A372-1)/12,0)</f>
        <v>0</v>
      </c>
    </row>
    <row r="373" spans="1:2" x14ac:dyDescent="0.35">
      <c r="A373" s="115">
        <f t="shared" si="54"/>
        <v>156</v>
      </c>
      <c r="B373" s="2">
        <f>Pro_Forma!$S$21/12*(1+Pro_Forma!$S$22)^ROUNDDOWN((A373-1)/12,0)</f>
        <v>0</v>
      </c>
    </row>
    <row r="374" spans="1:2" x14ac:dyDescent="0.35">
      <c r="A374" s="115">
        <f t="shared" si="54"/>
        <v>157</v>
      </c>
      <c r="B374" s="2">
        <f>Pro_Forma!$S$21/12*(1+Pro_Forma!$S$22)^ROUNDDOWN((A374-1)/12,0)</f>
        <v>0</v>
      </c>
    </row>
    <row r="375" spans="1:2" x14ac:dyDescent="0.35">
      <c r="A375" s="115">
        <f t="shared" si="54"/>
        <v>158</v>
      </c>
      <c r="B375" s="2">
        <f>Pro_Forma!$S$21/12*(1+Pro_Forma!$S$22)^ROUNDDOWN((A375-1)/12,0)</f>
        <v>0</v>
      </c>
    </row>
    <row r="376" spans="1:2" x14ac:dyDescent="0.35">
      <c r="A376" s="115">
        <f t="shared" si="54"/>
        <v>159</v>
      </c>
      <c r="B376" s="2">
        <f>Pro_Forma!$S$21/12*(1+Pro_Forma!$S$22)^ROUNDDOWN((A376-1)/12,0)</f>
        <v>0</v>
      </c>
    </row>
    <row r="377" spans="1:2" x14ac:dyDescent="0.35">
      <c r="A377" s="115">
        <f t="shared" si="54"/>
        <v>160</v>
      </c>
      <c r="B377" s="2">
        <f>Pro_Forma!$S$21/12*(1+Pro_Forma!$S$22)^ROUNDDOWN((A377-1)/12,0)</f>
        <v>0</v>
      </c>
    </row>
    <row r="378" spans="1:2" x14ac:dyDescent="0.35">
      <c r="A378" s="115">
        <f t="shared" si="54"/>
        <v>161</v>
      </c>
      <c r="B378" s="2">
        <f>Pro_Forma!$S$21/12*(1+Pro_Forma!$S$22)^ROUNDDOWN((A378-1)/12,0)</f>
        <v>0</v>
      </c>
    </row>
    <row r="379" spans="1:2" x14ac:dyDescent="0.35">
      <c r="A379" s="115">
        <f t="shared" si="54"/>
        <v>162</v>
      </c>
      <c r="B379" s="2">
        <f>Pro_Forma!$S$21/12*(1+Pro_Forma!$S$22)^ROUNDDOWN((A379-1)/12,0)</f>
        <v>0</v>
      </c>
    </row>
    <row r="380" spans="1:2" x14ac:dyDescent="0.35">
      <c r="A380" s="115">
        <f t="shared" si="54"/>
        <v>163</v>
      </c>
      <c r="B380" s="2">
        <f>Pro_Forma!$S$21/12*(1+Pro_Forma!$S$22)^ROUNDDOWN((A380-1)/12,0)</f>
        <v>0</v>
      </c>
    </row>
    <row r="381" spans="1:2" x14ac:dyDescent="0.35">
      <c r="A381" s="115">
        <f t="shared" si="54"/>
        <v>164</v>
      </c>
      <c r="B381" s="2">
        <f>Pro_Forma!$S$21/12*(1+Pro_Forma!$S$22)^ROUNDDOWN((A381-1)/12,0)</f>
        <v>0</v>
      </c>
    </row>
    <row r="382" spans="1:2" x14ac:dyDescent="0.35">
      <c r="A382" s="115">
        <f t="shared" si="54"/>
        <v>165</v>
      </c>
      <c r="B382" s="2">
        <f>Pro_Forma!$S$21/12*(1+Pro_Forma!$S$22)^ROUNDDOWN((A382-1)/12,0)</f>
        <v>0</v>
      </c>
    </row>
    <row r="383" spans="1:2" x14ac:dyDescent="0.35">
      <c r="A383" s="115">
        <f t="shared" si="54"/>
        <v>166</v>
      </c>
      <c r="B383" s="2">
        <f>Pro_Forma!$S$21/12*(1+Pro_Forma!$S$22)^ROUNDDOWN((A383-1)/12,0)</f>
        <v>0</v>
      </c>
    </row>
    <row r="384" spans="1:2" x14ac:dyDescent="0.35">
      <c r="A384" s="115">
        <f t="shared" si="54"/>
        <v>167</v>
      </c>
      <c r="B384" s="2">
        <f>Pro_Forma!$S$21/12*(1+Pro_Forma!$S$22)^ROUNDDOWN((A384-1)/12,0)</f>
        <v>0</v>
      </c>
    </row>
    <row r="385" spans="1:2" x14ac:dyDescent="0.35">
      <c r="A385" s="115">
        <f t="shared" si="54"/>
        <v>168</v>
      </c>
      <c r="B385" s="2">
        <f>Pro_Forma!$S$21/12*(1+Pro_Forma!$S$22)^ROUNDDOWN((A385-1)/12,0)</f>
        <v>0</v>
      </c>
    </row>
    <row r="386" spans="1:2" x14ac:dyDescent="0.35">
      <c r="A386" s="115">
        <f t="shared" si="54"/>
        <v>169</v>
      </c>
      <c r="B386" s="2">
        <f>Pro_Forma!$S$21/12*(1+Pro_Forma!$S$22)^ROUNDDOWN((A386-1)/12,0)</f>
        <v>0</v>
      </c>
    </row>
    <row r="387" spans="1:2" x14ac:dyDescent="0.35">
      <c r="A387" s="115">
        <f t="shared" si="54"/>
        <v>170</v>
      </c>
      <c r="B387" s="2">
        <f>Pro_Forma!$S$21/12*(1+Pro_Forma!$S$22)^ROUNDDOWN((A387-1)/12,0)</f>
        <v>0</v>
      </c>
    </row>
    <row r="388" spans="1:2" x14ac:dyDescent="0.35">
      <c r="A388" s="115">
        <f t="shared" si="54"/>
        <v>171</v>
      </c>
      <c r="B388" s="2">
        <f>Pro_Forma!$S$21/12*(1+Pro_Forma!$S$22)^ROUNDDOWN((A388-1)/12,0)</f>
        <v>0</v>
      </c>
    </row>
    <row r="389" spans="1:2" x14ac:dyDescent="0.35">
      <c r="A389" s="115">
        <f t="shared" si="54"/>
        <v>172</v>
      </c>
      <c r="B389" s="2">
        <f>Pro_Forma!$S$21/12*(1+Pro_Forma!$S$22)^ROUNDDOWN((A389-1)/12,0)</f>
        <v>0</v>
      </c>
    </row>
    <row r="390" spans="1:2" x14ac:dyDescent="0.35">
      <c r="A390" s="115">
        <f t="shared" si="54"/>
        <v>173</v>
      </c>
      <c r="B390" s="2">
        <f>Pro_Forma!$S$21/12*(1+Pro_Forma!$S$22)^ROUNDDOWN((A390-1)/12,0)</f>
        <v>0</v>
      </c>
    </row>
    <row r="391" spans="1:2" x14ac:dyDescent="0.35">
      <c r="A391" s="115">
        <f t="shared" si="54"/>
        <v>174</v>
      </c>
      <c r="B391" s="2">
        <f>Pro_Forma!$S$21/12*(1+Pro_Forma!$S$22)^ROUNDDOWN((A391-1)/12,0)</f>
        <v>0</v>
      </c>
    </row>
    <row r="392" spans="1:2" x14ac:dyDescent="0.35">
      <c r="A392" s="115">
        <f t="shared" si="54"/>
        <v>175</v>
      </c>
      <c r="B392" s="2">
        <f>Pro_Forma!$S$21/12*(1+Pro_Forma!$S$22)^ROUNDDOWN((A392-1)/12,0)</f>
        <v>0</v>
      </c>
    </row>
    <row r="393" spans="1:2" x14ac:dyDescent="0.35">
      <c r="A393" s="115">
        <f t="shared" si="54"/>
        <v>176</v>
      </c>
      <c r="B393" s="2">
        <f>Pro_Forma!$S$21/12*(1+Pro_Forma!$S$22)^ROUNDDOWN((A393-1)/12,0)</f>
        <v>0</v>
      </c>
    </row>
    <row r="394" spans="1:2" x14ac:dyDescent="0.35">
      <c r="A394" s="115">
        <f t="shared" si="54"/>
        <v>177</v>
      </c>
      <c r="B394" s="2">
        <f>Pro_Forma!$S$21/12*(1+Pro_Forma!$S$22)^ROUNDDOWN((A394-1)/12,0)</f>
        <v>0</v>
      </c>
    </row>
    <row r="395" spans="1:2" x14ac:dyDescent="0.35">
      <c r="A395" s="115">
        <f t="shared" si="54"/>
        <v>178</v>
      </c>
      <c r="B395" s="2">
        <f>Pro_Forma!$S$21/12*(1+Pro_Forma!$S$22)^ROUNDDOWN((A395-1)/12,0)</f>
        <v>0</v>
      </c>
    </row>
    <row r="396" spans="1:2" x14ac:dyDescent="0.35">
      <c r="A396" s="115">
        <f t="shared" si="54"/>
        <v>179</v>
      </c>
      <c r="B396" s="2">
        <f>Pro_Forma!$S$21/12*(1+Pro_Forma!$S$22)^ROUNDDOWN((A396-1)/12,0)</f>
        <v>0</v>
      </c>
    </row>
    <row r="397" spans="1:2" x14ac:dyDescent="0.35">
      <c r="A397" s="115">
        <f t="shared" si="54"/>
        <v>180</v>
      </c>
      <c r="B397" s="2">
        <f>Pro_Forma!$S$21/12*(1+Pro_Forma!$S$22)^ROUNDDOWN((A397-1)/12,0)</f>
        <v>0</v>
      </c>
    </row>
    <row r="398" spans="1:2" x14ac:dyDescent="0.35">
      <c r="A398" s="115">
        <f t="shared" si="54"/>
        <v>181</v>
      </c>
      <c r="B398" s="2">
        <f>Pro_Forma!$S$21/12*(1+Pro_Forma!$S$22)^ROUNDDOWN((A398-1)/12,0)</f>
        <v>0</v>
      </c>
    </row>
    <row r="399" spans="1:2" x14ac:dyDescent="0.35">
      <c r="A399" s="115">
        <f t="shared" si="54"/>
        <v>182</v>
      </c>
      <c r="B399" s="2">
        <f>Pro_Forma!$S$21/12*(1+Pro_Forma!$S$22)^ROUNDDOWN((A399-1)/12,0)</f>
        <v>0</v>
      </c>
    </row>
    <row r="400" spans="1:2" x14ac:dyDescent="0.35">
      <c r="A400" s="115">
        <f t="shared" si="54"/>
        <v>183</v>
      </c>
      <c r="B400" s="2">
        <f>Pro_Forma!$S$21/12*(1+Pro_Forma!$S$22)^ROUNDDOWN((A400-1)/12,0)</f>
        <v>0</v>
      </c>
    </row>
    <row r="401" spans="1:2" x14ac:dyDescent="0.35">
      <c r="A401" s="115">
        <f t="shared" si="54"/>
        <v>184</v>
      </c>
      <c r="B401" s="2">
        <f>Pro_Forma!$S$21/12*(1+Pro_Forma!$S$22)^ROUNDDOWN((A401-1)/12,0)</f>
        <v>0</v>
      </c>
    </row>
    <row r="402" spans="1:2" x14ac:dyDescent="0.35">
      <c r="A402" s="115">
        <f t="shared" si="54"/>
        <v>185</v>
      </c>
      <c r="B402" s="2">
        <f>Pro_Forma!$S$21/12*(1+Pro_Forma!$S$22)^ROUNDDOWN((A402-1)/12,0)</f>
        <v>0</v>
      </c>
    </row>
    <row r="403" spans="1:2" x14ac:dyDescent="0.35">
      <c r="A403" s="115">
        <f t="shared" si="54"/>
        <v>186</v>
      </c>
      <c r="B403" s="2">
        <f>Pro_Forma!$S$21/12*(1+Pro_Forma!$S$22)^ROUNDDOWN((A403-1)/12,0)</f>
        <v>0</v>
      </c>
    </row>
    <row r="404" spans="1:2" x14ac:dyDescent="0.35">
      <c r="A404" s="115">
        <f t="shared" si="54"/>
        <v>187</v>
      </c>
      <c r="B404" s="2">
        <f>Pro_Forma!$S$21/12*(1+Pro_Forma!$S$22)^ROUNDDOWN((A404-1)/12,0)</f>
        <v>0</v>
      </c>
    </row>
    <row r="405" spans="1:2" x14ac:dyDescent="0.35">
      <c r="A405" s="115">
        <f t="shared" si="54"/>
        <v>188</v>
      </c>
      <c r="B405" s="2">
        <f>Pro_Forma!$S$21/12*(1+Pro_Forma!$S$22)^ROUNDDOWN((A405-1)/12,0)</f>
        <v>0</v>
      </c>
    </row>
    <row r="406" spans="1:2" x14ac:dyDescent="0.35">
      <c r="A406" s="115">
        <f t="shared" si="54"/>
        <v>189</v>
      </c>
      <c r="B406" s="2">
        <f>Pro_Forma!$S$21/12*(1+Pro_Forma!$S$22)^ROUNDDOWN((A406-1)/12,0)</f>
        <v>0</v>
      </c>
    </row>
    <row r="407" spans="1:2" x14ac:dyDescent="0.35">
      <c r="A407" s="115">
        <f t="shared" si="54"/>
        <v>190</v>
      </c>
      <c r="B407" s="2">
        <f>Pro_Forma!$S$21/12*(1+Pro_Forma!$S$22)^ROUNDDOWN((A407-1)/12,0)</f>
        <v>0</v>
      </c>
    </row>
    <row r="408" spans="1:2" x14ac:dyDescent="0.35">
      <c r="A408" s="115">
        <f t="shared" si="54"/>
        <v>191</v>
      </c>
      <c r="B408" s="2">
        <f>Pro_Forma!$S$21/12*(1+Pro_Forma!$S$22)^ROUNDDOWN((A408-1)/12,0)</f>
        <v>0</v>
      </c>
    </row>
    <row r="409" spans="1:2" x14ac:dyDescent="0.35">
      <c r="A409" s="115">
        <f t="shared" si="54"/>
        <v>192</v>
      </c>
      <c r="B409" s="2">
        <f>Pro_Forma!$S$21/12*(1+Pro_Forma!$S$22)^ROUNDDOWN((A409-1)/12,0)</f>
        <v>0</v>
      </c>
    </row>
    <row r="410" spans="1:2" x14ac:dyDescent="0.35">
      <c r="A410" s="115">
        <f t="shared" si="54"/>
        <v>193</v>
      </c>
      <c r="B410" s="2">
        <f>Pro_Forma!$S$21/12*(1+Pro_Forma!$S$22)^ROUNDDOWN((A410-1)/12,0)</f>
        <v>0</v>
      </c>
    </row>
    <row r="411" spans="1:2" x14ac:dyDescent="0.35">
      <c r="A411" s="115">
        <f t="shared" si="54"/>
        <v>194</v>
      </c>
      <c r="B411" s="2">
        <f>Pro_Forma!$S$21/12*(1+Pro_Forma!$S$22)^ROUNDDOWN((A411-1)/12,0)</f>
        <v>0</v>
      </c>
    </row>
    <row r="412" spans="1:2" x14ac:dyDescent="0.35">
      <c r="A412" s="115">
        <f t="shared" ref="A412:A475" si="55">1+A411</f>
        <v>195</v>
      </c>
      <c r="B412" s="2">
        <f>Pro_Forma!$S$21/12*(1+Pro_Forma!$S$22)^ROUNDDOWN((A412-1)/12,0)</f>
        <v>0</v>
      </c>
    </row>
    <row r="413" spans="1:2" x14ac:dyDescent="0.35">
      <c r="A413" s="115">
        <f t="shared" si="55"/>
        <v>196</v>
      </c>
      <c r="B413" s="2">
        <f>Pro_Forma!$S$21/12*(1+Pro_Forma!$S$22)^ROUNDDOWN((A413-1)/12,0)</f>
        <v>0</v>
      </c>
    </row>
    <row r="414" spans="1:2" x14ac:dyDescent="0.35">
      <c r="A414" s="115">
        <f t="shared" si="55"/>
        <v>197</v>
      </c>
      <c r="B414" s="2">
        <f>Pro_Forma!$S$21/12*(1+Pro_Forma!$S$22)^ROUNDDOWN((A414-1)/12,0)</f>
        <v>0</v>
      </c>
    </row>
    <row r="415" spans="1:2" x14ac:dyDescent="0.35">
      <c r="A415" s="115">
        <f t="shared" si="55"/>
        <v>198</v>
      </c>
      <c r="B415" s="2">
        <f>Pro_Forma!$S$21/12*(1+Pro_Forma!$S$22)^ROUNDDOWN((A415-1)/12,0)</f>
        <v>0</v>
      </c>
    </row>
    <row r="416" spans="1:2" x14ac:dyDescent="0.35">
      <c r="A416" s="115">
        <f t="shared" si="55"/>
        <v>199</v>
      </c>
      <c r="B416" s="2">
        <f>Pro_Forma!$S$21/12*(1+Pro_Forma!$S$22)^ROUNDDOWN((A416-1)/12,0)</f>
        <v>0</v>
      </c>
    </row>
    <row r="417" spans="1:2" x14ac:dyDescent="0.35">
      <c r="A417" s="115">
        <f t="shared" si="55"/>
        <v>200</v>
      </c>
      <c r="B417" s="2">
        <f>Pro_Forma!$S$21/12*(1+Pro_Forma!$S$22)^ROUNDDOWN((A417-1)/12,0)</f>
        <v>0</v>
      </c>
    </row>
    <row r="418" spans="1:2" x14ac:dyDescent="0.35">
      <c r="A418" s="115">
        <f t="shared" si="55"/>
        <v>201</v>
      </c>
      <c r="B418" s="2">
        <f>Pro_Forma!$S$21/12*(1+Pro_Forma!$S$22)^ROUNDDOWN((A418-1)/12,0)</f>
        <v>0</v>
      </c>
    </row>
    <row r="419" spans="1:2" x14ac:dyDescent="0.35">
      <c r="A419" s="115">
        <f t="shared" si="55"/>
        <v>202</v>
      </c>
      <c r="B419" s="2">
        <f>Pro_Forma!$S$21/12*(1+Pro_Forma!$S$22)^ROUNDDOWN((A419-1)/12,0)</f>
        <v>0</v>
      </c>
    </row>
    <row r="420" spans="1:2" x14ac:dyDescent="0.35">
      <c r="A420" s="115">
        <f t="shared" si="55"/>
        <v>203</v>
      </c>
      <c r="B420" s="2">
        <f>Pro_Forma!$S$21/12*(1+Pro_Forma!$S$22)^ROUNDDOWN((A420-1)/12,0)</f>
        <v>0</v>
      </c>
    </row>
    <row r="421" spans="1:2" x14ac:dyDescent="0.35">
      <c r="A421" s="115">
        <f t="shared" si="55"/>
        <v>204</v>
      </c>
      <c r="B421" s="2">
        <f>Pro_Forma!$S$21/12*(1+Pro_Forma!$S$22)^ROUNDDOWN((A421-1)/12,0)</f>
        <v>0</v>
      </c>
    </row>
    <row r="422" spans="1:2" x14ac:dyDescent="0.35">
      <c r="A422" s="115">
        <f t="shared" si="55"/>
        <v>205</v>
      </c>
      <c r="B422" s="2">
        <f>Pro_Forma!$S$21/12*(1+Pro_Forma!$S$22)^ROUNDDOWN((A422-1)/12,0)</f>
        <v>0</v>
      </c>
    </row>
    <row r="423" spans="1:2" x14ac:dyDescent="0.35">
      <c r="A423" s="115">
        <f t="shared" si="55"/>
        <v>206</v>
      </c>
      <c r="B423" s="2">
        <f>Pro_Forma!$S$21/12*(1+Pro_Forma!$S$22)^ROUNDDOWN((A423-1)/12,0)</f>
        <v>0</v>
      </c>
    </row>
    <row r="424" spans="1:2" x14ac:dyDescent="0.35">
      <c r="A424" s="115">
        <f t="shared" si="55"/>
        <v>207</v>
      </c>
      <c r="B424" s="2">
        <f>Pro_Forma!$S$21/12*(1+Pro_Forma!$S$22)^ROUNDDOWN((A424-1)/12,0)</f>
        <v>0</v>
      </c>
    </row>
    <row r="425" spans="1:2" x14ac:dyDescent="0.35">
      <c r="A425" s="115">
        <f t="shared" si="55"/>
        <v>208</v>
      </c>
      <c r="B425" s="2">
        <f>Pro_Forma!$S$21/12*(1+Pro_Forma!$S$22)^ROUNDDOWN((A425-1)/12,0)</f>
        <v>0</v>
      </c>
    </row>
    <row r="426" spans="1:2" x14ac:dyDescent="0.35">
      <c r="A426" s="115">
        <f t="shared" si="55"/>
        <v>209</v>
      </c>
      <c r="B426" s="2">
        <f>Pro_Forma!$S$21/12*(1+Pro_Forma!$S$22)^ROUNDDOWN((A426-1)/12,0)</f>
        <v>0</v>
      </c>
    </row>
    <row r="427" spans="1:2" x14ac:dyDescent="0.35">
      <c r="A427" s="115">
        <f t="shared" si="55"/>
        <v>210</v>
      </c>
      <c r="B427" s="2">
        <f>Pro_Forma!$S$21/12*(1+Pro_Forma!$S$22)^ROUNDDOWN((A427-1)/12,0)</f>
        <v>0</v>
      </c>
    </row>
    <row r="428" spans="1:2" x14ac:dyDescent="0.35">
      <c r="A428" s="115">
        <f t="shared" si="55"/>
        <v>211</v>
      </c>
      <c r="B428" s="2">
        <f>Pro_Forma!$S$21/12*(1+Pro_Forma!$S$22)^ROUNDDOWN((A428-1)/12,0)</f>
        <v>0</v>
      </c>
    </row>
    <row r="429" spans="1:2" x14ac:dyDescent="0.35">
      <c r="A429" s="115">
        <f t="shared" si="55"/>
        <v>212</v>
      </c>
      <c r="B429" s="2">
        <f>Pro_Forma!$S$21/12*(1+Pro_Forma!$S$22)^ROUNDDOWN((A429-1)/12,0)</f>
        <v>0</v>
      </c>
    </row>
    <row r="430" spans="1:2" x14ac:dyDescent="0.35">
      <c r="A430" s="115">
        <f t="shared" si="55"/>
        <v>213</v>
      </c>
      <c r="B430" s="2">
        <f>Pro_Forma!$S$21/12*(1+Pro_Forma!$S$22)^ROUNDDOWN((A430-1)/12,0)</f>
        <v>0</v>
      </c>
    </row>
    <row r="431" spans="1:2" x14ac:dyDescent="0.35">
      <c r="A431" s="115">
        <f t="shared" si="55"/>
        <v>214</v>
      </c>
      <c r="B431" s="2">
        <f>Pro_Forma!$S$21/12*(1+Pro_Forma!$S$22)^ROUNDDOWN((A431-1)/12,0)</f>
        <v>0</v>
      </c>
    </row>
    <row r="432" spans="1:2" x14ac:dyDescent="0.35">
      <c r="A432" s="115">
        <f t="shared" si="55"/>
        <v>215</v>
      </c>
      <c r="B432" s="2">
        <f>Pro_Forma!$S$21/12*(1+Pro_Forma!$S$22)^ROUNDDOWN((A432-1)/12,0)</f>
        <v>0</v>
      </c>
    </row>
    <row r="433" spans="1:2" x14ac:dyDescent="0.35">
      <c r="A433" s="115">
        <f t="shared" si="55"/>
        <v>216</v>
      </c>
      <c r="B433" s="2">
        <f>Pro_Forma!$S$21/12*(1+Pro_Forma!$S$22)^ROUNDDOWN((A433-1)/12,0)</f>
        <v>0</v>
      </c>
    </row>
    <row r="434" spans="1:2" x14ac:dyDescent="0.35">
      <c r="A434" s="115">
        <f t="shared" si="55"/>
        <v>217</v>
      </c>
      <c r="B434" s="2">
        <f>Pro_Forma!$S$21/12*(1+Pro_Forma!$S$22)^ROUNDDOWN((A434-1)/12,0)</f>
        <v>0</v>
      </c>
    </row>
    <row r="435" spans="1:2" x14ac:dyDescent="0.35">
      <c r="A435" s="115">
        <f t="shared" si="55"/>
        <v>218</v>
      </c>
      <c r="B435" s="2">
        <f>Pro_Forma!$S$21/12*(1+Pro_Forma!$S$22)^ROUNDDOWN((A435-1)/12,0)</f>
        <v>0</v>
      </c>
    </row>
    <row r="436" spans="1:2" x14ac:dyDescent="0.35">
      <c r="A436" s="115">
        <f t="shared" si="55"/>
        <v>219</v>
      </c>
      <c r="B436" s="2">
        <f>Pro_Forma!$S$21/12*(1+Pro_Forma!$S$22)^ROUNDDOWN((A436-1)/12,0)</f>
        <v>0</v>
      </c>
    </row>
    <row r="437" spans="1:2" x14ac:dyDescent="0.35">
      <c r="A437" s="115">
        <f t="shared" si="55"/>
        <v>220</v>
      </c>
      <c r="B437" s="2">
        <f>Pro_Forma!$S$21/12*(1+Pro_Forma!$S$22)^ROUNDDOWN((A437-1)/12,0)</f>
        <v>0</v>
      </c>
    </row>
    <row r="438" spans="1:2" x14ac:dyDescent="0.35">
      <c r="A438" s="115">
        <f t="shared" si="55"/>
        <v>221</v>
      </c>
      <c r="B438" s="2">
        <f>Pro_Forma!$S$21/12*(1+Pro_Forma!$S$22)^ROUNDDOWN((A438-1)/12,0)</f>
        <v>0</v>
      </c>
    </row>
    <row r="439" spans="1:2" x14ac:dyDescent="0.35">
      <c r="A439" s="115">
        <f t="shared" si="55"/>
        <v>222</v>
      </c>
      <c r="B439" s="2">
        <f>Pro_Forma!$S$21/12*(1+Pro_Forma!$S$22)^ROUNDDOWN((A439-1)/12,0)</f>
        <v>0</v>
      </c>
    </row>
    <row r="440" spans="1:2" x14ac:dyDescent="0.35">
      <c r="A440" s="115">
        <f t="shared" si="55"/>
        <v>223</v>
      </c>
      <c r="B440" s="2">
        <f>Pro_Forma!$S$21/12*(1+Pro_Forma!$S$22)^ROUNDDOWN((A440-1)/12,0)</f>
        <v>0</v>
      </c>
    </row>
    <row r="441" spans="1:2" x14ac:dyDescent="0.35">
      <c r="A441" s="115">
        <f t="shared" si="55"/>
        <v>224</v>
      </c>
      <c r="B441" s="2">
        <f>Pro_Forma!$S$21/12*(1+Pro_Forma!$S$22)^ROUNDDOWN((A441-1)/12,0)</f>
        <v>0</v>
      </c>
    </row>
    <row r="442" spans="1:2" x14ac:dyDescent="0.35">
      <c r="A442" s="115">
        <f t="shared" si="55"/>
        <v>225</v>
      </c>
      <c r="B442" s="2">
        <f>Pro_Forma!$S$21/12*(1+Pro_Forma!$S$22)^ROUNDDOWN((A442-1)/12,0)</f>
        <v>0</v>
      </c>
    </row>
    <row r="443" spans="1:2" x14ac:dyDescent="0.35">
      <c r="A443" s="115">
        <f t="shared" si="55"/>
        <v>226</v>
      </c>
      <c r="B443" s="2">
        <f>Pro_Forma!$S$21/12*(1+Pro_Forma!$S$22)^ROUNDDOWN((A443-1)/12,0)</f>
        <v>0</v>
      </c>
    </row>
    <row r="444" spans="1:2" x14ac:dyDescent="0.35">
      <c r="A444" s="115">
        <f t="shared" si="55"/>
        <v>227</v>
      </c>
      <c r="B444" s="2">
        <f>Pro_Forma!$S$21/12*(1+Pro_Forma!$S$22)^ROUNDDOWN((A444-1)/12,0)</f>
        <v>0</v>
      </c>
    </row>
    <row r="445" spans="1:2" x14ac:dyDescent="0.35">
      <c r="A445" s="115">
        <f t="shared" si="55"/>
        <v>228</v>
      </c>
      <c r="B445" s="2">
        <f>Pro_Forma!$S$21/12*(1+Pro_Forma!$S$22)^ROUNDDOWN((A445-1)/12,0)</f>
        <v>0</v>
      </c>
    </row>
    <row r="446" spans="1:2" x14ac:dyDescent="0.35">
      <c r="A446" s="115">
        <f t="shared" si="55"/>
        <v>229</v>
      </c>
      <c r="B446" s="2">
        <f>Pro_Forma!$S$21/12*(1+Pro_Forma!$S$22)^ROUNDDOWN((A446-1)/12,0)</f>
        <v>0</v>
      </c>
    </row>
    <row r="447" spans="1:2" x14ac:dyDescent="0.35">
      <c r="A447" s="115">
        <f t="shared" si="55"/>
        <v>230</v>
      </c>
      <c r="B447" s="2">
        <f>Pro_Forma!$S$21/12*(1+Pro_Forma!$S$22)^ROUNDDOWN((A447-1)/12,0)</f>
        <v>0</v>
      </c>
    </row>
    <row r="448" spans="1:2" x14ac:dyDescent="0.35">
      <c r="A448" s="115">
        <f t="shared" si="55"/>
        <v>231</v>
      </c>
      <c r="B448" s="2">
        <f>Pro_Forma!$S$21/12*(1+Pro_Forma!$S$22)^ROUNDDOWN((A448-1)/12,0)</f>
        <v>0</v>
      </c>
    </row>
    <row r="449" spans="1:2" x14ac:dyDescent="0.35">
      <c r="A449" s="115">
        <f t="shared" si="55"/>
        <v>232</v>
      </c>
      <c r="B449" s="2">
        <f>Pro_Forma!$S$21/12*(1+Pro_Forma!$S$22)^ROUNDDOWN((A449-1)/12,0)</f>
        <v>0</v>
      </c>
    </row>
    <row r="450" spans="1:2" x14ac:dyDescent="0.35">
      <c r="A450" s="115">
        <f t="shared" si="55"/>
        <v>233</v>
      </c>
      <c r="B450" s="2">
        <f>Pro_Forma!$S$21/12*(1+Pro_Forma!$S$22)^ROUNDDOWN((A450-1)/12,0)</f>
        <v>0</v>
      </c>
    </row>
    <row r="451" spans="1:2" x14ac:dyDescent="0.35">
      <c r="A451" s="115">
        <f t="shared" si="55"/>
        <v>234</v>
      </c>
      <c r="B451" s="2">
        <f>Pro_Forma!$S$21/12*(1+Pro_Forma!$S$22)^ROUNDDOWN((A451-1)/12,0)</f>
        <v>0</v>
      </c>
    </row>
    <row r="452" spans="1:2" x14ac:dyDescent="0.35">
      <c r="A452" s="115">
        <f t="shared" si="55"/>
        <v>235</v>
      </c>
      <c r="B452" s="2">
        <f>Pro_Forma!$S$21/12*(1+Pro_Forma!$S$22)^ROUNDDOWN((A452-1)/12,0)</f>
        <v>0</v>
      </c>
    </row>
    <row r="453" spans="1:2" x14ac:dyDescent="0.35">
      <c r="A453" s="115">
        <f t="shared" si="55"/>
        <v>236</v>
      </c>
      <c r="B453" s="2">
        <f>Pro_Forma!$S$21/12*(1+Pro_Forma!$S$22)^ROUNDDOWN((A453-1)/12,0)</f>
        <v>0</v>
      </c>
    </row>
    <row r="454" spans="1:2" x14ac:dyDescent="0.35">
      <c r="A454" s="115">
        <f t="shared" si="55"/>
        <v>237</v>
      </c>
      <c r="B454" s="2">
        <f>Pro_Forma!$S$21/12*(1+Pro_Forma!$S$22)^ROUNDDOWN((A454-1)/12,0)</f>
        <v>0</v>
      </c>
    </row>
    <row r="455" spans="1:2" x14ac:dyDescent="0.35">
      <c r="A455" s="115">
        <f t="shared" si="55"/>
        <v>238</v>
      </c>
      <c r="B455" s="2">
        <f>Pro_Forma!$S$21/12*(1+Pro_Forma!$S$22)^ROUNDDOWN((A455-1)/12,0)</f>
        <v>0</v>
      </c>
    </row>
    <row r="456" spans="1:2" x14ac:dyDescent="0.35">
      <c r="A456" s="115">
        <f t="shared" si="55"/>
        <v>239</v>
      </c>
      <c r="B456" s="2">
        <f>Pro_Forma!$S$21/12*(1+Pro_Forma!$S$22)^ROUNDDOWN((A456-1)/12,0)</f>
        <v>0</v>
      </c>
    </row>
    <row r="457" spans="1:2" x14ac:dyDescent="0.35">
      <c r="A457" s="115">
        <f t="shared" si="55"/>
        <v>240</v>
      </c>
      <c r="B457" s="2">
        <f>Pro_Forma!$S$21/12*(1+Pro_Forma!$S$22)^ROUNDDOWN((A457-1)/12,0)</f>
        <v>0</v>
      </c>
    </row>
    <row r="458" spans="1:2" x14ac:dyDescent="0.35">
      <c r="A458" s="115">
        <f t="shared" si="55"/>
        <v>241</v>
      </c>
      <c r="B458" s="2">
        <f>Pro_Forma!$S$21/12*(1+Pro_Forma!$S$22)^ROUNDDOWN((A458-1)/12,0)</f>
        <v>0</v>
      </c>
    </row>
    <row r="459" spans="1:2" x14ac:dyDescent="0.35">
      <c r="A459" s="115">
        <f t="shared" si="55"/>
        <v>242</v>
      </c>
      <c r="B459" s="2">
        <f>Pro_Forma!$S$21/12*(1+Pro_Forma!$S$22)^ROUNDDOWN((A459-1)/12,0)</f>
        <v>0</v>
      </c>
    </row>
    <row r="460" spans="1:2" x14ac:dyDescent="0.35">
      <c r="A460" s="115">
        <f t="shared" si="55"/>
        <v>243</v>
      </c>
      <c r="B460" s="2">
        <f>Pro_Forma!$S$21/12*(1+Pro_Forma!$S$22)^ROUNDDOWN((A460-1)/12,0)</f>
        <v>0</v>
      </c>
    </row>
    <row r="461" spans="1:2" x14ac:dyDescent="0.35">
      <c r="A461" s="115">
        <f t="shared" si="55"/>
        <v>244</v>
      </c>
      <c r="B461" s="2">
        <f>Pro_Forma!$S$21/12*(1+Pro_Forma!$S$22)^ROUNDDOWN((A461-1)/12,0)</f>
        <v>0</v>
      </c>
    </row>
    <row r="462" spans="1:2" x14ac:dyDescent="0.35">
      <c r="A462" s="115">
        <f t="shared" si="55"/>
        <v>245</v>
      </c>
      <c r="B462" s="2">
        <f>Pro_Forma!$S$21/12*(1+Pro_Forma!$S$22)^ROUNDDOWN((A462-1)/12,0)</f>
        <v>0</v>
      </c>
    </row>
    <row r="463" spans="1:2" x14ac:dyDescent="0.35">
      <c r="A463" s="115">
        <f t="shared" si="55"/>
        <v>246</v>
      </c>
      <c r="B463" s="2">
        <f>Pro_Forma!$S$21/12*(1+Pro_Forma!$S$22)^ROUNDDOWN((A463-1)/12,0)</f>
        <v>0</v>
      </c>
    </row>
    <row r="464" spans="1:2" x14ac:dyDescent="0.35">
      <c r="A464" s="115">
        <f t="shared" si="55"/>
        <v>247</v>
      </c>
      <c r="B464" s="2">
        <f>Pro_Forma!$S$21/12*(1+Pro_Forma!$S$22)^ROUNDDOWN((A464-1)/12,0)</f>
        <v>0</v>
      </c>
    </row>
    <row r="465" spans="1:2" x14ac:dyDescent="0.35">
      <c r="A465" s="115">
        <f t="shared" si="55"/>
        <v>248</v>
      </c>
      <c r="B465" s="2">
        <f>Pro_Forma!$S$21/12*(1+Pro_Forma!$S$22)^ROUNDDOWN((A465-1)/12,0)</f>
        <v>0</v>
      </c>
    </row>
    <row r="466" spans="1:2" x14ac:dyDescent="0.35">
      <c r="A466" s="115">
        <f t="shared" si="55"/>
        <v>249</v>
      </c>
      <c r="B466" s="2">
        <f>Pro_Forma!$S$21/12*(1+Pro_Forma!$S$22)^ROUNDDOWN((A466-1)/12,0)</f>
        <v>0</v>
      </c>
    </row>
    <row r="467" spans="1:2" x14ac:dyDescent="0.35">
      <c r="A467" s="115">
        <f t="shared" si="55"/>
        <v>250</v>
      </c>
      <c r="B467" s="2">
        <f>Pro_Forma!$S$21/12*(1+Pro_Forma!$S$22)^ROUNDDOWN((A467-1)/12,0)</f>
        <v>0</v>
      </c>
    </row>
    <row r="468" spans="1:2" x14ac:dyDescent="0.35">
      <c r="A468" s="115">
        <f t="shared" si="55"/>
        <v>251</v>
      </c>
      <c r="B468" s="2">
        <f>Pro_Forma!$S$21/12*(1+Pro_Forma!$S$22)^ROUNDDOWN((A468-1)/12,0)</f>
        <v>0</v>
      </c>
    </row>
    <row r="469" spans="1:2" x14ac:dyDescent="0.35">
      <c r="A469" s="115">
        <f t="shared" si="55"/>
        <v>252</v>
      </c>
      <c r="B469" s="2">
        <f>Pro_Forma!$S$21/12*(1+Pro_Forma!$S$22)^ROUNDDOWN((A469-1)/12,0)</f>
        <v>0</v>
      </c>
    </row>
    <row r="470" spans="1:2" x14ac:dyDescent="0.35">
      <c r="A470" s="115">
        <f t="shared" si="55"/>
        <v>253</v>
      </c>
      <c r="B470" s="2">
        <f>Pro_Forma!$S$21/12*(1+Pro_Forma!$S$22)^ROUNDDOWN((A470-1)/12,0)</f>
        <v>0</v>
      </c>
    </row>
    <row r="471" spans="1:2" x14ac:dyDescent="0.35">
      <c r="A471" s="115">
        <f t="shared" si="55"/>
        <v>254</v>
      </c>
      <c r="B471" s="2">
        <f>Pro_Forma!$S$21/12*(1+Pro_Forma!$S$22)^ROUNDDOWN((A471-1)/12,0)</f>
        <v>0</v>
      </c>
    </row>
    <row r="472" spans="1:2" x14ac:dyDescent="0.35">
      <c r="A472" s="115">
        <f t="shared" si="55"/>
        <v>255</v>
      </c>
      <c r="B472" s="2">
        <f>Pro_Forma!$S$21/12*(1+Pro_Forma!$S$22)^ROUNDDOWN((A472-1)/12,0)</f>
        <v>0</v>
      </c>
    </row>
    <row r="473" spans="1:2" x14ac:dyDescent="0.35">
      <c r="A473" s="115">
        <f t="shared" si="55"/>
        <v>256</v>
      </c>
      <c r="B473" s="2">
        <f>Pro_Forma!$S$21/12*(1+Pro_Forma!$S$22)^ROUNDDOWN((A473-1)/12,0)</f>
        <v>0</v>
      </c>
    </row>
    <row r="474" spans="1:2" x14ac:dyDescent="0.35">
      <c r="A474" s="115">
        <f t="shared" si="55"/>
        <v>257</v>
      </c>
      <c r="B474" s="2">
        <f>Pro_Forma!$S$21/12*(1+Pro_Forma!$S$22)^ROUNDDOWN((A474-1)/12,0)</f>
        <v>0</v>
      </c>
    </row>
    <row r="475" spans="1:2" x14ac:dyDescent="0.35">
      <c r="A475" s="115">
        <f t="shared" si="55"/>
        <v>258</v>
      </c>
      <c r="B475" s="2">
        <f>Pro_Forma!$S$21/12*(1+Pro_Forma!$S$22)^ROUNDDOWN((A475-1)/12,0)</f>
        <v>0</v>
      </c>
    </row>
    <row r="476" spans="1:2" x14ac:dyDescent="0.35">
      <c r="A476" s="115">
        <f t="shared" ref="A476:A539" si="56">1+A475</f>
        <v>259</v>
      </c>
      <c r="B476" s="2">
        <f>Pro_Forma!$S$21/12*(1+Pro_Forma!$S$22)^ROUNDDOWN((A476-1)/12,0)</f>
        <v>0</v>
      </c>
    </row>
    <row r="477" spans="1:2" x14ac:dyDescent="0.35">
      <c r="A477" s="115">
        <f t="shared" si="56"/>
        <v>260</v>
      </c>
      <c r="B477" s="2">
        <f>Pro_Forma!$S$21/12*(1+Pro_Forma!$S$22)^ROUNDDOWN((A477-1)/12,0)</f>
        <v>0</v>
      </c>
    </row>
    <row r="478" spans="1:2" x14ac:dyDescent="0.35">
      <c r="A478" s="115">
        <f t="shared" si="56"/>
        <v>261</v>
      </c>
      <c r="B478" s="2">
        <f>Pro_Forma!$S$21/12*(1+Pro_Forma!$S$22)^ROUNDDOWN((A478-1)/12,0)</f>
        <v>0</v>
      </c>
    </row>
    <row r="479" spans="1:2" x14ac:dyDescent="0.35">
      <c r="A479" s="115">
        <f t="shared" si="56"/>
        <v>262</v>
      </c>
      <c r="B479" s="2">
        <f>Pro_Forma!$S$21/12*(1+Pro_Forma!$S$22)^ROUNDDOWN((A479-1)/12,0)</f>
        <v>0</v>
      </c>
    </row>
    <row r="480" spans="1:2" x14ac:dyDescent="0.35">
      <c r="A480" s="115">
        <f t="shared" si="56"/>
        <v>263</v>
      </c>
      <c r="B480" s="2">
        <f>Pro_Forma!$S$21/12*(1+Pro_Forma!$S$22)^ROUNDDOWN((A480-1)/12,0)</f>
        <v>0</v>
      </c>
    </row>
    <row r="481" spans="1:2" x14ac:dyDescent="0.35">
      <c r="A481" s="115">
        <f t="shared" si="56"/>
        <v>264</v>
      </c>
      <c r="B481" s="2">
        <f>Pro_Forma!$S$21/12*(1+Pro_Forma!$S$22)^ROUNDDOWN((A481-1)/12,0)</f>
        <v>0</v>
      </c>
    </row>
    <row r="482" spans="1:2" x14ac:dyDescent="0.35">
      <c r="A482" s="115">
        <f t="shared" si="56"/>
        <v>265</v>
      </c>
      <c r="B482" s="2">
        <f>Pro_Forma!$S$21/12*(1+Pro_Forma!$S$22)^ROUNDDOWN((A482-1)/12,0)</f>
        <v>0</v>
      </c>
    </row>
    <row r="483" spans="1:2" x14ac:dyDescent="0.35">
      <c r="A483" s="115">
        <f t="shared" si="56"/>
        <v>266</v>
      </c>
      <c r="B483" s="2">
        <f>Pro_Forma!$S$21/12*(1+Pro_Forma!$S$22)^ROUNDDOWN((A483-1)/12,0)</f>
        <v>0</v>
      </c>
    </row>
    <row r="484" spans="1:2" x14ac:dyDescent="0.35">
      <c r="A484" s="115">
        <f t="shared" si="56"/>
        <v>267</v>
      </c>
      <c r="B484" s="2">
        <f>Pro_Forma!$S$21/12*(1+Pro_Forma!$S$22)^ROUNDDOWN((A484-1)/12,0)</f>
        <v>0</v>
      </c>
    </row>
    <row r="485" spans="1:2" x14ac:dyDescent="0.35">
      <c r="A485" s="115">
        <f t="shared" si="56"/>
        <v>268</v>
      </c>
      <c r="B485" s="2">
        <f>Pro_Forma!$S$21/12*(1+Pro_Forma!$S$22)^ROUNDDOWN((A485-1)/12,0)</f>
        <v>0</v>
      </c>
    </row>
    <row r="486" spans="1:2" x14ac:dyDescent="0.35">
      <c r="A486" s="115">
        <f t="shared" si="56"/>
        <v>269</v>
      </c>
      <c r="B486" s="2">
        <f>Pro_Forma!$S$21/12*(1+Pro_Forma!$S$22)^ROUNDDOWN((A486-1)/12,0)</f>
        <v>0</v>
      </c>
    </row>
    <row r="487" spans="1:2" x14ac:dyDescent="0.35">
      <c r="A487" s="115">
        <f t="shared" si="56"/>
        <v>270</v>
      </c>
      <c r="B487" s="2">
        <f>Pro_Forma!$S$21/12*(1+Pro_Forma!$S$22)^ROUNDDOWN((A487-1)/12,0)</f>
        <v>0</v>
      </c>
    </row>
    <row r="488" spans="1:2" x14ac:dyDescent="0.35">
      <c r="A488" s="115">
        <f t="shared" si="56"/>
        <v>271</v>
      </c>
      <c r="B488" s="2">
        <f>Pro_Forma!$S$21/12*(1+Pro_Forma!$S$22)^ROUNDDOWN((A488-1)/12,0)</f>
        <v>0</v>
      </c>
    </row>
    <row r="489" spans="1:2" x14ac:dyDescent="0.35">
      <c r="A489" s="115">
        <f t="shared" si="56"/>
        <v>272</v>
      </c>
      <c r="B489" s="2">
        <f>Pro_Forma!$S$21/12*(1+Pro_Forma!$S$22)^ROUNDDOWN((A489-1)/12,0)</f>
        <v>0</v>
      </c>
    </row>
    <row r="490" spans="1:2" x14ac:dyDescent="0.35">
      <c r="A490" s="115">
        <f t="shared" si="56"/>
        <v>273</v>
      </c>
      <c r="B490" s="2">
        <f>Pro_Forma!$S$21/12*(1+Pro_Forma!$S$22)^ROUNDDOWN((A490-1)/12,0)</f>
        <v>0</v>
      </c>
    </row>
    <row r="491" spans="1:2" x14ac:dyDescent="0.35">
      <c r="A491" s="115">
        <f t="shared" si="56"/>
        <v>274</v>
      </c>
      <c r="B491" s="2">
        <f>Pro_Forma!$S$21/12*(1+Pro_Forma!$S$22)^ROUNDDOWN((A491-1)/12,0)</f>
        <v>0</v>
      </c>
    </row>
    <row r="492" spans="1:2" x14ac:dyDescent="0.35">
      <c r="A492" s="115">
        <f t="shared" si="56"/>
        <v>275</v>
      </c>
      <c r="B492" s="2">
        <f>Pro_Forma!$S$21/12*(1+Pro_Forma!$S$22)^ROUNDDOWN((A492-1)/12,0)</f>
        <v>0</v>
      </c>
    </row>
    <row r="493" spans="1:2" x14ac:dyDescent="0.35">
      <c r="A493" s="115">
        <f t="shared" si="56"/>
        <v>276</v>
      </c>
      <c r="B493" s="2">
        <f>Pro_Forma!$S$21/12*(1+Pro_Forma!$S$22)^ROUNDDOWN((A493-1)/12,0)</f>
        <v>0</v>
      </c>
    </row>
    <row r="494" spans="1:2" x14ac:dyDescent="0.35">
      <c r="A494" s="115">
        <f t="shared" si="56"/>
        <v>277</v>
      </c>
      <c r="B494" s="2">
        <f>Pro_Forma!$S$21/12*(1+Pro_Forma!$S$22)^ROUNDDOWN((A494-1)/12,0)</f>
        <v>0</v>
      </c>
    </row>
    <row r="495" spans="1:2" x14ac:dyDescent="0.35">
      <c r="A495" s="115">
        <f t="shared" si="56"/>
        <v>278</v>
      </c>
      <c r="B495" s="2">
        <f>Pro_Forma!$S$21/12*(1+Pro_Forma!$S$22)^ROUNDDOWN((A495-1)/12,0)</f>
        <v>0</v>
      </c>
    </row>
    <row r="496" spans="1:2" x14ac:dyDescent="0.35">
      <c r="A496" s="115">
        <f t="shared" si="56"/>
        <v>279</v>
      </c>
      <c r="B496" s="2">
        <f>Pro_Forma!$S$21/12*(1+Pro_Forma!$S$22)^ROUNDDOWN((A496-1)/12,0)</f>
        <v>0</v>
      </c>
    </row>
    <row r="497" spans="1:2" x14ac:dyDescent="0.35">
      <c r="A497" s="115">
        <f t="shared" si="56"/>
        <v>280</v>
      </c>
      <c r="B497" s="2">
        <f>Pro_Forma!$S$21/12*(1+Pro_Forma!$S$22)^ROUNDDOWN((A497-1)/12,0)</f>
        <v>0</v>
      </c>
    </row>
    <row r="498" spans="1:2" x14ac:dyDescent="0.35">
      <c r="A498" s="115">
        <f t="shared" si="56"/>
        <v>281</v>
      </c>
      <c r="B498" s="2">
        <f>Pro_Forma!$S$21/12*(1+Pro_Forma!$S$22)^ROUNDDOWN((A498-1)/12,0)</f>
        <v>0</v>
      </c>
    </row>
    <row r="499" spans="1:2" x14ac:dyDescent="0.35">
      <c r="A499" s="115">
        <f t="shared" si="56"/>
        <v>282</v>
      </c>
      <c r="B499" s="2">
        <f>Pro_Forma!$S$21/12*(1+Pro_Forma!$S$22)^ROUNDDOWN((A499-1)/12,0)</f>
        <v>0</v>
      </c>
    </row>
    <row r="500" spans="1:2" x14ac:dyDescent="0.35">
      <c r="A500" s="115">
        <f t="shared" si="56"/>
        <v>283</v>
      </c>
      <c r="B500" s="2">
        <f>Pro_Forma!$S$21/12*(1+Pro_Forma!$S$22)^ROUNDDOWN((A500-1)/12,0)</f>
        <v>0</v>
      </c>
    </row>
    <row r="501" spans="1:2" x14ac:dyDescent="0.35">
      <c r="A501" s="115">
        <f t="shared" si="56"/>
        <v>284</v>
      </c>
      <c r="B501" s="2">
        <f>Pro_Forma!$S$21/12*(1+Pro_Forma!$S$22)^ROUNDDOWN((A501-1)/12,0)</f>
        <v>0</v>
      </c>
    </row>
    <row r="502" spans="1:2" x14ac:dyDescent="0.35">
      <c r="A502" s="115">
        <f t="shared" si="56"/>
        <v>285</v>
      </c>
      <c r="B502" s="2">
        <f>Pro_Forma!$S$21/12*(1+Pro_Forma!$S$22)^ROUNDDOWN((A502-1)/12,0)</f>
        <v>0</v>
      </c>
    </row>
    <row r="503" spans="1:2" x14ac:dyDescent="0.35">
      <c r="A503" s="115">
        <f t="shared" si="56"/>
        <v>286</v>
      </c>
      <c r="B503" s="2">
        <f>Pro_Forma!$S$21/12*(1+Pro_Forma!$S$22)^ROUNDDOWN((A503-1)/12,0)</f>
        <v>0</v>
      </c>
    </row>
    <row r="504" spans="1:2" x14ac:dyDescent="0.35">
      <c r="A504" s="115">
        <f t="shared" si="56"/>
        <v>287</v>
      </c>
      <c r="B504" s="2">
        <f>Pro_Forma!$S$21/12*(1+Pro_Forma!$S$22)^ROUNDDOWN((A504-1)/12,0)</f>
        <v>0</v>
      </c>
    </row>
    <row r="505" spans="1:2" x14ac:dyDescent="0.35">
      <c r="A505" s="115">
        <f t="shared" si="56"/>
        <v>288</v>
      </c>
      <c r="B505" s="2">
        <f>Pro_Forma!$S$21/12*(1+Pro_Forma!$S$22)^ROUNDDOWN((A505-1)/12,0)</f>
        <v>0</v>
      </c>
    </row>
    <row r="506" spans="1:2" x14ac:dyDescent="0.35">
      <c r="A506" s="115">
        <f t="shared" si="56"/>
        <v>289</v>
      </c>
      <c r="B506" s="2">
        <f>Pro_Forma!$S$21/12*(1+Pro_Forma!$S$22)^ROUNDDOWN((A506-1)/12,0)</f>
        <v>0</v>
      </c>
    </row>
    <row r="507" spans="1:2" x14ac:dyDescent="0.35">
      <c r="A507" s="115">
        <f t="shared" si="56"/>
        <v>290</v>
      </c>
      <c r="B507" s="2">
        <f>Pro_Forma!$S$21/12*(1+Pro_Forma!$S$22)^ROUNDDOWN((A507-1)/12,0)</f>
        <v>0</v>
      </c>
    </row>
    <row r="508" spans="1:2" x14ac:dyDescent="0.35">
      <c r="A508" s="115">
        <f t="shared" si="56"/>
        <v>291</v>
      </c>
      <c r="B508" s="2">
        <f>Pro_Forma!$S$21/12*(1+Pro_Forma!$S$22)^ROUNDDOWN((A508-1)/12,0)</f>
        <v>0</v>
      </c>
    </row>
    <row r="509" spans="1:2" x14ac:dyDescent="0.35">
      <c r="A509" s="115">
        <f t="shared" si="56"/>
        <v>292</v>
      </c>
      <c r="B509" s="2">
        <f>Pro_Forma!$S$21/12*(1+Pro_Forma!$S$22)^ROUNDDOWN((A509-1)/12,0)</f>
        <v>0</v>
      </c>
    </row>
    <row r="510" spans="1:2" x14ac:dyDescent="0.35">
      <c r="A510" s="115">
        <f t="shared" si="56"/>
        <v>293</v>
      </c>
      <c r="B510" s="2">
        <f>Pro_Forma!$S$21/12*(1+Pro_Forma!$S$22)^ROUNDDOWN((A510-1)/12,0)</f>
        <v>0</v>
      </c>
    </row>
    <row r="511" spans="1:2" x14ac:dyDescent="0.35">
      <c r="A511" s="115">
        <f t="shared" si="56"/>
        <v>294</v>
      </c>
      <c r="B511" s="2">
        <f>Pro_Forma!$S$21/12*(1+Pro_Forma!$S$22)^ROUNDDOWN((A511-1)/12,0)</f>
        <v>0</v>
      </c>
    </row>
    <row r="512" spans="1:2" x14ac:dyDescent="0.35">
      <c r="A512" s="115">
        <f t="shared" si="56"/>
        <v>295</v>
      </c>
      <c r="B512" s="2">
        <f>Pro_Forma!$S$21/12*(1+Pro_Forma!$S$22)^ROUNDDOWN((A512-1)/12,0)</f>
        <v>0</v>
      </c>
    </row>
    <row r="513" spans="1:2" x14ac:dyDescent="0.35">
      <c r="A513" s="115">
        <f t="shared" si="56"/>
        <v>296</v>
      </c>
      <c r="B513" s="2">
        <f>Pro_Forma!$S$21/12*(1+Pro_Forma!$S$22)^ROUNDDOWN((A513-1)/12,0)</f>
        <v>0</v>
      </c>
    </row>
    <row r="514" spans="1:2" x14ac:dyDescent="0.35">
      <c r="A514" s="115">
        <f t="shared" si="56"/>
        <v>297</v>
      </c>
      <c r="B514" s="2">
        <f>Pro_Forma!$S$21/12*(1+Pro_Forma!$S$22)^ROUNDDOWN((A514-1)/12,0)</f>
        <v>0</v>
      </c>
    </row>
    <row r="515" spans="1:2" x14ac:dyDescent="0.35">
      <c r="A515" s="115">
        <f t="shared" si="56"/>
        <v>298</v>
      </c>
      <c r="B515" s="2">
        <f>Pro_Forma!$S$21/12*(1+Pro_Forma!$S$22)^ROUNDDOWN((A515-1)/12,0)</f>
        <v>0</v>
      </c>
    </row>
    <row r="516" spans="1:2" x14ac:dyDescent="0.35">
      <c r="A516" s="115">
        <f t="shared" si="56"/>
        <v>299</v>
      </c>
      <c r="B516" s="2">
        <f>Pro_Forma!$S$21/12*(1+Pro_Forma!$S$22)^ROUNDDOWN((A516-1)/12,0)</f>
        <v>0</v>
      </c>
    </row>
    <row r="517" spans="1:2" x14ac:dyDescent="0.35">
      <c r="A517" s="115">
        <f t="shared" si="56"/>
        <v>300</v>
      </c>
      <c r="B517" s="2">
        <f>Pro_Forma!$S$21/12*(1+Pro_Forma!$S$22)^ROUNDDOWN((A517-1)/12,0)</f>
        <v>0</v>
      </c>
    </row>
    <row r="518" spans="1:2" x14ac:dyDescent="0.35">
      <c r="A518" s="115">
        <f t="shared" si="56"/>
        <v>301</v>
      </c>
      <c r="B518" s="2">
        <f>Pro_Forma!$S$21/12*(1+Pro_Forma!$S$22)^ROUNDDOWN((A518-1)/12,0)</f>
        <v>0</v>
      </c>
    </row>
    <row r="519" spans="1:2" x14ac:dyDescent="0.35">
      <c r="A519" s="115">
        <f t="shared" si="56"/>
        <v>302</v>
      </c>
      <c r="B519" s="2">
        <f>Pro_Forma!$S$21/12*(1+Pro_Forma!$S$22)^ROUNDDOWN((A519-1)/12,0)</f>
        <v>0</v>
      </c>
    </row>
    <row r="520" spans="1:2" x14ac:dyDescent="0.35">
      <c r="A520" s="115">
        <f t="shared" si="56"/>
        <v>303</v>
      </c>
      <c r="B520" s="2">
        <f>Pro_Forma!$S$21/12*(1+Pro_Forma!$S$22)^ROUNDDOWN((A520-1)/12,0)</f>
        <v>0</v>
      </c>
    </row>
    <row r="521" spans="1:2" x14ac:dyDescent="0.35">
      <c r="A521" s="115">
        <f t="shared" si="56"/>
        <v>304</v>
      </c>
      <c r="B521" s="2">
        <f>Pro_Forma!$S$21/12*(1+Pro_Forma!$S$22)^ROUNDDOWN((A521-1)/12,0)</f>
        <v>0</v>
      </c>
    </row>
    <row r="522" spans="1:2" x14ac:dyDescent="0.35">
      <c r="A522" s="115">
        <f t="shared" si="56"/>
        <v>305</v>
      </c>
      <c r="B522" s="2">
        <f>Pro_Forma!$S$21/12*(1+Pro_Forma!$S$22)^ROUNDDOWN((A522-1)/12,0)</f>
        <v>0</v>
      </c>
    </row>
    <row r="523" spans="1:2" x14ac:dyDescent="0.35">
      <c r="A523" s="115">
        <f t="shared" si="56"/>
        <v>306</v>
      </c>
      <c r="B523" s="2">
        <f>Pro_Forma!$S$21/12*(1+Pro_Forma!$S$22)^ROUNDDOWN((A523-1)/12,0)</f>
        <v>0</v>
      </c>
    </row>
    <row r="524" spans="1:2" x14ac:dyDescent="0.35">
      <c r="A524" s="115">
        <f t="shared" si="56"/>
        <v>307</v>
      </c>
      <c r="B524" s="2">
        <f>Pro_Forma!$S$21/12*(1+Pro_Forma!$S$22)^ROUNDDOWN((A524-1)/12,0)</f>
        <v>0</v>
      </c>
    </row>
    <row r="525" spans="1:2" x14ac:dyDescent="0.35">
      <c r="A525" s="115">
        <f t="shared" si="56"/>
        <v>308</v>
      </c>
      <c r="B525" s="2">
        <f>Pro_Forma!$S$21/12*(1+Pro_Forma!$S$22)^ROUNDDOWN((A525-1)/12,0)</f>
        <v>0</v>
      </c>
    </row>
    <row r="526" spans="1:2" x14ac:dyDescent="0.35">
      <c r="A526" s="115">
        <f t="shared" si="56"/>
        <v>309</v>
      </c>
      <c r="B526" s="2">
        <f>Pro_Forma!$S$21/12*(1+Pro_Forma!$S$22)^ROUNDDOWN((A526-1)/12,0)</f>
        <v>0</v>
      </c>
    </row>
    <row r="527" spans="1:2" x14ac:dyDescent="0.35">
      <c r="A527" s="115">
        <f t="shared" si="56"/>
        <v>310</v>
      </c>
      <c r="B527" s="2">
        <f>Pro_Forma!$S$21/12*(1+Pro_Forma!$S$22)^ROUNDDOWN((A527-1)/12,0)</f>
        <v>0</v>
      </c>
    </row>
    <row r="528" spans="1:2" x14ac:dyDescent="0.35">
      <c r="A528" s="115">
        <f t="shared" si="56"/>
        <v>311</v>
      </c>
      <c r="B528" s="2">
        <f>Pro_Forma!$S$21/12*(1+Pro_Forma!$S$22)^ROUNDDOWN((A528-1)/12,0)</f>
        <v>0</v>
      </c>
    </row>
    <row r="529" spans="1:2" x14ac:dyDescent="0.35">
      <c r="A529" s="115">
        <f t="shared" si="56"/>
        <v>312</v>
      </c>
      <c r="B529" s="2">
        <f>Pro_Forma!$S$21/12*(1+Pro_Forma!$S$22)^ROUNDDOWN((A529-1)/12,0)</f>
        <v>0</v>
      </c>
    </row>
    <row r="530" spans="1:2" x14ac:dyDescent="0.35">
      <c r="A530" s="115">
        <f t="shared" si="56"/>
        <v>313</v>
      </c>
      <c r="B530" s="2">
        <f>Pro_Forma!$S$21/12*(1+Pro_Forma!$S$22)^ROUNDDOWN((A530-1)/12,0)</f>
        <v>0</v>
      </c>
    </row>
    <row r="531" spans="1:2" x14ac:dyDescent="0.35">
      <c r="A531" s="115">
        <f t="shared" si="56"/>
        <v>314</v>
      </c>
      <c r="B531" s="2">
        <f>Pro_Forma!$S$21/12*(1+Pro_Forma!$S$22)^ROUNDDOWN((A531-1)/12,0)</f>
        <v>0</v>
      </c>
    </row>
    <row r="532" spans="1:2" x14ac:dyDescent="0.35">
      <c r="A532" s="115">
        <f t="shared" si="56"/>
        <v>315</v>
      </c>
      <c r="B532" s="2">
        <f>Pro_Forma!$S$21/12*(1+Pro_Forma!$S$22)^ROUNDDOWN((A532-1)/12,0)</f>
        <v>0</v>
      </c>
    </row>
    <row r="533" spans="1:2" x14ac:dyDescent="0.35">
      <c r="A533" s="115">
        <f t="shared" si="56"/>
        <v>316</v>
      </c>
      <c r="B533" s="2">
        <f>Pro_Forma!$S$21/12*(1+Pro_Forma!$S$22)^ROUNDDOWN((A533-1)/12,0)</f>
        <v>0</v>
      </c>
    </row>
    <row r="534" spans="1:2" x14ac:dyDescent="0.35">
      <c r="A534" s="115">
        <f t="shared" si="56"/>
        <v>317</v>
      </c>
      <c r="B534" s="2">
        <f>Pro_Forma!$S$21/12*(1+Pro_Forma!$S$22)^ROUNDDOWN((A534-1)/12,0)</f>
        <v>0</v>
      </c>
    </row>
    <row r="535" spans="1:2" x14ac:dyDescent="0.35">
      <c r="A535" s="115">
        <f t="shared" si="56"/>
        <v>318</v>
      </c>
      <c r="B535" s="2">
        <f>Pro_Forma!$S$21/12*(1+Pro_Forma!$S$22)^ROUNDDOWN((A535-1)/12,0)</f>
        <v>0</v>
      </c>
    </row>
    <row r="536" spans="1:2" x14ac:dyDescent="0.35">
      <c r="A536" s="115">
        <f t="shared" si="56"/>
        <v>319</v>
      </c>
      <c r="B536" s="2">
        <f>Pro_Forma!$S$21/12*(1+Pro_Forma!$S$22)^ROUNDDOWN((A536-1)/12,0)</f>
        <v>0</v>
      </c>
    </row>
    <row r="537" spans="1:2" x14ac:dyDescent="0.35">
      <c r="A537" s="115">
        <f t="shared" si="56"/>
        <v>320</v>
      </c>
      <c r="B537" s="2">
        <f>Pro_Forma!$S$21/12*(1+Pro_Forma!$S$22)^ROUNDDOWN((A537-1)/12,0)</f>
        <v>0</v>
      </c>
    </row>
    <row r="538" spans="1:2" x14ac:dyDescent="0.35">
      <c r="A538" s="115">
        <f t="shared" si="56"/>
        <v>321</v>
      </c>
      <c r="B538" s="2">
        <f>Pro_Forma!$S$21/12*(1+Pro_Forma!$S$22)^ROUNDDOWN((A538-1)/12,0)</f>
        <v>0</v>
      </c>
    </row>
    <row r="539" spans="1:2" x14ac:dyDescent="0.35">
      <c r="A539" s="115">
        <f t="shared" si="56"/>
        <v>322</v>
      </c>
      <c r="B539" s="2">
        <f>Pro_Forma!$S$21/12*(1+Pro_Forma!$S$22)^ROUNDDOWN((A539-1)/12,0)</f>
        <v>0</v>
      </c>
    </row>
    <row r="540" spans="1:2" x14ac:dyDescent="0.35">
      <c r="A540" s="115">
        <f t="shared" ref="A540:A603" si="57">1+A539</f>
        <v>323</v>
      </c>
      <c r="B540" s="2">
        <f>Pro_Forma!$S$21/12*(1+Pro_Forma!$S$22)^ROUNDDOWN((A540-1)/12,0)</f>
        <v>0</v>
      </c>
    </row>
    <row r="541" spans="1:2" x14ac:dyDescent="0.35">
      <c r="A541" s="115">
        <f t="shared" si="57"/>
        <v>324</v>
      </c>
      <c r="B541" s="2">
        <f>Pro_Forma!$S$21/12*(1+Pro_Forma!$S$22)^ROUNDDOWN((A541-1)/12,0)</f>
        <v>0</v>
      </c>
    </row>
    <row r="542" spans="1:2" x14ac:dyDescent="0.35">
      <c r="A542" s="115">
        <f t="shared" si="57"/>
        <v>325</v>
      </c>
      <c r="B542" s="2">
        <f>Pro_Forma!$S$21/12*(1+Pro_Forma!$S$22)^ROUNDDOWN((A542-1)/12,0)</f>
        <v>0</v>
      </c>
    </row>
    <row r="543" spans="1:2" x14ac:dyDescent="0.35">
      <c r="A543" s="115">
        <f t="shared" si="57"/>
        <v>326</v>
      </c>
      <c r="B543" s="2">
        <f>Pro_Forma!$S$21/12*(1+Pro_Forma!$S$22)^ROUNDDOWN((A543-1)/12,0)</f>
        <v>0</v>
      </c>
    </row>
    <row r="544" spans="1:2" x14ac:dyDescent="0.35">
      <c r="A544" s="115">
        <f t="shared" si="57"/>
        <v>327</v>
      </c>
      <c r="B544" s="2">
        <f>Pro_Forma!$S$21/12*(1+Pro_Forma!$S$22)^ROUNDDOWN((A544-1)/12,0)</f>
        <v>0</v>
      </c>
    </row>
    <row r="545" spans="1:2" x14ac:dyDescent="0.35">
      <c r="A545" s="115">
        <f t="shared" si="57"/>
        <v>328</v>
      </c>
      <c r="B545" s="2">
        <f>Pro_Forma!$S$21/12*(1+Pro_Forma!$S$22)^ROUNDDOWN((A545-1)/12,0)</f>
        <v>0</v>
      </c>
    </row>
    <row r="546" spans="1:2" x14ac:dyDescent="0.35">
      <c r="A546" s="115">
        <f t="shared" si="57"/>
        <v>329</v>
      </c>
      <c r="B546" s="2">
        <f>Pro_Forma!$S$21/12*(1+Pro_Forma!$S$22)^ROUNDDOWN((A546-1)/12,0)</f>
        <v>0</v>
      </c>
    </row>
    <row r="547" spans="1:2" x14ac:dyDescent="0.35">
      <c r="A547" s="115">
        <f t="shared" si="57"/>
        <v>330</v>
      </c>
      <c r="B547" s="2">
        <f>Pro_Forma!$S$21/12*(1+Pro_Forma!$S$22)^ROUNDDOWN((A547-1)/12,0)</f>
        <v>0</v>
      </c>
    </row>
    <row r="548" spans="1:2" x14ac:dyDescent="0.35">
      <c r="A548" s="115">
        <f t="shared" si="57"/>
        <v>331</v>
      </c>
      <c r="B548" s="2">
        <f>Pro_Forma!$S$21/12*(1+Pro_Forma!$S$22)^ROUNDDOWN((A548-1)/12,0)</f>
        <v>0</v>
      </c>
    </row>
    <row r="549" spans="1:2" x14ac:dyDescent="0.35">
      <c r="A549" s="115">
        <f t="shared" si="57"/>
        <v>332</v>
      </c>
      <c r="B549" s="2">
        <f>Pro_Forma!$S$21/12*(1+Pro_Forma!$S$22)^ROUNDDOWN((A549-1)/12,0)</f>
        <v>0</v>
      </c>
    </row>
    <row r="550" spans="1:2" x14ac:dyDescent="0.35">
      <c r="A550" s="115">
        <f t="shared" si="57"/>
        <v>333</v>
      </c>
      <c r="B550" s="2">
        <f>Pro_Forma!$S$21/12*(1+Pro_Forma!$S$22)^ROUNDDOWN((A550-1)/12,0)</f>
        <v>0</v>
      </c>
    </row>
    <row r="551" spans="1:2" x14ac:dyDescent="0.35">
      <c r="A551" s="115">
        <f t="shared" si="57"/>
        <v>334</v>
      </c>
      <c r="B551" s="2">
        <f>Pro_Forma!$S$21/12*(1+Pro_Forma!$S$22)^ROUNDDOWN((A551-1)/12,0)</f>
        <v>0</v>
      </c>
    </row>
    <row r="552" spans="1:2" x14ac:dyDescent="0.35">
      <c r="A552" s="115">
        <f t="shared" si="57"/>
        <v>335</v>
      </c>
      <c r="B552" s="2">
        <f>Pro_Forma!$S$21/12*(1+Pro_Forma!$S$22)^ROUNDDOWN((A552-1)/12,0)</f>
        <v>0</v>
      </c>
    </row>
    <row r="553" spans="1:2" x14ac:dyDescent="0.35">
      <c r="A553" s="115">
        <f t="shared" si="57"/>
        <v>336</v>
      </c>
      <c r="B553" s="2">
        <f>Pro_Forma!$S$21/12*(1+Pro_Forma!$S$22)^ROUNDDOWN((A553-1)/12,0)</f>
        <v>0</v>
      </c>
    </row>
    <row r="554" spans="1:2" x14ac:dyDescent="0.35">
      <c r="A554" s="115">
        <f t="shared" si="57"/>
        <v>337</v>
      </c>
      <c r="B554" s="2">
        <f>Pro_Forma!$S$21/12*(1+Pro_Forma!$S$22)^ROUNDDOWN((A554-1)/12,0)</f>
        <v>0</v>
      </c>
    </row>
    <row r="555" spans="1:2" x14ac:dyDescent="0.35">
      <c r="A555" s="115">
        <f t="shared" si="57"/>
        <v>338</v>
      </c>
      <c r="B555" s="2">
        <f>Pro_Forma!$S$21/12*(1+Pro_Forma!$S$22)^ROUNDDOWN((A555-1)/12,0)</f>
        <v>0</v>
      </c>
    </row>
    <row r="556" spans="1:2" x14ac:dyDescent="0.35">
      <c r="A556" s="115">
        <f t="shared" si="57"/>
        <v>339</v>
      </c>
      <c r="B556" s="2">
        <f>Pro_Forma!$S$21/12*(1+Pro_Forma!$S$22)^ROUNDDOWN((A556-1)/12,0)</f>
        <v>0</v>
      </c>
    </row>
    <row r="557" spans="1:2" x14ac:dyDescent="0.35">
      <c r="A557" s="115">
        <f t="shared" si="57"/>
        <v>340</v>
      </c>
      <c r="B557" s="2">
        <f>Pro_Forma!$S$21/12*(1+Pro_Forma!$S$22)^ROUNDDOWN((A557-1)/12,0)</f>
        <v>0</v>
      </c>
    </row>
    <row r="558" spans="1:2" x14ac:dyDescent="0.35">
      <c r="A558" s="115">
        <f t="shared" si="57"/>
        <v>341</v>
      </c>
      <c r="B558" s="2">
        <f>Pro_Forma!$S$21/12*(1+Pro_Forma!$S$22)^ROUNDDOWN((A558-1)/12,0)</f>
        <v>0</v>
      </c>
    </row>
    <row r="559" spans="1:2" x14ac:dyDescent="0.35">
      <c r="A559" s="115">
        <f t="shared" si="57"/>
        <v>342</v>
      </c>
      <c r="B559" s="2">
        <f>Pro_Forma!$S$21/12*(1+Pro_Forma!$S$22)^ROUNDDOWN((A559-1)/12,0)</f>
        <v>0</v>
      </c>
    </row>
    <row r="560" spans="1:2" x14ac:dyDescent="0.35">
      <c r="A560" s="115">
        <f t="shared" si="57"/>
        <v>343</v>
      </c>
      <c r="B560" s="2">
        <f>Pro_Forma!$S$21/12*(1+Pro_Forma!$S$22)^ROUNDDOWN((A560-1)/12,0)</f>
        <v>0</v>
      </c>
    </row>
    <row r="561" spans="1:2" x14ac:dyDescent="0.35">
      <c r="A561" s="115">
        <f t="shared" si="57"/>
        <v>344</v>
      </c>
      <c r="B561" s="2">
        <f>Pro_Forma!$S$21/12*(1+Pro_Forma!$S$22)^ROUNDDOWN((A561-1)/12,0)</f>
        <v>0</v>
      </c>
    </row>
    <row r="562" spans="1:2" x14ac:dyDescent="0.35">
      <c r="A562" s="115">
        <f t="shared" si="57"/>
        <v>345</v>
      </c>
      <c r="B562" s="2">
        <f>Pro_Forma!$S$21/12*(1+Pro_Forma!$S$22)^ROUNDDOWN((A562-1)/12,0)</f>
        <v>0</v>
      </c>
    </row>
    <row r="563" spans="1:2" x14ac:dyDescent="0.35">
      <c r="A563" s="115">
        <f t="shared" si="57"/>
        <v>346</v>
      </c>
      <c r="B563" s="2">
        <f>Pro_Forma!$S$21/12*(1+Pro_Forma!$S$22)^ROUNDDOWN((A563-1)/12,0)</f>
        <v>0</v>
      </c>
    </row>
    <row r="564" spans="1:2" x14ac:dyDescent="0.35">
      <c r="A564" s="115">
        <f t="shared" si="57"/>
        <v>347</v>
      </c>
      <c r="B564" s="2">
        <f>Pro_Forma!$S$21/12*(1+Pro_Forma!$S$22)^ROUNDDOWN((A564-1)/12,0)</f>
        <v>0</v>
      </c>
    </row>
    <row r="565" spans="1:2" x14ac:dyDescent="0.35">
      <c r="A565" s="115">
        <f t="shared" si="57"/>
        <v>348</v>
      </c>
      <c r="B565" s="2">
        <f>Pro_Forma!$S$21/12*(1+Pro_Forma!$S$22)^ROUNDDOWN((A565-1)/12,0)</f>
        <v>0</v>
      </c>
    </row>
    <row r="566" spans="1:2" x14ac:dyDescent="0.35">
      <c r="A566" s="115">
        <f t="shared" si="57"/>
        <v>349</v>
      </c>
      <c r="B566" s="2">
        <f>Pro_Forma!$S$21/12*(1+Pro_Forma!$S$22)^ROUNDDOWN((A566-1)/12,0)</f>
        <v>0</v>
      </c>
    </row>
    <row r="567" spans="1:2" x14ac:dyDescent="0.35">
      <c r="A567" s="115">
        <f t="shared" si="57"/>
        <v>350</v>
      </c>
      <c r="B567" s="2">
        <f>Pro_Forma!$S$21/12*(1+Pro_Forma!$S$22)^ROUNDDOWN((A567-1)/12,0)</f>
        <v>0</v>
      </c>
    </row>
    <row r="568" spans="1:2" x14ac:dyDescent="0.35">
      <c r="A568" s="115">
        <f t="shared" si="57"/>
        <v>351</v>
      </c>
      <c r="B568" s="2">
        <f>Pro_Forma!$S$21/12*(1+Pro_Forma!$S$22)^ROUNDDOWN((A568-1)/12,0)</f>
        <v>0</v>
      </c>
    </row>
    <row r="569" spans="1:2" x14ac:dyDescent="0.35">
      <c r="A569" s="115">
        <f t="shared" si="57"/>
        <v>352</v>
      </c>
      <c r="B569" s="2">
        <f>Pro_Forma!$S$21/12*(1+Pro_Forma!$S$22)^ROUNDDOWN((A569-1)/12,0)</f>
        <v>0</v>
      </c>
    </row>
    <row r="570" spans="1:2" x14ac:dyDescent="0.35">
      <c r="A570" s="115">
        <f t="shared" si="57"/>
        <v>353</v>
      </c>
      <c r="B570" s="2">
        <f>Pro_Forma!$S$21/12*(1+Pro_Forma!$S$22)^ROUNDDOWN((A570-1)/12,0)</f>
        <v>0</v>
      </c>
    </row>
    <row r="571" spans="1:2" x14ac:dyDescent="0.35">
      <c r="A571" s="115">
        <f t="shared" si="57"/>
        <v>354</v>
      </c>
      <c r="B571" s="2">
        <f>Pro_Forma!$S$21/12*(1+Pro_Forma!$S$22)^ROUNDDOWN((A571-1)/12,0)</f>
        <v>0</v>
      </c>
    </row>
    <row r="572" spans="1:2" x14ac:dyDescent="0.35">
      <c r="A572" s="115">
        <f t="shared" si="57"/>
        <v>355</v>
      </c>
      <c r="B572" s="2">
        <f>Pro_Forma!$S$21/12*(1+Pro_Forma!$S$22)^ROUNDDOWN((A572-1)/12,0)</f>
        <v>0</v>
      </c>
    </row>
    <row r="573" spans="1:2" x14ac:dyDescent="0.35">
      <c r="A573" s="115">
        <f t="shared" si="57"/>
        <v>356</v>
      </c>
      <c r="B573" s="2">
        <f>Pro_Forma!$S$21/12*(1+Pro_Forma!$S$22)^ROUNDDOWN((A573-1)/12,0)</f>
        <v>0</v>
      </c>
    </row>
    <row r="574" spans="1:2" x14ac:dyDescent="0.35">
      <c r="A574" s="115">
        <f t="shared" si="57"/>
        <v>357</v>
      </c>
      <c r="B574" s="2">
        <f>Pro_Forma!$S$21/12*(1+Pro_Forma!$S$22)^ROUNDDOWN((A574-1)/12,0)</f>
        <v>0</v>
      </c>
    </row>
    <row r="575" spans="1:2" x14ac:dyDescent="0.35">
      <c r="A575" s="115">
        <f t="shared" si="57"/>
        <v>358</v>
      </c>
      <c r="B575" s="2">
        <f>Pro_Forma!$S$21/12*(1+Pro_Forma!$S$22)^ROUNDDOWN((A575-1)/12,0)</f>
        <v>0</v>
      </c>
    </row>
    <row r="576" spans="1:2" x14ac:dyDescent="0.35">
      <c r="A576" s="115">
        <f t="shared" si="57"/>
        <v>359</v>
      </c>
      <c r="B576" s="2">
        <f>Pro_Forma!$S$21/12*(1+Pro_Forma!$S$22)^ROUNDDOWN((A576-1)/12,0)</f>
        <v>0</v>
      </c>
    </row>
    <row r="577" spans="1:2" x14ac:dyDescent="0.35">
      <c r="A577" s="115">
        <f t="shared" si="57"/>
        <v>360</v>
      </c>
      <c r="B577" s="2">
        <f>Pro_Forma!$S$21/12*(1+Pro_Forma!$S$22)^ROUNDDOWN((A577-1)/12,0)</f>
        <v>0</v>
      </c>
    </row>
    <row r="578" spans="1:2" x14ac:dyDescent="0.35">
      <c r="A578" s="115">
        <f t="shared" si="57"/>
        <v>361</v>
      </c>
      <c r="B578" s="2">
        <f>Pro_Forma!$S$21/12*(1+Pro_Forma!$S$22)^ROUNDDOWN((A578-1)/12,0)</f>
        <v>0</v>
      </c>
    </row>
    <row r="579" spans="1:2" x14ac:dyDescent="0.35">
      <c r="A579" s="115">
        <f t="shared" si="57"/>
        <v>362</v>
      </c>
      <c r="B579" s="2">
        <f>Pro_Forma!$S$21/12*(1+Pro_Forma!$S$22)^ROUNDDOWN((A579-1)/12,0)</f>
        <v>0</v>
      </c>
    </row>
    <row r="580" spans="1:2" x14ac:dyDescent="0.35">
      <c r="A580" s="115">
        <f t="shared" si="57"/>
        <v>363</v>
      </c>
      <c r="B580" s="2">
        <f>Pro_Forma!$S$21/12*(1+Pro_Forma!$S$22)^ROUNDDOWN((A580-1)/12,0)</f>
        <v>0</v>
      </c>
    </row>
    <row r="581" spans="1:2" x14ac:dyDescent="0.35">
      <c r="A581" s="115">
        <f t="shared" si="57"/>
        <v>364</v>
      </c>
      <c r="B581" s="2">
        <f>Pro_Forma!$S$21/12*(1+Pro_Forma!$S$22)^ROUNDDOWN((A581-1)/12,0)</f>
        <v>0</v>
      </c>
    </row>
    <row r="582" spans="1:2" x14ac:dyDescent="0.35">
      <c r="A582" s="115">
        <f t="shared" si="57"/>
        <v>365</v>
      </c>
      <c r="B582" s="2">
        <f>Pro_Forma!$S$21/12*(1+Pro_Forma!$S$22)^ROUNDDOWN((A582-1)/12,0)</f>
        <v>0</v>
      </c>
    </row>
    <row r="583" spans="1:2" x14ac:dyDescent="0.35">
      <c r="A583" s="115">
        <f t="shared" si="57"/>
        <v>366</v>
      </c>
      <c r="B583" s="2">
        <f>Pro_Forma!$S$21/12*(1+Pro_Forma!$S$22)^ROUNDDOWN((A583-1)/12,0)</f>
        <v>0</v>
      </c>
    </row>
    <row r="584" spans="1:2" x14ac:dyDescent="0.35">
      <c r="A584" s="115">
        <f t="shared" si="57"/>
        <v>367</v>
      </c>
      <c r="B584" s="2">
        <f>Pro_Forma!$S$21/12*(1+Pro_Forma!$S$22)^ROUNDDOWN((A584-1)/12,0)</f>
        <v>0</v>
      </c>
    </row>
    <row r="585" spans="1:2" x14ac:dyDescent="0.35">
      <c r="A585" s="115">
        <f t="shared" si="57"/>
        <v>368</v>
      </c>
      <c r="B585" s="2">
        <f>Pro_Forma!$S$21/12*(1+Pro_Forma!$S$22)^ROUNDDOWN((A585-1)/12,0)</f>
        <v>0</v>
      </c>
    </row>
    <row r="586" spans="1:2" x14ac:dyDescent="0.35">
      <c r="A586" s="115">
        <f t="shared" si="57"/>
        <v>369</v>
      </c>
      <c r="B586" s="2">
        <f>Pro_Forma!$S$21/12*(1+Pro_Forma!$S$22)^ROUNDDOWN((A586-1)/12,0)</f>
        <v>0</v>
      </c>
    </row>
    <row r="587" spans="1:2" x14ac:dyDescent="0.35">
      <c r="A587" s="115">
        <f t="shared" si="57"/>
        <v>370</v>
      </c>
      <c r="B587" s="2">
        <f>Pro_Forma!$S$21/12*(1+Pro_Forma!$S$22)^ROUNDDOWN((A587-1)/12,0)</f>
        <v>0</v>
      </c>
    </row>
    <row r="588" spans="1:2" x14ac:dyDescent="0.35">
      <c r="A588" s="115">
        <f t="shared" si="57"/>
        <v>371</v>
      </c>
      <c r="B588" s="2">
        <f>Pro_Forma!$S$21/12*(1+Pro_Forma!$S$22)^ROUNDDOWN((A588-1)/12,0)</f>
        <v>0</v>
      </c>
    </row>
    <row r="589" spans="1:2" x14ac:dyDescent="0.35">
      <c r="A589" s="115">
        <f t="shared" si="57"/>
        <v>372</v>
      </c>
      <c r="B589" s="2">
        <f>Pro_Forma!$S$21/12*(1+Pro_Forma!$S$22)^ROUNDDOWN((A589-1)/12,0)</f>
        <v>0</v>
      </c>
    </row>
    <row r="590" spans="1:2" x14ac:dyDescent="0.35">
      <c r="A590" s="115">
        <f t="shared" si="57"/>
        <v>373</v>
      </c>
      <c r="B590" s="2">
        <f>Pro_Forma!$S$21/12*(1+Pro_Forma!$S$22)^ROUNDDOWN((A590-1)/12,0)</f>
        <v>0</v>
      </c>
    </row>
    <row r="591" spans="1:2" x14ac:dyDescent="0.35">
      <c r="A591" s="115">
        <f t="shared" si="57"/>
        <v>374</v>
      </c>
      <c r="B591" s="2">
        <f>Pro_Forma!$S$21/12*(1+Pro_Forma!$S$22)^ROUNDDOWN((A591-1)/12,0)</f>
        <v>0</v>
      </c>
    </row>
    <row r="592" spans="1:2" x14ac:dyDescent="0.35">
      <c r="A592" s="115">
        <f t="shared" si="57"/>
        <v>375</v>
      </c>
      <c r="B592" s="2">
        <f>Pro_Forma!$S$21/12*(1+Pro_Forma!$S$22)^ROUNDDOWN((A592-1)/12,0)</f>
        <v>0</v>
      </c>
    </row>
    <row r="593" spans="1:2" x14ac:dyDescent="0.35">
      <c r="A593" s="115">
        <f t="shared" si="57"/>
        <v>376</v>
      </c>
      <c r="B593" s="2">
        <f>Pro_Forma!$S$21/12*(1+Pro_Forma!$S$22)^ROUNDDOWN((A593-1)/12,0)</f>
        <v>0</v>
      </c>
    </row>
    <row r="594" spans="1:2" x14ac:dyDescent="0.35">
      <c r="A594" s="115">
        <f t="shared" si="57"/>
        <v>377</v>
      </c>
      <c r="B594" s="2">
        <f>Pro_Forma!$S$21/12*(1+Pro_Forma!$S$22)^ROUNDDOWN((A594-1)/12,0)</f>
        <v>0</v>
      </c>
    </row>
    <row r="595" spans="1:2" x14ac:dyDescent="0.35">
      <c r="A595" s="115">
        <f t="shared" si="57"/>
        <v>378</v>
      </c>
      <c r="B595" s="2">
        <f>Pro_Forma!$S$21/12*(1+Pro_Forma!$S$22)^ROUNDDOWN((A595-1)/12,0)</f>
        <v>0</v>
      </c>
    </row>
    <row r="596" spans="1:2" x14ac:dyDescent="0.35">
      <c r="A596" s="115">
        <f t="shared" si="57"/>
        <v>379</v>
      </c>
      <c r="B596" s="2">
        <f>Pro_Forma!$S$21/12*(1+Pro_Forma!$S$22)^ROUNDDOWN((A596-1)/12,0)</f>
        <v>0</v>
      </c>
    </row>
    <row r="597" spans="1:2" x14ac:dyDescent="0.35">
      <c r="A597" s="115">
        <f t="shared" si="57"/>
        <v>380</v>
      </c>
      <c r="B597" s="2">
        <f>Pro_Forma!$S$21/12*(1+Pro_Forma!$S$22)^ROUNDDOWN((A597-1)/12,0)</f>
        <v>0</v>
      </c>
    </row>
    <row r="598" spans="1:2" x14ac:dyDescent="0.35">
      <c r="A598" s="115">
        <f t="shared" si="57"/>
        <v>381</v>
      </c>
      <c r="B598" s="2">
        <f>Pro_Forma!$S$21/12*(1+Pro_Forma!$S$22)^ROUNDDOWN((A598-1)/12,0)</f>
        <v>0</v>
      </c>
    </row>
    <row r="599" spans="1:2" x14ac:dyDescent="0.35">
      <c r="A599" s="115">
        <f t="shared" si="57"/>
        <v>382</v>
      </c>
      <c r="B599" s="2">
        <f>Pro_Forma!$S$21/12*(1+Pro_Forma!$S$22)^ROUNDDOWN((A599-1)/12,0)</f>
        <v>0</v>
      </c>
    </row>
    <row r="600" spans="1:2" x14ac:dyDescent="0.35">
      <c r="A600" s="115">
        <f t="shared" si="57"/>
        <v>383</v>
      </c>
      <c r="B600" s="2">
        <f>Pro_Forma!$S$21/12*(1+Pro_Forma!$S$22)^ROUNDDOWN((A600-1)/12,0)</f>
        <v>0</v>
      </c>
    </row>
    <row r="601" spans="1:2" x14ac:dyDescent="0.35">
      <c r="A601" s="115">
        <f t="shared" si="57"/>
        <v>384</v>
      </c>
      <c r="B601" s="2">
        <f>Pro_Forma!$S$21/12*(1+Pro_Forma!$S$22)^ROUNDDOWN((A601-1)/12,0)</f>
        <v>0</v>
      </c>
    </row>
    <row r="602" spans="1:2" x14ac:dyDescent="0.35">
      <c r="A602" s="115">
        <f t="shared" si="57"/>
        <v>385</v>
      </c>
      <c r="B602" s="2">
        <f>Pro_Forma!$S$21/12*(1+Pro_Forma!$S$22)^ROUNDDOWN((A602-1)/12,0)</f>
        <v>0</v>
      </c>
    </row>
    <row r="603" spans="1:2" x14ac:dyDescent="0.35">
      <c r="A603" s="115">
        <f t="shared" si="57"/>
        <v>386</v>
      </c>
      <c r="B603" s="2">
        <f>Pro_Forma!$S$21/12*(1+Pro_Forma!$S$22)^ROUNDDOWN((A603-1)/12,0)</f>
        <v>0</v>
      </c>
    </row>
    <row r="604" spans="1:2" x14ac:dyDescent="0.35">
      <c r="A604" s="115">
        <f t="shared" ref="A604:A661" si="58">1+A603</f>
        <v>387</v>
      </c>
      <c r="B604" s="2">
        <f>Pro_Forma!$S$21/12*(1+Pro_Forma!$S$22)^ROUNDDOWN((A604-1)/12,0)</f>
        <v>0</v>
      </c>
    </row>
    <row r="605" spans="1:2" x14ac:dyDescent="0.35">
      <c r="A605" s="115">
        <f t="shared" si="58"/>
        <v>388</v>
      </c>
      <c r="B605" s="2">
        <f>Pro_Forma!$S$21/12*(1+Pro_Forma!$S$22)^ROUNDDOWN((A605-1)/12,0)</f>
        <v>0</v>
      </c>
    </row>
    <row r="606" spans="1:2" x14ac:dyDescent="0.35">
      <c r="A606" s="115">
        <f t="shared" si="58"/>
        <v>389</v>
      </c>
      <c r="B606" s="2">
        <f>Pro_Forma!$S$21/12*(1+Pro_Forma!$S$22)^ROUNDDOWN((A606-1)/12,0)</f>
        <v>0</v>
      </c>
    </row>
    <row r="607" spans="1:2" x14ac:dyDescent="0.35">
      <c r="A607" s="115">
        <f t="shared" si="58"/>
        <v>390</v>
      </c>
      <c r="B607" s="2">
        <f>Pro_Forma!$S$21/12*(1+Pro_Forma!$S$22)^ROUNDDOWN((A607-1)/12,0)</f>
        <v>0</v>
      </c>
    </row>
    <row r="608" spans="1:2" x14ac:dyDescent="0.35">
      <c r="A608" s="115">
        <f t="shared" si="58"/>
        <v>391</v>
      </c>
      <c r="B608" s="2">
        <f>Pro_Forma!$S$21/12*(1+Pro_Forma!$S$22)^ROUNDDOWN((A608-1)/12,0)</f>
        <v>0</v>
      </c>
    </row>
    <row r="609" spans="1:2" x14ac:dyDescent="0.35">
      <c r="A609" s="115">
        <f t="shared" si="58"/>
        <v>392</v>
      </c>
      <c r="B609" s="2">
        <f>Pro_Forma!$S$21/12*(1+Pro_Forma!$S$22)^ROUNDDOWN((A609-1)/12,0)</f>
        <v>0</v>
      </c>
    </row>
    <row r="610" spans="1:2" x14ac:dyDescent="0.35">
      <c r="A610" s="115">
        <f t="shared" si="58"/>
        <v>393</v>
      </c>
      <c r="B610" s="2">
        <f>Pro_Forma!$S$21/12*(1+Pro_Forma!$S$22)^ROUNDDOWN((A610-1)/12,0)</f>
        <v>0</v>
      </c>
    </row>
    <row r="611" spans="1:2" x14ac:dyDescent="0.35">
      <c r="A611" s="115">
        <f t="shared" si="58"/>
        <v>394</v>
      </c>
      <c r="B611" s="2">
        <f>Pro_Forma!$S$21/12*(1+Pro_Forma!$S$22)^ROUNDDOWN((A611-1)/12,0)</f>
        <v>0</v>
      </c>
    </row>
    <row r="612" spans="1:2" x14ac:dyDescent="0.35">
      <c r="A612" s="115">
        <f t="shared" si="58"/>
        <v>395</v>
      </c>
      <c r="B612" s="2">
        <f>Pro_Forma!$S$21/12*(1+Pro_Forma!$S$22)^ROUNDDOWN((A612-1)/12,0)</f>
        <v>0</v>
      </c>
    </row>
    <row r="613" spans="1:2" x14ac:dyDescent="0.35">
      <c r="A613" s="115">
        <f t="shared" si="58"/>
        <v>396</v>
      </c>
      <c r="B613" s="2">
        <f>Pro_Forma!$S$21/12*(1+Pro_Forma!$S$22)^ROUNDDOWN((A613-1)/12,0)</f>
        <v>0</v>
      </c>
    </row>
    <row r="614" spans="1:2" x14ac:dyDescent="0.35">
      <c r="A614" s="115">
        <f t="shared" si="58"/>
        <v>397</v>
      </c>
      <c r="B614" s="2">
        <f>Pro_Forma!$S$21/12*(1+Pro_Forma!$S$22)^ROUNDDOWN((A614-1)/12,0)</f>
        <v>0</v>
      </c>
    </row>
    <row r="615" spans="1:2" x14ac:dyDescent="0.35">
      <c r="A615" s="115">
        <f t="shared" si="58"/>
        <v>398</v>
      </c>
      <c r="B615" s="2">
        <f>Pro_Forma!$S$21/12*(1+Pro_Forma!$S$22)^ROUNDDOWN((A615-1)/12,0)</f>
        <v>0</v>
      </c>
    </row>
    <row r="616" spans="1:2" x14ac:dyDescent="0.35">
      <c r="A616" s="115">
        <f t="shared" si="58"/>
        <v>399</v>
      </c>
      <c r="B616" s="2">
        <f>Pro_Forma!$S$21/12*(1+Pro_Forma!$S$22)^ROUNDDOWN((A616-1)/12,0)</f>
        <v>0</v>
      </c>
    </row>
    <row r="617" spans="1:2" x14ac:dyDescent="0.35">
      <c r="A617" s="115">
        <f t="shared" si="58"/>
        <v>400</v>
      </c>
      <c r="B617" s="2">
        <f>Pro_Forma!$S$21/12*(1+Pro_Forma!$S$22)^ROUNDDOWN((A617-1)/12,0)</f>
        <v>0</v>
      </c>
    </row>
    <row r="618" spans="1:2" x14ac:dyDescent="0.35">
      <c r="A618" s="115">
        <f t="shared" si="58"/>
        <v>401</v>
      </c>
      <c r="B618" s="2">
        <f>Pro_Forma!$S$21/12*(1+Pro_Forma!$S$22)^ROUNDDOWN((A618-1)/12,0)</f>
        <v>0</v>
      </c>
    </row>
    <row r="619" spans="1:2" x14ac:dyDescent="0.35">
      <c r="A619" s="115">
        <f t="shared" si="58"/>
        <v>402</v>
      </c>
      <c r="B619" s="2">
        <f>Pro_Forma!$S$21/12*(1+Pro_Forma!$S$22)^ROUNDDOWN((A619-1)/12,0)</f>
        <v>0</v>
      </c>
    </row>
    <row r="620" spans="1:2" x14ac:dyDescent="0.35">
      <c r="A620" s="115">
        <f t="shared" si="58"/>
        <v>403</v>
      </c>
      <c r="B620" s="2">
        <f>Pro_Forma!$S$21/12*(1+Pro_Forma!$S$22)^ROUNDDOWN((A620-1)/12,0)</f>
        <v>0</v>
      </c>
    </row>
    <row r="621" spans="1:2" x14ac:dyDescent="0.35">
      <c r="A621" s="115">
        <f t="shared" si="58"/>
        <v>404</v>
      </c>
      <c r="B621" s="2">
        <f>Pro_Forma!$S$21/12*(1+Pro_Forma!$S$22)^ROUNDDOWN((A621-1)/12,0)</f>
        <v>0</v>
      </c>
    </row>
    <row r="622" spans="1:2" x14ac:dyDescent="0.35">
      <c r="A622" s="115">
        <f t="shared" si="58"/>
        <v>405</v>
      </c>
      <c r="B622" s="2">
        <f>Pro_Forma!$S$21/12*(1+Pro_Forma!$S$22)^ROUNDDOWN((A622-1)/12,0)</f>
        <v>0</v>
      </c>
    </row>
    <row r="623" spans="1:2" x14ac:dyDescent="0.35">
      <c r="A623" s="115">
        <f t="shared" si="58"/>
        <v>406</v>
      </c>
      <c r="B623" s="2">
        <f>Pro_Forma!$S$21/12*(1+Pro_Forma!$S$22)^ROUNDDOWN((A623-1)/12,0)</f>
        <v>0</v>
      </c>
    </row>
    <row r="624" spans="1:2" x14ac:dyDescent="0.35">
      <c r="A624" s="115">
        <f t="shared" si="58"/>
        <v>407</v>
      </c>
      <c r="B624" s="2">
        <f>Pro_Forma!$S$21/12*(1+Pro_Forma!$S$22)^ROUNDDOWN((A624-1)/12,0)</f>
        <v>0</v>
      </c>
    </row>
    <row r="625" spans="1:2" x14ac:dyDescent="0.35">
      <c r="A625" s="115">
        <f t="shared" si="58"/>
        <v>408</v>
      </c>
      <c r="B625" s="2">
        <f>Pro_Forma!$S$21/12*(1+Pro_Forma!$S$22)^ROUNDDOWN((A625-1)/12,0)</f>
        <v>0</v>
      </c>
    </row>
    <row r="626" spans="1:2" x14ac:dyDescent="0.35">
      <c r="A626" s="115">
        <f t="shared" si="58"/>
        <v>409</v>
      </c>
      <c r="B626" s="2">
        <f>Pro_Forma!$S$21/12*(1+Pro_Forma!$S$22)^ROUNDDOWN((A626-1)/12,0)</f>
        <v>0</v>
      </c>
    </row>
    <row r="627" spans="1:2" x14ac:dyDescent="0.35">
      <c r="A627" s="115">
        <f t="shared" si="58"/>
        <v>410</v>
      </c>
      <c r="B627" s="2">
        <f>Pro_Forma!$S$21/12*(1+Pro_Forma!$S$22)^ROUNDDOWN((A627-1)/12,0)</f>
        <v>0</v>
      </c>
    </row>
    <row r="628" spans="1:2" x14ac:dyDescent="0.35">
      <c r="A628" s="115">
        <f t="shared" si="58"/>
        <v>411</v>
      </c>
      <c r="B628" s="2">
        <f>Pro_Forma!$S$21/12*(1+Pro_Forma!$S$22)^ROUNDDOWN((A628-1)/12,0)</f>
        <v>0</v>
      </c>
    </row>
    <row r="629" spans="1:2" x14ac:dyDescent="0.35">
      <c r="A629" s="115">
        <f t="shared" si="58"/>
        <v>412</v>
      </c>
      <c r="B629" s="2">
        <f>Pro_Forma!$S$21/12*(1+Pro_Forma!$S$22)^ROUNDDOWN((A629-1)/12,0)</f>
        <v>0</v>
      </c>
    </row>
    <row r="630" spans="1:2" x14ac:dyDescent="0.35">
      <c r="A630" s="115">
        <f t="shared" si="58"/>
        <v>413</v>
      </c>
      <c r="B630" s="2">
        <f>Pro_Forma!$S$21/12*(1+Pro_Forma!$S$22)^ROUNDDOWN((A630-1)/12,0)</f>
        <v>0</v>
      </c>
    </row>
    <row r="631" spans="1:2" x14ac:dyDescent="0.35">
      <c r="A631" s="115">
        <f t="shared" si="58"/>
        <v>414</v>
      </c>
      <c r="B631" s="2">
        <f>Pro_Forma!$S$21/12*(1+Pro_Forma!$S$22)^ROUNDDOWN((A631-1)/12,0)</f>
        <v>0</v>
      </c>
    </row>
    <row r="632" spans="1:2" x14ac:dyDescent="0.35">
      <c r="A632" s="115">
        <f t="shared" si="58"/>
        <v>415</v>
      </c>
      <c r="B632" s="2">
        <f>Pro_Forma!$S$21/12*(1+Pro_Forma!$S$22)^ROUNDDOWN((A632-1)/12,0)</f>
        <v>0</v>
      </c>
    </row>
    <row r="633" spans="1:2" x14ac:dyDescent="0.35">
      <c r="A633" s="115">
        <f t="shared" si="58"/>
        <v>416</v>
      </c>
      <c r="B633" s="2">
        <f>Pro_Forma!$S$21/12*(1+Pro_Forma!$S$22)^ROUNDDOWN((A633-1)/12,0)</f>
        <v>0</v>
      </c>
    </row>
    <row r="634" spans="1:2" x14ac:dyDescent="0.35">
      <c r="A634" s="115">
        <f t="shared" si="58"/>
        <v>417</v>
      </c>
      <c r="B634" s="2">
        <f>Pro_Forma!$S$21/12*(1+Pro_Forma!$S$22)^ROUNDDOWN((A634-1)/12,0)</f>
        <v>0</v>
      </c>
    </row>
    <row r="635" spans="1:2" x14ac:dyDescent="0.35">
      <c r="A635" s="115">
        <f t="shared" si="58"/>
        <v>418</v>
      </c>
      <c r="B635" s="2">
        <f>Pro_Forma!$S$21/12*(1+Pro_Forma!$S$22)^ROUNDDOWN((A635-1)/12,0)</f>
        <v>0</v>
      </c>
    </row>
    <row r="636" spans="1:2" x14ac:dyDescent="0.35">
      <c r="A636" s="115">
        <f t="shared" si="58"/>
        <v>419</v>
      </c>
      <c r="B636" s="2">
        <f>Pro_Forma!$S$21/12*(1+Pro_Forma!$S$22)^ROUNDDOWN((A636-1)/12,0)</f>
        <v>0</v>
      </c>
    </row>
    <row r="637" spans="1:2" x14ac:dyDescent="0.35">
      <c r="A637" s="115">
        <f t="shared" si="58"/>
        <v>420</v>
      </c>
      <c r="B637" s="2">
        <f>Pro_Forma!$S$21/12*(1+Pro_Forma!$S$22)^ROUNDDOWN((A637-1)/12,0)</f>
        <v>0</v>
      </c>
    </row>
    <row r="638" spans="1:2" x14ac:dyDescent="0.35">
      <c r="A638" s="115">
        <f t="shared" si="58"/>
        <v>421</v>
      </c>
      <c r="B638" s="2">
        <f>Pro_Forma!$S$21/12*(1+Pro_Forma!$S$22)^ROUNDDOWN((A638-1)/12,0)</f>
        <v>0</v>
      </c>
    </row>
    <row r="639" spans="1:2" x14ac:dyDescent="0.35">
      <c r="A639" s="115">
        <f t="shared" si="58"/>
        <v>422</v>
      </c>
      <c r="B639" s="2">
        <f>Pro_Forma!$S$21/12*(1+Pro_Forma!$S$22)^ROUNDDOWN((A639-1)/12,0)</f>
        <v>0</v>
      </c>
    </row>
    <row r="640" spans="1:2" x14ac:dyDescent="0.35">
      <c r="A640" s="115">
        <f t="shared" si="58"/>
        <v>423</v>
      </c>
      <c r="B640" s="2">
        <f>Pro_Forma!$S$21/12*(1+Pro_Forma!$S$22)^ROUNDDOWN((A640-1)/12,0)</f>
        <v>0</v>
      </c>
    </row>
    <row r="641" spans="1:2" x14ac:dyDescent="0.35">
      <c r="A641" s="115">
        <f t="shared" si="58"/>
        <v>424</v>
      </c>
      <c r="B641" s="2">
        <f>Pro_Forma!$S$21/12*(1+Pro_Forma!$S$22)^ROUNDDOWN((A641-1)/12,0)</f>
        <v>0</v>
      </c>
    </row>
    <row r="642" spans="1:2" x14ac:dyDescent="0.35">
      <c r="A642" s="115">
        <f t="shared" si="58"/>
        <v>425</v>
      </c>
      <c r="B642" s="2">
        <f>Pro_Forma!$S$21/12*(1+Pro_Forma!$S$22)^ROUNDDOWN((A642-1)/12,0)</f>
        <v>0</v>
      </c>
    </row>
    <row r="643" spans="1:2" x14ac:dyDescent="0.35">
      <c r="A643" s="115">
        <f t="shared" si="58"/>
        <v>426</v>
      </c>
      <c r="B643" s="2">
        <f>Pro_Forma!$S$21/12*(1+Pro_Forma!$S$22)^ROUNDDOWN((A643-1)/12,0)</f>
        <v>0</v>
      </c>
    </row>
    <row r="644" spans="1:2" x14ac:dyDescent="0.35">
      <c r="A644" s="115">
        <f t="shared" si="58"/>
        <v>427</v>
      </c>
      <c r="B644" s="2">
        <f>Pro_Forma!$S$21/12*(1+Pro_Forma!$S$22)^ROUNDDOWN((A644-1)/12,0)</f>
        <v>0</v>
      </c>
    </row>
    <row r="645" spans="1:2" x14ac:dyDescent="0.35">
      <c r="A645" s="115">
        <f t="shared" si="58"/>
        <v>428</v>
      </c>
      <c r="B645" s="2">
        <f>Pro_Forma!$S$21/12*(1+Pro_Forma!$S$22)^ROUNDDOWN((A645-1)/12,0)</f>
        <v>0</v>
      </c>
    </row>
    <row r="646" spans="1:2" x14ac:dyDescent="0.35">
      <c r="A646" s="115">
        <f t="shared" si="58"/>
        <v>429</v>
      </c>
      <c r="B646" s="2">
        <f>Pro_Forma!$S$21/12*(1+Pro_Forma!$S$22)^ROUNDDOWN((A646-1)/12,0)</f>
        <v>0</v>
      </c>
    </row>
    <row r="647" spans="1:2" x14ac:dyDescent="0.35">
      <c r="A647" s="115">
        <f t="shared" si="58"/>
        <v>430</v>
      </c>
      <c r="B647" s="2">
        <f>Pro_Forma!$S$21/12*(1+Pro_Forma!$S$22)^ROUNDDOWN((A647-1)/12,0)</f>
        <v>0</v>
      </c>
    </row>
    <row r="648" spans="1:2" x14ac:dyDescent="0.35">
      <c r="A648" s="115">
        <f t="shared" si="58"/>
        <v>431</v>
      </c>
      <c r="B648" s="2">
        <f>Pro_Forma!$S$21/12*(1+Pro_Forma!$S$22)^ROUNDDOWN((A648-1)/12,0)</f>
        <v>0</v>
      </c>
    </row>
    <row r="649" spans="1:2" x14ac:dyDescent="0.35">
      <c r="A649" s="115">
        <f t="shared" si="58"/>
        <v>432</v>
      </c>
      <c r="B649" s="2">
        <f>Pro_Forma!$S$21/12*(1+Pro_Forma!$S$22)^ROUNDDOWN((A649-1)/12,0)</f>
        <v>0</v>
      </c>
    </row>
    <row r="650" spans="1:2" x14ac:dyDescent="0.35">
      <c r="A650" s="115">
        <f t="shared" si="58"/>
        <v>433</v>
      </c>
      <c r="B650" s="2">
        <f>Pro_Forma!$S$21/12*(1+Pro_Forma!$S$22)^ROUNDDOWN((A650-1)/12,0)</f>
        <v>0</v>
      </c>
    </row>
    <row r="651" spans="1:2" x14ac:dyDescent="0.35">
      <c r="A651" s="115">
        <f t="shared" si="58"/>
        <v>434</v>
      </c>
      <c r="B651" s="2">
        <f>Pro_Forma!$S$21/12*(1+Pro_Forma!$S$22)^ROUNDDOWN((A651-1)/12,0)</f>
        <v>0</v>
      </c>
    </row>
    <row r="652" spans="1:2" x14ac:dyDescent="0.35">
      <c r="A652" s="115">
        <f t="shared" si="58"/>
        <v>435</v>
      </c>
      <c r="B652" s="2">
        <f>Pro_Forma!$S$21/12*(1+Pro_Forma!$S$22)^ROUNDDOWN((A652-1)/12,0)</f>
        <v>0</v>
      </c>
    </row>
    <row r="653" spans="1:2" x14ac:dyDescent="0.35">
      <c r="A653" s="115">
        <f t="shared" si="58"/>
        <v>436</v>
      </c>
      <c r="B653" s="2">
        <f>Pro_Forma!$S$21/12*(1+Pro_Forma!$S$22)^ROUNDDOWN((A653-1)/12,0)</f>
        <v>0</v>
      </c>
    </row>
    <row r="654" spans="1:2" x14ac:dyDescent="0.35">
      <c r="A654" s="115">
        <f t="shared" si="58"/>
        <v>437</v>
      </c>
      <c r="B654" s="2">
        <f>Pro_Forma!$S$21/12*(1+Pro_Forma!$S$22)^ROUNDDOWN((A654-1)/12,0)</f>
        <v>0</v>
      </c>
    </row>
    <row r="655" spans="1:2" x14ac:dyDescent="0.35">
      <c r="A655" s="115">
        <f t="shared" si="58"/>
        <v>438</v>
      </c>
      <c r="B655" s="2">
        <f>Pro_Forma!$S$21/12*(1+Pro_Forma!$S$22)^ROUNDDOWN((A655-1)/12,0)</f>
        <v>0</v>
      </c>
    </row>
    <row r="656" spans="1:2" x14ac:dyDescent="0.35">
      <c r="A656" s="115">
        <f t="shared" si="58"/>
        <v>439</v>
      </c>
      <c r="B656" s="2">
        <f>Pro_Forma!$S$21/12*(1+Pro_Forma!$S$22)^ROUNDDOWN((A656-1)/12,0)</f>
        <v>0</v>
      </c>
    </row>
    <row r="657" spans="1:2" x14ac:dyDescent="0.35">
      <c r="A657" s="115">
        <f t="shared" si="58"/>
        <v>440</v>
      </c>
      <c r="B657" s="2">
        <f>Pro_Forma!$S$21/12*(1+Pro_Forma!$S$22)^ROUNDDOWN((A657-1)/12,0)</f>
        <v>0</v>
      </c>
    </row>
    <row r="658" spans="1:2" x14ac:dyDescent="0.35">
      <c r="A658" s="115">
        <f t="shared" si="58"/>
        <v>441</v>
      </c>
      <c r="B658" s="2">
        <f>Pro_Forma!$S$21/12*(1+Pro_Forma!$S$22)^ROUNDDOWN((A658-1)/12,0)</f>
        <v>0</v>
      </c>
    </row>
    <row r="659" spans="1:2" x14ac:dyDescent="0.35">
      <c r="A659" s="115">
        <f t="shared" si="58"/>
        <v>442</v>
      </c>
      <c r="B659" s="2">
        <f>Pro_Forma!$S$21/12*(1+Pro_Forma!$S$22)^ROUNDDOWN((A659-1)/12,0)</f>
        <v>0</v>
      </c>
    </row>
    <row r="660" spans="1:2" x14ac:dyDescent="0.35">
      <c r="A660" s="115">
        <f t="shared" si="58"/>
        <v>443</v>
      </c>
      <c r="B660" s="2">
        <f>Pro_Forma!$S$21/12*(1+Pro_Forma!$S$22)^ROUNDDOWN((A660-1)/12,0)</f>
        <v>0</v>
      </c>
    </row>
    <row r="661" spans="1:2" x14ac:dyDescent="0.35">
      <c r="A661" s="115">
        <f t="shared" si="58"/>
        <v>444</v>
      </c>
      <c r="B661" s="2">
        <f>Pro_Forma!$S$21/12*(1+Pro_Forma!$S$22)^ROUNDDOWN((A661-1)/12,0)</f>
        <v>0</v>
      </c>
    </row>
    <row r="662" spans="1:2" x14ac:dyDescent="0.35">
      <c r="A662" s="115">
        <f>1+A661</f>
        <v>445</v>
      </c>
      <c r="B662" s="2">
        <f>Pro_Forma!$S$21/12*(1+Pro_Forma!$S$22)^ROUNDDOWN((A662-1)/12,0)</f>
        <v>0</v>
      </c>
    </row>
    <row r="663" spans="1:2" x14ac:dyDescent="0.35">
      <c r="A663" s="115">
        <f t="shared" ref="A663:A721" si="59">1+A662</f>
        <v>446</v>
      </c>
      <c r="B663" s="2">
        <f>Pro_Forma!$S$21/12*(1+Pro_Forma!$S$22)^ROUNDDOWN((A663-1)/12,0)</f>
        <v>0</v>
      </c>
    </row>
    <row r="664" spans="1:2" x14ac:dyDescent="0.35">
      <c r="A664" s="115">
        <f t="shared" si="59"/>
        <v>447</v>
      </c>
      <c r="B664" s="2">
        <f>Pro_Forma!$S$21/12*(1+Pro_Forma!$S$22)^ROUNDDOWN((A664-1)/12,0)</f>
        <v>0</v>
      </c>
    </row>
    <row r="665" spans="1:2" x14ac:dyDescent="0.35">
      <c r="A665" s="115">
        <f t="shared" si="59"/>
        <v>448</v>
      </c>
      <c r="B665" s="2">
        <f>Pro_Forma!$S$21/12*(1+Pro_Forma!$S$22)^ROUNDDOWN((A665-1)/12,0)</f>
        <v>0</v>
      </c>
    </row>
    <row r="666" spans="1:2" x14ac:dyDescent="0.35">
      <c r="A666" s="115">
        <f t="shared" si="59"/>
        <v>449</v>
      </c>
      <c r="B666" s="2">
        <f>Pro_Forma!$S$21/12*(1+Pro_Forma!$S$22)^ROUNDDOWN((A666-1)/12,0)</f>
        <v>0</v>
      </c>
    </row>
    <row r="667" spans="1:2" x14ac:dyDescent="0.35">
      <c r="A667" s="115">
        <f t="shared" si="59"/>
        <v>450</v>
      </c>
      <c r="B667" s="2">
        <f>Pro_Forma!$S$21/12*(1+Pro_Forma!$S$22)^ROUNDDOWN((A667-1)/12,0)</f>
        <v>0</v>
      </c>
    </row>
    <row r="668" spans="1:2" x14ac:dyDescent="0.35">
      <c r="A668" s="115">
        <f t="shared" si="59"/>
        <v>451</v>
      </c>
      <c r="B668" s="2">
        <f>Pro_Forma!$S$21/12*(1+Pro_Forma!$S$22)^ROUNDDOWN((A668-1)/12,0)</f>
        <v>0</v>
      </c>
    </row>
    <row r="669" spans="1:2" x14ac:dyDescent="0.35">
      <c r="A669" s="115">
        <f t="shared" si="59"/>
        <v>452</v>
      </c>
      <c r="B669" s="2">
        <f>Pro_Forma!$S$21/12*(1+Pro_Forma!$S$22)^ROUNDDOWN((A669-1)/12,0)</f>
        <v>0</v>
      </c>
    </row>
    <row r="670" spans="1:2" x14ac:dyDescent="0.35">
      <c r="A670" s="115">
        <f t="shared" si="59"/>
        <v>453</v>
      </c>
      <c r="B670" s="2">
        <f>Pro_Forma!$S$21/12*(1+Pro_Forma!$S$22)^ROUNDDOWN((A670-1)/12,0)</f>
        <v>0</v>
      </c>
    </row>
    <row r="671" spans="1:2" x14ac:dyDescent="0.35">
      <c r="A671" s="115">
        <f t="shared" si="59"/>
        <v>454</v>
      </c>
      <c r="B671" s="2">
        <f>Pro_Forma!$S$21/12*(1+Pro_Forma!$S$22)^ROUNDDOWN((A671-1)/12,0)</f>
        <v>0</v>
      </c>
    </row>
    <row r="672" spans="1:2" x14ac:dyDescent="0.35">
      <c r="A672" s="115">
        <f t="shared" si="59"/>
        <v>455</v>
      </c>
      <c r="B672" s="2">
        <f>Pro_Forma!$S$21/12*(1+Pro_Forma!$S$22)^ROUNDDOWN((A672-1)/12,0)</f>
        <v>0</v>
      </c>
    </row>
    <row r="673" spans="1:2" x14ac:dyDescent="0.35">
      <c r="A673" s="115">
        <f t="shared" si="59"/>
        <v>456</v>
      </c>
      <c r="B673" s="2">
        <f>Pro_Forma!$S$21/12*(1+Pro_Forma!$S$22)^ROUNDDOWN((A673-1)/12,0)</f>
        <v>0</v>
      </c>
    </row>
    <row r="674" spans="1:2" x14ac:dyDescent="0.35">
      <c r="A674" s="115">
        <f t="shared" si="59"/>
        <v>457</v>
      </c>
      <c r="B674" s="2">
        <f>Pro_Forma!$S$21/12*(1+Pro_Forma!$S$22)^ROUNDDOWN((A674-1)/12,0)</f>
        <v>0</v>
      </c>
    </row>
    <row r="675" spans="1:2" x14ac:dyDescent="0.35">
      <c r="A675" s="115">
        <f t="shared" si="59"/>
        <v>458</v>
      </c>
      <c r="B675" s="2">
        <f>Pro_Forma!$S$21/12*(1+Pro_Forma!$S$22)^ROUNDDOWN((A675-1)/12,0)</f>
        <v>0</v>
      </c>
    </row>
    <row r="676" spans="1:2" x14ac:dyDescent="0.35">
      <c r="A676" s="115">
        <f t="shared" si="59"/>
        <v>459</v>
      </c>
      <c r="B676" s="2">
        <f>Pro_Forma!$S$21/12*(1+Pro_Forma!$S$22)^ROUNDDOWN((A676-1)/12,0)</f>
        <v>0</v>
      </c>
    </row>
    <row r="677" spans="1:2" x14ac:dyDescent="0.35">
      <c r="A677" s="115">
        <f t="shared" si="59"/>
        <v>460</v>
      </c>
      <c r="B677" s="2">
        <f>Pro_Forma!$S$21/12*(1+Pro_Forma!$S$22)^ROUNDDOWN((A677-1)/12,0)</f>
        <v>0</v>
      </c>
    </row>
    <row r="678" spans="1:2" x14ac:dyDescent="0.35">
      <c r="A678" s="115">
        <f t="shared" si="59"/>
        <v>461</v>
      </c>
      <c r="B678" s="2">
        <f>Pro_Forma!$S$21/12*(1+Pro_Forma!$S$22)^ROUNDDOWN((A678-1)/12,0)</f>
        <v>0</v>
      </c>
    </row>
    <row r="679" spans="1:2" x14ac:dyDescent="0.35">
      <c r="A679" s="115">
        <f t="shared" si="59"/>
        <v>462</v>
      </c>
      <c r="B679" s="2">
        <f>Pro_Forma!$S$21/12*(1+Pro_Forma!$S$22)^ROUNDDOWN((A679-1)/12,0)</f>
        <v>0</v>
      </c>
    </row>
    <row r="680" spans="1:2" x14ac:dyDescent="0.35">
      <c r="A680" s="115">
        <f t="shared" si="59"/>
        <v>463</v>
      </c>
      <c r="B680" s="2">
        <f>Pro_Forma!$S$21/12*(1+Pro_Forma!$S$22)^ROUNDDOWN((A680-1)/12,0)</f>
        <v>0</v>
      </c>
    </row>
    <row r="681" spans="1:2" x14ac:dyDescent="0.35">
      <c r="A681" s="115">
        <f t="shared" si="59"/>
        <v>464</v>
      </c>
      <c r="B681" s="2">
        <f>Pro_Forma!$S$21/12*(1+Pro_Forma!$S$22)^ROUNDDOWN((A681-1)/12,0)</f>
        <v>0</v>
      </c>
    </row>
    <row r="682" spans="1:2" x14ac:dyDescent="0.35">
      <c r="A682" s="115">
        <f t="shared" si="59"/>
        <v>465</v>
      </c>
      <c r="B682" s="2">
        <f>Pro_Forma!$S$21/12*(1+Pro_Forma!$S$22)^ROUNDDOWN((A682-1)/12,0)</f>
        <v>0</v>
      </c>
    </row>
    <row r="683" spans="1:2" x14ac:dyDescent="0.35">
      <c r="A683" s="115">
        <f t="shared" si="59"/>
        <v>466</v>
      </c>
      <c r="B683" s="2">
        <f>Pro_Forma!$S$21/12*(1+Pro_Forma!$S$22)^ROUNDDOWN((A683-1)/12,0)</f>
        <v>0</v>
      </c>
    </row>
    <row r="684" spans="1:2" x14ac:dyDescent="0.35">
      <c r="A684" s="115">
        <f t="shared" si="59"/>
        <v>467</v>
      </c>
      <c r="B684" s="2">
        <f>Pro_Forma!$S$21/12*(1+Pro_Forma!$S$22)^ROUNDDOWN((A684-1)/12,0)</f>
        <v>0</v>
      </c>
    </row>
    <row r="685" spans="1:2" x14ac:dyDescent="0.35">
      <c r="A685" s="115">
        <f t="shared" si="59"/>
        <v>468</v>
      </c>
      <c r="B685" s="2">
        <f>Pro_Forma!$S$21/12*(1+Pro_Forma!$S$22)^ROUNDDOWN((A685-1)/12,0)</f>
        <v>0</v>
      </c>
    </row>
    <row r="686" spans="1:2" x14ac:dyDescent="0.35">
      <c r="A686" s="115">
        <f t="shared" si="59"/>
        <v>469</v>
      </c>
      <c r="B686" s="2">
        <f>Pro_Forma!$S$21/12*(1+Pro_Forma!$S$22)^ROUNDDOWN((A686-1)/12,0)</f>
        <v>0</v>
      </c>
    </row>
    <row r="687" spans="1:2" x14ac:dyDescent="0.35">
      <c r="A687" s="115">
        <f t="shared" si="59"/>
        <v>470</v>
      </c>
      <c r="B687" s="2">
        <f>Pro_Forma!$S$21/12*(1+Pro_Forma!$S$22)^ROUNDDOWN((A687-1)/12,0)</f>
        <v>0</v>
      </c>
    </row>
    <row r="688" spans="1:2" x14ac:dyDescent="0.35">
      <c r="A688" s="115">
        <f t="shared" si="59"/>
        <v>471</v>
      </c>
      <c r="B688" s="2">
        <f>Pro_Forma!$S$21/12*(1+Pro_Forma!$S$22)^ROUNDDOWN((A688-1)/12,0)</f>
        <v>0</v>
      </c>
    </row>
    <row r="689" spans="1:2" x14ac:dyDescent="0.35">
      <c r="A689" s="115">
        <f t="shared" si="59"/>
        <v>472</v>
      </c>
      <c r="B689" s="2">
        <f>Pro_Forma!$S$21/12*(1+Pro_Forma!$S$22)^ROUNDDOWN((A689-1)/12,0)</f>
        <v>0</v>
      </c>
    </row>
    <row r="690" spans="1:2" x14ac:dyDescent="0.35">
      <c r="A690" s="115">
        <f t="shared" si="59"/>
        <v>473</v>
      </c>
      <c r="B690" s="2">
        <f>Pro_Forma!$S$21/12*(1+Pro_Forma!$S$22)^ROUNDDOWN((A690-1)/12,0)</f>
        <v>0</v>
      </c>
    </row>
    <row r="691" spans="1:2" x14ac:dyDescent="0.35">
      <c r="A691" s="115">
        <f t="shared" si="59"/>
        <v>474</v>
      </c>
      <c r="B691" s="2">
        <f>Pro_Forma!$S$21/12*(1+Pro_Forma!$S$22)^ROUNDDOWN((A691-1)/12,0)</f>
        <v>0</v>
      </c>
    </row>
    <row r="692" spans="1:2" x14ac:dyDescent="0.35">
      <c r="A692" s="115">
        <f t="shared" si="59"/>
        <v>475</v>
      </c>
      <c r="B692" s="2">
        <f>Pro_Forma!$S$21/12*(1+Pro_Forma!$S$22)^ROUNDDOWN((A692-1)/12,0)</f>
        <v>0</v>
      </c>
    </row>
    <row r="693" spans="1:2" x14ac:dyDescent="0.35">
      <c r="A693" s="115">
        <f t="shared" si="59"/>
        <v>476</v>
      </c>
      <c r="B693" s="2">
        <f>Pro_Forma!$S$21/12*(1+Pro_Forma!$S$22)^ROUNDDOWN((A693-1)/12,0)</f>
        <v>0</v>
      </c>
    </row>
    <row r="694" spans="1:2" x14ac:dyDescent="0.35">
      <c r="A694" s="115">
        <f t="shared" si="59"/>
        <v>477</v>
      </c>
      <c r="B694" s="2">
        <f>Pro_Forma!$S$21/12*(1+Pro_Forma!$S$22)^ROUNDDOWN((A694-1)/12,0)</f>
        <v>0</v>
      </c>
    </row>
    <row r="695" spans="1:2" x14ac:dyDescent="0.35">
      <c r="A695" s="115">
        <f t="shared" si="59"/>
        <v>478</v>
      </c>
      <c r="B695" s="2">
        <f>Pro_Forma!$S$21/12*(1+Pro_Forma!$S$22)^ROUNDDOWN((A695-1)/12,0)</f>
        <v>0</v>
      </c>
    </row>
    <row r="696" spans="1:2" x14ac:dyDescent="0.35">
      <c r="A696" s="115">
        <f t="shared" si="59"/>
        <v>479</v>
      </c>
      <c r="B696" s="2">
        <f>Pro_Forma!$S$21/12*(1+Pro_Forma!$S$22)^ROUNDDOWN((A696-1)/12,0)</f>
        <v>0</v>
      </c>
    </row>
    <row r="697" spans="1:2" x14ac:dyDescent="0.35">
      <c r="A697" s="115">
        <f t="shared" si="59"/>
        <v>480</v>
      </c>
      <c r="B697" s="2">
        <f>Pro_Forma!$S$21/12*(1+Pro_Forma!$S$22)^ROUNDDOWN((A697-1)/12,0)</f>
        <v>0</v>
      </c>
    </row>
    <row r="698" spans="1:2" x14ac:dyDescent="0.35">
      <c r="A698" s="115">
        <f t="shared" si="59"/>
        <v>481</v>
      </c>
      <c r="B698" s="2">
        <f>Pro_Forma!$S$21/12*(1+Pro_Forma!$S$22)^ROUNDDOWN((A698-1)/12,0)</f>
        <v>0</v>
      </c>
    </row>
    <row r="699" spans="1:2" x14ac:dyDescent="0.35">
      <c r="A699" s="115">
        <f t="shared" si="59"/>
        <v>482</v>
      </c>
      <c r="B699" s="2">
        <f>Pro_Forma!$S$21/12*(1+Pro_Forma!$S$22)^ROUNDDOWN((A699-1)/12,0)</f>
        <v>0</v>
      </c>
    </row>
    <row r="700" spans="1:2" x14ac:dyDescent="0.35">
      <c r="A700" s="115">
        <f t="shared" si="59"/>
        <v>483</v>
      </c>
      <c r="B700" s="2">
        <f>Pro_Forma!$S$21/12*(1+Pro_Forma!$S$22)^ROUNDDOWN((A700-1)/12,0)</f>
        <v>0</v>
      </c>
    </row>
    <row r="701" spans="1:2" x14ac:dyDescent="0.35">
      <c r="A701" s="115">
        <f t="shared" si="59"/>
        <v>484</v>
      </c>
      <c r="B701" s="2">
        <f>Pro_Forma!$S$21/12*(1+Pro_Forma!$S$22)^ROUNDDOWN((A701-1)/12,0)</f>
        <v>0</v>
      </c>
    </row>
    <row r="702" spans="1:2" x14ac:dyDescent="0.35">
      <c r="A702" s="115">
        <f t="shared" si="59"/>
        <v>485</v>
      </c>
      <c r="B702" s="2">
        <f>Pro_Forma!$S$21/12*(1+Pro_Forma!$S$22)^ROUNDDOWN((A702-1)/12,0)</f>
        <v>0</v>
      </c>
    </row>
    <row r="703" spans="1:2" x14ac:dyDescent="0.35">
      <c r="A703" s="115">
        <f t="shared" si="59"/>
        <v>486</v>
      </c>
      <c r="B703" s="2">
        <f>Pro_Forma!$S$21/12*(1+Pro_Forma!$S$22)^ROUNDDOWN((A703-1)/12,0)</f>
        <v>0</v>
      </c>
    </row>
    <row r="704" spans="1:2" x14ac:dyDescent="0.35">
      <c r="A704" s="115">
        <f t="shared" si="59"/>
        <v>487</v>
      </c>
      <c r="B704" s="2">
        <f>Pro_Forma!$S$21/12*(1+Pro_Forma!$S$22)^ROUNDDOWN((A704-1)/12,0)</f>
        <v>0</v>
      </c>
    </row>
    <row r="705" spans="1:2" x14ac:dyDescent="0.35">
      <c r="A705" s="115">
        <f t="shared" si="59"/>
        <v>488</v>
      </c>
      <c r="B705" s="2">
        <f>Pro_Forma!$S$21/12*(1+Pro_Forma!$S$22)^ROUNDDOWN((A705-1)/12,0)</f>
        <v>0</v>
      </c>
    </row>
    <row r="706" spans="1:2" x14ac:dyDescent="0.35">
      <c r="A706" s="115">
        <f t="shared" si="59"/>
        <v>489</v>
      </c>
      <c r="B706" s="2">
        <f>Pro_Forma!$S$21/12*(1+Pro_Forma!$S$22)^ROUNDDOWN((A706-1)/12,0)</f>
        <v>0</v>
      </c>
    </row>
    <row r="707" spans="1:2" x14ac:dyDescent="0.35">
      <c r="A707" s="115">
        <f t="shared" si="59"/>
        <v>490</v>
      </c>
      <c r="B707" s="2">
        <f>Pro_Forma!$S$21/12*(1+Pro_Forma!$S$22)^ROUNDDOWN((A707-1)/12,0)</f>
        <v>0</v>
      </c>
    </row>
    <row r="708" spans="1:2" x14ac:dyDescent="0.35">
      <c r="A708" s="115">
        <f t="shared" si="59"/>
        <v>491</v>
      </c>
      <c r="B708" s="2">
        <f>Pro_Forma!$S$21/12*(1+Pro_Forma!$S$22)^ROUNDDOWN((A708-1)/12,0)</f>
        <v>0</v>
      </c>
    </row>
    <row r="709" spans="1:2" x14ac:dyDescent="0.35">
      <c r="A709" s="115">
        <f t="shared" si="59"/>
        <v>492</v>
      </c>
      <c r="B709" s="2">
        <f>Pro_Forma!$S$21/12*(1+Pro_Forma!$S$22)^ROUNDDOWN((A709-1)/12,0)</f>
        <v>0</v>
      </c>
    </row>
    <row r="710" spans="1:2" x14ac:dyDescent="0.35">
      <c r="A710" s="115">
        <f t="shared" si="59"/>
        <v>493</v>
      </c>
      <c r="B710" s="2">
        <f>Pro_Forma!$S$21/12*(1+Pro_Forma!$S$22)^ROUNDDOWN((A710-1)/12,0)</f>
        <v>0</v>
      </c>
    </row>
    <row r="711" spans="1:2" x14ac:dyDescent="0.35">
      <c r="A711" s="115">
        <f t="shared" si="59"/>
        <v>494</v>
      </c>
      <c r="B711" s="2">
        <f>Pro_Forma!$S$21/12*(1+Pro_Forma!$S$22)^ROUNDDOWN((A711-1)/12,0)</f>
        <v>0</v>
      </c>
    </row>
    <row r="712" spans="1:2" x14ac:dyDescent="0.35">
      <c r="A712" s="115">
        <f t="shared" si="59"/>
        <v>495</v>
      </c>
      <c r="B712" s="2">
        <f>Pro_Forma!$S$21/12*(1+Pro_Forma!$S$22)^ROUNDDOWN((A712-1)/12,0)</f>
        <v>0</v>
      </c>
    </row>
    <row r="713" spans="1:2" x14ac:dyDescent="0.35">
      <c r="A713" s="115">
        <f t="shared" si="59"/>
        <v>496</v>
      </c>
      <c r="B713" s="2">
        <f>Pro_Forma!$S$21/12*(1+Pro_Forma!$S$22)^ROUNDDOWN((A713-1)/12,0)</f>
        <v>0</v>
      </c>
    </row>
    <row r="714" spans="1:2" x14ac:dyDescent="0.35">
      <c r="A714" s="115">
        <f t="shared" si="59"/>
        <v>497</v>
      </c>
      <c r="B714" s="2">
        <f>Pro_Forma!$S$21/12*(1+Pro_Forma!$S$22)^ROUNDDOWN((A714-1)/12,0)</f>
        <v>0</v>
      </c>
    </row>
    <row r="715" spans="1:2" x14ac:dyDescent="0.35">
      <c r="A715" s="115">
        <f t="shared" si="59"/>
        <v>498</v>
      </c>
      <c r="B715" s="2">
        <f>Pro_Forma!$S$21/12*(1+Pro_Forma!$S$22)^ROUNDDOWN((A715-1)/12,0)</f>
        <v>0</v>
      </c>
    </row>
    <row r="716" spans="1:2" x14ac:dyDescent="0.35">
      <c r="A716" s="115">
        <f t="shared" si="59"/>
        <v>499</v>
      </c>
      <c r="B716" s="2">
        <f>Pro_Forma!$S$21/12*(1+Pro_Forma!$S$22)^ROUNDDOWN((A716-1)/12,0)</f>
        <v>0</v>
      </c>
    </row>
    <row r="717" spans="1:2" x14ac:dyDescent="0.35">
      <c r="A717" s="115">
        <f t="shared" si="59"/>
        <v>500</v>
      </c>
      <c r="B717" s="2">
        <f>Pro_Forma!$S$21/12*(1+Pro_Forma!$S$22)^ROUNDDOWN((A717-1)/12,0)</f>
        <v>0</v>
      </c>
    </row>
    <row r="718" spans="1:2" x14ac:dyDescent="0.35">
      <c r="A718" s="115">
        <f t="shared" si="59"/>
        <v>501</v>
      </c>
      <c r="B718" s="2">
        <f>Pro_Forma!$S$21/12*(1+Pro_Forma!$S$22)^ROUNDDOWN((A718-1)/12,0)</f>
        <v>0</v>
      </c>
    </row>
    <row r="719" spans="1:2" x14ac:dyDescent="0.35">
      <c r="A719" s="115">
        <f t="shared" si="59"/>
        <v>502</v>
      </c>
      <c r="B719" s="2">
        <f>Pro_Forma!$S$21/12*(1+Pro_Forma!$S$22)^ROUNDDOWN((A719-1)/12,0)</f>
        <v>0</v>
      </c>
    </row>
    <row r="720" spans="1:2" x14ac:dyDescent="0.35">
      <c r="A720" s="115">
        <f t="shared" si="59"/>
        <v>503</v>
      </c>
      <c r="B720" s="2">
        <f>Pro_Forma!$S$21/12*(1+Pro_Forma!$S$22)^ROUNDDOWN((A720-1)/12,0)</f>
        <v>0</v>
      </c>
    </row>
    <row r="721" spans="1:2" x14ac:dyDescent="0.35">
      <c r="A721" s="115">
        <f t="shared" si="59"/>
        <v>504</v>
      </c>
      <c r="B721" s="2">
        <f>Pro_Forma!$S$21/12*(1+Pro_Forma!$S$22)^ROUNDDOWN((A721-1)/12,0)</f>
        <v>0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DE893-766E-4E49-B8C8-52B230A2EBAF}">
  <sheetPr codeName="Sheet2"/>
  <dimension ref="B2:C136"/>
  <sheetViews>
    <sheetView topLeftCell="A7" workbookViewId="0">
      <selection activeCell="E42" sqref="E42"/>
    </sheetView>
  </sheetViews>
  <sheetFormatPr defaultColWidth="8.81640625" defaultRowHeight="14.5" x14ac:dyDescent="0.35"/>
  <cols>
    <col min="2" max="2" width="38.6328125" customWidth="1"/>
    <col min="3" max="3" width="14.453125" customWidth="1"/>
  </cols>
  <sheetData>
    <row r="2" spans="2:3" x14ac:dyDescent="0.35">
      <c r="C2" t="s">
        <v>398</v>
      </c>
    </row>
    <row r="4" spans="2:3" x14ac:dyDescent="0.35">
      <c r="B4" t="s">
        <v>166</v>
      </c>
      <c r="C4" t="str">
        <f>+ADDRESS(ROW(Pro_Forma!B2),COLUMN(Pro_Forma!B2))</f>
        <v>$B$2</v>
      </c>
    </row>
    <row r="5" spans="2:3" x14ac:dyDescent="0.35">
      <c r="B5" t="s">
        <v>297</v>
      </c>
      <c r="C5" t="str">
        <f>+ADDRESS(ROW(Pro_Forma!C3),COLUMN(Pro_Forma!C3))</f>
        <v>$C$3</v>
      </c>
    </row>
    <row r="6" spans="2:3" x14ac:dyDescent="0.35">
      <c r="B6" t="s">
        <v>159</v>
      </c>
      <c r="C6" t="str">
        <f>+ADDRESS(ROW(Pro_Forma!D12),COLUMN(Pro_Forma!D12))</f>
        <v>$D$12</v>
      </c>
    </row>
    <row r="7" spans="2:3" x14ac:dyDescent="0.35">
      <c r="B7" t="s">
        <v>160</v>
      </c>
      <c r="C7" t="str">
        <f>+ADDRESS(ROW(Pro_Forma!C13),COLUMN(Pro_Forma!C13))</f>
        <v>$C$13</v>
      </c>
    </row>
    <row r="8" spans="2:3" x14ac:dyDescent="0.35">
      <c r="B8" t="s">
        <v>367</v>
      </c>
      <c r="C8" t="str">
        <f>+ADDRESS(ROW(Pro_Forma!C14),COLUMN(Pro_Forma!C14))</f>
        <v>$C$14</v>
      </c>
    </row>
    <row r="9" spans="2:3" x14ac:dyDescent="0.35">
      <c r="B9" t="s">
        <v>66</v>
      </c>
      <c r="C9" t="str">
        <f>+ADDRESS(ROW(Pro_Forma!C19),COLUMN(Pro_Forma!C19))</f>
        <v>$C$19</v>
      </c>
    </row>
    <row r="10" spans="2:3" x14ac:dyDescent="0.35">
      <c r="B10" t="s">
        <v>142</v>
      </c>
      <c r="C10" t="str">
        <f>+ADDRESS(ROW(Pro_Forma!C21),COLUMN(Pro_Forma!C21))</f>
        <v>$C$21</v>
      </c>
    </row>
    <row r="12" spans="2:3" x14ac:dyDescent="0.35">
      <c r="B12" s="1" t="s">
        <v>126</v>
      </c>
      <c r="C12" t="str">
        <f>C13&amp;":"&amp;C18</f>
        <v>$C$24:$C$30</v>
      </c>
    </row>
    <row r="13" spans="2:3" x14ac:dyDescent="0.35">
      <c r="B13" t="s">
        <v>187</v>
      </c>
      <c r="C13" t="str">
        <f>+ADDRESS(ROW(Pro_Forma!C24),COLUMN(Pro_Forma!C24))</f>
        <v>$C$24</v>
      </c>
    </row>
    <row r="14" spans="2:3" x14ac:dyDescent="0.35">
      <c r="B14" t="s">
        <v>129</v>
      </c>
      <c r="C14" t="str">
        <f>+ADDRESS(ROW(Pro_Forma!C25),COLUMN(Pro_Forma!C25))</f>
        <v>$C$25</v>
      </c>
    </row>
    <row r="15" spans="2:3" x14ac:dyDescent="0.35">
      <c r="B15" t="s">
        <v>127</v>
      </c>
      <c r="C15" t="str">
        <f>+ADDRESS(ROW(Pro_Forma!C26),COLUMN(Pro_Forma!C26))</f>
        <v>$C$26</v>
      </c>
    </row>
    <row r="16" spans="2:3" x14ac:dyDescent="0.35">
      <c r="B16" t="s">
        <v>128</v>
      </c>
      <c r="C16" t="str">
        <f>+ADDRESS(ROW(Pro_Forma!C27),COLUMN(Pro_Forma!C27))</f>
        <v>$C$27</v>
      </c>
    </row>
    <row r="17" spans="2:3" x14ac:dyDescent="0.35">
      <c r="B17" t="s">
        <v>163</v>
      </c>
      <c r="C17" t="str">
        <f>+ADDRESS(ROW(Pro_Forma!C28),COLUMN(Pro_Forma!C28))</f>
        <v>$C$28</v>
      </c>
    </row>
    <row r="18" spans="2:3" x14ac:dyDescent="0.35">
      <c r="B18" t="s">
        <v>133</v>
      </c>
      <c r="C18" t="str">
        <f>+ADDRESS(ROW(Pro_Forma!C30),COLUMN(Pro_Forma!C30))</f>
        <v>$C$30</v>
      </c>
    </row>
    <row r="20" spans="2:3" x14ac:dyDescent="0.35">
      <c r="B20" s="1" t="s">
        <v>0</v>
      </c>
      <c r="C20" t="str">
        <f>C21&amp;":"&amp;C40</f>
        <v>$D$33:$D$57</v>
      </c>
    </row>
    <row r="21" spans="2:3" x14ac:dyDescent="0.35">
      <c r="B21" t="s">
        <v>1</v>
      </c>
      <c r="C21" t="str">
        <f>+ADDRESS(ROW(Pro_Forma!D33),COLUMN(Pro_Forma!D33))</f>
        <v>$D$33</v>
      </c>
    </row>
    <row r="22" spans="2:3" x14ac:dyDescent="0.35">
      <c r="B22" t="s">
        <v>149</v>
      </c>
      <c r="C22" t="str">
        <f>+ADDRESS(ROW(Pro_Forma!D35),COLUMN(Pro_Forma!D35))</f>
        <v>$D$35</v>
      </c>
    </row>
    <row r="23" spans="2:3" x14ac:dyDescent="0.35">
      <c r="B23" t="s">
        <v>2</v>
      </c>
      <c r="C23" t="str">
        <f>+ADDRESS(ROW(Pro_Forma!D36),COLUMN(Pro_Forma!D36))</f>
        <v>$D$36</v>
      </c>
    </row>
    <row r="24" spans="2:3" x14ac:dyDescent="0.35">
      <c r="B24" t="s">
        <v>3</v>
      </c>
      <c r="C24" t="str">
        <f>+ADDRESS(ROW(Pro_Forma!D37),COLUMN(Pro_Forma!D37))</f>
        <v>$D$37</v>
      </c>
    </row>
    <row r="25" spans="2:3" x14ac:dyDescent="0.35">
      <c r="B25" t="s">
        <v>4</v>
      </c>
      <c r="C25" t="str">
        <f>+ADDRESS(ROW(Pro_Forma!D38),COLUMN(Pro_Forma!D38))</f>
        <v>$D$38</v>
      </c>
    </row>
    <row r="26" spans="2:3" x14ac:dyDescent="0.35">
      <c r="B26" t="s">
        <v>5</v>
      </c>
      <c r="C26" t="str">
        <f>+ADDRESS(ROW(Pro_Forma!D39),COLUMN(Pro_Forma!D39))</f>
        <v>$D$39</v>
      </c>
    </row>
    <row r="27" spans="2:3" x14ac:dyDescent="0.35">
      <c r="B27" t="s">
        <v>6</v>
      </c>
      <c r="C27" t="str">
        <f>+ADDRESS(ROW(Pro_Forma!D40),COLUMN(Pro_Forma!D40))</f>
        <v>$D$40</v>
      </c>
    </row>
    <row r="28" spans="2:3" x14ac:dyDescent="0.35">
      <c r="B28" t="s">
        <v>130</v>
      </c>
      <c r="C28" t="str">
        <f>+ADDRESS(ROW(Pro_Forma!D43),COLUMN(Pro_Forma!D43))</f>
        <v>$D$43</v>
      </c>
    </row>
    <row r="29" spans="2:3" x14ac:dyDescent="0.35">
      <c r="B29" t="s">
        <v>7</v>
      </c>
      <c r="C29" t="str">
        <f>+ADDRESS(ROW(Pro_Forma!D46),COLUMN(Pro_Forma!D46))</f>
        <v>$D$46</v>
      </c>
    </row>
    <row r="30" spans="2:3" x14ac:dyDescent="0.35">
      <c r="B30" t="s">
        <v>8</v>
      </c>
      <c r="C30" t="str">
        <f>+ADDRESS(ROW(Pro_Forma!D47),COLUMN(Pro_Forma!D47))</f>
        <v>$D$47</v>
      </c>
    </row>
    <row r="31" spans="2:3" x14ac:dyDescent="0.35">
      <c r="B31" t="s">
        <v>52</v>
      </c>
      <c r="C31" t="str">
        <f>+ADDRESS(ROW(Pro_Forma!D48),COLUMN(Pro_Forma!D48))</f>
        <v>$D$48</v>
      </c>
    </row>
    <row r="32" spans="2:3" x14ac:dyDescent="0.35">
      <c r="B32" t="s">
        <v>9</v>
      </c>
      <c r="C32" t="str">
        <f>+ADDRESS(ROW(Pro_Forma!D49),COLUMN(Pro_Forma!D49))</f>
        <v>$D$49</v>
      </c>
    </row>
    <row r="33" spans="2:3" x14ac:dyDescent="0.35">
      <c r="B33" t="s">
        <v>10</v>
      </c>
      <c r="C33" t="str">
        <f>+ADDRESS(ROW(Pro_Forma!D50),COLUMN(Pro_Forma!D50))</f>
        <v>$D$50</v>
      </c>
    </row>
    <row r="34" spans="2:3" x14ac:dyDescent="0.35">
      <c r="B34" t="s">
        <v>164</v>
      </c>
      <c r="C34" t="str">
        <f>+ADDRESS(ROW(Pro_Forma!D51),COLUMN(Pro_Forma!D51))</f>
        <v>$D$51</v>
      </c>
    </row>
    <row r="35" spans="2:3" x14ac:dyDescent="0.35">
      <c r="B35" t="s">
        <v>285</v>
      </c>
      <c r="C35" t="str">
        <f>+ADDRESS(ROW(Pro_Forma!D52),COLUMN(Pro_Forma!D52))</f>
        <v>$D$52</v>
      </c>
    </row>
    <row r="36" spans="2:3" x14ac:dyDescent="0.35">
      <c r="B36" t="s">
        <v>286</v>
      </c>
      <c r="C36" t="str">
        <f>+ADDRESS(ROW(Pro_Forma!D53),COLUMN(Pro_Forma!D53))</f>
        <v>$D$53</v>
      </c>
    </row>
    <row r="37" spans="2:3" x14ac:dyDescent="0.35">
      <c r="B37" t="s">
        <v>165</v>
      </c>
      <c r="C37" t="str">
        <f>+ADDRESS(ROW(Pro_Forma!D54),COLUMN(Pro_Forma!D54))</f>
        <v>$D$54</v>
      </c>
    </row>
    <row r="38" spans="2:3" x14ac:dyDescent="0.35">
      <c r="B38" t="s">
        <v>224</v>
      </c>
      <c r="C38" t="str">
        <f>+ADDRESS(ROW(Pro_Forma!D55),COLUMN(Pro_Forma!D55))</f>
        <v>$D$55</v>
      </c>
    </row>
    <row r="39" spans="2:3" x14ac:dyDescent="0.35">
      <c r="B39" t="s">
        <v>42</v>
      </c>
      <c r="C39" t="str">
        <f>+ADDRESS(ROW(Pro_Forma!D56),COLUMN(Pro_Forma!D56))</f>
        <v>$D$56</v>
      </c>
    </row>
    <row r="40" spans="2:3" x14ac:dyDescent="0.35">
      <c r="B40" t="s">
        <v>141</v>
      </c>
      <c r="C40" t="str">
        <f>+ADDRESS(ROW(Pro_Forma!D57),COLUMN(Pro_Forma!D57))</f>
        <v>$D$57</v>
      </c>
    </row>
    <row r="42" spans="2:3" x14ac:dyDescent="0.35">
      <c r="B42" s="1" t="s">
        <v>15</v>
      </c>
      <c r="C42" t="str">
        <f>C43&amp;":"&amp;C52</f>
        <v>$D$62:$D$72</v>
      </c>
    </row>
    <row r="43" spans="2:3" x14ac:dyDescent="0.35">
      <c r="B43" t="s">
        <v>35</v>
      </c>
      <c r="C43" t="str">
        <f>+ADDRESS(ROW(Pro_Forma!D62),COLUMN(Pro_Forma!D62))</f>
        <v>$D$62</v>
      </c>
    </row>
    <row r="44" spans="2:3" x14ac:dyDescent="0.35">
      <c r="B44" t="s">
        <v>36</v>
      </c>
      <c r="C44" t="str">
        <f>+ADDRESS(ROW(Pro_Forma!D63),COLUMN(Pro_Forma!D63))</f>
        <v>$D$63</v>
      </c>
    </row>
    <row r="45" spans="2:3" x14ac:dyDescent="0.35">
      <c r="B45" t="s">
        <v>167</v>
      </c>
      <c r="C45" t="e">
        <f>+ADDRESS(ROW(Pro_Forma!#REF!),COLUMN(Pro_Forma!#REF!))</f>
        <v>#REF!</v>
      </c>
    </row>
    <row r="46" spans="2:3" x14ac:dyDescent="0.35">
      <c r="B46" t="s">
        <v>78</v>
      </c>
      <c r="C46" t="str">
        <f>+ADDRESS(ROW(Pro_Forma!D65),COLUMN(Pro_Forma!D65))</f>
        <v>$D$65</v>
      </c>
    </row>
    <row r="47" spans="2:3" x14ac:dyDescent="0.35">
      <c r="B47" t="s">
        <v>80</v>
      </c>
      <c r="C47" t="str">
        <f>+ADDRESS(ROW(Pro_Forma!D66),COLUMN(Pro_Forma!D66))</f>
        <v>$D$66</v>
      </c>
    </row>
    <row r="48" spans="2:3" x14ac:dyDescent="0.35">
      <c r="B48" t="s">
        <v>143</v>
      </c>
      <c r="C48" t="str">
        <f>+ADDRESS(ROW(Pro_Forma!D67),COLUMN(Pro_Forma!D67))</f>
        <v>$D$67</v>
      </c>
    </row>
    <row r="49" spans="2:3" x14ac:dyDescent="0.35">
      <c r="B49" t="s">
        <v>38</v>
      </c>
      <c r="C49" t="str">
        <f>+ADDRESS(ROW(Pro_Forma!D69),COLUMN(Pro_Forma!D69))</f>
        <v>$D$69</v>
      </c>
    </row>
    <row r="50" spans="2:3" x14ac:dyDescent="0.35">
      <c r="B50" t="s">
        <v>371</v>
      </c>
      <c r="C50" t="str">
        <f>+ADDRESS(ROW(Pro_Forma!D70),COLUMN(Pro_Forma!D70))</f>
        <v>$D$70</v>
      </c>
    </row>
    <row r="51" spans="2:3" x14ac:dyDescent="0.35">
      <c r="B51" t="s">
        <v>39</v>
      </c>
      <c r="C51" t="str">
        <f>+ADDRESS(ROW(Pro_Forma!D71),COLUMN(Pro_Forma!D71))</f>
        <v>$D$71</v>
      </c>
    </row>
    <row r="52" spans="2:3" x14ac:dyDescent="0.35">
      <c r="B52" t="s">
        <v>394</v>
      </c>
      <c r="C52" t="str">
        <f>+ADDRESS(ROW(Pro_Forma!D72),COLUMN(Pro_Forma!D72))</f>
        <v>$D$72</v>
      </c>
    </row>
    <row r="54" spans="2:3" x14ac:dyDescent="0.35">
      <c r="B54" s="1" t="s">
        <v>40</v>
      </c>
      <c r="C54" t="str">
        <f>C55&amp;":"&amp;C61</f>
        <v>$D$75:$D$82</v>
      </c>
    </row>
    <row r="55" spans="2:3" x14ac:dyDescent="0.35">
      <c r="B55" t="s">
        <v>41</v>
      </c>
      <c r="C55" t="str">
        <f>+ADDRESS(ROW(Pro_Forma!D75),COLUMN(Pro_Forma!D75))</f>
        <v>$D$75</v>
      </c>
    </row>
    <row r="56" spans="2:3" x14ac:dyDescent="0.35">
      <c r="B56" t="s">
        <v>167</v>
      </c>
      <c r="C56" t="str">
        <f>+ADDRESS(ROW(Pro_Forma!D76),COLUMN(Pro_Forma!D76))</f>
        <v>$D$76</v>
      </c>
    </row>
    <row r="57" spans="2:3" x14ac:dyDescent="0.35">
      <c r="B57" t="s">
        <v>37</v>
      </c>
      <c r="C57" t="str">
        <f>+ADDRESS(ROW(Pro_Forma!D77),COLUMN(Pro_Forma!D77))</f>
        <v>$D$77</v>
      </c>
    </row>
    <row r="58" spans="2:3" x14ac:dyDescent="0.35">
      <c r="B58" t="s">
        <v>143</v>
      </c>
      <c r="C58" t="str">
        <f>+ADDRESS(ROW(Pro_Forma!D78),COLUMN(Pro_Forma!D78))</f>
        <v>$D$78</v>
      </c>
    </row>
    <row r="59" spans="2:3" x14ac:dyDescent="0.35">
      <c r="B59" t="s">
        <v>38</v>
      </c>
      <c r="C59" t="str">
        <f>+ADDRESS(ROW(Pro_Forma!D80),COLUMN(Pro_Forma!D80))</f>
        <v>$D$80</v>
      </c>
    </row>
    <row r="60" spans="2:3" x14ac:dyDescent="0.35">
      <c r="B60" t="s">
        <v>39</v>
      </c>
      <c r="C60" t="str">
        <f>+ADDRESS(ROW(Pro_Forma!D81),COLUMN(Pro_Forma!D81))</f>
        <v>$D$81</v>
      </c>
    </row>
    <row r="61" spans="2:3" x14ac:dyDescent="0.35">
      <c r="B61" t="s">
        <v>395</v>
      </c>
      <c r="C61" t="str">
        <f>+ADDRESS(ROW(Pro_Forma!D82),COLUMN(Pro_Forma!D82))</f>
        <v>$D$82</v>
      </c>
    </row>
    <row r="63" spans="2:3" x14ac:dyDescent="0.35">
      <c r="B63" s="1" t="s">
        <v>55</v>
      </c>
      <c r="C63" t="str">
        <f>C64&amp;":"&amp;C68</f>
        <v>$D$86:$D$94</v>
      </c>
    </row>
    <row r="64" spans="2:3" x14ac:dyDescent="0.35">
      <c r="B64" t="s">
        <v>42</v>
      </c>
      <c r="C64" t="str">
        <f>+ADDRESS(ROW(Pro_Forma!D86),COLUMN(Pro_Forma!D86))</f>
        <v>$D$86</v>
      </c>
    </row>
    <row r="65" spans="2:3" x14ac:dyDescent="0.35">
      <c r="B65" t="s">
        <v>56</v>
      </c>
      <c r="C65" t="str">
        <f>+ADDRESS(ROW(Pro_Forma!D87),COLUMN(Pro_Forma!D87))</f>
        <v>$D$87</v>
      </c>
    </row>
    <row r="66" spans="2:3" x14ac:dyDescent="0.35">
      <c r="B66" t="s">
        <v>79</v>
      </c>
      <c r="C66" t="str">
        <f>+ADDRESS(ROW(Pro_Forma!D88),COLUMN(Pro_Forma!D88))</f>
        <v>$D$88</v>
      </c>
    </row>
    <row r="67" spans="2:3" x14ac:dyDescent="0.35">
      <c r="B67" t="s">
        <v>57</v>
      </c>
      <c r="C67" t="str">
        <f>+ADDRESS(ROW(Pro_Forma!D89),COLUMN(Pro_Forma!D89))</f>
        <v>$D$89</v>
      </c>
    </row>
    <row r="68" spans="2:3" x14ac:dyDescent="0.35">
      <c r="B68" t="s">
        <v>372</v>
      </c>
      <c r="C68" t="str">
        <f>+ADDRESS(ROW(Pro_Forma!D94),COLUMN(Pro_Forma!D94))</f>
        <v>$D$94</v>
      </c>
    </row>
    <row r="70" spans="2:3" x14ac:dyDescent="0.35">
      <c r="B70" s="1" t="s">
        <v>181</v>
      </c>
      <c r="C70" t="str">
        <f>C71&amp;":"&amp;C73</f>
        <v>$D$97:$D$101</v>
      </c>
    </row>
    <row r="71" spans="2:3" x14ac:dyDescent="0.35">
      <c r="B71" t="s">
        <v>77</v>
      </c>
      <c r="C71" t="str">
        <f>+ADDRESS(ROW(Pro_Forma!D97),COLUMN(Pro_Forma!D97))</f>
        <v>$D$97</v>
      </c>
    </row>
    <row r="72" spans="2:3" x14ac:dyDescent="0.35">
      <c r="B72" t="s">
        <v>134</v>
      </c>
      <c r="C72" t="str">
        <f>+ADDRESS(ROW(Pro_Forma!D100),COLUMN(Pro_Forma!D100))</f>
        <v>$D$100</v>
      </c>
    </row>
    <row r="73" spans="2:3" x14ac:dyDescent="0.35">
      <c r="B73" t="s">
        <v>396</v>
      </c>
      <c r="C73" t="str">
        <f>+ADDRESS(ROW(Pro_Forma!D101),COLUMN(Pro_Forma!D101))</f>
        <v>$D$101</v>
      </c>
    </row>
    <row r="75" spans="2:3" x14ac:dyDescent="0.35">
      <c r="B75" t="s">
        <v>186</v>
      </c>
      <c r="C75" t="str">
        <f>C76&amp;":"&amp;C80</f>
        <v>$D$105:$D$110</v>
      </c>
    </row>
    <row r="76" spans="2:3" x14ac:dyDescent="0.35">
      <c r="B76" t="s">
        <v>182</v>
      </c>
      <c r="C76" t="str">
        <f>+ADDRESS(ROW(Pro_Forma!D105),COLUMN(Pro_Forma!D105))</f>
        <v>$D$105</v>
      </c>
    </row>
    <row r="77" spans="2:3" x14ac:dyDescent="0.35">
      <c r="B77" t="s">
        <v>183</v>
      </c>
      <c r="C77" t="str">
        <f>+ADDRESS(ROW(Pro_Forma!D106),COLUMN(Pro_Forma!D106))</f>
        <v>$D$106</v>
      </c>
    </row>
    <row r="78" spans="2:3" x14ac:dyDescent="0.35">
      <c r="B78" t="s">
        <v>184</v>
      </c>
      <c r="C78" t="str">
        <f>+ADDRESS(ROW(Pro_Forma!D108),COLUMN(Pro_Forma!D108))</f>
        <v>$D$108</v>
      </c>
    </row>
    <row r="79" spans="2:3" x14ac:dyDescent="0.35">
      <c r="B79" t="s">
        <v>185</v>
      </c>
      <c r="C79" t="str">
        <f>+ADDRESS(ROW(Pro_Forma!D109),COLUMN(Pro_Forma!D109))</f>
        <v>$D$109</v>
      </c>
    </row>
    <row r="80" spans="2:3" x14ac:dyDescent="0.35">
      <c r="B80" t="s">
        <v>397</v>
      </c>
      <c r="C80" t="str">
        <f>+ADDRESS(ROW(Pro_Forma!D110),COLUMN(Pro_Forma!D110))</f>
        <v>$D$110</v>
      </c>
    </row>
    <row r="82" spans="2:3" x14ac:dyDescent="0.35">
      <c r="B82" s="1" t="s">
        <v>192</v>
      </c>
      <c r="C82" t="str">
        <f>C83&amp;":"&amp;C89</f>
        <v>$D$121:$D$127</v>
      </c>
    </row>
    <row r="83" spans="2:3" x14ac:dyDescent="0.35">
      <c r="B83" t="s">
        <v>193</v>
      </c>
      <c r="C83" t="str">
        <f>+ADDRESS(ROW(Pro_Forma!D121),COLUMN(Pro_Forma!D121))</f>
        <v>$D$121</v>
      </c>
    </row>
    <row r="84" spans="2:3" x14ac:dyDescent="0.35">
      <c r="B84" t="s">
        <v>194</v>
      </c>
      <c r="C84" t="str">
        <f>+ADDRESS(ROW(Pro_Forma!D122),COLUMN(Pro_Forma!D122))</f>
        <v>$D$122</v>
      </c>
    </row>
    <row r="85" spans="2:3" x14ac:dyDescent="0.35">
      <c r="B85" t="s">
        <v>199</v>
      </c>
      <c r="C85" t="str">
        <f>+ADDRESS(ROW(Pro_Forma!D123),COLUMN(Pro_Forma!D123))</f>
        <v>$D$123</v>
      </c>
    </row>
    <row r="86" spans="2:3" x14ac:dyDescent="0.35">
      <c r="B86" t="s">
        <v>195</v>
      </c>
      <c r="C86" t="str">
        <f>+ADDRESS(ROW(Pro_Forma!D124),COLUMN(Pro_Forma!D124))</f>
        <v>$D$124</v>
      </c>
    </row>
    <row r="87" spans="2:3" x14ac:dyDescent="0.35">
      <c r="B87" t="s">
        <v>196</v>
      </c>
      <c r="C87" t="str">
        <f>+ADDRESS(ROW(Pro_Forma!D125),COLUMN(Pro_Forma!D125))</f>
        <v>$D$125</v>
      </c>
    </row>
    <row r="88" spans="2:3" x14ac:dyDescent="0.35">
      <c r="B88" t="s">
        <v>197</v>
      </c>
      <c r="C88" t="str">
        <f>+ADDRESS(ROW(Pro_Forma!D126),COLUMN(Pro_Forma!D126))</f>
        <v>$D$126</v>
      </c>
    </row>
    <row r="89" spans="2:3" x14ac:dyDescent="0.35">
      <c r="B89" t="s">
        <v>198</v>
      </c>
      <c r="C89" t="str">
        <f>+ADDRESS(ROW(Pro_Forma!D127),COLUMN(Pro_Forma!D127))</f>
        <v>$D$127</v>
      </c>
    </row>
    <row r="91" spans="2:3" x14ac:dyDescent="0.35">
      <c r="B91" s="1" t="s">
        <v>180</v>
      </c>
      <c r="C91" t="str">
        <f>C92&amp;":"&amp;C98</f>
        <v>$D$130:$D$136</v>
      </c>
    </row>
    <row r="92" spans="2:3" x14ac:dyDescent="0.35">
      <c r="B92" t="s">
        <v>177</v>
      </c>
      <c r="C92" t="str">
        <f>+ADDRESS(ROW(Pro_Forma!D130),COLUMN(Pro_Forma!D130))</f>
        <v>$D$130</v>
      </c>
    </row>
    <row r="93" spans="2:3" x14ac:dyDescent="0.35">
      <c r="B93" t="s">
        <v>178</v>
      </c>
      <c r="C93" t="str">
        <f>+ADDRESS(ROW(Pro_Forma!D131),COLUMN(Pro_Forma!D131))</f>
        <v>$D$131</v>
      </c>
    </row>
    <row r="94" spans="2:3" x14ac:dyDescent="0.35">
      <c r="B94" t="s">
        <v>179</v>
      </c>
      <c r="C94" t="str">
        <f>+ADDRESS(ROW(Pro_Forma!D132),COLUMN(Pro_Forma!D132))</f>
        <v>$D$132</v>
      </c>
    </row>
    <row r="95" spans="2:3" x14ac:dyDescent="0.35">
      <c r="B95" t="s">
        <v>188</v>
      </c>
      <c r="C95" t="str">
        <f>+ADDRESS(ROW(Pro_Forma!D133),COLUMN(Pro_Forma!D133))</f>
        <v>$D$133</v>
      </c>
    </row>
    <row r="96" spans="2:3" x14ac:dyDescent="0.35">
      <c r="B96" t="s">
        <v>189</v>
      </c>
      <c r="C96" t="str">
        <f>+ADDRESS(ROW(Pro_Forma!D134),COLUMN(Pro_Forma!D134))</f>
        <v>$D$134</v>
      </c>
    </row>
    <row r="97" spans="2:3" x14ac:dyDescent="0.35">
      <c r="B97" t="s">
        <v>190</v>
      </c>
      <c r="C97" t="str">
        <f>+ADDRESS(ROW(Pro_Forma!D135),COLUMN(Pro_Forma!D135))</f>
        <v>$D$135</v>
      </c>
    </row>
    <row r="98" spans="2:3" x14ac:dyDescent="0.35">
      <c r="B98" t="s">
        <v>191</v>
      </c>
      <c r="C98" t="str">
        <f>+ADDRESS(ROW(Pro_Forma!D136),COLUMN(Pro_Forma!D136))</f>
        <v>$D$136</v>
      </c>
    </row>
    <row r="100" spans="2:3" x14ac:dyDescent="0.35">
      <c r="B100" t="s">
        <v>368</v>
      </c>
      <c r="C100" t="str">
        <f>+ADDRESS(ROW(Pro_Forma!H3),COLUMN(Pro_Forma!H3))</f>
        <v>$H$3</v>
      </c>
    </row>
    <row r="101" spans="2:3" x14ac:dyDescent="0.35">
      <c r="B101" t="s">
        <v>369</v>
      </c>
      <c r="C101" t="str">
        <f>+ADDRESS(ROW(Pro_Forma!H6),COLUMN(Pro_Forma!H6))</f>
        <v>$H$6</v>
      </c>
    </row>
    <row r="102" spans="2:3" x14ac:dyDescent="0.35">
      <c r="B102" t="s">
        <v>370</v>
      </c>
      <c r="C102" t="str">
        <f>C100&amp;":"&amp;C101</f>
        <v>$H$3:$H$6</v>
      </c>
    </row>
    <row r="104" spans="2:3" x14ac:dyDescent="0.35">
      <c r="B104" t="s">
        <v>384</v>
      </c>
      <c r="C104" t="str">
        <f>+ADDRESS(ROW(Pro_Forma!L11),COLUMN(Pro_Forma!L11))</f>
        <v>$L$11</v>
      </c>
    </row>
    <row r="105" spans="2:3" x14ac:dyDescent="0.35">
      <c r="B105" t="s">
        <v>385</v>
      </c>
      <c r="C105" t="str">
        <f>+ADDRESS(ROW(Pro_Forma!L13),COLUMN(Pro_Forma!L13))</f>
        <v>$L$13</v>
      </c>
    </row>
    <row r="106" spans="2:3" x14ac:dyDescent="0.35">
      <c r="B106" t="s">
        <v>386</v>
      </c>
      <c r="C106" t="str">
        <f>C104&amp;":"&amp;C105</f>
        <v>$L$11:$L$13</v>
      </c>
    </row>
    <row r="107" spans="2:3" x14ac:dyDescent="0.35">
      <c r="B107" t="s">
        <v>387</v>
      </c>
      <c r="C107" t="str">
        <f>+ADDRESS(ROW(Pro_Forma!L14),COLUMN(Pro_Forma!L14))</f>
        <v>$L$14</v>
      </c>
    </row>
    <row r="108" spans="2:3" x14ac:dyDescent="0.35">
      <c r="B108" t="s">
        <v>388</v>
      </c>
      <c r="C108" t="str">
        <f>+ADDRESS(ROW(Pro_Forma!L17),COLUMN(Pro_Forma!L17))</f>
        <v>$L$17</v>
      </c>
    </row>
    <row r="109" spans="2:3" x14ac:dyDescent="0.35">
      <c r="B109" t="s">
        <v>389</v>
      </c>
      <c r="C109" t="str">
        <f>C107&amp;":"&amp;C108</f>
        <v>$L$14:$L$17</v>
      </c>
    </row>
    <row r="110" spans="2:3" x14ac:dyDescent="0.35">
      <c r="B110" t="s">
        <v>390</v>
      </c>
      <c r="C110" t="str">
        <f>+ADDRESS(ROW(Pro_Forma!L18),COLUMN(Pro_Forma!L18))</f>
        <v>$L$18</v>
      </c>
    </row>
    <row r="111" spans="2:3" x14ac:dyDescent="0.35">
      <c r="B111" t="s">
        <v>391</v>
      </c>
      <c r="C111" t="str">
        <f>+ADDRESS(ROW(Pro_Forma!L21),COLUMN(Pro_Forma!L21))</f>
        <v>$L$21</v>
      </c>
    </row>
    <row r="112" spans="2:3" x14ac:dyDescent="0.35">
      <c r="B112" t="s">
        <v>392</v>
      </c>
      <c r="C112" t="str">
        <f>C110&amp;":"&amp;C111</f>
        <v>$L$18:$L$21</v>
      </c>
    </row>
    <row r="113" spans="2:3" x14ac:dyDescent="0.35">
      <c r="B113" t="s">
        <v>401</v>
      </c>
      <c r="C113" t="str">
        <f>+ADDRESS(ROW(Pro_Forma!L22),COLUMN(Pro_Forma!L22))</f>
        <v>$L$22</v>
      </c>
    </row>
    <row r="114" spans="2:3" x14ac:dyDescent="0.35">
      <c r="B114" t="s">
        <v>402</v>
      </c>
      <c r="C114" t="str">
        <f>+ADDRESS(ROW(Pro_Forma!L25),COLUMN(Pro_Forma!L25))</f>
        <v>$L$25</v>
      </c>
    </row>
    <row r="115" spans="2:3" x14ac:dyDescent="0.35">
      <c r="B115" t="s">
        <v>403</v>
      </c>
      <c r="C115" t="str">
        <f>C113&amp;":"&amp;C114</f>
        <v>$L$22:$L$25</v>
      </c>
    </row>
    <row r="116" spans="2:3" x14ac:dyDescent="0.35">
      <c r="B116" t="s">
        <v>393</v>
      </c>
      <c r="C116" t="str">
        <f>+ADDRESS(ROW(Pro_Forma!L26),COLUMN(Pro_Forma!L26))</f>
        <v>$L$26</v>
      </c>
    </row>
    <row r="118" spans="2:3" x14ac:dyDescent="0.35">
      <c r="B118" t="s">
        <v>374</v>
      </c>
      <c r="C118" t="str">
        <f>+ADDRESS(ROW(Pro_Forma!I11),COLUMN(Pro_Forma!I11))</f>
        <v>$I$11</v>
      </c>
    </row>
    <row r="119" spans="2:3" x14ac:dyDescent="0.35">
      <c r="B119" t="s">
        <v>375</v>
      </c>
      <c r="C119" t="str">
        <f>+ADDRESS(ROW(Pro_Forma!I13),COLUMN(Pro_Forma!I13))</f>
        <v>$I$13</v>
      </c>
    </row>
    <row r="120" spans="2:3" x14ac:dyDescent="0.35">
      <c r="B120" t="s">
        <v>377</v>
      </c>
      <c r="C120" t="str">
        <f>C118&amp;":"&amp;C119</f>
        <v>$I$11:$I$13</v>
      </c>
    </row>
    <row r="121" spans="2:3" x14ac:dyDescent="0.35">
      <c r="B121" t="s">
        <v>378</v>
      </c>
      <c r="C121" t="str">
        <f>+ADDRESS(ROW(Pro_Forma!I14),COLUMN(Pro_Forma!I14))</f>
        <v>$I$14</v>
      </c>
    </row>
    <row r="122" spans="2:3" x14ac:dyDescent="0.35">
      <c r="B122" t="s">
        <v>379</v>
      </c>
      <c r="C122" t="str">
        <f>+ADDRESS(ROW(Pro_Forma!I17),COLUMN(Pro_Forma!I17))</f>
        <v>$I$17</v>
      </c>
    </row>
    <row r="123" spans="2:3" x14ac:dyDescent="0.35">
      <c r="B123" t="s">
        <v>376</v>
      </c>
      <c r="C123" t="str">
        <f>C121&amp;":"&amp;C122</f>
        <v>$I$14:$I$17</v>
      </c>
    </row>
    <row r="124" spans="2:3" x14ac:dyDescent="0.35">
      <c r="B124" t="s">
        <v>380</v>
      </c>
      <c r="C124" t="str">
        <f>+ADDRESS(ROW(Pro_Forma!I18),COLUMN(Pro_Forma!I18))</f>
        <v>$I$18</v>
      </c>
    </row>
    <row r="125" spans="2:3" x14ac:dyDescent="0.35">
      <c r="B125" t="s">
        <v>381</v>
      </c>
      <c r="C125" t="str">
        <f>+ADDRESS(ROW(Pro_Forma!I21),COLUMN(Pro_Forma!I21))</f>
        <v>$I$21</v>
      </c>
    </row>
    <row r="126" spans="2:3" x14ac:dyDescent="0.35">
      <c r="B126" t="s">
        <v>382</v>
      </c>
      <c r="C126" t="str">
        <f>C124&amp;":"&amp;C125</f>
        <v>$I$18:$I$21</v>
      </c>
    </row>
    <row r="127" spans="2:3" x14ac:dyDescent="0.35">
      <c r="B127" t="s">
        <v>404</v>
      </c>
      <c r="C127" t="str">
        <f>+ADDRESS(ROW(Pro_Forma!I22),COLUMN(Pro_Forma!I22))</f>
        <v>$I$22</v>
      </c>
    </row>
    <row r="128" spans="2:3" x14ac:dyDescent="0.35">
      <c r="B128" t="s">
        <v>405</v>
      </c>
      <c r="C128" t="str">
        <f>+ADDRESS(ROW(Pro_Forma!I25),COLUMN(Pro_Forma!I25))</f>
        <v>$I$25</v>
      </c>
    </row>
    <row r="129" spans="2:3" x14ac:dyDescent="0.35">
      <c r="B129" t="s">
        <v>406</v>
      </c>
      <c r="C129" t="str">
        <f>C127&amp;":"&amp;C128</f>
        <v>$I$22:$I$25</v>
      </c>
    </row>
    <row r="130" spans="2:3" x14ac:dyDescent="0.35">
      <c r="B130" t="s">
        <v>383</v>
      </c>
      <c r="C130" t="str">
        <f>+ADDRESS(ROW(Pro_Forma!I26),COLUMN(Pro_Forma!I26))</f>
        <v>$I$26</v>
      </c>
    </row>
    <row r="136" spans="2:3" x14ac:dyDescent="0.35">
      <c r="B136" t="s">
        <v>373</v>
      </c>
      <c r="C136" t="str">
        <f>ADDRESS(ROW(Pro_Forma!S16),COLUMN(Pro_Forma!S16))</f>
        <v>$S$16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39DD-308D-4EE7-BDE1-7BE49C787D6B}">
  <sheetPr codeName="Sheet6"/>
  <dimension ref="A1:R436"/>
  <sheetViews>
    <sheetView topLeftCell="A4" workbookViewId="0">
      <selection activeCell="A237" sqref="A237:XFD237"/>
    </sheetView>
  </sheetViews>
  <sheetFormatPr defaultColWidth="8.81640625" defaultRowHeight="14.5" x14ac:dyDescent="0.35"/>
  <cols>
    <col min="1" max="1" width="50.453125" bestFit="1" customWidth="1"/>
    <col min="2" max="2" width="24.36328125" bestFit="1" customWidth="1"/>
    <col min="3" max="3" width="13.453125" bestFit="1" customWidth="1"/>
    <col min="4" max="4" width="31.453125" bestFit="1" customWidth="1"/>
    <col min="5" max="5" width="23.453125" bestFit="1" customWidth="1"/>
    <col min="6" max="6" width="17.36328125" bestFit="1" customWidth="1"/>
    <col min="7" max="7" width="27.453125" bestFit="1" customWidth="1"/>
    <col min="8" max="8" width="42.6328125" bestFit="1" customWidth="1"/>
  </cols>
  <sheetData>
    <row r="1" spans="1:18" x14ac:dyDescent="0.35">
      <c r="A1" s="189" t="s">
        <v>411</v>
      </c>
      <c r="B1" s="189" t="s">
        <v>412</v>
      </c>
      <c r="C1" s="189" t="s">
        <v>413</v>
      </c>
      <c r="D1" s="189" t="s">
        <v>414</v>
      </c>
      <c r="E1" s="189" t="s">
        <v>415</v>
      </c>
      <c r="F1" s="189" t="s">
        <v>416</v>
      </c>
      <c r="G1" s="189" t="s">
        <v>417</v>
      </c>
      <c r="H1" s="189" t="s">
        <v>418</v>
      </c>
      <c r="I1" s="189" t="s">
        <v>419</v>
      </c>
      <c r="J1" s="189" t="s">
        <v>420</v>
      </c>
      <c r="K1" s="189" t="s">
        <v>421</v>
      </c>
      <c r="L1" s="189" t="s">
        <v>422</v>
      </c>
      <c r="M1" s="189" t="s">
        <v>423</v>
      </c>
      <c r="N1" s="189" t="s">
        <v>424</v>
      </c>
      <c r="O1" s="189" t="s">
        <v>425</v>
      </c>
      <c r="P1" s="189" t="s">
        <v>426</v>
      </c>
      <c r="Q1" s="189" t="s">
        <v>427</v>
      </c>
      <c r="R1" s="189" t="s">
        <v>428</v>
      </c>
    </row>
    <row r="2" spans="1:18" x14ac:dyDescent="0.35">
      <c r="A2" t="s">
        <v>429</v>
      </c>
      <c r="B2" t="s">
        <v>323</v>
      </c>
      <c r="C2" t="s">
        <v>430</v>
      </c>
      <c r="D2" t="s">
        <v>495</v>
      </c>
      <c r="E2" t="s">
        <v>431</v>
      </c>
      <c r="F2" t="s">
        <v>432</v>
      </c>
      <c r="G2" t="s">
        <v>433</v>
      </c>
      <c r="H2" t="s">
        <v>434</v>
      </c>
      <c r="I2">
        <v>7</v>
      </c>
      <c r="J2">
        <v>10</v>
      </c>
      <c r="K2">
        <v>13</v>
      </c>
      <c r="L2">
        <v>15</v>
      </c>
      <c r="M2">
        <v>20</v>
      </c>
      <c r="N2">
        <v>22</v>
      </c>
      <c r="O2">
        <v>25</v>
      </c>
      <c r="P2">
        <v>28</v>
      </c>
      <c r="Q2" t="s">
        <v>435</v>
      </c>
      <c r="R2" t="s">
        <v>436</v>
      </c>
    </row>
    <row r="3" spans="1:18" x14ac:dyDescent="0.35">
      <c r="A3" t="s">
        <v>429</v>
      </c>
      <c r="B3" t="s">
        <v>323</v>
      </c>
      <c r="C3" t="s">
        <v>430</v>
      </c>
      <c r="D3" t="s">
        <v>495</v>
      </c>
      <c r="E3" t="s">
        <v>431</v>
      </c>
      <c r="F3" t="s">
        <v>432</v>
      </c>
      <c r="G3" t="s">
        <v>437</v>
      </c>
      <c r="H3" t="s">
        <v>438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90" t="s">
        <v>439</v>
      </c>
      <c r="R3" t="s">
        <v>440</v>
      </c>
    </row>
    <row r="4" spans="1:18" x14ac:dyDescent="0.35">
      <c r="A4" t="s">
        <v>429</v>
      </c>
      <c r="B4" t="s">
        <v>323</v>
      </c>
      <c r="C4" t="s">
        <v>430</v>
      </c>
      <c r="D4" t="s">
        <v>495</v>
      </c>
      <c r="E4" t="s">
        <v>431</v>
      </c>
      <c r="F4" t="s">
        <v>441</v>
      </c>
      <c r="G4" t="s">
        <v>433</v>
      </c>
      <c r="H4" t="s">
        <v>442</v>
      </c>
      <c r="I4">
        <v>2</v>
      </c>
      <c r="J4">
        <v>3</v>
      </c>
      <c r="K4">
        <v>4</v>
      </c>
      <c r="L4">
        <v>5</v>
      </c>
      <c r="M4">
        <v>7</v>
      </c>
      <c r="N4">
        <v>8</v>
      </c>
      <c r="O4">
        <v>9</v>
      </c>
      <c r="P4">
        <v>9</v>
      </c>
      <c r="Q4" t="s">
        <v>435</v>
      </c>
      <c r="R4" t="s">
        <v>436</v>
      </c>
    </row>
    <row r="5" spans="1:18" x14ac:dyDescent="0.35">
      <c r="A5" t="s">
        <v>429</v>
      </c>
      <c r="B5" t="s">
        <v>323</v>
      </c>
      <c r="C5" t="s">
        <v>430</v>
      </c>
      <c r="D5" t="s">
        <v>495</v>
      </c>
      <c r="E5" t="s">
        <v>431</v>
      </c>
      <c r="F5" t="s">
        <v>441</v>
      </c>
      <c r="G5" t="s">
        <v>443</v>
      </c>
      <c r="H5" t="s">
        <v>444</v>
      </c>
      <c r="I5">
        <v>2</v>
      </c>
      <c r="J5">
        <v>3</v>
      </c>
      <c r="K5">
        <v>4</v>
      </c>
      <c r="L5">
        <v>5</v>
      </c>
      <c r="M5">
        <v>7</v>
      </c>
      <c r="N5">
        <v>9</v>
      </c>
      <c r="O5">
        <v>10</v>
      </c>
      <c r="P5">
        <v>10</v>
      </c>
      <c r="Q5" t="s">
        <v>435</v>
      </c>
      <c r="R5" t="s">
        <v>436</v>
      </c>
    </row>
    <row r="6" spans="1:18" x14ac:dyDescent="0.35">
      <c r="A6" t="s">
        <v>429</v>
      </c>
      <c r="B6" t="s">
        <v>323</v>
      </c>
      <c r="C6" t="s">
        <v>430</v>
      </c>
      <c r="D6" t="s">
        <v>495</v>
      </c>
      <c r="E6" t="s">
        <v>431</v>
      </c>
      <c r="F6" t="s">
        <v>445</v>
      </c>
      <c r="G6" t="s">
        <v>446</v>
      </c>
      <c r="H6" t="s">
        <v>447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 s="190" t="s">
        <v>439</v>
      </c>
      <c r="R6" t="s">
        <v>440</v>
      </c>
    </row>
    <row r="7" spans="1:18" x14ac:dyDescent="0.35">
      <c r="A7" t="s">
        <v>429</v>
      </c>
      <c r="B7" t="s">
        <v>323</v>
      </c>
      <c r="C7" t="s">
        <v>430</v>
      </c>
      <c r="D7" t="s">
        <v>495</v>
      </c>
      <c r="E7" t="s">
        <v>431</v>
      </c>
      <c r="F7" t="s">
        <v>448</v>
      </c>
      <c r="G7" t="s">
        <v>446</v>
      </c>
      <c r="H7" t="s">
        <v>449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 s="190" t="s">
        <v>439</v>
      </c>
      <c r="R7" t="s">
        <v>440</v>
      </c>
    </row>
    <row r="8" spans="1:18" x14ac:dyDescent="0.35">
      <c r="A8" t="s">
        <v>429</v>
      </c>
      <c r="B8" t="s">
        <v>323</v>
      </c>
      <c r="C8" t="s">
        <v>430</v>
      </c>
      <c r="D8" t="s">
        <v>495</v>
      </c>
      <c r="E8" t="s">
        <v>431</v>
      </c>
      <c r="F8" t="s">
        <v>450</v>
      </c>
      <c r="G8" t="s">
        <v>446</v>
      </c>
      <c r="H8" t="s">
        <v>451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 s="190" t="s">
        <v>439</v>
      </c>
      <c r="R8" t="s">
        <v>440</v>
      </c>
    </row>
    <row r="9" spans="1:18" x14ac:dyDescent="0.35">
      <c r="A9" t="s">
        <v>429</v>
      </c>
      <c r="B9" t="s">
        <v>323</v>
      </c>
      <c r="C9" t="s">
        <v>430</v>
      </c>
      <c r="D9" t="s">
        <v>495</v>
      </c>
      <c r="E9" t="s">
        <v>431</v>
      </c>
      <c r="F9" t="s">
        <v>452</v>
      </c>
      <c r="G9" t="s">
        <v>453</v>
      </c>
      <c r="H9" t="s">
        <v>454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 s="190" t="s">
        <v>439</v>
      </c>
      <c r="R9" t="s">
        <v>440</v>
      </c>
    </row>
    <row r="10" spans="1:18" x14ac:dyDescent="0.35">
      <c r="A10" t="s">
        <v>429</v>
      </c>
      <c r="B10" t="s">
        <v>323</v>
      </c>
      <c r="C10" t="s">
        <v>430</v>
      </c>
      <c r="D10" t="s">
        <v>495</v>
      </c>
      <c r="E10" t="s">
        <v>431</v>
      </c>
      <c r="F10" t="s">
        <v>452</v>
      </c>
      <c r="G10" t="s">
        <v>455</v>
      </c>
      <c r="H10" t="s">
        <v>456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 s="190" t="s">
        <v>439</v>
      </c>
      <c r="R10" t="s">
        <v>440</v>
      </c>
    </row>
    <row r="11" spans="1:18" x14ac:dyDescent="0.35">
      <c r="A11" t="s">
        <v>429</v>
      </c>
      <c r="B11" t="s">
        <v>323</v>
      </c>
      <c r="C11" t="s">
        <v>430</v>
      </c>
      <c r="D11" t="s">
        <v>495</v>
      </c>
      <c r="E11" t="s">
        <v>431</v>
      </c>
      <c r="F11" t="s">
        <v>452</v>
      </c>
      <c r="G11" t="s">
        <v>457</v>
      </c>
      <c r="H11" t="s">
        <v>458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 s="190" t="s">
        <v>439</v>
      </c>
      <c r="R11" t="s">
        <v>440</v>
      </c>
    </row>
    <row r="12" spans="1:18" x14ac:dyDescent="0.35">
      <c r="A12" t="s">
        <v>429</v>
      </c>
      <c r="B12" t="s">
        <v>323</v>
      </c>
      <c r="C12" t="s">
        <v>430</v>
      </c>
      <c r="D12" t="s">
        <v>495</v>
      </c>
      <c r="E12" t="s">
        <v>431</v>
      </c>
      <c r="F12" t="s">
        <v>459</v>
      </c>
      <c r="G12" t="s">
        <v>460</v>
      </c>
      <c r="H12" t="s">
        <v>461</v>
      </c>
      <c r="I12">
        <v>16</v>
      </c>
      <c r="J12">
        <v>22</v>
      </c>
      <c r="K12">
        <v>28</v>
      </c>
      <c r="L12">
        <v>35</v>
      </c>
      <c r="M12">
        <v>44</v>
      </c>
      <c r="N12">
        <v>51</v>
      </c>
      <c r="O12">
        <v>57</v>
      </c>
      <c r="P12">
        <v>63</v>
      </c>
      <c r="Q12" t="s">
        <v>435</v>
      </c>
      <c r="R12" t="s">
        <v>436</v>
      </c>
    </row>
    <row r="13" spans="1:18" x14ac:dyDescent="0.35">
      <c r="A13" t="s">
        <v>429</v>
      </c>
      <c r="B13" t="s">
        <v>323</v>
      </c>
      <c r="C13" t="s">
        <v>430</v>
      </c>
      <c r="D13" t="s">
        <v>495</v>
      </c>
      <c r="E13" t="s">
        <v>431</v>
      </c>
      <c r="F13" t="s">
        <v>466</v>
      </c>
      <c r="G13" t="s">
        <v>467</v>
      </c>
      <c r="H13" t="s">
        <v>466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 s="190" t="s">
        <v>439</v>
      </c>
      <c r="R13" t="s">
        <v>440</v>
      </c>
    </row>
    <row r="14" spans="1:18" x14ac:dyDescent="0.35">
      <c r="A14" t="s">
        <v>429</v>
      </c>
      <c r="B14" t="s">
        <v>323</v>
      </c>
      <c r="C14" t="s">
        <v>430</v>
      </c>
      <c r="D14" t="s">
        <v>495</v>
      </c>
      <c r="E14" t="s">
        <v>431</v>
      </c>
      <c r="F14" t="s">
        <v>468</v>
      </c>
      <c r="G14" t="s">
        <v>433</v>
      </c>
      <c r="H14" t="s">
        <v>469</v>
      </c>
      <c r="I14">
        <v>6</v>
      </c>
      <c r="J14">
        <v>9</v>
      </c>
      <c r="K14">
        <v>12</v>
      </c>
      <c r="L14">
        <v>15</v>
      </c>
      <c r="M14">
        <v>18</v>
      </c>
      <c r="N14">
        <v>19</v>
      </c>
      <c r="O14">
        <v>24</v>
      </c>
      <c r="P14">
        <v>24</v>
      </c>
      <c r="Q14" t="s">
        <v>435</v>
      </c>
      <c r="R14" t="s">
        <v>436</v>
      </c>
    </row>
    <row r="15" spans="1:18" x14ac:dyDescent="0.35">
      <c r="A15" t="s">
        <v>429</v>
      </c>
      <c r="B15" t="s">
        <v>323</v>
      </c>
      <c r="C15" t="s">
        <v>430</v>
      </c>
      <c r="D15" t="s">
        <v>495</v>
      </c>
      <c r="E15" t="s">
        <v>431</v>
      </c>
      <c r="F15" t="s">
        <v>468</v>
      </c>
      <c r="G15" t="s">
        <v>470</v>
      </c>
      <c r="H15" t="s">
        <v>471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 s="190" t="s">
        <v>439</v>
      </c>
      <c r="R15" t="s">
        <v>440</v>
      </c>
    </row>
    <row r="16" spans="1:18" x14ac:dyDescent="0.35">
      <c r="A16" t="s">
        <v>429</v>
      </c>
      <c r="B16" t="s">
        <v>323</v>
      </c>
      <c r="C16" t="s">
        <v>430</v>
      </c>
      <c r="D16" t="s">
        <v>495</v>
      </c>
      <c r="E16" t="s">
        <v>431</v>
      </c>
      <c r="F16" t="s">
        <v>468</v>
      </c>
      <c r="G16" t="s">
        <v>443</v>
      </c>
      <c r="H16" t="s">
        <v>472</v>
      </c>
      <c r="I16">
        <v>5</v>
      </c>
      <c r="J16">
        <v>8</v>
      </c>
      <c r="K16">
        <v>11</v>
      </c>
      <c r="L16">
        <v>14</v>
      </c>
      <c r="M16">
        <v>17</v>
      </c>
      <c r="N16">
        <v>21</v>
      </c>
      <c r="O16">
        <v>25</v>
      </c>
      <c r="P16">
        <v>28</v>
      </c>
      <c r="Q16" t="s">
        <v>435</v>
      </c>
      <c r="R16" t="s">
        <v>436</v>
      </c>
    </row>
    <row r="17" spans="1:18" x14ac:dyDescent="0.35">
      <c r="A17" t="s">
        <v>429</v>
      </c>
      <c r="B17" t="s">
        <v>323</v>
      </c>
      <c r="C17" t="s">
        <v>430</v>
      </c>
      <c r="D17" t="s">
        <v>495</v>
      </c>
      <c r="E17" t="s">
        <v>431</v>
      </c>
      <c r="F17" t="s">
        <v>468</v>
      </c>
      <c r="G17" t="s">
        <v>473</v>
      </c>
      <c r="H17" t="s">
        <v>474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 s="190" t="s">
        <v>439</v>
      </c>
      <c r="R17" t="s">
        <v>440</v>
      </c>
    </row>
    <row r="18" spans="1:18" x14ac:dyDescent="0.35">
      <c r="A18" t="s">
        <v>429</v>
      </c>
      <c r="B18" t="s">
        <v>323</v>
      </c>
      <c r="C18" t="s">
        <v>430</v>
      </c>
      <c r="D18" t="s">
        <v>495</v>
      </c>
      <c r="E18" t="s">
        <v>431</v>
      </c>
      <c r="F18" t="s">
        <v>468</v>
      </c>
      <c r="G18" t="s">
        <v>475</v>
      </c>
      <c r="H18" t="s">
        <v>476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 s="190" t="s">
        <v>439</v>
      </c>
      <c r="R18" t="s">
        <v>440</v>
      </c>
    </row>
    <row r="19" spans="1:18" x14ac:dyDescent="0.35">
      <c r="A19" t="s">
        <v>429</v>
      </c>
      <c r="B19" t="s">
        <v>323</v>
      </c>
      <c r="C19" t="s">
        <v>430</v>
      </c>
      <c r="D19" t="s">
        <v>495</v>
      </c>
      <c r="E19" t="s">
        <v>431</v>
      </c>
      <c r="F19" t="s">
        <v>477</v>
      </c>
      <c r="G19" t="s">
        <v>467</v>
      </c>
      <c r="H19" t="s">
        <v>477</v>
      </c>
      <c r="I19">
        <v>24</v>
      </c>
      <c r="J19">
        <v>24</v>
      </c>
      <c r="K19">
        <v>24</v>
      </c>
      <c r="L19">
        <v>24</v>
      </c>
      <c r="M19">
        <v>24</v>
      </c>
      <c r="N19">
        <v>24</v>
      </c>
      <c r="O19">
        <v>24</v>
      </c>
      <c r="P19">
        <v>24</v>
      </c>
      <c r="Q19" t="s">
        <v>435</v>
      </c>
      <c r="R19" t="s">
        <v>436</v>
      </c>
    </row>
    <row r="20" spans="1:18" x14ac:dyDescent="0.35">
      <c r="A20" t="s">
        <v>429</v>
      </c>
      <c r="B20" t="s">
        <v>323</v>
      </c>
      <c r="C20" t="s">
        <v>430</v>
      </c>
      <c r="D20" t="s">
        <v>495</v>
      </c>
      <c r="E20" t="s">
        <v>431</v>
      </c>
      <c r="F20" t="s">
        <v>478</v>
      </c>
      <c r="G20" t="s">
        <v>446</v>
      </c>
      <c r="H20" t="s">
        <v>479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 s="190" t="s">
        <v>439</v>
      </c>
      <c r="R20" t="s">
        <v>440</v>
      </c>
    </row>
    <row r="21" spans="1:18" x14ac:dyDescent="0.35">
      <c r="A21" t="s">
        <v>429</v>
      </c>
      <c r="B21" t="s">
        <v>323</v>
      </c>
      <c r="C21" t="s">
        <v>430</v>
      </c>
      <c r="D21" t="s">
        <v>495</v>
      </c>
      <c r="E21" t="s">
        <v>431</v>
      </c>
      <c r="F21" t="s">
        <v>480</v>
      </c>
      <c r="G21" t="s">
        <v>467</v>
      </c>
      <c r="H21" t="s">
        <v>480</v>
      </c>
      <c r="I21">
        <v>50</v>
      </c>
      <c r="J21">
        <v>71</v>
      </c>
      <c r="K21">
        <v>91</v>
      </c>
      <c r="L21">
        <v>111</v>
      </c>
      <c r="M21">
        <v>141</v>
      </c>
      <c r="N21">
        <v>161</v>
      </c>
      <c r="O21">
        <v>181</v>
      </c>
      <c r="P21">
        <v>181</v>
      </c>
      <c r="Q21" t="s">
        <v>435</v>
      </c>
      <c r="R21" t="s">
        <v>436</v>
      </c>
    </row>
    <row r="22" spans="1:18" x14ac:dyDescent="0.35">
      <c r="A22" t="s">
        <v>429</v>
      </c>
      <c r="B22" t="s">
        <v>323</v>
      </c>
      <c r="C22" t="s">
        <v>430</v>
      </c>
      <c r="D22" t="s">
        <v>495</v>
      </c>
      <c r="E22" t="s">
        <v>431</v>
      </c>
      <c r="F22" t="s">
        <v>481</v>
      </c>
      <c r="G22" t="s">
        <v>433</v>
      </c>
      <c r="H22" t="s">
        <v>482</v>
      </c>
      <c r="I22">
        <v>7</v>
      </c>
      <c r="J22">
        <v>12</v>
      </c>
      <c r="K22">
        <v>16</v>
      </c>
      <c r="L22">
        <v>21</v>
      </c>
      <c r="M22">
        <v>26</v>
      </c>
      <c r="N22">
        <v>33</v>
      </c>
      <c r="O22">
        <v>37</v>
      </c>
      <c r="P22">
        <v>37</v>
      </c>
      <c r="Q22" t="s">
        <v>435</v>
      </c>
      <c r="R22" t="s">
        <v>436</v>
      </c>
    </row>
    <row r="23" spans="1:18" x14ac:dyDescent="0.35">
      <c r="A23" t="s">
        <v>429</v>
      </c>
      <c r="B23" t="s">
        <v>323</v>
      </c>
      <c r="C23" t="s">
        <v>430</v>
      </c>
      <c r="D23" t="s">
        <v>495</v>
      </c>
      <c r="E23" t="s">
        <v>431</v>
      </c>
      <c r="F23" t="s">
        <v>481</v>
      </c>
      <c r="G23" t="s">
        <v>443</v>
      </c>
      <c r="H23" t="s">
        <v>483</v>
      </c>
      <c r="I23">
        <v>8</v>
      </c>
      <c r="J23">
        <v>11</v>
      </c>
      <c r="K23">
        <v>15</v>
      </c>
      <c r="L23">
        <v>18</v>
      </c>
      <c r="M23">
        <v>23</v>
      </c>
      <c r="N23">
        <v>26</v>
      </c>
      <c r="O23">
        <v>29</v>
      </c>
      <c r="P23">
        <v>32</v>
      </c>
      <c r="Q23" t="s">
        <v>435</v>
      </c>
      <c r="R23" t="s">
        <v>436</v>
      </c>
    </row>
    <row r="24" spans="1:18" x14ac:dyDescent="0.35">
      <c r="A24" t="s">
        <v>429</v>
      </c>
      <c r="B24" t="s">
        <v>323</v>
      </c>
      <c r="C24" t="s">
        <v>430</v>
      </c>
      <c r="D24" t="s">
        <v>495</v>
      </c>
      <c r="E24" t="s">
        <v>431</v>
      </c>
      <c r="F24" t="s">
        <v>481</v>
      </c>
      <c r="G24" t="s">
        <v>473</v>
      </c>
      <c r="H24" t="s">
        <v>484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 s="190" t="s">
        <v>439</v>
      </c>
      <c r="R24" t="s">
        <v>440</v>
      </c>
    </row>
    <row r="25" spans="1:18" x14ac:dyDescent="0.35">
      <c r="A25" t="s">
        <v>429</v>
      </c>
      <c r="B25" t="s">
        <v>323</v>
      </c>
      <c r="C25" t="s">
        <v>430</v>
      </c>
      <c r="D25" t="s">
        <v>485</v>
      </c>
      <c r="E25" t="s">
        <v>486</v>
      </c>
      <c r="F25" t="s">
        <v>432</v>
      </c>
      <c r="G25" t="s">
        <v>433</v>
      </c>
      <c r="H25" t="s">
        <v>434</v>
      </c>
      <c r="I25">
        <v>7</v>
      </c>
      <c r="J25">
        <v>10</v>
      </c>
      <c r="K25">
        <v>13</v>
      </c>
      <c r="L25">
        <v>15</v>
      </c>
      <c r="M25">
        <v>20</v>
      </c>
      <c r="N25">
        <v>22</v>
      </c>
      <c r="O25">
        <v>25</v>
      </c>
      <c r="P25">
        <v>28</v>
      </c>
      <c r="Q25" t="s">
        <v>435</v>
      </c>
      <c r="R25" t="s">
        <v>436</v>
      </c>
    </row>
    <row r="26" spans="1:18" x14ac:dyDescent="0.35">
      <c r="A26" t="s">
        <v>429</v>
      </c>
      <c r="B26" t="s">
        <v>323</v>
      </c>
      <c r="C26" t="s">
        <v>430</v>
      </c>
      <c r="D26" t="s">
        <v>485</v>
      </c>
      <c r="E26" t="s">
        <v>486</v>
      </c>
      <c r="F26" t="s">
        <v>432</v>
      </c>
      <c r="G26" t="s">
        <v>437</v>
      </c>
      <c r="H26" t="s">
        <v>438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 s="190" t="s">
        <v>439</v>
      </c>
      <c r="R26" t="s">
        <v>440</v>
      </c>
    </row>
    <row r="27" spans="1:18" x14ac:dyDescent="0.35">
      <c r="A27" t="s">
        <v>429</v>
      </c>
      <c r="B27" t="s">
        <v>323</v>
      </c>
      <c r="C27" t="s">
        <v>430</v>
      </c>
      <c r="D27" t="s">
        <v>485</v>
      </c>
      <c r="E27" t="s">
        <v>486</v>
      </c>
      <c r="F27" t="s">
        <v>441</v>
      </c>
      <c r="G27" t="s">
        <v>433</v>
      </c>
      <c r="H27" t="s">
        <v>442</v>
      </c>
      <c r="I27">
        <v>4</v>
      </c>
      <c r="J27">
        <v>6</v>
      </c>
      <c r="K27">
        <v>7</v>
      </c>
      <c r="L27">
        <v>9</v>
      </c>
      <c r="M27">
        <v>11</v>
      </c>
      <c r="N27">
        <v>13</v>
      </c>
      <c r="O27">
        <v>14</v>
      </c>
      <c r="P27">
        <v>14</v>
      </c>
      <c r="Q27" t="s">
        <v>435</v>
      </c>
      <c r="R27" t="s">
        <v>436</v>
      </c>
    </row>
    <row r="28" spans="1:18" x14ac:dyDescent="0.35">
      <c r="A28" t="s">
        <v>429</v>
      </c>
      <c r="B28" t="s">
        <v>323</v>
      </c>
      <c r="C28" t="s">
        <v>430</v>
      </c>
      <c r="D28" t="s">
        <v>485</v>
      </c>
      <c r="E28" t="s">
        <v>486</v>
      </c>
      <c r="F28" t="s">
        <v>441</v>
      </c>
      <c r="G28" t="s">
        <v>443</v>
      </c>
      <c r="H28" t="s">
        <v>444</v>
      </c>
      <c r="I28">
        <v>2</v>
      </c>
      <c r="J28">
        <v>3</v>
      </c>
      <c r="K28">
        <v>4</v>
      </c>
      <c r="L28">
        <v>5</v>
      </c>
      <c r="M28">
        <v>7</v>
      </c>
      <c r="N28">
        <v>9</v>
      </c>
      <c r="O28">
        <v>10</v>
      </c>
      <c r="P28">
        <v>10</v>
      </c>
      <c r="Q28" t="s">
        <v>435</v>
      </c>
      <c r="R28" t="s">
        <v>436</v>
      </c>
    </row>
    <row r="29" spans="1:18" x14ac:dyDescent="0.35">
      <c r="A29" t="s">
        <v>429</v>
      </c>
      <c r="B29" t="s">
        <v>323</v>
      </c>
      <c r="C29" t="s">
        <v>430</v>
      </c>
      <c r="D29" t="s">
        <v>485</v>
      </c>
      <c r="E29" t="s">
        <v>486</v>
      </c>
      <c r="F29" t="s">
        <v>445</v>
      </c>
      <c r="G29" t="s">
        <v>446</v>
      </c>
      <c r="H29" t="s">
        <v>447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 s="190" t="s">
        <v>439</v>
      </c>
      <c r="R29" t="s">
        <v>440</v>
      </c>
    </row>
    <row r="30" spans="1:18" x14ac:dyDescent="0.35">
      <c r="A30" t="s">
        <v>429</v>
      </c>
      <c r="B30" t="s">
        <v>323</v>
      </c>
      <c r="C30" t="s">
        <v>430</v>
      </c>
      <c r="D30" t="s">
        <v>485</v>
      </c>
      <c r="E30" t="s">
        <v>486</v>
      </c>
      <c r="F30" t="s">
        <v>448</v>
      </c>
      <c r="G30" t="s">
        <v>446</v>
      </c>
      <c r="H30" t="s">
        <v>449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 s="190" t="s">
        <v>439</v>
      </c>
      <c r="R30" t="s">
        <v>440</v>
      </c>
    </row>
    <row r="31" spans="1:18" x14ac:dyDescent="0.35">
      <c r="A31" t="s">
        <v>429</v>
      </c>
      <c r="B31" t="s">
        <v>323</v>
      </c>
      <c r="C31" t="s">
        <v>430</v>
      </c>
      <c r="D31" t="s">
        <v>485</v>
      </c>
      <c r="E31" t="s">
        <v>486</v>
      </c>
      <c r="F31" t="s">
        <v>450</v>
      </c>
      <c r="G31" t="s">
        <v>446</v>
      </c>
      <c r="H31" t="s">
        <v>451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 s="190" t="s">
        <v>439</v>
      </c>
      <c r="R31" t="s">
        <v>440</v>
      </c>
    </row>
    <row r="32" spans="1:18" x14ac:dyDescent="0.35">
      <c r="A32" t="s">
        <v>429</v>
      </c>
      <c r="B32" t="s">
        <v>323</v>
      </c>
      <c r="C32" t="s">
        <v>430</v>
      </c>
      <c r="D32" t="s">
        <v>485</v>
      </c>
      <c r="E32" t="s">
        <v>486</v>
      </c>
      <c r="F32" t="s">
        <v>452</v>
      </c>
      <c r="G32" t="s">
        <v>453</v>
      </c>
      <c r="H32" t="s">
        <v>454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 s="190" t="s">
        <v>439</v>
      </c>
      <c r="R32" t="s">
        <v>440</v>
      </c>
    </row>
    <row r="33" spans="1:18" x14ac:dyDescent="0.35">
      <c r="A33" t="s">
        <v>429</v>
      </c>
      <c r="B33" t="s">
        <v>323</v>
      </c>
      <c r="C33" t="s">
        <v>430</v>
      </c>
      <c r="D33" t="s">
        <v>485</v>
      </c>
      <c r="E33" t="s">
        <v>486</v>
      </c>
      <c r="F33" t="s">
        <v>452</v>
      </c>
      <c r="G33" t="s">
        <v>455</v>
      </c>
      <c r="H33" t="s">
        <v>456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 s="190" t="s">
        <v>439</v>
      </c>
      <c r="R33" t="s">
        <v>440</v>
      </c>
    </row>
    <row r="34" spans="1:18" x14ac:dyDescent="0.35">
      <c r="A34" t="s">
        <v>429</v>
      </c>
      <c r="B34" t="s">
        <v>323</v>
      </c>
      <c r="C34" t="s">
        <v>430</v>
      </c>
      <c r="D34" t="s">
        <v>485</v>
      </c>
      <c r="E34" t="s">
        <v>486</v>
      </c>
      <c r="F34" t="s">
        <v>452</v>
      </c>
      <c r="G34" t="s">
        <v>457</v>
      </c>
      <c r="H34" t="s">
        <v>458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 s="190" t="s">
        <v>439</v>
      </c>
      <c r="R34" t="s">
        <v>440</v>
      </c>
    </row>
    <row r="35" spans="1:18" x14ac:dyDescent="0.35">
      <c r="A35" t="s">
        <v>429</v>
      </c>
      <c r="B35" t="s">
        <v>323</v>
      </c>
      <c r="C35" t="s">
        <v>430</v>
      </c>
      <c r="D35" t="s">
        <v>485</v>
      </c>
      <c r="E35" t="s">
        <v>486</v>
      </c>
      <c r="F35" t="s">
        <v>459</v>
      </c>
      <c r="G35" t="s">
        <v>460</v>
      </c>
      <c r="H35" t="s">
        <v>461</v>
      </c>
      <c r="I35">
        <v>16</v>
      </c>
      <c r="J35">
        <v>22</v>
      </c>
      <c r="K35">
        <v>28</v>
      </c>
      <c r="L35">
        <v>35</v>
      </c>
      <c r="M35">
        <v>44</v>
      </c>
      <c r="N35">
        <v>51</v>
      </c>
      <c r="O35">
        <v>57</v>
      </c>
      <c r="P35">
        <v>63</v>
      </c>
      <c r="Q35" t="s">
        <v>435</v>
      </c>
      <c r="R35" t="s">
        <v>436</v>
      </c>
    </row>
    <row r="36" spans="1:18" x14ac:dyDescent="0.35">
      <c r="A36" t="s">
        <v>429</v>
      </c>
      <c r="B36" t="s">
        <v>323</v>
      </c>
      <c r="C36" t="s">
        <v>430</v>
      </c>
      <c r="D36" t="s">
        <v>485</v>
      </c>
      <c r="E36" t="s">
        <v>486</v>
      </c>
      <c r="F36" t="s">
        <v>462</v>
      </c>
      <c r="G36" t="s">
        <v>446</v>
      </c>
      <c r="H36" t="s">
        <v>463</v>
      </c>
      <c r="I36">
        <v>12</v>
      </c>
      <c r="J36">
        <v>12</v>
      </c>
      <c r="K36">
        <v>12</v>
      </c>
      <c r="L36">
        <v>12</v>
      </c>
      <c r="M36">
        <v>12</v>
      </c>
      <c r="N36">
        <v>12</v>
      </c>
      <c r="O36">
        <v>12</v>
      </c>
      <c r="P36">
        <v>12</v>
      </c>
      <c r="Q36" t="s">
        <v>435</v>
      </c>
      <c r="R36" t="s">
        <v>436</v>
      </c>
    </row>
    <row r="37" spans="1:18" x14ac:dyDescent="0.35">
      <c r="A37" t="s">
        <v>429</v>
      </c>
      <c r="B37" t="s">
        <v>323</v>
      </c>
      <c r="C37" t="s">
        <v>430</v>
      </c>
      <c r="D37" t="s">
        <v>485</v>
      </c>
      <c r="E37" t="s">
        <v>486</v>
      </c>
      <c r="F37" t="s">
        <v>464</v>
      </c>
      <c r="G37" t="s">
        <v>446</v>
      </c>
      <c r="H37" t="s">
        <v>465</v>
      </c>
      <c r="I37">
        <v>12</v>
      </c>
      <c r="J37">
        <v>12</v>
      </c>
      <c r="K37">
        <v>12</v>
      </c>
      <c r="L37">
        <v>12</v>
      </c>
      <c r="M37">
        <v>12</v>
      </c>
      <c r="N37">
        <v>12</v>
      </c>
      <c r="O37">
        <v>12</v>
      </c>
      <c r="P37">
        <v>12</v>
      </c>
      <c r="Q37" t="s">
        <v>435</v>
      </c>
      <c r="R37" t="s">
        <v>436</v>
      </c>
    </row>
    <row r="38" spans="1:18" x14ac:dyDescent="0.35">
      <c r="A38" t="s">
        <v>429</v>
      </c>
      <c r="B38" t="s">
        <v>323</v>
      </c>
      <c r="C38" t="s">
        <v>430</v>
      </c>
      <c r="D38" t="s">
        <v>485</v>
      </c>
      <c r="E38" t="s">
        <v>486</v>
      </c>
      <c r="F38" t="s">
        <v>466</v>
      </c>
      <c r="G38" t="s">
        <v>467</v>
      </c>
      <c r="H38" t="s">
        <v>466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 s="190" t="s">
        <v>439</v>
      </c>
      <c r="R38" t="s">
        <v>440</v>
      </c>
    </row>
    <row r="39" spans="1:18" x14ac:dyDescent="0.35">
      <c r="A39" t="s">
        <v>429</v>
      </c>
      <c r="B39" t="s">
        <v>323</v>
      </c>
      <c r="C39" t="s">
        <v>430</v>
      </c>
      <c r="D39" t="s">
        <v>485</v>
      </c>
      <c r="E39" t="s">
        <v>486</v>
      </c>
      <c r="F39" t="s">
        <v>468</v>
      </c>
      <c r="G39" t="s">
        <v>433</v>
      </c>
      <c r="H39" t="s">
        <v>469</v>
      </c>
      <c r="I39">
        <v>6</v>
      </c>
      <c r="J39">
        <v>9</v>
      </c>
      <c r="K39">
        <v>12</v>
      </c>
      <c r="L39">
        <v>15</v>
      </c>
      <c r="M39">
        <v>18</v>
      </c>
      <c r="N39">
        <v>19</v>
      </c>
      <c r="O39">
        <v>24</v>
      </c>
      <c r="P39">
        <v>24</v>
      </c>
      <c r="Q39" t="s">
        <v>435</v>
      </c>
      <c r="R39" t="s">
        <v>436</v>
      </c>
    </row>
    <row r="40" spans="1:18" x14ac:dyDescent="0.35">
      <c r="A40" t="s">
        <v>429</v>
      </c>
      <c r="B40" t="s">
        <v>323</v>
      </c>
      <c r="C40" t="s">
        <v>430</v>
      </c>
      <c r="D40" t="s">
        <v>485</v>
      </c>
      <c r="E40" t="s">
        <v>486</v>
      </c>
      <c r="F40" t="s">
        <v>468</v>
      </c>
      <c r="G40" t="s">
        <v>470</v>
      </c>
      <c r="H40" t="s">
        <v>471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 s="190" t="s">
        <v>439</v>
      </c>
      <c r="R40" t="s">
        <v>440</v>
      </c>
    </row>
    <row r="41" spans="1:18" x14ac:dyDescent="0.35">
      <c r="A41" t="s">
        <v>429</v>
      </c>
      <c r="B41" t="s">
        <v>323</v>
      </c>
      <c r="C41" t="s">
        <v>430</v>
      </c>
      <c r="D41" t="s">
        <v>485</v>
      </c>
      <c r="E41" t="s">
        <v>486</v>
      </c>
      <c r="F41" t="s">
        <v>468</v>
      </c>
      <c r="G41" t="s">
        <v>443</v>
      </c>
      <c r="H41" t="s">
        <v>472</v>
      </c>
      <c r="I41">
        <v>5</v>
      </c>
      <c r="J41">
        <v>8</v>
      </c>
      <c r="K41">
        <v>11</v>
      </c>
      <c r="L41">
        <v>14</v>
      </c>
      <c r="M41">
        <v>17</v>
      </c>
      <c r="N41">
        <v>21</v>
      </c>
      <c r="O41">
        <v>25</v>
      </c>
      <c r="P41">
        <v>28</v>
      </c>
      <c r="Q41" t="s">
        <v>435</v>
      </c>
      <c r="R41" t="s">
        <v>436</v>
      </c>
    </row>
    <row r="42" spans="1:18" x14ac:dyDescent="0.35">
      <c r="A42" t="s">
        <v>429</v>
      </c>
      <c r="B42" t="s">
        <v>323</v>
      </c>
      <c r="C42" t="s">
        <v>430</v>
      </c>
      <c r="D42" t="s">
        <v>485</v>
      </c>
      <c r="E42" t="s">
        <v>486</v>
      </c>
      <c r="F42" t="s">
        <v>468</v>
      </c>
      <c r="G42" t="s">
        <v>473</v>
      </c>
      <c r="H42" t="s">
        <v>474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 s="190" t="s">
        <v>439</v>
      </c>
      <c r="R42" t="s">
        <v>440</v>
      </c>
    </row>
    <row r="43" spans="1:18" x14ac:dyDescent="0.35">
      <c r="A43" t="s">
        <v>429</v>
      </c>
      <c r="B43" t="s">
        <v>323</v>
      </c>
      <c r="C43" t="s">
        <v>430</v>
      </c>
      <c r="D43" t="s">
        <v>485</v>
      </c>
      <c r="E43" t="s">
        <v>486</v>
      </c>
      <c r="F43" t="s">
        <v>468</v>
      </c>
      <c r="G43" t="s">
        <v>475</v>
      </c>
      <c r="H43" t="s">
        <v>476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 s="190" t="s">
        <v>439</v>
      </c>
      <c r="R43" t="s">
        <v>440</v>
      </c>
    </row>
    <row r="44" spans="1:18" x14ac:dyDescent="0.35">
      <c r="A44" t="s">
        <v>429</v>
      </c>
      <c r="B44" t="s">
        <v>323</v>
      </c>
      <c r="C44" t="s">
        <v>430</v>
      </c>
      <c r="D44" t="s">
        <v>485</v>
      </c>
      <c r="E44" t="s">
        <v>486</v>
      </c>
      <c r="F44" t="s">
        <v>477</v>
      </c>
      <c r="G44" t="s">
        <v>467</v>
      </c>
      <c r="H44" t="s">
        <v>477</v>
      </c>
      <c r="I44">
        <v>24</v>
      </c>
      <c r="J44">
        <v>24</v>
      </c>
      <c r="K44">
        <v>24</v>
      </c>
      <c r="L44">
        <v>24</v>
      </c>
      <c r="M44">
        <v>24</v>
      </c>
      <c r="N44">
        <v>24</v>
      </c>
      <c r="O44">
        <v>24</v>
      </c>
      <c r="P44">
        <v>24</v>
      </c>
      <c r="Q44" t="s">
        <v>435</v>
      </c>
      <c r="R44" t="s">
        <v>436</v>
      </c>
    </row>
    <row r="45" spans="1:18" x14ac:dyDescent="0.35">
      <c r="A45" t="s">
        <v>429</v>
      </c>
      <c r="B45" t="s">
        <v>323</v>
      </c>
      <c r="C45" t="s">
        <v>430</v>
      </c>
      <c r="D45" t="s">
        <v>485</v>
      </c>
      <c r="E45" t="s">
        <v>486</v>
      </c>
      <c r="F45" t="s">
        <v>478</v>
      </c>
      <c r="G45" t="s">
        <v>446</v>
      </c>
      <c r="H45" t="s">
        <v>479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 s="190" t="s">
        <v>439</v>
      </c>
      <c r="R45" t="s">
        <v>440</v>
      </c>
    </row>
    <row r="46" spans="1:18" x14ac:dyDescent="0.35">
      <c r="A46" t="s">
        <v>429</v>
      </c>
      <c r="B46" t="s">
        <v>323</v>
      </c>
      <c r="C46" t="s">
        <v>430</v>
      </c>
      <c r="D46" t="s">
        <v>485</v>
      </c>
      <c r="E46" t="s">
        <v>486</v>
      </c>
      <c r="F46" t="s">
        <v>480</v>
      </c>
      <c r="G46" t="s">
        <v>467</v>
      </c>
      <c r="H46" t="s">
        <v>480</v>
      </c>
      <c r="I46">
        <v>50</v>
      </c>
      <c r="J46">
        <v>71</v>
      </c>
      <c r="K46">
        <v>91</v>
      </c>
      <c r="L46">
        <v>111</v>
      </c>
      <c r="M46">
        <v>141</v>
      </c>
      <c r="N46">
        <v>161</v>
      </c>
      <c r="O46">
        <v>181</v>
      </c>
      <c r="P46">
        <v>181</v>
      </c>
      <c r="Q46" t="s">
        <v>435</v>
      </c>
      <c r="R46" t="s">
        <v>436</v>
      </c>
    </row>
    <row r="47" spans="1:18" x14ac:dyDescent="0.35">
      <c r="A47" t="s">
        <v>429</v>
      </c>
      <c r="B47" t="s">
        <v>323</v>
      </c>
      <c r="C47" t="s">
        <v>430</v>
      </c>
      <c r="D47" t="s">
        <v>485</v>
      </c>
      <c r="E47" t="s">
        <v>486</v>
      </c>
      <c r="F47" t="s">
        <v>481</v>
      </c>
      <c r="G47" t="s">
        <v>433</v>
      </c>
      <c r="H47" t="s">
        <v>482</v>
      </c>
      <c r="I47">
        <v>7</v>
      </c>
      <c r="J47">
        <v>12</v>
      </c>
      <c r="K47">
        <v>16</v>
      </c>
      <c r="L47">
        <v>21</v>
      </c>
      <c r="M47">
        <v>26</v>
      </c>
      <c r="N47">
        <v>33</v>
      </c>
      <c r="O47">
        <v>37</v>
      </c>
      <c r="P47">
        <v>37</v>
      </c>
      <c r="Q47" t="s">
        <v>435</v>
      </c>
      <c r="R47" t="s">
        <v>436</v>
      </c>
    </row>
    <row r="48" spans="1:18" x14ac:dyDescent="0.35">
      <c r="A48" t="s">
        <v>429</v>
      </c>
      <c r="B48" t="s">
        <v>323</v>
      </c>
      <c r="C48" t="s">
        <v>430</v>
      </c>
      <c r="D48" t="s">
        <v>485</v>
      </c>
      <c r="E48" t="s">
        <v>486</v>
      </c>
      <c r="F48" t="s">
        <v>481</v>
      </c>
      <c r="G48" t="s">
        <v>443</v>
      </c>
      <c r="H48" t="s">
        <v>483</v>
      </c>
      <c r="I48">
        <v>8</v>
      </c>
      <c r="J48">
        <v>11</v>
      </c>
      <c r="K48">
        <v>15</v>
      </c>
      <c r="L48">
        <v>18</v>
      </c>
      <c r="M48">
        <v>23</v>
      </c>
      <c r="N48">
        <v>26</v>
      </c>
      <c r="O48">
        <v>29</v>
      </c>
      <c r="P48">
        <v>32</v>
      </c>
      <c r="Q48" t="s">
        <v>435</v>
      </c>
      <c r="R48" t="s">
        <v>436</v>
      </c>
    </row>
    <row r="49" spans="1:18" x14ac:dyDescent="0.35">
      <c r="A49" t="s">
        <v>429</v>
      </c>
      <c r="B49" t="s">
        <v>323</v>
      </c>
      <c r="C49" t="s">
        <v>430</v>
      </c>
      <c r="D49" t="s">
        <v>485</v>
      </c>
      <c r="E49" t="s">
        <v>486</v>
      </c>
      <c r="F49" t="s">
        <v>481</v>
      </c>
      <c r="G49" t="s">
        <v>473</v>
      </c>
      <c r="H49" t="s">
        <v>484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 s="190" t="s">
        <v>439</v>
      </c>
      <c r="R49" t="s">
        <v>440</v>
      </c>
    </row>
    <row r="50" spans="1:18" x14ac:dyDescent="0.35">
      <c r="A50" t="s">
        <v>487</v>
      </c>
      <c r="B50" t="s">
        <v>488</v>
      </c>
      <c r="C50" t="s">
        <v>489</v>
      </c>
      <c r="D50" t="s">
        <v>495</v>
      </c>
      <c r="E50" t="s">
        <v>490</v>
      </c>
      <c r="F50" t="s">
        <v>432</v>
      </c>
      <c r="G50" t="s">
        <v>433</v>
      </c>
      <c r="H50" t="s">
        <v>434</v>
      </c>
      <c r="I50">
        <v>24</v>
      </c>
      <c r="J50">
        <v>28</v>
      </c>
      <c r="K50">
        <v>36</v>
      </c>
      <c r="L50">
        <v>50</v>
      </c>
      <c r="M50">
        <v>66</v>
      </c>
      <c r="N50">
        <v>80</v>
      </c>
      <c r="O50">
        <v>0</v>
      </c>
      <c r="P50">
        <v>0</v>
      </c>
      <c r="Q50" s="190" t="s">
        <v>491</v>
      </c>
      <c r="R50" t="s">
        <v>436</v>
      </c>
    </row>
    <row r="51" spans="1:18" x14ac:dyDescent="0.35">
      <c r="A51" t="s">
        <v>487</v>
      </c>
      <c r="B51" t="s">
        <v>488</v>
      </c>
      <c r="C51" t="s">
        <v>489</v>
      </c>
      <c r="D51" t="s">
        <v>495</v>
      </c>
      <c r="E51" t="s">
        <v>490</v>
      </c>
      <c r="F51" t="s">
        <v>432</v>
      </c>
      <c r="G51" t="s">
        <v>437</v>
      </c>
      <c r="H51" t="s">
        <v>438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 s="190" t="s">
        <v>491</v>
      </c>
      <c r="R51" t="s">
        <v>440</v>
      </c>
    </row>
    <row r="52" spans="1:18" x14ac:dyDescent="0.35">
      <c r="A52" t="s">
        <v>487</v>
      </c>
      <c r="B52" t="s">
        <v>488</v>
      </c>
      <c r="C52" t="s">
        <v>489</v>
      </c>
      <c r="D52" t="s">
        <v>495</v>
      </c>
      <c r="E52" t="s">
        <v>490</v>
      </c>
      <c r="F52" t="s">
        <v>441</v>
      </c>
      <c r="G52" t="s">
        <v>433</v>
      </c>
      <c r="H52" t="s">
        <v>442</v>
      </c>
      <c r="I52">
        <v>9</v>
      </c>
      <c r="J52">
        <v>11</v>
      </c>
      <c r="K52">
        <v>21</v>
      </c>
      <c r="L52">
        <v>27</v>
      </c>
      <c r="M52">
        <v>32</v>
      </c>
      <c r="N52">
        <v>38</v>
      </c>
      <c r="O52">
        <v>0</v>
      </c>
      <c r="P52">
        <v>0</v>
      </c>
      <c r="Q52" s="190" t="s">
        <v>491</v>
      </c>
      <c r="R52" t="s">
        <v>436</v>
      </c>
    </row>
    <row r="53" spans="1:18" x14ac:dyDescent="0.35">
      <c r="A53" t="s">
        <v>487</v>
      </c>
      <c r="B53" t="s">
        <v>488</v>
      </c>
      <c r="C53" t="s">
        <v>489</v>
      </c>
      <c r="D53" t="s">
        <v>495</v>
      </c>
      <c r="E53" t="s">
        <v>490</v>
      </c>
      <c r="F53" t="s">
        <v>441</v>
      </c>
      <c r="G53" t="s">
        <v>443</v>
      </c>
      <c r="H53" t="s">
        <v>444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 s="190" t="s">
        <v>491</v>
      </c>
      <c r="R53" t="s">
        <v>440</v>
      </c>
    </row>
    <row r="54" spans="1:18" x14ac:dyDescent="0.35">
      <c r="A54" t="s">
        <v>487</v>
      </c>
      <c r="B54" t="s">
        <v>488</v>
      </c>
      <c r="C54" t="s">
        <v>489</v>
      </c>
      <c r="D54" t="s">
        <v>495</v>
      </c>
      <c r="E54" t="s">
        <v>490</v>
      </c>
      <c r="F54" t="s">
        <v>445</v>
      </c>
      <c r="G54" t="s">
        <v>446</v>
      </c>
      <c r="H54" t="s">
        <v>447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 s="190" t="s">
        <v>491</v>
      </c>
      <c r="R54" t="s">
        <v>440</v>
      </c>
    </row>
    <row r="55" spans="1:18" x14ac:dyDescent="0.35">
      <c r="A55" t="s">
        <v>487</v>
      </c>
      <c r="B55" t="s">
        <v>488</v>
      </c>
      <c r="C55" t="s">
        <v>489</v>
      </c>
      <c r="D55" t="s">
        <v>495</v>
      </c>
      <c r="E55" t="s">
        <v>490</v>
      </c>
      <c r="F55" t="s">
        <v>448</v>
      </c>
      <c r="G55" t="s">
        <v>446</v>
      </c>
      <c r="H55" t="s">
        <v>449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 s="190" t="s">
        <v>491</v>
      </c>
      <c r="R55" t="s">
        <v>440</v>
      </c>
    </row>
    <row r="56" spans="1:18" x14ac:dyDescent="0.35">
      <c r="A56" t="s">
        <v>487</v>
      </c>
      <c r="B56" t="s">
        <v>488</v>
      </c>
      <c r="C56" t="s">
        <v>489</v>
      </c>
      <c r="D56" t="s">
        <v>495</v>
      </c>
      <c r="E56" t="s">
        <v>490</v>
      </c>
      <c r="F56" t="s">
        <v>450</v>
      </c>
      <c r="G56" t="s">
        <v>446</v>
      </c>
      <c r="H56" t="s">
        <v>451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 s="190" t="s">
        <v>491</v>
      </c>
      <c r="R56" t="s">
        <v>440</v>
      </c>
    </row>
    <row r="57" spans="1:18" x14ac:dyDescent="0.35">
      <c r="A57" t="s">
        <v>487</v>
      </c>
      <c r="B57" t="s">
        <v>488</v>
      </c>
      <c r="C57" t="s">
        <v>489</v>
      </c>
      <c r="D57" t="s">
        <v>495</v>
      </c>
      <c r="E57" t="s">
        <v>490</v>
      </c>
      <c r="F57" t="s">
        <v>452</v>
      </c>
      <c r="G57" t="s">
        <v>453</v>
      </c>
      <c r="H57" t="s">
        <v>454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 s="190" t="s">
        <v>491</v>
      </c>
      <c r="R57" t="s">
        <v>440</v>
      </c>
    </row>
    <row r="58" spans="1:18" x14ac:dyDescent="0.35">
      <c r="A58" t="s">
        <v>487</v>
      </c>
      <c r="B58" t="s">
        <v>488</v>
      </c>
      <c r="C58" t="s">
        <v>489</v>
      </c>
      <c r="D58" t="s">
        <v>495</v>
      </c>
      <c r="E58" t="s">
        <v>490</v>
      </c>
      <c r="F58" t="s">
        <v>452</v>
      </c>
      <c r="G58" t="s">
        <v>455</v>
      </c>
      <c r="H58" t="s">
        <v>456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 s="190" t="s">
        <v>491</v>
      </c>
      <c r="R58" t="s">
        <v>440</v>
      </c>
    </row>
    <row r="59" spans="1:18" x14ac:dyDescent="0.35">
      <c r="A59" t="s">
        <v>487</v>
      </c>
      <c r="B59" t="s">
        <v>488</v>
      </c>
      <c r="C59" t="s">
        <v>489</v>
      </c>
      <c r="D59" t="s">
        <v>495</v>
      </c>
      <c r="E59" t="s">
        <v>490</v>
      </c>
      <c r="F59" t="s">
        <v>452</v>
      </c>
      <c r="G59" t="s">
        <v>457</v>
      </c>
      <c r="H59" t="s">
        <v>458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 s="190" t="s">
        <v>491</v>
      </c>
      <c r="R59" t="s">
        <v>440</v>
      </c>
    </row>
    <row r="60" spans="1:18" x14ac:dyDescent="0.35">
      <c r="A60" t="s">
        <v>487</v>
      </c>
      <c r="B60" t="s">
        <v>488</v>
      </c>
      <c r="C60" t="s">
        <v>489</v>
      </c>
      <c r="D60" t="s">
        <v>495</v>
      </c>
      <c r="E60" t="s">
        <v>490</v>
      </c>
      <c r="F60" t="s">
        <v>459</v>
      </c>
      <c r="G60" t="s">
        <v>460</v>
      </c>
      <c r="H60" t="s">
        <v>461</v>
      </c>
      <c r="I60">
        <v>41</v>
      </c>
      <c r="J60">
        <v>48</v>
      </c>
      <c r="K60">
        <v>67</v>
      </c>
      <c r="L60">
        <v>86</v>
      </c>
      <c r="M60">
        <v>105</v>
      </c>
      <c r="N60">
        <v>124</v>
      </c>
      <c r="O60">
        <v>0</v>
      </c>
      <c r="P60">
        <v>0</v>
      </c>
      <c r="Q60" s="190" t="s">
        <v>491</v>
      </c>
      <c r="R60" t="s">
        <v>436</v>
      </c>
    </row>
    <row r="61" spans="1:18" x14ac:dyDescent="0.35">
      <c r="A61" t="s">
        <v>487</v>
      </c>
      <c r="B61" t="s">
        <v>488</v>
      </c>
      <c r="C61" t="s">
        <v>489</v>
      </c>
      <c r="D61" t="s">
        <v>495</v>
      </c>
      <c r="E61" t="s">
        <v>490</v>
      </c>
      <c r="F61" t="s">
        <v>462</v>
      </c>
      <c r="G61" t="s">
        <v>446</v>
      </c>
      <c r="H61" t="s">
        <v>463</v>
      </c>
      <c r="I61">
        <v>5</v>
      </c>
      <c r="J61">
        <v>5</v>
      </c>
      <c r="K61">
        <v>5</v>
      </c>
      <c r="L61">
        <v>5</v>
      </c>
      <c r="M61">
        <v>5</v>
      </c>
      <c r="N61">
        <v>5</v>
      </c>
      <c r="O61">
        <v>0</v>
      </c>
      <c r="P61">
        <v>0</v>
      </c>
      <c r="Q61" s="190" t="s">
        <v>491</v>
      </c>
      <c r="R61" t="s">
        <v>436</v>
      </c>
    </row>
    <row r="62" spans="1:18" x14ac:dyDescent="0.35">
      <c r="A62" t="s">
        <v>487</v>
      </c>
      <c r="B62" t="s">
        <v>488</v>
      </c>
      <c r="C62" t="s">
        <v>489</v>
      </c>
      <c r="D62" t="s">
        <v>495</v>
      </c>
      <c r="E62" t="s">
        <v>490</v>
      </c>
      <c r="F62" t="s">
        <v>464</v>
      </c>
      <c r="G62" t="s">
        <v>446</v>
      </c>
      <c r="H62" t="s">
        <v>465</v>
      </c>
      <c r="I62">
        <v>35</v>
      </c>
      <c r="J62">
        <v>35</v>
      </c>
      <c r="K62">
        <v>35</v>
      </c>
      <c r="L62">
        <v>35</v>
      </c>
      <c r="M62">
        <v>35</v>
      </c>
      <c r="N62">
        <v>35</v>
      </c>
      <c r="O62">
        <v>0</v>
      </c>
      <c r="P62">
        <v>0</v>
      </c>
      <c r="Q62" s="190" t="s">
        <v>491</v>
      </c>
      <c r="R62" t="s">
        <v>436</v>
      </c>
    </row>
    <row r="63" spans="1:18" x14ac:dyDescent="0.35">
      <c r="A63" t="s">
        <v>487</v>
      </c>
      <c r="B63" t="s">
        <v>488</v>
      </c>
      <c r="C63" t="s">
        <v>489</v>
      </c>
      <c r="D63" t="s">
        <v>495</v>
      </c>
      <c r="E63" t="s">
        <v>490</v>
      </c>
      <c r="F63" t="s">
        <v>466</v>
      </c>
      <c r="G63" t="s">
        <v>467</v>
      </c>
      <c r="H63" t="s">
        <v>466</v>
      </c>
      <c r="I63">
        <v>30</v>
      </c>
      <c r="J63">
        <v>30</v>
      </c>
      <c r="K63">
        <v>30</v>
      </c>
      <c r="L63">
        <v>30</v>
      </c>
      <c r="M63">
        <v>30</v>
      </c>
      <c r="N63">
        <v>30</v>
      </c>
      <c r="O63">
        <v>0</v>
      </c>
      <c r="P63">
        <v>0</v>
      </c>
      <c r="Q63" s="190" t="s">
        <v>491</v>
      </c>
      <c r="R63" t="s">
        <v>436</v>
      </c>
    </row>
    <row r="64" spans="1:18" x14ac:dyDescent="0.35">
      <c r="A64" t="s">
        <v>487</v>
      </c>
      <c r="B64" t="s">
        <v>488</v>
      </c>
      <c r="C64" t="s">
        <v>489</v>
      </c>
      <c r="D64" t="s">
        <v>495</v>
      </c>
      <c r="E64" t="s">
        <v>490</v>
      </c>
      <c r="F64" t="s">
        <v>468</v>
      </c>
      <c r="G64" t="s">
        <v>433</v>
      </c>
      <c r="H64" t="s">
        <v>469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 s="190" t="s">
        <v>491</v>
      </c>
      <c r="R64" t="s">
        <v>440</v>
      </c>
    </row>
    <row r="65" spans="1:18" x14ac:dyDescent="0.35">
      <c r="A65" t="s">
        <v>487</v>
      </c>
      <c r="B65" t="s">
        <v>488</v>
      </c>
      <c r="C65" t="s">
        <v>489</v>
      </c>
      <c r="D65" t="s">
        <v>495</v>
      </c>
      <c r="E65" t="s">
        <v>490</v>
      </c>
      <c r="F65" t="s">
        <v>468</v>
      </c>
      <c r="G65" t="s">
        <v>470</v>
      </c>
      <c r="H65" t="s">
        <v>471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 s="190" t="s">
        <v>491</v>
      </c>
      <c r="R65" t="s">
        <v>440</v>
      </c>
    </row>
    <row r="66" spans="1:18" x14ac:dyDescent="0.35">
      <c r="A66" t="s">
        <v>487</v>
      </c>
      <c r="B66" t="s">
        <v>488</v>
      </c>
      <c r="C66" t="s">
        <v>489</v>
      </c>
      <c r="D66" t="s">
        <v>495</v>
      </c>
      <c r="E66" t="s">
        <v>490</v>
      </c>
      <c r="F66" t="s">
        <v>468</v>
      </c>
      <c r="G66" t="s">
        <v>443</v>
      </c>
      <c r="H66" t="s">
        <v>472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 s="190" t="s">
        <v>491</v>
      </c>
      <c r="R66" t="s">
        <v>440</v>
      </c>
    </row>
    <row r="67" spans="1:18" x14ac:dyDescent="0.35">
      <c r="A67" t="s">
        <v>487</v>
      </c>
      <c r="B67" t="s">
        <v>488</v>
      </c>
      <c r="C67" t="s">
        <v>489</v>
      </c>
      <c r="D67" t="s">
        <v>495</v>
      </c>
      <c r="E67" t="s">
        <v>490</v>
      </c>
      <c r="F67" t="s">
        <v>468</v>
      </c>
      <c r="G67" t="s">
        <v>473</v>
      </c>
      <c r="H67" t="s">
        <v>474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 s="190" t="s">
        <v>491</v>
      </c>
      <c r="R67" t="s">
        <v>440</v>
      </c>
    </row>
    <row r="68" spans="1:18" x14ac:dyDescent="0.35">
      <c r="A68" t="s">
        <v>487</v>
      </c>
      <c r="B68" t="s">
        <v>488</v>
      </c>
      <c r="C68" t="s">
        <v>489</v>
      </c>
      <c r="D68" t="s">
        <v>495</v>
      </c>
      <c r="E68" t="s">
        <v>490</v>
      </c>
      <c r="F68" t="s">
        <v>468</v>
      </c>
      <c r="G68" t="s">
        <v>475</v>
      </c>
      <c r="H68" t="s">
        <v>476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s="190" t="s">
        <v>491</v>
      </c>
      <c r="R68" t="s">
        <v>440</v>
      </c>
    </row>
    <row r="69" spans="1:18" x14ac:dyDescent="0.35">
      <c r="A69" t="s">
        <v>487</v>
      </c>
      <c r="B69" t="s">
        <v>488</v>
      </c>
      <c r="C69" t="s">
        <v>489</v>
      </c>
      <c r="D69" t="s">
        <v>495</v>
      </c>
      <c r="E69" t="s">
        <v>490</v>
      </c>
      <c r="F69" t="s">
        <v>477</v>
      </c>
      <c r="G69" t="s">
        <v>467</v>
      </c>
      <c r="H69" t="s">
        <v>477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 s="190" t="s">
        <v>491</v>
      </c>
      <c r="R69" t="s">
        <v>440</v>
      </c>
    </row>
    <row r="70" spans="1:18" x14ac:dyDescent="0.35">
      <c r="A70" t="s">
        <v>487</v>
      </c>
      <c r="B70" t="s">
        <v>488</v>
      </c>
      <c r="C70" t="s">
        <v>489</v>
      </c>
      <c r="D70" t="s">
        <v>495</v>
      </c>
      <c r="E70" t="s">
        <v>490</v>
      </c>
      <c r="F70" t="s">
        <v>478</v>
      </c>
      <c r="G70" t="s">
        <v>446</v>
      </c>
      <c r="H70" t="s">
        <v>479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 s="190" t="s">
        <v>491</v>
      </c>
      <c r="R70" t="s">
        <v>440</v>
      </c>
    </row>
    <row r="71" spans="1:18" x14ac:dyDescent="0.35">
      <c r="A71" t="s">
        <v>487</v>
      </c>
      <c r="B71" t="s">
        <v>488</v>
      </c>
      <c r="C71" t="s">
        <v>489</v>
      </c>
      <c r="D71" t="s">
        <v>495</v>
      </c>
      <c r="E71" t="s">
        <v>490</v>
      </c>
      <c r="F71" t="s">
        <v>480</v>
      </c>
      <c r="G71" t="s">
        <v>467</v>
      </c>
      <c r="H71" t="s">
        <v>480</v>
      </c>
      <c r="I71">
        <v>99</v>
      </c>
      <c r="J71">
        <v>106</v>
      </c>
      <c r="K71">
        <v>157</v>
      </c>
      <c r="L71">
        <v>232</v>
      </c>
      <c r="M71">
        <v>317</v>
      </c>
      <c r="N71">
        <v>404</v>
      </c>
      <c r="O71">
        <v>0</v>
      </c>
      <c r="P71">
        <v>0</v>
      </c>
      <c r="Q71" s="190" t="s">
        <v>491</v>
      </c>
      <c r="R71" t="s">
        <v>436</v>
      </c>
    </row>
    <row r="72" spans="1:18" x14ac:dyDescent="0.35">
      <c r="A72" t="s">
        <v>487</v>
      </c>
      <c r="B72" t="s">
        <v>488</v>
      </c>
      <c r="C72" t="s">
        <v>489</v>
      </c>
      <c r="D72" t="s">
        <v>495</v>
      </c>
      <c r="E72" t="s">
        <v>490</v>
      </c>
      <c r="F72" t="s">
        <v>481</v>
      </c>
      <c r="G72" t="s">
        <v>433</v>
      </c>
      <c r="H72" t="s">
        <v>482</v>
      </c>
      <c r="I72">
        <v>12</v>
      </c>
      <c r="J72">
        <v>17</v>
      </c>
      <c r="K72">
        <v>22</v>
      </c>
      <c r="L72">
        <v>27</v>
      </c>
      <c r="M72">
        <v>34</v>
      </c>
      <c r="N72">
        <v>39</v>
      </c>
      <c r="O72">
        <v>0</v>
      </c>
      <c r="P72">
        <v>0</v>
      </c>
      <c r="Q72" s="190" t="s">
        <v>491</v>
      </c>
      <c r="R72" t="s">
        <v>436</v>
      </c>
    </row>
    <row r="73" spans="1:18" x14ac:dyDescent="0.35">
      <c r="A73" t="s">
        <v>487</v>
      </c>
      <c r="B73" t="s">
        <v>488</v>
      </c>
      <c r="C73" t="s">
        <v>489</v>
      </c>
      <c r="D73" t="s">
        <v>495</v>
      </c>
      <c r="E73" t="s">
        <v>490</v>
      </c>
      <c r="F73" t="s">
        <v>481</v>
      </c>
      <c r="G73" t="s">
        <v>443</v>
      </c>
      <c r="H73" t="s">
        <v>483</v>
      </c>
      <c r="I73">
        <v>9</v>
      </c>
      <c r="J73">
        <v>11</v>
      </c>
      <c r="K73">
        <v>16</v>
      </c>
      <c r="L73">
        <v>21</v>
      </c>
      <c r="M73">
        <v>26</v>
      </c>
      <c r="N73">
        <v>31</v>
      </c>
      <c r="O73">
        <v>0</v>
      </c>
      <c r="P73">
        <v>0</v>
      </c>
      <c r="Q73" s="190" t="s">
        <v>491</v>
      </c>
      <c r="R73" t="s">
        <v>436</v>
      </c>
    </row>
    <row r="74" spans="1:18" x14ac:dyDescent="0.35">
      <c r="A74" t="s">
        <v>487</v>
      </c>
      <c r="B74" t="s">
        <v>488</v>
      </c>
      <c r="C74" t="s">
        <v>489</v>
      </c>
      <c r="D74" t="s">
        <v>495</v>
      </c>
      <c r="E74" t="s">
        <v>490</v>
      </c>
      <c r="F74" t="s">
        <v>481</v>
      </c>
      <c r="G74" t="s">
        <v>473</v>
      </c>
      <c r="H74" t="s">
        <v>484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 s="190" t="s">
        <v>491</v>
      </c>
      <c r="R74" t="s">
        <v>440</v>
      </c>
    </row>
    <row r="75" spans="1:18" x14ac:dyDescent="0.35">
      <c r="A75" t="s">
        <v>496</v>
      </c>
      <c r="B75" t="s">
        <v>497</v>
      </c>
      <c r="C75" t="s">
        <v>498</v>
      </c>
      <c r="D75" t="s">
        <v>495</v>
      </c>
      <c r="E75" t="s">
        <v>431</v>
      </c>
      <c r="F75" t="s">
        <v>432</v>
      </c>
      <c r="G75" t="s">
        <v>433</v>
      </c>
      <c r="H75" t="s">
        <v>434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 s="190" t="s">
        <v>499</v>
      </c>
      <c r="R75" t="s">
        <v>440</v>
      </c>
    </row>
    <row r="76" spans="1:18" x14ac:dyDescent="0.35">
      <c r="A76" t="s">
        <v>496</v>
      </c>
      <c r="B76" t="s">
        <v>497</v>
      </c>
      <c r="C76" t="s">
        <v>498</v>
      </c>
      <c r="D76" t="s">
        <v>495</v>
      </c>
      <c r="E76" t="s">
        <v>431</v>
      </c>
      <c r="F76" t="s">
        <v>432</v>
      </c>
      <c r="G76" t="s">
        <v>437</v>
      </c>
      <c r="H76" t="s">
        <v>438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 s="190" t="s">
        <v>499</v>
      </c>
      <c r="R76" t="s">
        <v>440</v>
      </c>
    </row>
    <row r="77" spans="1:18" x14ac:dyDescent="0.35">
      <c r="A77" t="s">
        <v>496</v>
      </c>
      <c r="B77" t="s">
        <v>497</v>
      </c>
      <c r="C77" t="s">
        <v>498</v>
      </c>
      <c r="D77" t="s">
        <v>495</v>
      </c>
      <c r="E77" t="s">
        <v>431</v>
      </c>
      <c r="F77" t="s">
        <v>441</v>
      </c>
      <c r="G77" t="s">
        <v>433</v>
      </c>
      <c r="H77" t="s">
        <v>442</v>
      </c>
      <c r="I77">
        <v>11</v>
      </c>
      <c r="J77">
        <v>15</v>
      </c>
      <c r="K77">
        <v>23</v>
      </c>
      <c r="L77">
        <v>30</v>
      </c>
      <c r="M77">
        <v>37</v>
      </c>
      <c r="N77">
        <v>44</v>
      </c>
      <c r="O77">
        <v>51</v>
      </c>
      <c r="P77">
        <v>0</v>
      </c>
      <c r="Q77" t="s">
        <v>500</v>
      </c>
      <c r="R77" t="s">
        <v>436</v>
      </c>
    </row>
    <row r="78" spans="1:18" x14ac:dyDescent="0.35">
      <c r="A78" t="s">
        <v>496</v>
      </c>
      <c r="B78" t="s">
        <v>497</v>
      </c>
      <c r="C78" t="s">
        <v>498</v>
      </c>
      <c r="D78" t="s">
        <v>495</v>
      </c>
      <c r="E78" t="s">
        <v>431</v>
      </c>
      <c r="F78" t="s">
        <v>441</v>
      </c>
      <c r="G78" t="s">
        <v>443</v>
      </c>
      <c r="H78" t="s">
        <v>444</v>
      </c>
      <c r="I78">
        <v>6</v>
      </c>
      <c r="J78">
        <v>7</v>
      </c>
      <c r="K78">
        <v>10</v>
      </c>
      <c r="L78">
        <v>13</v>
      </c>
      <c r="M78">
        <v>16</v>
      </c>
      <c r="N78">
        <v>19</v>
      </c>
      <c r="O78">
        <v>22</v>
      </c>
      <c r="P78">
        <v>0</v>
      </c>
      <c r="Q78" t="s">
        <v>500</v>
      </c>
      <c r="R78" t="s">
        <v>436</v>
      </c>
    </row>
    <row r="79" spans="1:18" x14ac:dyDescent="0.35">
      <c r="A79" t="s">
        <v>496</v>
      </c>
      <c r="B79" t="s">
        <v>497</v>
      </c>
      <c r="C79" t="s">
        <v>498</v>
      </c>
      <c r="D79" t="s">
        <v>495</v>
      </c>
      <c r="E79" t="s">
        <v>431</v>
      </c>
      <c r="F79" t="s">
        <v>445</v>
      </c>
      <c r="G79" t="s">
        <v>446</v>
      </c>
      <c r="H79" t="s">
        <v>447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 s="190" t="s">
        <v>499</v>
      </c>
      <c r="R79" t="s">
        <v>440</v>
      </c>
    </row>
    <row r="80" spans="1:18" x14ac:dyDescent="0.35">
      <c r="A80" t="s">
        <v>496</v>
      </c>
      <c r="B80" t="s">
        <v>497</v>
      </c>
      <c r="C80" t="s">
        <v>498</v>
      </c>
      <c r="D80" t="s">
        <v>495</v>
      </c>
      <c r="E80" t="s">
        <v>431</v>
      </c>
      <c r="F80" t="s">
        <v>448</v>
      </c>
      <c r="G80" t="s">
        <v>446</v>
      </c>
      <c r="H80" t="s">
        <v>449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 s="190" t="s">
        <v>499</v>
      </c>
      <c r="R80" t="s">
        <v>440</v>
      </c>
    </row>
    <row r="81" spans="1:18" x14ac:dyDescent="0.35">
      <c r="A81" t="s">
        <v>496</v>
      </c>
      <c r="B81" t="s">
        <v>497</v>
      </c>
      <c r="C81" t="s">
        <v>498</v>
      </c>
      <c r="D81" t="s">
        <v>495</v>
      </c>
      <c r="E81" t="s">
        <v>431</v>
      </c>
      <c r="F81" t="s">
        <v>450</v>
      </c>
      <c r="G81" t="s">
        <v>446</v>
      </c>
      <c r="H81" t="s">
        <v>451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 s="190" t="s">
        <v>499</v>
      </c>
      <c r="R81" t="s">
        <v>440</v>
      </c>
    </row>
    <row r="82" spans="1:18" x14ac:dyDescent="0.35">
      <c r="A82" t="s">
        <v>496</v>
      </c>
      <c r="B82" t="s">
        <v>497</v>
      </c>
      <c r="C82" t="s">
        <v>498</v>
      </c>
      <c r="D82" t="s">
        <v>495</v>
      </c>
      <c r="E82" t="s">
        <v>431</v>
      </c>
      <c r="F82" t="s">
        <v>452</v>
      </c>
      <c r="G82" t="s">
        <v>453</v>
      </c>
      <c r="H82" t="s">
        <v>454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 s="190" t="s">
        <v>499</v>
      </c>
      <c r="R82" t="s">
        <v>440</v>
      </c>
    </row>
    <row r="83" spans="1:18" x14ac:dyDescent="0.35">
      <c r="A83" t="s">
        <v>496</v>
      </c>
      <c r="B83" t="s">
        <v>497</v>
      </c>
      <c r="C83" t="s">
        <v>498</v>
      </c>
      <c r="D83" t="s">
        <v>495</v>
      </c>
      <c r="E83" t="s">
        <v>431</v>
      </c>
      <c r="F83" t="s">
        <v>452</v>
      </c>
      <c r="G83" t="s">
        <v>455</v>
      </c>
      <c r="H83" t="s">
        <v>456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 s="190" t="s">
        <v>499</v>
      </c>
      <c r="R83" t="s">
        <v>440</v>
      </c>
    </row>
    <row r="84" spans="1:18" x14ac:dyDescent="0.35">
      <c r="A84" t="s">
        <v>496</v>
      </c>
      <c r="B84" t="s">
        <v>497</v>
      </c>
      <c r="C84" t="s">
        <v>498</v>
      </c>
      <c r="D84" t="s">
        <v>495</v>
      </c>
      <c r="E84" t="s">
        <v>431</v>
      </c>
      <c r="F84" t="s">
        <v>452</v>
      </c>
      <c r="G84" t="s">
        <v>457</v>
      </c>
      <c r="H84" t="s">
        <v>458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 s="190" t="s">
        <v>499</v>
      </c>
      <c r="R84" t="s">
        <v>440</v>
      </c>
    </row>
    <row r="85" spans="1:18" x14ac:dyDescent="0.35">
      <c r="A85" t="s">
        <v>496</v>
      </c>
      <c r="B85" t="s">
        <v>497</v>
      </c>
      <c r="C85" t="s">
        <v>498</v>
      </c>
      <c r="D85" t="s">
        <v>495</v>
      </c>
      <c r="E85" t="s">
        <v>431</v>
      </c>
      <c r="F85" t="s">
        <v>459</v>
      </c>
      <c r="G85" t="s">
        <v>460</v>
      </c>
      <c r="H85" t="s">
        <v>461</v>
      </c>
      <c r="I85">
        <v>40</v>
      </c>
      <c r="J85">
        <v>50</v>
      </c>
      <c r="K85">
        <v>78</v>
      </c>
      <c r="L85">
        <v>106</v>
      </c>
      <c r="M85">
        <v>134</v>
      </c>
      <c r="N85">
        <v>163</v>
      </c>
      <c r="O85">
        <v>191</v>
      </c>
      <c r="P85">
        <v>0</v>
      </c>
      <c r="Q85" t="s">
        <v>500</v>
      </c>
      <c r="R85" t="s">
        <v>436</v>
      </c>
    </row>
    <row r="86" spans="1:18" x14ac:dyDescent="0.35">
      <c r="A86" t="s">
        <v>496</v>
      </c>
      <c r="B86" t="s">
        <v>497</v>
      </c>
      <c r="C86" t="s">
        <v>498</v>
      </c>
      <c r="D86" t="s">
        <v>495</v>
      </c>
      <c r="E86" t="s">
        <v>431</v>
      </c>
      <c r="F86" t="s">
        <v>462</v>
      </c>
      <c r="G86" t="s">
        <v>446</v>
      </c>
      <c r="H86" t="s">
        <v>463</v>
      </c>
      <c r="I86">
        <v>21</v>
      </c>
      <c r="J86">
        <v>21</v>
      </c>
      <c r="K86">
        <v>21</v>
      </c>
      <c r="L86">
        <v>21</v>
      </c>
      <c r="M86">
        <v>21</v>
      </c>
      <c r="N86">
        <v>21</v>
      </c>
      <c r="O86">
        <v>21</v>
      </c>
      <c r="P86">
        <v>0</v>
      </c>
      <c r="Q86" t="s">
        <v>500</v>
      </c>
      <c r="R86" t="s">
        <v>436</v>
      </c>
    </row>
    <row r="87" spans="1:18" x14ac:dyDescent="0.35">
      <c r="A87" t="s">
        <v>496</v>
      </c>
      <c r="B87" t="s">
        <v>497</v>
      </c>
      <c r="C87" t="s">
        <v>498</v>
      </c>
      <c r="D87" t="s">
        <v>495</v>
      </c>
      <c r="E87" t="s">
        <v>431</v>
      </c>
      <c r="F87" t="s">
        <v>464</v>
      </c>
      <c r="G87" t="s">
        <v>446</v>
      </c>
      <c r="H87" t="s">
        <v>465</v>
      </c>
      <c r="I87">
        <v>25</v>
      </c>
      <c r="J87">
        <v>25</v>
      </c>
      <c r="K87">
        <v>25</v>
      </c>
      <c r="L87">
        <v>25</v>
      </c>
      <c r="M87">
        <v>25</v>
      </c>
      <c r="N87">
        <v>25</v>
      </c>
      <c r="O87">
        <v>25</v>
      </c>
      <c r="P87">
        <v>0</v>
      </c>
      <c r="Q87" t="s">
        <v>500</v>
      </c>
      <c r="R87" t="s">
        <v>436</v>
      </c>
    </row>
    <row r="88" spans="1:18" x14ac:dyDescent="0.35">
      <c r="A88" t="s">
        <v>496</v>
      </c>
      <c r="B88" t="s">
        <v>497</v>
      </c>
      <c r="C88" t="s">
        <v>498</v>
      </c>
      <c r="D88" t="s">
        <v>495</v>
      </c>
      <c r="E88" t="s">
        <v>431</v>
      </c>
      <c r="F88" t="s">
        <v>466</v>
      </c>
      <c r="G88" t="s">
        <v>467</v>
      </c>
      <c r="H88" t="s">
        <v>466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 s="190" t="s">
        <v>499</v>
      </c>
      <c r="R88" t="s">
        <v>440</v>
      </c>
    </row>
    <row r="89" spans="1:18" x14ac:dyDescent="0.35">
      <c r="A89" t="s">
        <v>496</v>
      </c>
      <c r="B89" t="s">
        <v>497</v>
      </c>
      <c r="C89" t="s">
        <v>498</v>
      </c>
      <c r="D89" t="s">
        <v>495</v>
      </c>
      <c r="E89" t="s">
        <v>431</v>
      </c>
      <c r="F89" t="s">
        <v>468</v>
      </c>
      <c r="G89" t="s">
        <v>433</v>
      </c>
      <c r="H89" t="s">
        <v>469</v>
      </c>
      <c r="I89">
        <v>44</v>
      </c>
      <c r="J89">
        <v>52</v>
      </c>
      <c r="K89">
        <v>63</v>
      </c>
      <c r="L89">
        <v>74</v>
      </c>
      <c r="M89">
        <v>85</v>
      </c>
      <c r="N89">
        <v>97</v>
      </c>
      <c r="O89">
        <v>108</v>
      </c>
      <c r="P89">
        <v>0</v>
      </c>
      <c r="Q89" t="s">
        <v>500</v>
      </c>
      <c r="R89" t="s">
        <v>436</v>
      </c>
    </row>
    <row r="90" spans="1:18" x14ac:dyDescent="0.35">
      <c r="A90" t="s">
        <v>496</v>
      </c>
      <c r="B90" t="s">
        <v>497</v>
      </c>
      <c r="C90" t="s">
        <v>498</v>
      </c>
      <c r="D90" t="s">
        <v>495</v>
      </c>
      <c r="E90" t="s">
        <v>431</v>
      </c>
      <c r="F90" t="s">
        <v>468</v>
      </c>
      <c r="G90" t="s">
        <v>470</v>
      </c>
      <c r="H90" t="s">
        <v>471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 s="190" t="s">
        <v>499</v>
      </c>
      <c r="R90" t="s">
        <v>440</v>
      </c>
    </row>
    <row r="91" spans="1:18" x14ac:dyDescent="0.35">
      <c r="A91" t="s">
        <v>496</v>
      </c>
      <c r="B91" t="s">
        <v>497</v>
      </c>
      <c r="C91" t="s">
        <v>498</v>
      </c>
      <c r="D91" t="s">
        <v>495</v>
      </c>
      <c r="E91" t="s">
        <v>431</v>
      </c>
      <c r="F91" t="s">
        <v>468</v>
      </c>
      <c r="G91" t="s">
        <v>443</v>
      </c>
      <c r="H91" t="s">
        <v>472</v>
      </c>
      <c r="I91">
        <v>36</v>
      </c>
      <c r="J91">
        <v>45</v>
      </c>
      <c r="K91">
        <v>51</v>
      </c>
      <c r="L91">
        <v>55</v>
      </c>
      <c r="M91">
        <v>59</v>
      </c>
      <c r="N91">
        <v>64</v>
      </c>
      <c r="O91">
        <v>69</v>
      </c>
      <c r="P91">
        <v>0</v>
      </c>
      <c r="Q91" t="s">
        <v>500</v>
      </c>
      <c r="R91" t="s">
        <v>436</v>
      </c>
    </row>
    <row r="92" spans="1:18" x14ac:dyDescent="0.35">
      <c r="A92" t="s">
        <v>496</v>
      </c>
      <c r="B92" t="s">
        <v>497</v>
      </c>
      <c r="C92" t="s">
        <v>498</v>
      </c>
      <c r="D92" t="s">
        <v>495</v>
      </c>
      <c r="E92" t="s">
        <v>431</v>
      </c>
      <c r="F92" t="s">
        <v>468</v>
      </c>
      <c r="G92" t="s">
        <v>473</v>
      </c>
      <c r="H92" t="s">
        <v>474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 s="190" t="s">
        <v>499</v>
      </c>
      <c r="R92" t="s">
        <v>440</v>
      </c>
    </row>
    <row r="93" spans="1:18" x14ac:dyDescent="0.35">
      <c r="A93" t="s">
        <v>496</v>
      </c>
      <c r="B93" t="s">
        <v>497</v>
      </c>
      <c r="C93" t="s">
        <v>498</v>
      </c>
      <c r="D93" t="s">
        <v>495</v>
      </c>
      <c r="E93" t="s">
        <v>431</v>
      </c>
      <c r="F93" t="s">
        <v>468</v>
      </c>
      <c r="G93" t="s">
        <v>475</v>
      </c>
      <c r="H93" t="s">
        <v>476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 s="190" t="s">
        <v>499</v>
      </c>
      <c r="R93" t="s">
        <v>440</v>
      </c>
    </row>
    <row r="94" spans="1:18" x14ac:dyDescent="0.35">
      <c r="A94" t="s">
        <v>496</v>
      </c>
      <c r="B94" t="s">
        <v>497</v>
      </c>
      <c r="C94" t="s">
        <v>498</v>
      </c>
      <c r="D94" t="s">
        <v>495</v>
      </c>
      <c r="E94" t="s">
        <v>431</v>
      </c>
      <c r="F94" t="s">
        <v>477</v>
      </c>
      <c r="G94" t="s">
        <v>467</v>
      </c>
      <c r="H94" t="s">
        <v>477</v>
      </c>
      <c r="I94">
        <v>61</v>
      </c>
      <c r="J94">
        <v>61</v>
      </c>
      <c r="K94">
        <v>61</v>
      </c>
      <c r="L94">
        <v>107</v>
      </c>
      <c r="M94">
        <v>107</v>
      </c>
      <c r="N94">
        <v>107</v>
      </c>
      <c r="O94">
        <v>130</v>
      </c>
      <c r="P94">
        <v>0</v>
      </c>
      <c r="Q94" t="s">
        <v>500</v>
      </c>
      <c r="R94" t="s">
        <v>436</v>
      </c>
    </row>
    <row r="95" spans="1:18" x14ac:dyDescent="0.35">
      <c r="A95" t="s">
        <v>496</v>
      </c>
      <c r="B95" t="s">
        <v>497</v>
      </c>
      <c r="C95" t="s">
        <v>498</v>
      </c>
      <c r="D95" t="s">
        <v>495</v>
      </c>
      <c r="E95" t="s">
        <v>431</v>
      </c>
      <c r="F95" t="s">
        <v>478</v>
      </c>
      <c r="G95" t="s">
        <v>446</v>
      </c>
      <c r="H95" t="s">
        <v>479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 s="190" t="s">
        <v>499</v>
      </c>
      <c r="R95" t="s">
        <v>440</v>
      </c>
    </row>
    <row r="96" spans="1:18" x14ac:dyDescent="0.35">
      <c r="A96" t="s">
        <v>496</v>
      </c>
      <c r="B96" t="s">
        <v>497</v>
      </c>
      <c r="C96" t="s">
        <v>498</v>
      </c>
      <c r="D96" t="s">
        <v>495</v>
      </c>
      <c r="E96" t="s">
        <v>431</v>
      </c>
      <c r="F96" t="s">
        <v>480</v>
      </c>
      <c r="G96" t="s">
        <v>467</v>
      </c>
      <c r="H96" t="s">
        <v>480</v>
      </c>
      <c r="I96">
        <v>96</v>
      </c>
      <c r="J96">
        <v>101</v>
      </c>
      <c r="K96">
        <v>130</v>
      </c>
      <c r="L96">
        <v>161</v>
      </c>
      <c r="M96">
        <v>195</v>
      </c>
      <c r="N96">
        <v>236</v>
      </c>
      <c r="O96">
        <v>266</v>
      </c>
      <c r="P96">
        <v>0</v>
      </c>
      <c r="Q96" t="s">
        <v>500</v>
      </c>
      <c r="R96" t="s">
        <v>436</v>
      </c>
    </row>
    <row r="97" spans="1:18" x14ac:dyDescent="0.35">
      <c r="A97" t="s">
        <v>496</v>
      </c>
      <c r="B97" t="s">
        <v>497</v>
      </c>
      <c r="C97" t="s">
        <v>498</v>
      </c>
      <c r="D97" t="s">
        <v>495</v>
      </c>
      <c r="E97" t="s">
        <v>431</v>
      </c>
      <c r="F97" t="s">
        <v>481</v>
      </c>
      <c r="G97" t="s">
        <v>433</v>
      </c>
      <c r="H97" t="s">
        <v>482</v>
      </c>
      <c r="I97">
        <v>39</v>
      </c>
      <c r="J97">
        <v>46</v>
      </c>
      <c r="K97">
        <v>58</v>
      </c>
      <c r="L97">
        <v>71</v>
      </c>
      <c r="M97">
        <v>83</v>
      </c>
      <c r="N97">
        <v>96</v>
      </c>
      <c r="O97">
        <v>108</v>
      </c>
      <c r="P97">
        <v>0</v>
      </c>
      <c r="Q97" t="s">
        <v>500</v>
      </c>
      <c r="R97" t="s">
        <v>436</v>
      </c>
    </row>
    <row r="98" spans="1:18" x14ac:dyDescent="0.35">
      <c r="A98" t="s">
        <v>496</v>
      </c>
      <c r="B98" t="s">
        <v>497</v>
      </c>
      <c r="C98" t="s">
        <v>498</v>
      </c>
      <c r="D98" t="s">
        <v>495</v>
      </c>
      <c r="E98" t="s">
        <v>431</v>
      </c>
      <c r="F98" t="s">
        <v>481</v>
      </c>
      <c r="G98" t="s">
        <v>443</v>
      </c>
      <c r="H98" t="s">
        <v>483</v>
      </c>
      <c r="I98">
        <v>15</v>
      </c>
      <c r="J98">
        <v>18</v>
      </c>
      <c r="K98">
        <v>26</v>
      </c>
      <c r="L98">
        <v>36</v>
      </c>
      <c r="M98">
        <v>44</v>
      </c>
      <c r="N98">
        <v>55</v>
      </c>
      <c r="O98">
        <v>64</v>
      </c>
      <c r="P98">
        <v>0</v>
      </c>
      <c r="Q98" t="s">
        <v>500</v>
      </c>
      <c r="R98" t="s">
        <v>436</v>
      </c>
    </row>
    <row r="99" spans="1:18" x14ac:dyDescent="0.35">
      <c r="A99" t="s">
        <v>496</v>
      </c>
      <c r="B99" t="s">
        <v>497</v>
      </c>
      <c r="C99" t="s">
        <v>498</v>
      </c>
      <c r="D99" t="s">
        <v>495</v>
      </c>
      <c r="E99" t="s">
        <v>431</v>
      </c>
      <c r="F99" t="s">
        <v>481</v>
      </c>
      <c r="G99" t="s">
        <v>473</v>
      </c>
      <c r="H99" t="s">
        <v>484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 s="190" t="s">
        <v>499</v>
      </c>
      <c r="R99" t="s">
        <v>440</v>
      </c>
    </row>
    <row r="100" spans="1:18" x14ac:dyDescent="0.35">
      <c r="A100" t="s">
        <v>496</v>
      </c>
      <c r="B100" t="s">
        <v>497</v>
      </c>
      <c r="C100" t="s">
        <v>498</v>
      </c>
      <c r="D100" t="s">
        <v>501</v>
      </c>
      <c r="E100" t="s">
        <v>502</v>
      </c>
      <c r="F100" t="s">
        <v>432</v>
      </c>
      <c r="G100" t="s">
        <v>433</v>
      </c>
      <c r="H100" t="s">
        <v>434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 s="190" t="s">
        <v>499</v>
      </c>
      <c r="R100" t="s">
        <v>440</v>
      </c>
    </row>
    <row r="101" spans="1:18" x14ac:dyDescent="0.35">
      <c r="A101" t="s">
        <v>496</v>
      </c>
      <c r="B101" t="s">
        <v>497</v>
      </c>
      <c r="C101" t="s">
        <v>498</v>
      </c>
      <c r="D101" t="s">
        <v>501</v>
      </c>
      <c r="E101" t="s">
        <v>502</v>
      </c>
      <c r="F101" t="s">
        <v>432</v>
      </c>
      <c r="G101" t="s">
        <v>437</v>
      </c>
      <c r="H101" t="s">
        <v>438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 s="190" t="s">
        <v>499</v>
      </c>
      <c r="R101" t="s">
        <v>440</v>
      </c>
    </row>
    <row r="102" spans="1:18" x14ac:dyDescent="0.35">
      <c r="A102" t="s">
        <v>496</v>
      </c>
      <c r="B102" t="s">
        <v>497</v>
      </c>
      <c r="C102" t="s">
        <v>498</v>
      </c>
      <c r="D102" t="s">
        <v>501</v>
      </c>
      <c r="E102" t="s">
        <v>502</v>
      </c>
      <c r="F102" t="s">
        <v>441</v>
      </c>
      <c r="G102" t="s">
        <v>433</v>
      </c>
      <c r="H102" t="s">
        <v>442</v>
      </c>
      <c r="I102">
        <v>8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 t="s">
        <v>503</v>
      </c>
      <c r="R102" t="s">
        <v>436</v>
      </c>
    </row>
    <row r="103" spans="1:18" x14ac:dyDescent="0.35">
      <c r="A103" t="s">
        <v>496</v>
      </c>
      <c r="B103" t="s">
        <v>497</v>
      </c>
      <c r="C103" t="s">
        <v>498</v>
      </c>
      <c r="D103" t="s">
        <v>501</v>
      </c>
      <c r="E103" t="s">
        <v>502</v>
      </c>
      <c r="F103" t="s">
        <v>441</v>
      </c>
      <c r="G103" t="s">
        <v>443</v>
      </c>
      <c r="H103" t="s">
        <v>444</v>
      </c>
      <c r="I103">
        <v>5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 t="s">
        <v>503</v>
      </c>
      <c r="R103" t="s">
        <v>436</v>
      </c>
    </row>
    <row r="104" spans="1:18" x14ac:dyDescent="0.35">
      <c r="A104" t="s">
        <v>496</v>
      </c>
      <c r="B104" t="s">
        <v>497</v>
      </c>
      <c r="C104" t="s">
        <v>498</v>
      </c>
      <c r="D104" t="s">
        <v>501</v>
      </c>
      <c r="E104" t="s">
        <v>502</v>
      </c>
      <c r="F104" t="s">
        <v>445</v>
      </c>
      <c r="G104" t="s">
        <v>446</v>
      </c>
      <c r="H104" t="s">
        <v>447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 s="190" t="s">
        <v>499</v>
      </c>
      <c r="R104" t="s">
        <v>440</v>
      </c>
    </row>
    <row r="105" spans="1:18" x14ac:dyDescent="0.35">
      <c r="A105" t="s">
        <v>496</v>
      </c>
      <c r="B105" t="s">
        <v>497</v>
      </c>
      <c r="C105" t="s">
        <v>498</v>
      </c>
      <c r="D105" t="s">
        <v>501</v>
      </c>
      <c r="E105" t="s">
        <v>502</v>
      </c>
      <c r="F105" t="s">
        <v>448</v>
      </c>
      <c r="G105" t="s">
        <v>446</v>
      </c>
      <c r="H105" t="s">
        <v>449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 s="190" t="s">
        <v>499</v>
      </c>
      <c r="R105" t="s">
        <v>440</v>
      </c>
    </row>
    <row r="106" spans="1:18" x14ac:dyDescent="0.35">
      <c r="A106" t="s">
        <v>496</v>
      </c>
      <c r="B106" t="s">
        <v>497</v>
      </c>
      <c r="C106" t="s">
        <v>498</v>
      </c>
      <c r="D106" t="s">
        <v>501</v>
      </c>
      <c r="E106" t="s">
        <v>502</v>
      </c>
      <c r="F106" t="s">
        <v>450</v>
      </c>
      <c r="G106" t="s">
        <v>446</v>
      </c>
      <c r="H106" t="s">
        <v>451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 s="190" t="s">
        <v>499</v>
      </c>
      <c r="R106" t="s">
        <v>440</v>
      </c>
    </row>
    <row r="107" spans="1:18" x14ac:dyDescent="0.35">
      <c r="A107" t="s">
        <v>496</v>
      </c>
      <c r="B107" t="s">
        <v>497</v>
      </c>
      <c r="C107" t="s">
        <v>498</v>
      </c>
      <c r="D107" t="s">
        <v>501</v>
      </c>
      <c r="E107" t="s">
        <v>502</v>
      </c>
      <c r="F107" t="s">
        <v>452</v>
      </c>
      <c r="G107" t="s">
        <v>453</v>
      </c>
      <c r="H107" t="s">
        <v>454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 s="190" t="s">
        <v>499</v>
      </c>
      <c r="R107" t="s">
        <v>440</v>
      </c>
    </row>
    <row r="108" spans="1:18" x14ac:dyDescent="0.35">
      <c r="A108" t="s">
        <v>496</v>
      </c>
      <c r="B108" t="s">
        <v>497</v>
      </c>
      <c r="C108" t="s">
        <v>498</v>
      </c>
      <c r="D108" t="s">
        <v>501</v>
      </c>
      <c r="E108" t="s">
        <v>502</v>
      </c>
      <c r="F108" t="s">
        <v>452</v>
      </c>
      <c r="G108" t="s">
        <v>455</v>
      </c>
      <c r="H108" t="s">
        <v>456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 s="190" t="s">
        <v>499</v>
      </c>
      <c r="R108" t="s">
        <v>440</v>
      </c>
    </row>
    <row r="109" spans="1:18" x14ac:dyDescent="0.35">
      <c r="A109" t="s">
        <v>496</v>
      </c>
      <c r="B109" t="s">
        <v>497</v>
      </c>
      <c r="C109" t="s">
        <v>498</v>
      </c>
      <c r="D109" t="s">
        <v>501</v>
      </c>
      <c r="E109" t="s">
        <v>502</v>
      </c>
      <c r="F109" t="s">
        <v>452</v>
      </c>
      <c r="G109" t="s">
        <v>457</v>
      </c>
      <c r="H109" t="s">
        <v>458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 s="190" t="s">
        <v>499</v>
      </c>
      <c r="R109" t="s">
        <v>440</v>
      </c>
    </row>
    <row r="110" spans="1:18" x14ac:dyDescent="0.35">
      <c r="A110" t="s">
        <v>496</v>
      </c>
      <c r="B110" t="s">
        <v>497</v>
      </c>
      <c r="C110" t="s">
        <v>498</v>
      </c>
      <c r="D110" t="s">
        <v>501</v>
      </c>
      <c r="E110" t="s">
        <v>502</v>
      </c>
      <c r="F110" t="s">
        <v>459</v>
      </c>
      <c r="G110" t="s">
        <v>460</v>
      </c>
      <c r="H110" t="s">
        <v>461</v>
      </c>
      <c r="I110">
        <v>30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 t="s">
        <v>503</v>
      </c>
      <c r="R110" t="s">
        <v>436</v>
      </c>
    </row>
    <row r="111" spans="1:18" x14ac:dyDescent="0.35">
      <c r="A111" t="s">
        <v>496</v>
      </c>
      <c r="B111" t="s">
        <v>497</v>
      </c>
      <c r="C111" t="s">
        <v>498</v>
      </c>
      <c r="D111" t="s">
        <v>501</v>
      </c>
      <c r="E111" t="s">
        <v>502</v>
      </c>
      <c r="F111" t="s">
        <v>462</v>
      </c>
      <c r="G111" t="s">
        <v>446</v>
      </c>
      <c r="H111" t="s">
        <v>463</v>
      </c>
      <c r="I111">
        <v>16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 t="s">
        <v>503</v>
      </c>
      <c r="R111" t="s">
        <v>436</v>
      </c>
    </row>
    <row r="112" spans="1:18" x14ac:dyDescent="0.35">
      <c r="A112" t="s">
        <v>496</v>
      </c>
      <c r="B112" t="s">
        <v>497</v>
      </c>
      <c r="C112" t="s">
        <v>498</v>
      </c>
      <c r="D112" t="s">
        <v>501</v>
      </c>
      <c r="E112" t="s">
        <v>502</v>
      </c>
      <c r="F112" t="s">
        <v>464</v>
      </c>
      <c r="G112" t="s">
        <v>446</v>
      </c>
      <c r="H112" t="s">
        <v>465</v>
      </c>
      <c r="I112">
        <v>19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 t="s">
        <v>503</v>
      </c>
      <c r="R112" t="s">
        <v>436</v>
      </c>
    </row>
    <row r="113" spans="1:18" x14ac:dyDescent="0.35">
      <c r="A113" t="s">
        <v>496</v>
      </c>
      <c r="B113" t="s">
        <v>497</v>
      </c>
      <c r="C113" t="s">
        <v>498</v>
      </c>
      <c r="D113" t="s">
        <v>501</v>
      </c>
      <c r="E113" t="s">
        <v>502</v>
      </c>
      <c r="F113" t="s">
        <v>466</v>
      </c>
      <c r="G113" t="s">
        <v>467</v>
      </c>
      <c r="H113" t="s">
        <v>466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 s="190" t="s">
        <v>499</v>
      </c>
      <c r="R113" t="s">
        <v>440</v>
      </c>
    </row>
    <row r="114" spans="1:18" x14ac:dyDescent="0.35">
      <c r="A114" t="s">
        <v>496</v>
      </c>
      <c r="B114" t="s">
        <v>497</v>
      </c>
      <c r="C114" t="s">
        <v>498</v>
      </c>
      <c r="D114" t="s">
        <v>501</v>
      </c>
      <c r="E114" t="s">
        <v>502</v>
      </c>
      <c r="F114" t="s">
        <v>468</v>
      </c>
      <c r="G114" t="s">
        <v>433</v>
      </c>
      <c r="H114" t="s">
        <v>469</v>
      </c>
      <c r="I114">
        <v>33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 t="s">
        <v>503</v>
      </c>
      <c r="R114" t="s">
        <v>436</v>
      </c>
    </row>
    <row r="115" spans="1:18" x14ac:dyDescent="0.35">
      <c r="A115" t="s">
        <v>496</v>
      </c>
      <c r="B115" t="s">
        <v>497</v>
      </c>
      <c r="C115" t="s">
        <v>498</v>
      </c>
      <c r="D115" t="s">
        <v>501</v>
      </c>
      <c r="E115" t="s">
        <v>502</v>
      </c>
      <c r="F115" t="s">
        <v>468</v>
      </c>
      <c r="G115" t="s">
        <v>470</v>
      </c>
      <c r="H115" t="s">
        <v>471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 s="190" t="s">
        <v>499</v>
      </c>
      <c r="R115" t="s">
        <v>440</v>
      </c>
    </row>
    <row r="116" spans="1:18" x14ac:dyDescent="0.35">
      <c r="A116" t="s">
        <v>496</v>
      </c>
      <c r="B116" t="s">
        <v>497</v>
      </c>
      <c r="C116" t="s">
        <v>498</v>
      </c>
      <c r="D116" t="s">
        <v>501</v>
      </c>
      <c r="E116" t="s">
        <v>502</v>
      </c>
      <c r="F116" t="s">
        <v>468</v>
      </c>
      <c r="G116" t="s">
        <v>443</v>
      </c>
      <c r="H116" t="s">
        <v>472</v>
      </c>
      <c r="I116">
        <v>27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 t="s">
        <v>503</v>
      </c>
      <c r="R116" t="s">
        <v>436</v>
      </c>
    </row>
    <row r="117" spans="1:18" x14ac:dyDescent="0.35">
      <c r="A117" t="s">
        <v>496</v>
      </c>
      <c r="B117" t="s">
        <v>497</v>
      </c>
      <c r="C117" t="s">
        <v>498</v>
      </c>
      <c r="D117" t="s">
        <v>501</v>
      </c>
      <c r="E117" t="s">
        <v>502</v>
      </c>
      <c r="F117" t="s">
        <v>468</v>
      </c>
      <c r="G117" t="s">
        <v>473</v>
      </c>
      <c r="H117" t="s">
        <v>474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 s="190" t="s">
        <v>499</v>
      </c>
      <c r="R117" t="s">
        <v>440</v>
      </c>
    </row>
    <row r="118" spans="1:18" x14ac:dyDescent="0.35">
      <c r="A118" t="s">
        <v>496</v>
      </c>
      <c r="B118" t="s">
        <v>497</v>
      </c>
      <c r="C118" t="s">
        <v>498</v>
      </c>
      <c r="D118" t="s">
        <v>501</v>
      </c>
      <c r="E118" t="s">
        <v>502</v>
      </c>
      <c r="F118" t="s">
        <v>468</v>
      </c>
      <c r="G118" t="s">
        <v>475</v>
      </c>
      <c r="H118" t="s">
        <v>476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 s="190" t="s">
        <v>499</v>
      </c>
      <c r="R118" t="s">
        <v>440</v>
      </c>
    </row>
    <row r="119" spans="1:18" x14ac:dyDescent="0.35">
      <c r="A119" t="s">
        <v>496</v>
      </c>
      <c r="B119" t="s">
        <v>497</v>
      </c>
      <c r="C119" t="s">
        <v>498</v>
      </c>
      <c r="D119" t="s">
        <v>501</v>
      </c>
      <c r="E119" t="s">
        <v>502</v>
      </c>
      <c r="F119" t="s">
        <v>477</v>
      </c>
      <c r="G119" t="s">
        <v>467</v>
      </c>
      <c r="H119" t="s">
        <v>477</v>
      </c>
      <c r="I119">
        <v>46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 t="s">
        <v>503</v>
      </c>
      <c r="R119" t="s">
        <v>436</v>
      </c>
    </row>
    <row r="120" spans="1:18" x14ac:dyDescent="0.35">
      <c r="A120" t="s">
        <v>496</v>
      </c>
      <c r="B120" t="s">
        <v>497</v>
      </c>
      <c r="C120" t="s">
        <v>498</v>
      </c>
      <c r="D120" t="s">
        <v>501</v>
      </c>
      <c r="E120" t="s">
        <v>502</v>
      </c>
      <c r="F120" t="s">
        <v>478</v>
      </c>
      <c r="G120" t="s">
        <v>446</v>
      </c>
      <c r="H120" t="s">
        <v>479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 s="190" t="s">
        <v>499</v>
      </c>
      <c r="R120" t="s">
        <v>440</v>
      </c>
    </row>
    <row r="121" spans="1:18" x14ac:dyDescent="0.35">
      <c r="A121" t="s">
        <v>496</v>
      </c>
      <c r="B121" t="s">
        <v>497</v>
      </c>
      <c r="C121" t="s">
        <v>498</v>
      </c>
      <c r="D121" t="s">
        <v>501</v>
      </c>
      <c r="E121" t="s">
        <v>502</v>
      </c>
      <c r="F121" t="s">
        <v>480</v>
      </c>
      <c r="G121" t="s">
        <v>467</v>
      </c>
      <c r="H121" t="s">
        <v>480</v>
      </c>
      <c r="I121">
        <v>72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 t="s">
        <v>503</v>
      </c>
      <c r="R121" t="s">
        <v>436</v>
      </c>
    </row>
    <row r="122" spans="1:18" x14ac:dyDescent="0.35">
      <c r="A122" t="s">
        <v>496</v>
      </c>
      <c r="B122" t="s">
        <v>497</v>
      </c>
      <c r="C122" t="s">
        <v>498</v>
      </c>
      <c r="D122" t="s">
        <v>501</v>
      </c>
      <c r="E122" t="s">
        <v>502</v>
      </c>
      <c r="F122" t="s">
        <v>481</v>
      </c>
      <c r="G122" t="s">
        <v>433</v>
      </c>
      <c r="H122" t="s">
        <v>482</v>
      </c>
      <c r="I122">
        <v>29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 t="s">
        <v>503</v>
      </c>
      <c r="R122" t="s">
        <v>436</v>
      </c>
    </row>
    <row r="123" spans="1:18" x14ac:dyDescent="0.35">
      <c r="A123" t="s">
        <v>496</v>
      </c>
      <c r="B123" t="s">
        <v>497</v>
      </c>
      <c r="C123" t="s">
        <v>498</v>
      </c>
      <c r="D123" t="s">
        <v>501</v>
      </c>
      <c r="E123" t="s">
        <v>502</v>
      </c>
      <c r="F123" t="s">
        <v>481</v>
      </c>
      <c r="G123" t="s">
        <v>443</v>
      </c>
      <c r="H123" t="s">
        <v>483</v>
      </c>
      <c r="I123">
        <v>11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 t="s">
        <v>503</v>
      </c>
      <c r="R123" t="s">
        <v>436</v>
      </c>
    </row>
    <row r="124" spans="1:18" x14ac:dyDescent="0.35">
      <c r="A124" t="s">
        <v>496</v>
      </c>
      <c r="B124" t="s">
        <v>497</v>
      </c>
      <c r="C124" t="s">
        <v>498</v>
      </c>
      <c r="D124" t="s">
        <v>501</v>
      </c>
      <c r="E124" t="s">
        <v>502</v>
      </c>
      <c r="F124" t="s">
        <v>481</v>
      </c>
      <c r="G124" t="s">
        <v>473</v>
      </c>
      <c r="H124" t="s">
        <v>484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 s="190" t="s">
        <v>499</v>
      </c>
      <c r="R124" t="s">
        <v>440</v>
      </c>
    </row>
    <row r="125" spans="1:18" x14ac:dyDescent="0.35">
      <c r="A125" t="s">
        <v>504</v>
      </c>
      <c r="B125" t="s">
        <v>505</v>
      </c>
      <c r="C125" t="s">
        <v>506</v>
      </c>
      <c r="D125" t="s">
        <v>495</v>
      </c>
      <c r="E125" t="s">
        <v>490</v>
      </c>
      <c r="F125" t="s">
        <v>432</v>
      </c>
      <c r="G125" t="s">
        <v>433</v>
      </c>
      <c r="H125" t="s">
        <v>434</v>
      </c>
      <c r="I125">
        <v>13</v>
      </c>
      <c r="J125">
        <v>16</v>
      </c>
      <c r="K125">
        <v>22</v>
      </c>
      <c r="L125">
        <v>28</v>
      </c>
      <c r="M125">
        <v>34</v>
      </c>
      <c r="N125">
        <v>41</v>
      </c>
      <c r="O125">
        <v>0</v>
      </c>
      <c r="P125">
        <v>0</v>
      </c>
      <c r="Q125" s="190" t="s">
        <v>507</v>
      </c>
      <c r="R125" t="s">
        <v>436</v>
      </c>
    </row>
    <row r="126" spans="1:18" x14ac:dyDescent="0.35">
      <c r="A126" t="s">
        <v>504</v>
      </c>
      <c r="B126" t="s">
        <v>505</v>
      </c>
      <c r="C126" t="s">
        <v>506</v>
      </c>
      <c r="D126" t="s">
        <v>495</v>
      </c>
      <c r="E126" t="s">
        <v>490</v>
      </c>
      <c r="F126" t="s">
        <v>432</v>
      </c>
      <c r="G126" t="s">
        <v>437</v>
      </c>
      <c r="H126" t="s">
        <v>438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 s="190" t="s">
        <v>507</v>
      </c>
      <c r="R126" t="s">
        <v>440</v>
      </c>
    </row>
    <row r="127" spans="1:18" x14ac:dyDescent="0.35">
      <c r="A127" t="s">
        <v>504</v>
      </c>
      <c r="B127" t="s">
        <v>505</v>
      </c>
      <c r="C127" t="s">
        <v>506</v>
      </c>
      <c r="D127" t="s">
        <v>495</v>
      </c>
      <c r="E127" t="s">
        <v>490</v>
      </c>
      <c r="F127" t="s">
        <v>441</v>
      </c>
      <c r="G127" t="s">
        <v>433</v>
      </c>
      <c r="H127" t="s">
        <v>442</v>
      </c>
      <c r="I127">
        <v>11</v>
      </c>
      <c r="J127">
        <v>13</v>
      </c>
      <c r="K127">
        <v>19</v>
      </c>
      <c r="L127">
        <v>25</v>
      </c>
      <c r="M127">
        <v>31</v>
      </c>
      <c r="N127">
        <v>37</v>
      </c>
      <c r="O127">
        <v>0</v>
      </c>
      <c r="P127">
        <v>0</v>
      </c>
      <c r="Q127" s="190" t="s">
        <v>507</v>
      </c>
      <c r="R127" t="s">
        <v>436</v>
      </c>
    </row>
    <row r="128" spans="1:18" x14ac:dyDescent="0.35">
      <c r="A128" t="s">
        <v>504</v>
      </c>
      <c r="B128" t="s">
        <v>505</v>
      </c>
      <c r="C128" t="s">
        <v>506</v>
      </c>
      <c r="D128" t="s">
        <v>495</v>
      </c>
      <c r="E128" t="s">
        <v>490</v>
      </c>
      <c r="F128" t="s">
        <v>441</v>
      </c>
      <c r="G128" t="s">
        <v>443</v>
      </c>
      <c r="H128" t="s">
        <v>444</v>
      </c>
      <c r="I128">
        <v>4</v>
      </c>
      <c r="J128">
        <v>4</v>
      </c>
      <c r="K128">
        <v>7</v>
      </c>
      <c r="L128">
        <v>9</v>
      </c>
      <c r="M128">
        <v>12</v>
      </c>
      <c r="N128">
        <v>13</v>
      </c>
      <c r="O128">
        <v>0</v>
      </c>
      <c r="P128">
        <v>0</v>
      </c>
      <c r="Q128" s="190" t="s">
        <v>507</v>
      </c>
      <c r="R128" t="s">
        <v>436</v>
      </c>
    </row>
    <row r="129" spans="1:18" x14ac:dyDescent="0.35">
      <c r="A129" t="s">
        <v>504</v>
      </c>
      <c r="B129" t="s">
        <v>505</v>
      </c>
      <c r="C129" t="s">
        <v>506</v>
      </c>
      <c r="D129" t="s">
        <v>495</v>
      </c>
      <c r="E129" t="s">
        <v>490</v>
      </c>
      <c r="F129" t="s">
        <v>445</v>
      </c>
      <c r="G129" t="s">
        <v>446</v>
      </c>
      <c r="H129" t="s">
        <v>447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 s="190" t="s">
        <v>507</v>
      </c>
      <c r="R129" t="s">
        <v>440</v>
      </c>
    </row>
    <row r="130" spans="1:18" x14ac:dyDescent="0.35">
      <c r="A130" t="s">
        <v>504</v>
      </c>
      <c r="B130" t="s">
        <v>505</v>
      </c>
      <c r="C130" t="s">
        <v>506</v>
      </c>
      <c r="D130" t="s">
        <v>495</v>
      </c>
      <c r="E130" t="s">
        <v>490</v>
      </c>
      <c r="F130" t="s">
        <v>448</v>
      </c>
      <c r="G130" t="s">
        <v>446</v>
      </c>
      <c r="H130" t="s">
        <v>449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 s="190" t="s">
        <v>507</v>
      </c>
      <c r="R130" t="s">
        <v>440</v>
      </c>
    </row>
    <row r="131" spans="1:18" x14ac:dyDescent="0.35">
      <c r="A131" t="s">
        <v>504</v>
      </c>
      <c r="B131" t="s">
        <v>505</v>
      </c>
      <c r="C131" t="s">
        <v>506</v>
      </c>
      <c r="D131" t="s">
        <v>495</v>
      </c>
      <c r="E131" t="s">
        <v>490</v>
      </c>
      <c r="F131" t="s">
        <v>450</v>
      </c>
      <c r="G131" t="s">
        <v>446</v>
      </c>
      <c r="H131" t="s">
        <v>451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 s="190" t="s">
        <v>507</v>
      </c>
      <c r="R131" t="s">
        <v>440</v>
      </c>
    </row>
    <row r="132" spans="1:18" x14ac:dyDescent="0.35">
      <c r="A132" t="s">
        <v>504</v>
      </c>
      <c r="B132" t="s">
        <v>505</v>
      </c>
      <c r="C132" t="s">
        <v>506</v>
      </c>
      <c r="D132" t="s">
        <v>495</v>
      </c>
      <c r="E132" t="s">
        <v>490</v>
      </c>
      <c r="F132" t="s">
        <v>452</v>
      </c>
      <c r="G132" t="s">
        <v>453</v>
      </c>
      <c r="H132" t="s">
        <v>454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 s="190" t="s">
        <v>507</v>
      </c>
      <c r="R132" t="s">
        <v>440</v>
      </c>
    </row>
    <row r="133" spans="1:18" x14ac:dyDescent="0.35">
      <c r="A133" t="s">
        <v>504</v>
      </c>
      <c r="B133" t="s">
        <v>505</v>
      </c>
      <c r="C133" t="s">
        <v>506</v>
      </c>
      <c r="D133" t="s">
        <v>495</v>
      </c>
      <c r="E133" t="s">
        <v>490</v>
      </c>
      <c r="F133" t="s">
        <v>452</v>
      </c>
      <c r="G133" t="s">
        <v>455</v>
      </c>
      <c r="H133" t="s">
        <v>456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 s="190" t="s">
        <v>507</v>
      </c>
      <c r="R133" t="s">
        <v>440</v>
      </c>
    </row>
    <row r="134" spans="1:18" x14ac:dyDescent="0.35">
      <c r="A134" t="s">
        <v>504</v>
      </c>
      <c r="B134" t="s">
        <v>505</v>
      </c>
      <c r="C134" t="s">
        <v>506</v>
      </c>
      <c r="D134" t="s">
        <v>495</v>
      </c>
      <c r="E134" t="s">
        <v>490</v>
      </c>
      <c r="F134" t="s">
        <v>452</v>
      </c>
      <c r="G134" t="s">
        <v>457</v>
      </c>
      <c r="H134" t="s">
        <v>458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 s="190" t="s">
        <v>507</v>
      </c>
      <c r="R134" t="s">
        <v>440</v>
      </c>
    </row>
    <row r="135" spans="1:18" x14ac:dyDescent="0.35">
      <c r="A135" t="s">
        <v>504</v>
      </c>
      <c r="B135" t="s">
        <v>505</v>
      </c>
      <c r="C135" t="s">
        <v>506</v>
      </c>
      <c r="D135" t="s">
        <v>495</v>
      </c>
      <c r="E135" t="s">
        <v>490</v>
      </c>
      <c r="F135" t="s">
        <v>459</v>
      </c>
      <c r="G135" t="s">
        <v>460</v>
      </c>
      <c r="H135" t="s">
        <v>461</v>
      </c>
      <c r="I135">
        <v>30</v>
      </c>
      <c r="J135">
        <v>35</v>
      </c>
      <c r="K135">
        <v>57</v>
      </c>
      <c r="L135">
        <v>76</v>
      </c>
      <c r="M135">
        <v>100</v>
      </c>
      <c r="N135">
        <v>124</v>
      </c>
      <c r="O135">
        <v>0</v>
      </c>
      <c r="P135">
        <v>0</v>
      </c>
      <c r="Q135" s="190" t="s">
        <v>507</v>
      </c>
      <c r="R135" t="s">
        <v>436</v>
      </c>
    </row>
    <row r="136" spans="1:18" x14ac:dyDescent="0.35">
      <c r="A136" t="s">
        <v>504</v>
      </c>
      <c r="B136" t="s">
        <v>505</v>
      </c>
      <c r="C136" t="s">
        <v>506</v>
      </c>
      <c r="D136" t="s">
        <v>495</v>
      </c>
      <c r="E136" t="s">
        <v>490</v>
      </c>
      <c r="F136" t="s">
        <v>462</v>
      </c>
      <c r="G136" t="s">
        <v>446</v>
      </c>
      <c r="H136" t="s">
        <v>463</v>
      </c>
      <c r="I136">
        <v>11</v>
      </c>
      <c r="J136">
        <v>11</v>
      </c>
      <c r="K136">
        <v>11</v>
      </c>
      <c r="L136">
        <v>11</v>
      </c>
      <c r="M136">
        <v>11</v>
      </c>
      <c r="N136">
        <v>11</v>
      </c>
      <c r="O136">
        <v>11</v>
      </c>
      <c r="P136">
        <v>0</v>
      </c>
      <c r="Q136" s="190" t="s">
        <v>507</v>
      </c>
      <c r="R136" t="s">
        <v>436</v>
      </c>
    </row>
    <row r="137" spans="1:18" x14ac:dyDescent="0.35">
      <c r="A137" t="s">
        <v>504</v>
      </c>
      <c r="B137" t="s">
        <v>505</v>
      </c>
      <c r="C137" t="s">
        <v>506</v>
      </c>
      <c r="D137" t="s">
        <v>495</v>
      </c>
      <c r="E137" t="s">
        <v>490</v>
      </c>
      <c r="F137" t="s">
        <v>464</v>
      </c>
      <c r="G137" t="s">
        <v>446</v>
      </c>
      <c r="H137" t="s">
        <v>465</v>
      </c>
      <c r="I137">
        <v>12</v>
      </c>
      <c r="J137">
        <v>12</v>
      </c>
      <c r="K137">
        <v>12</v>
      </c>
      <c r="L137">
        <v>12</v>
      </c>
      <c r="M137">
        <v>12</v>
      </c>
      <c r="N137">
        <v>12</v>
      </c>
      <c r="O137">
        <v>12</v>
      </c>
      <c r="P137">
        <v>0</v>
      </c>
      <c r="Q137" s="190" t="s">
        <v>507</v>
      </c>
      <c r="R137" t="s">
        <v>436</v>
      </c>
    </row>
    <row r="138" spans="1:18" x14ac:dyDescent="0.35">
      <c r="A138" t="s">
        <v>504</v>
      </c>
      <c r="B138" t="s">
        <v>505</v>
      </c>
      <c r="C138" t="s">
        <v>506</v>
      </c>
      <c r="D138" t="s">
        <v>495</v>
      </c>
      <c r="E138" t="s">
        <v>490</v>
      </c>
      <c r="F138" t="s">
        <v>466</v>
      </c>
      <c r="G138" t="s">
        <v>467</v>
      </c>
      <c r="H138" t="s">
        <v>466</v>
      </c>
      <c r="I138">
        <v>8</v>
      </c>
      <c r="J138">
        <v>8</v>
      </c>
      <c r="K138">
        <v>8</v>
      </c>
      <c r="L138">
        <v>8</v>
      </c>
      <c r="M138">
        <v>8</v>
      </c>
      <c r="N138">
        <v>8</v>
      </c>
      <c r="O138">
        <v>0</v>
      </c>
      <c r="P138">
        <v>0</v>
      </c>
      <c r="Q138" s="190" t="s">
        <v>507</v>
      </c>
      <c r="R138" t="s">
        <v>436</v>
      </c>
    </row>
    <row r="139" spans="1:18" x14ac:dyDescent="0.35">
      <c r="A139" t="s">
        <v>504</v>
      </c>
      <c r="B139" t="s">
        <v>505</v>
      </c>
      <c r="C139" t="s">
        <v>506</v>
      </c>
      <c r="D139" t="s">
        <v>495</v>
      </c>
      <c r="E139" t="s">
        <v>490</v>
      </c>
      <c r="F139" t="s">
        <v>468</v>
      </c>
      <c r="G139" t="s">
        <v>433</v>
      </c>
      <c r="H139" t="s">
        <v>469</v>
      </c>
      <c r="I139">
        <v>19</v>
      </c>
      <c r="J139">
        <v>22</v>
      </c>
      <c r="K139">
        <v>25</v>
      </c>
      <c r="L139">
        <v>28</v>
      </c>
      <c r="M139">
        <v>30</v>
      </c>
      <c r="N139">
        <v>35</v>
      </c>
      <c r="O139">
        <v>0</v>
      </c>
      <c r="P139">
        <v>0</v>
      </c>
      <c r="Q139" s="190" t="s">
        <v>507</v>
      </c>
      <c r="R139" t="s">
        <v>436</v>
      </c>
    </row>
    <row r="140" spans="1:18" x14ac:dyDescent="0.35">
      <c r="A140" t="s">
        <v>504</v>
      </c>
      <c r="B140" t="s">
        <v>505</v>
      </c>
      <c r="C140" t="s">
        <v>506</v>
      </c>
      <c r="D140" t="s">
        <v>495</v>
      </c>
      <c r="E140" t="s">
        <v>490</v>
      </c>
      <c r="F140" t="s">
        <v>468</v>
      </c>
      <c r="G140" t="s">
        <v>470</v>
      </c>
      <c r="H140" t="s">
        <v>471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 s="190" t="s">
        <v>507</v>
      </c>
      <c r="R140" t="s">
        <v>440</v>
      </c>
    </row>
    <row r="141" spans="1:18" x14ac:dyDescent="0.35">
      <c r="A141" t="s">
        <v>504</v>
      </c>
      <c r="B141" t="s">
        <v>505</v>
      </c>
      <c r="C141" t="s">
        <v>506</v>
      </c>
      <c r="D141" t="s">
        <v>495</v>
      </c>
      <c r="E141" t="s">
        <v>490</v>
      </c>
      <c r="F141" t="s">
        <v>468</v>
      </c>
      <c r="G141" t="s">
        <v>443</v>
      </c>
      <c r="H141" t="s">
        <v>472</v>
      </c>
      <c r="I141">
        <v>16</v>
      </c>
      <c r="J141">
        <v>18</v>
      </c>
      <c r="K141">
        <v>21</v>
      </c>
      <c r="L141">
        <v>22</v>
      </c>
      <c r="M141">
        <v>25</v>
      </c>
      <c r="N141">
        <v>27</v>
      </c>
      <c r="O141">
        <v>0</v>
      </c>
      <c r="P141">
        <v>0</v>
      </c>
      <c r="Q141" s="190" t="s">
        <v>507</v>
      </c>
      <c r="R141" t="s">
        <v>436</v>
      </c>
    </row>
    <row r="142" spans="1:18" x14ac:dyDescent="0.35">
      <c r="A142" t="s">
        <v>504</v>
      </c>
      <c r="B142" t="s">
        <v>505</v>
      </c>
      <c r="C142" t="s">
        <v>506</v>
      </c>
      <c r="D142" t="s">
        <v>495</v>
      </c>
      <c r="E142" t="s">
        <v>490</v>
      </c>
      <c r="F142" t="s">
        <v>468</v>
      </c>
      <c r="G142" t="s">
        <v>473</v>
      </c>
      <c r="H142" t="s">
        <v>474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 s="190" t="s">
        <v>507</v>
      </c>
      <c r="R142" t="s">
        <v>440</v>
      </c>
    </row>
    <row r="143" spans="1:18" x14ac:dyDescent="0.35">
      <c r="A143" t="s">
        <v>504</v>
      </c>
      <c r="B143" t="s">
        <v>505</v>
      </c>
      <c r="C143" t="s">
        <v>506</v>
      </c>
      <c r="D143" t="s">
        <v>495</v>
      </c>
      <c r="E143" t="s">
        <v>490</v>
      </c>
      <c r="F143" t="s">
        <v>468</v>
      </c>
      <c r="G143" t="s">
        <v>475</v>
      </c>
      <c r="H143" t="s">
        <v>476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 s="190" t="s">
        <v>507</v>
      </c>
      <c r="R143" t="s">
        <v>440</v>
      </c>
    </row>
    <row r="144" spans="1:18" x14ac:dyDescent="0.35">
      <c r="A144" t="s">
        <v>504</v>
      </c>
      <c r="B144" t="s">
        <v>505</v>
      </c>
      <c r="C144" t="s">
        <v>506</v>
      </c>
      <c r="D144" t="s">
        <v>495</v>
      </c>
      <c r="E144" t="s">
        <v>490</v>
      </c>
      <c r="F144" t="s">
        <v>477</v>
      </c>
      <c r="G144" t="s">
        <v>467</v>
      </c>
      <c r="H144" t="s">
        <v>477</v>
      </c>
      <c r="I144">
        <v>43</v>
      </c>
      <c r="J144">
        <v>43</v>
      </c>
      <c r="K144">
        <v>43</v>
      </c>
      <c r="L144">
        <v>43</v>
      </c>
      <c r="M144">
        <v>43</v>
      </c>
      <c r="N144">
        <v>43</v>
      </c>
      <c r="O144">
        <v>43</v>
      </c>
      <c r="P144">
        <v>0</v>
      </c>
      <c r="Q144" s="190" t="s">
        <v>507</v>
      </c>
      <c r="R144" t="s">
        <v>436</v>
      </c>
    </row>
    <row r="145" spans="1:18" x14ac:dyDescent="0.35">
      <c r="A145" t="s">
        <v>504</v>
      </c>
      <c r="B145" t="s">
        <v>505</v>
      </c>
      <c r="C145" t="s">
        <v>506</v>
      </c>
      <c r="D145" t="s">
        <v>495</v>
      </c>
      <c r="E145" t="s">
        <v>490</v>
      </c>
      <c r="F145" t="s">
        <v>478</v>
      </c>
      <c r="G145" t="s">
        <v>446</v>
      </c>
      <c r="H145" t="s">
        <v>479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 s="190" t="s">
        <v>507</v>
      </c>
      <c r="R145" t="s">
        <v>440</v>
      </c>
    </row>
    <row r="146" spans="1:18" x14ac:dyDescent="0.35">
      <c r="A146" t="s">
        <v>504</v>
      </c>
      <c r="B146" t="s">
        <v>505</v>
      </c>
      <c r="C146" t="s">
        <v>506</v>
      </c>
      <c r="D146" t="s">
        <v>495</v>
      </c>
      <c r="E146" t="s">
        <v>490</v>
      </c>
      <c r="F146" t="s">
        <v>480</v>
      </c>
      <c r="G146" t="s">
        <v>467</v>
      </c>
      <c r="H146" t="s">
        <v>480</v>
      </c>
      <c r="I146">
        <v>45</v>
      </c>
      <c r="J146">
        <v>49</v>
      </c>
      <c r="K146">
        <v>71</v>
      </c>
      <c r="L146">
        <v>104</v>
      </c>
      <c r="M146">
        <v>138</v>
      </c>
      <c r="N146">
        <v>171</v>
      </c>
      <c r="O146">
        <v>0</v>
      </c>
      <c r="P146">
        <v>0</v>
      </c>
      <c r="Q146" s="190" t="s">
        <v>507</v>
      </c>
      <c r="R146" t="s">
        <v>436</v>
      </c>
    </row>
    <row r="147" spans="1:18" x14ac:dyDescent="0.35">
      <c r="A147" t="s">
        <v>504</v>
      </c>
      <c r="B147" t="s">
        <v>505</v>
      </c>
      <c r="C147" t="s">
        <v>506</v>
      </c>
      <c r="D147" t="s">
        <v>495</v>
      </c>
      <c r="E147" t="s">
        <v>490</v>
      </c>
      <c r="F147" t="s">
        <v>481</v>
      </c>
      <c r="G147" t="s">
        <v>433</v>
      </c>
      <c r="H147" t="s">
        <v>482</v>
      </c>
      <c r="I147">
        <v>25</v>
      </c>
      <c r="J147">
        <v>30</v>
      </c>
      <c r="K147">
        <v>38</v>
      </c>
      <c r="L147">
        <v>46</v>
      </c>
      <c r="M147">
        <v>55</v>
      </c>
      <c r="N147">
        <v>63</v>
      </c>
      <c r="O147">
        <v>0</v>
      </c>
      <c r="P147">
        <v>0</v>
      </c>
      <c r="Q147" s="190" t="s">
        <v>507</v>
      </c>
      <c r="R147" t="s">
        <v>436</v>
      </c>
    </row>
    <row r="148" spans="1:18" x14ac:dyDescent="0.35">
      <c r="A148" t="s">
        <v>504</v>
      </c>
      <c r="B148" t="s">
        <v>505</v>
      </c>
      <c r="C148" t="s">
        <v>506</v>
      </c>
      <c r="D148" t="s">
        <v>495</v>
      </c>
      <c r="E148" t="s">
        <v>490</v>
      </c>
      <c r="F148" t="s">
        <v>481</v>
      </c>
      <c r="G148" t="s">
        <v>443</v>
      </c>
      <c r="H148" t="s">
        <v>483</v>
      </c>
      <c r="I148">
        <v>9</v>
      </c>
      <c r="J148">
        <v>10</v>
      </c>
      <c r="K148">
        <v>14</v>
      </c>
      <c r="L148">
        <v>20</v>
      </c>
      <c r="M148">
        <v>26</v>
      </c>
      <c r="N148">
        <v>31</v>
      </c>
      <c r="O148">
        <v>0</v>
      </c>
      <c r="P148">
        <v>0</v>
      </c>
      <c r="Q148" s="190" t="s">
        <v>507</v>
      </c>
      <c r="R148" t="s">
        <v>436</v>
      </c>
    </row>
    <row r="149" spans="1:18" x14ac:dyDescent="0.35">
      <c r="A149" t="s">
        <v>504</v>
      </c>
      <c r="B149" t="s">
        <v>505</v>
      </c>
      <c r="C149" t="s">
        <v>506</v>
      </c>
      <c r="D149" t="s">
        <v>495</v>
      </c>
      <c r="E149" t="s">
        <v>490</v>
      </c>
      <c r="F149" t="s">
        <v>481</v>
      </c>
      <c r="G149" t="s">
        <v>473</v>
      </c>
      <c r="H149" t="s">
        <v>484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 s="190" t="s">
        <v>507</v>
      </c>
      <c r="R149" t="s">
        <v>440</v>
      </c>
    </row>
    <row r="150" spans="1:18" x14ac:dyDescent="0.35">
      <c r="A150" t="s">
        <v>508</v>
      </c>
      <c r="B150" t="s">
        <v>509</v>
      </c>
      <c r="C150" t="s">
        <v>510</v>
      </c>
      <c r="D150" t="s">
        <v>511</v>
      </c>
      <c r="E150" t="s">
        <v>431</v>
      </c>
      <c r="F150" t="s">
        <v>432</v>
      </c>
      <c r="G150" t="s">
        <v>433</v>
      </c>
      <c r="H150" t="s">
        <v>434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 s="190" t="s">
        <v>512</v>
      </c>
      <c r="R150" t="s">
        <v>440</v>
      </c>
    </row>
    <row r="151" spans="1:18" x14ac:dyDescent="0.35">
      <c r="A151" t="s">
        <v>508</v>
      </c>
      <c r="B151" t="s">
        <v>509</v>
      </c>
      <c r="C151" t="s">
        <v>510</v>
      </c>
      <c r="D151" t="s">
        <v>511</v>
      </c>
      <c r="E151" t="s">
        <v>431</v>
      </c>
      <c r="F151" t="s">
        <v>432</v>
      </c>
      <c r="G151" t="s">
        <v>437</v>
      </c>
      <c r="H151" t="s">
        <v>438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 s="190" t="s">
        <v>512</v>
      </c>
      <c r="R151" t="s">
        <v>440</v>
      </c>
    </row>
    <row r="152" spans="1:18" x14ac:dyDescent="0.35">
      <c r="A152" t="s">
        <v>508</v>
      </c>
      <c r="B152" t="s">
        <v>509</v>
      </c>
      <c r="C152" t="s">
        <v>510</v>
      </c>
      <c r="D152" t="s">
        <v>511</v>
      </c>
      <c r="E152" t="s">
        <v>431</v>
      </c>
      <c r="F152" t="s">
        <v>441</v>
      </c>
      <c r="G152" t="s">
        <v>433</v>
      </c>
      <c r="H152" t="s">
        <v>442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 s="190" t="s">
        <v>512</v>
      </c>
      <c r="R152" t="s">
        <v>440</v>
      </c>
    </row>
    <row r="153" spans="1:18" x14ac:dyDescent="0.35">
      <c r="A153" t="s">
        <v>508</v>
      </c>
      <c r="B153" t="s">
        <v>509</v>
      </c>
      <c r="C153" t="s">
        <v>510</v>
      </c>
      <c r="D153" t="s">
        <v>511</v>
      </c>
      <c r="E153" t="s">
        <v>431</v>
      </c>
      <c r="F153" t="s">
        <v>441</v>
      </c>
      <c r="G153" t="s">
        <v>443</v>
      </c>
      <c r="H153" t="s">
        <v>444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 s="190" t="s">
        <v>512</v>
      </c>
      <c r="R153" t="s">
        <v>440</v>
      </c>
    </row>
    <row r="154" spans="1:18" x14ac:dyDescent="0.35">
      <c r="A154" t="s">
        <v>508</v>
      </c>
      <c r="B154" t="s">
        <v>509</v>
      </c>
      <c r="C154" t="s">
        <v>510</v>
      </c>
      <c r="D154" t="s">
        <v>511</v>
      </c>
      <c r="E154" t="s">
        <v>431</v>
      </c>
      <c r="F154" t="s">
        <v>445</v>
      </c>
      <c r="G154" t="s">
        <v>446</v>
      </c>
      <c r="H154" t="s">
        <v>447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 s="190" t="s">
        <v>512</v>
      </c>
      <c r="R154" t="s">
        <v>440</v>
      </c>
    </row>
    <row r="155" spans="1:18" x14ac:dyDescent="0.35">
      <c r="A155" t="s">
        <v>508</v>
      </c>
      <c r="B155" t="s">
        <v>509</v>
      </c>
      <c r="C155" t="s">
        <v>510</v>
      </c>
      <c r="D155" t="s">
        <v>511</v>
      </c>
      <c r="E155" t="s">
        <v>431</v>
      </c>
      <c r="F155" t="s">
        <v>448</v>
      </c>
      <c r="G155" t="s">
        <v>446</v>
      </c>
      <c r="H155" t="s">
        <v>449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 s="190" t="s">
        <v>512</v>
      </c>
      <c r="R155" t="s">
        <v>440</v>
      </c>
    </row>
    <row r="156" spans="1:18" x14ac:dyDescent="0.35">
      <c r="A156" t="s">
        <v>508</v>
      </c>
      <c r="B156" t="s">
        <v>509</v>
      </c>
      <c r="C156" t="s">
        <v>510</v>
      </c>
      <c r="D156" t="s">
        <v>511</v>
      </c>
      <c r="E156" t="s">
        <v>431</v>
      </c>
      <c r="F156" t="s">
        <v>450</v>
      </c>
      <c r="G156" t="s">
        <v>446</v>
      </c>
      <c r="H156" t="s">
        <v>451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 s="190" t="s">
        <v>512</v>
      </c>
      <c r="R156" t="s">
        <v>440</v>
      </c>
    </row>
    <row r="157" spans="1:18" x14ac:dyDescent="0.35">
      <c r="A157" t="s">
        <v>508</v>
      </c>
      <c r="B157" t="s">
        <v>509</v>
      </c>
      <c r="C157" t="s">
        <v>510</v>
      </c>
      <c r="D157" t="s">
        <v>511</v>
      </c>
      <c r="E157" t="s">
        <v>431</v>
      </c>
      <c r="F157" t="s">
        <v>452</v>
      </c>
      <c r="G157" t="s">
        <v>453</v>
      </c>
      <c r="H157" t="s">
        <v>454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 s="190" t="s">
        <v>512</v>
      </c>
      <c r="R157" t="s">
        <v>440</v>
      </c>
    </row>
    <row r="158" spans="1:18" x14ac:dyDescent="0.35">
      <c r="A158" t="s">
        <v>508</v>
      </c>
      <c r="B158" t="s">
        <v>509</v>
      </c>
      <c r="C158" t="s">
        <v>510</v>
      </c>
      <c r="D158" t="s">
        <v>511</v>
      </c>
      <c r="E158" t="s">
        <v>431</v>
      </c>
      <c r="F158" t="s">
        <v>452</v>
      </c>
      <c r="G158" t="s">
        <v>455</v>
      </c>
      <c r="H158" t="s">
        <v>456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 s="190" t="s">
        <v>512</v>
      </c>
      <c r="R158" t="s">
        <v>440</v>
      </c>
    </row>
    <row r="159" spans="1:18" x14ac:dyDescent="0.35">
      <c r="A159" t="s">
        <v>508</v>
      </c>
      <c r="B159" t="s">
        <v>509</v>
      </c>
      <c r="C159" t="s">
        <v>510</v>
      </c>
      <c r="D159" t="s">
        <v>511</v>
      </c>
      <c r="E159" t="s">
        <v>431</v>
      </c>
      <c r="F159" t="s">
        <v>452</v>
      </c>
      <c r="G159" t="s">
        <v>457</v>
      </c>
      <c r="H159" t="s">
        <v>458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 s="190" t="s">
        <v>512</v>
      </c>
      <c r="R159" t="s">
        <v>440</v>
      </c>
    </row>
    <row r="160" spans="1:18" x14ac:dyDescent="0.35">
      <c r="A160" t="s">
        <v>508</v>
      </c>
      <c r="B160" t="s">
        <v>509</v>
      </c>
      <c r="C160" t="s">
        <v>510</v>
      </c>
      <c r="D160" t="s">
        <v>511</v>
      </c>
      <c r="E160" t="s">
        <v>431</v>
      </c>
      <c r="F160" t="s">
        <v>459</v>
      </c>
      <c r="G160" t="s">
        <v>460</v>
      </c>
      <c r="H160" t="s">
        <v>461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 s="190" t="s">
        <v>512</v>
      </c>
      <c r="R160" t="s">
        <v>440</v>
      </c>
    </row>
    <row r="161" spans="1:18" x14ac:dyDescent="0.35">
      <c r="A161" t="s">
        <v>508</v>
      </c>
      <c r="B161" t="s">
        <v>509</v>
      </c>
      <c r="C161" t="s">
        <v>510</v>
      </c>
      <c r="D161" t="s">
        <v>511</v>
      </c>
      <c r="E161" t="s">
        <v>431</v>
      </c>
      <c r="F161" t="s">
        <v>462</v>
      </c>
      <c r="G161" t="s">
        <v>446</v>
      </c>
      <c r="H161" t="s">
        <v>463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 s="190" t="s">
        <v>512</v>
      </c>
      <c r="R161" t="s">
        <v>440</v>
      </c>
    </row>
    <row r="162" spans="1:18" x14ac:dyDescent="0.35">
      <c r="A162" t="s">
        <v>508</v>
      </c>
      <c r="B162" t="s">
        <v>509</v>
      </c>
      <c r="C162" t="s">
        <v>510</v>
      </c>
      <c r="D162" t="s">
        <v>511</v>
      </c>
      <c r="E162" t="s">
        <v>431</v>
      </c>
      <c r="F162" t="s">
        <v>464</v>
      </c>
      <c r="G162" t="s">
        <v>446</v>
      </c>
      <c r="H162" t="s">
        <v>465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 s="190" t="s">
        <v>512</v>
      </c>
      <c r="R162" t="s">
        <v>440</v>
      </c>
    </row>
    <row r="163" spans="1:18" x14ac:dyDescent="0.35">
      <c r="A163" t="s">
        <v>508</v>
      </c>
      <c r="B163" t="s">
        <v>509</v>
      </c>
      <c r="C163" t="s">
        <v>510</v>
      </c>
      <c r="D163" t="s">
        <v>511</v>
      </c>
      <c r="E163" t="s">
        <v>431</v>
      </c>
      <c r="F163" t="s">
        <v>466</v>
      </c>
      <c r="G163" t="s">
        <v>467</v>
      </c>
      <c r="H163" t="s">
        <v>466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 s="190" t="s">
        <v>512</v>
      </c>
      <c r="R163" t="s">
        <v>440</v>
      </c>
    </row>
    <row r="164" spans="1:18" x14ac:dyDescent="0.35">
      <c r="A164" t="s">
        <v>508</v>
      </c>
      <c r="B164" t="s">
        <v>509</v>
      </c>
      <c r="C164" t="s">
        <v>510</v>
      </c>
      <c r="D164" t="s">
        <v>511</v>
      </c>
      <c r="E164" t="s">
        <v>431</v>
      </c>
      <c r="F164" t="s">
        <v>468</v>
      </c>
      <c r="G164" t="s">
        <v>433</v>
      </c>
      <c r="H164" t="s">
        <v>469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 s="190" t="s">
        <v>512</v>
      </c>
      <c r="R164" t="s">
        <v>440</v>
      </c>
    </row>
    <row r="165" spans="1:18" x14ac:dyDescent="0.35">
      <c r="A165" t="s">
        <v>508</v>
      </c>
      <c r="B165" t="s">
        <v>509</v>
      </c>
      <c r="C165" t="s">
        <v>510</v>
      </c>
      <c r="D165" t="s">
        <v>511</v>
      </c>
      <c r="E165" t="s">
        <v>431</v>
      </c>
      <c r="F165" t="s">
        <v>468</v>
      </c>
      <c r="G165" t="s">
        <v>470</v>
      </c>
      <c r="H165" t="s">
        <v>471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 s="190" t="s">
        <v>512</v>
      </c>
      <c r="R165" t="s">
        <v>440</v>
      </c>
    </row>
    <row r="166" spans="1:18" x14ac:dyDescent="0.35">
      <c r="A166" t="s">
        <v>508</v>
      </c>
      <c r="B166" t="s">
        <v>509</v>
      </c>
      <c r="C166" t="s">
        <v>510</v>
      </c>
      <c r="D166" t="s">
        <v>511</v>
      </c>
      <c r="E166" t="s">
        <v>431</v>
      </c>
      <c r="F166" t="s">
        <v>468</v>
      </c>
      <c r="G166" t="s">
        <v>443</v>
      </c>
      <c r="H166" t="s">
        <v>472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 s="190" t="s">
        <v>512</v>
      </c>
      <c r="R166" t="s">
        <v>440</v>
      </c>
    </row>
    <row r="167" spans="1:18" x14ac:dyDescent="0.35">
      <c r="A167" t="s">
        <v>508</v>
      </c>
      <c r="B167" t="s">
        <v>509</v>
      </c>
      <c r="C167" t="s">
        <v>510</v>
      </c>
      <c r="D167" t="s">
        <v>511</v>
      </c>
      <c r="E167" t="s">
        <v>431</v>
      </c>
      <c r="F167" t="s">
        <v>468</v>
      </c>
      <c r="G167" t="s">
        <v>473</v>
      </c>
      <c r="H167" t="s">
        <v>474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 s="190" t="s">
        <v>512</v>
      </c>
      <c r="R167" t="s">
        <v>440</v>
      </c>
    </row>
    <row r="168" spans="1:18" x14ac:dyDescent="0.35">
      <c r="A168" t="s">
        <v>508</v>
      </c>
      <c r="B168" t="s">
        <v>509</v>
      </c>
      <c r="C168" t="s">
        <v>510</v>
      </c>
      <c r="D168" t="s">
        <v>511</v>
      </c>
      <c r="E168" t="s">
        <v>431</v>
      </c>
      <c r="F168" t="s">
        <v>468</v>
      </c>
      <c r="G168" t="s">
        <v>475</v>
      </c>
      <c r="H168" t="s">
        <v>476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 s="190" t="s">
        <v>512</v>
      </c>
      <c r="R168" t="s">
        <v>440</v>
      </c>
    </row>
    <row r="169" spans="1:18" x14ac:dyDescent="0.35">
      <c r="A169" t="s">
        <v>508</v>
      </c>
      <c r="B169" t="s">
        <v>509</v>
      </c>
      <c r="C169" t="s">
        <v>510</v>
      </c>
      <c r="D169" t="s">
        <v>511</v>
      </c>
      <c r="E169" t="s">
        <v>431</v>
      </c>
      <c r="F169" t="s">
        <v>477</v>
      </c>
      <c r="G169" t="s">
        <v>467</v>
      </c>
      <c r="H169" t="s">
        <v>477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 s="190" t="s">
        <v>512</v>
      </c>
      <c r="R169" t="s">
        <v>440</v>
      </c>
    </row>
    <row r="170" spans="1:18" x14ac:dyDescent="0.35">
      <c r="A170" t="s">
        <v>508</v>
      </c>
      <c r="B170" t="s">
        <v>509</v>
      </c>
      <c r="C170" t="s">
        <v>510</v>
      </c>
      <c r="D170" t="s">
        <v>511</v>
      </c>
      <c r="E170" t="s">
        <v>431</v>
      </c>
      <c r="F170" t="s">
        <v>478</v>
      </c>
      <c r="G170" t="s">
        <v>446</v>
      </c>
      <c r="H170" t="s">
        <v>479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 s="190" t="s">
        <v>512</v>
      </c>
      <c r="R170" t="s">
        <v>440</v>
      </c>
    </row>
    <row r="171" spans="1:18" x14ac:dyDescent="0.35">
      <c r="A171" t="s">
        <v>508</v>
      </c>
      <c r="B171" t="s">
        <v>509</v>
      </c>
      <c r="C171" t="s">
        <v>510</v>
      </c>
      <c r="D171" t="s">
        <v>511</v>
      </c>
      <c r="E171" t="s">
        <v>431</v>
      </c>
      <c r="F171" t="s">
        <v>480</v>
      </c>
      <c r="G171" t="s">
        <v>467</v>
      </c>
      <c r="H171" t="s">
        <v>480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 s="190" t="s">
        <v>512</v>
      </c>
      <c r="R171" t="s">
        <v>440</v>
      </c>
    </row>
    <row r="172" spans="1:18" x14ac:dyDescent="0.35">
      <c r="A172" t="s">
        <v>508</v>
      </c>
      <c r="B172" t="s">
        <v>509</v>
      </c>
      <c r="C172" t="s">
        <v>510</v>
      </c>
      <c r="D172" t="s">
        <v>511</v>
      </c>
      <c r="E172" t="s">
        <v>431</v>
      </c>
      <c r="F172" t="s">
        <v>481</v>
      </c>
      <c r="G172" t="s">
        <v>433</v>
      </c>
      <c r="H172" t="s">
        <v>482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 s="190" t="s">
        <v>512</v>
      </c>
      <c r="R172" t="s">
        <v>440</v>
      </c>
    </row>
    <row r="173" spans="1:18" x14ac:dyDescent="0.35">
      <c r="A173" t="s">
        <v>508</v>
      </c>
      <c r="B173" t="s">
        <v>509</v>
      </c>
      <c r="C173" t="s">
        <v>510</v>
      </c>
      <c r="D173" t="s">
        <v>511</v>
      </c>
      <c r="E173" t="s">
        <v>431</v>
      </c>
      <c r="F173" t="s">
        <v>481</v>
      </c>
      <c r="G173" t="s">
        <v>443</v>
      </c>
      <c r="H173" t="s">
        <v>483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 s="190" t="s">
        <v>512</v>
      </c>
      <c r="R173" t="s">
        <v>440</v>
      </c>
    </row>
    <row r="174" spans="1:18" x14ac:dyDescent="0.35">
      <c r="A174" t="s">
        <v>508</v>
      </c>
      <c r="B174" t="s">
        <v>509</v>
      </c>
      <c r="C174" t="s">
        <v>510</v>
      </c>
      <c r="D174" t="s">
        <v>511</v>
      </c>
      <c r="E174" t="s">
        <v>431</v>
      </c>
      <c r="F174" t="s">
        <v>481</v>
      </c>
      <c r="G174" t="s">
        <v>473</v>
      </c>
      <c r="H174" t="s">
        <v>484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 s="190" t="s">
        <v>512</v>
      </c>
      <c r="R174" t="s">
        <v>440</v>
      </c>
    </row>
    <row r="175" spans="1:18" x14ac:dyDescent="0.35">
      <c r="A175" t="s">
        <v>508</v>
      </c>
      <c r="B175" t="s">
        <v>509</v>
      </c>
      <c r="C175" t="s">
        <v>510</v>
      </c>
      <c r="D175" t="s">
        <v>495</v>
      </c>
      <c r="E175" t="s">
        <v>431</v>
      </c>
      <c r="F175" t="s">
        <v>432</v>
      </c>
      <c r="G175" t="s">
        <v>433</v>
      </c>
      <c r="H175" t="s">
        <v>434</v>
      </c>
      <c r="I175">
        <v>15</v>
      </c>
      <c r="J175">
        <v>17</v>
      </c>
      <c r="K175">
        <v>24</v>
      </c>
      <c r="L175">
        <v>30</v>
      </c>
      <c r="M175">
        <v>37</v>
      </c>
      <c r="N175">
        <v>43</v>
      </c>
      <c r="O175">
        <v>0</v>
      </c>
      <c r="P175">
        <v>0</v>
      </c>
      <c r="Q175" t="s">
        <v>513</v>
      </c>
      <c r="R175" t="s">
        <v>436</v>
      </c>
    </row>
    <row r="176" spans="1:18" x14ac:dyDescent="0.35">
      <c r="A176" t="s">
        <v>508</v>
      </c>
      <c r="B176" t="s">
        <v>509</v>
      </c>
      <c r="C176" t="s">
        <v>510</v>
      </c>
      <c r="D176" t="s">
        <v>495</v>
      </c>
      <c r="E176" t="s">
        <v>431</v>
      </c>
      <c r="F176" t="s">
        <v>432</v>
      </c>
      <c r="G176" t="s">
        <v>437</v>
      </c>
      <c r="H176" t="s">
        <v>438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 s="190" t="s">
        <v>512</v>
      </c>
      <c r="R176" t="s">
        <v>440</v>
      </c>
    </row>
    <row r="177" spans="1:18" x14ac:dyDescent="0.35">
      <c r="A177" t="s">
        <v>508</v>
      </c>
      <c r="B177" t="s">
        <v>509</v>
      </c>
      <c r="C177" t="s">
        <v>510</v>
      </c>
      <c r="D177" t="s">
        <v>495</v>
      </c>
      <c r="E177" t="s">
        <v>431</v>
      </c>
      <c r="F177" t="s">
        <v>441</v>
      </c>
      <c r="G177" t="s">
        <v>433</v>
      </c>
      <c r="H177" t="s">
        <v>442</v>
      </c>
      <c r="I177">
        <v>9</v>
      </c>
      <c r="J177">
        <v>11</v>
      </c>
      <c r="K177">
        <v>16</v>
      </c>
      <c r="L177">
        <v>21</v>
      </c>
      <c r="M177">
        <v>26</v>
      </c>
      <c r="N177">
        <v>31</v>
      </c>
      <c r="O177">
        <v>0</v>
      </c>
      <c r="P177">
        <v>0</v>
      </c>
      <c r="Q177" t="s">
        <v>513</v>
      </c>
      <c r="R177" t="s">
        <v>436</v>
      </c>
    </row>
    <row r="178" spans="1:18" x14ac:dyDescent="0.35">
      <c r="A178" t="s">
        <v>508</v>
      </c>
      <c r="B178" t="s">
        <v>509</v>
      </c>
      <c r="C178" t="s">
        <v>510</v>
      </c>
      <c r="D178" t="s">
        <v>495</v>
      </c>
      <c r="E178" t="s">
        <v>431</v>
      </c>
      <c r="F178" t="s">
        <v>441</v>
      </c>
      <c r="G178" t="s">
        <v>443</v>
      </c>
      <c r="H178" t="s">
        <v>444</v>
      </c>
      <c r="I178">
        <v>4</v>
      </c>
      <c r="J178">
        <v>6</v>
      </c>
      <c r="K178">
        <v>8</v>
      </c>
      <c r="L178">
        <v>10</v>
      </c>
      <c r="M178">
        <v>12</v>
      </c>
      <c r="N178">
        <v>16</v>
      </c>
      <c r="O178">
        <v>0</v>
      </c>
      <c r="P178">
        <v>0</v>
      </c>
      <c r="Q178" t="s">
        <v>513</v>
      </c>
      <c r="R178" t="s">
        <v>436</v>
      </c>
    </row>
    <row r="179" spans="1:18" x14ac:dyDescent="0.35">
      <c r="A179" t="s">
        <v>508</v>
      </c>
      <c r="B179" t="s">
        <v>509</v>
      </c>
      <c r="C179" t="s">
        <v>510</v>
      </c>
      <c r="D179" t="s">
        <v>495</v>
      </c>
      <c r="E179" t="s">
        <v>431</v>
      </c>
      <c r="F179" t="s">
        <v>445</v>
      </c>
      <c r="G179" t="s">
        <v>446</v>
      </c>
      <c r="H179" t="s">
        <v>447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 s="190" t="s">
        <v>512</v>
      </c>
      <c r="R179" t="s">
        <v>440</v>
      </c>
    </row>
    <row r="180" spans="1:18" x14ac:dyDescent="0.35">
      <c r="A180" t="s">
        <v>508</v>
      </c>
      <c r="B180" t="s">
        <v>509</v>
      </c>
      <c r="C180" t="s">
        <v>510</v>
      </c>
      <c r="D180" t="s">
        <v>495</v>
      </c>
      <c r="E180" t="s">
        <v>431</v>
      </c>
      <c r="F180" t="s">
        <v>448</v>
      </c>
      <c r="G180" t="s">
        <v>446</v>
      </c>
      <c r="H180" t="s">
        <v>449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 s="190" t="s">
        <v>512</v>
      </c>
      <c r="R180" t="s">
        <v>440</v>
      </c>
    </row>
    <row r="181" spans="1:18" x14ac:dyDescent="0.35">
      <c r="A181" t="s">
        <v>508</v>
      </c>
      <c r="B181" t="s">
        <v>509</v>
      </c>
      <c r="C181" t="s">
        <v>510</v>
      </c>
      <c r="D181" t="s">
        <v>495</v>
      </c>
      <c r="E181" t="s">
        <v>431</v>
      </c>
      <c r="F181" t="s">
        <v>450</v>
      </c>
      <c r="G181" t="s">
        <v>446</v>
      </c>
      <c r="H181" t="s">
        <v>451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 s="190" t="s">
        <v>512</v>
      </c>
      <c r="R181" t="s">
        <v>440</v>
      </c>
    </row>
    <row r="182" spans="1:18" x14ac:dyDescent="0.35">
      <c r="A182" t="s">
        <v>508</v>
      </c>
      <c r="B182" t="s">
        <v>509</v>
      </c>
      <c r="C182" t="s">
        <v>510</v>
      </c>
      <c r="D182" t="s">
        <v>495</v>
      </c>
      <c r="E182" t="s">
        <v>431</v>
      </c>
      <c r="F182" t="s">
        <v>452</v>
      </c>
      <c r="G182" t="s">
        <v>453</v>
      </c>
      <c r="H182" t="s">
        <v>454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 s="190" t="s">
        <v>512</v>
      </c>
      <c r="R182" t="s">
        <v>440</v>
      </c>
    </row>
    <row r="183" spans="1:18" x14ac:dyDescent="0.35">
      <c r="A183" t="s">
        <v>508</v>
      </c>
      <c r="B183" t="s">
        <v>509</v>
      </c>
      <c r="C183" t="s">
        <v>510</v>
      </c>
      <c r="D183" t="s">
        <v>495</v>
      </c>
      <c r="E183" t="s">
        <v>431</v>
      </c>
      <c r="F183" t="s">
        <v>452</v>
      </c>
      <c r="G183" t="s">
        <v>455</v>
      </c>
      <c r="H183" t="s">
        <v>456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 s="190" t="s">
        <v>512</v>
      </c>
      <c r="R183" t="s">
        <v>440</v>
      </c>
    </row>
    <row r="184" spans="1:18" x14ac:dyDescent="0.35">
      <c r="A184" t="s">
        <v>508</v>
      </c>
      <c r="B184" t="s">
        <v>509</v>
      </c>
      <c r="C184" t="s">
        <v>510</v>
      </c>
      <c r="D184" t="s">
        <v>495</v>
      </c>
      <c r="E184" t="s">
        <v>431</v>
      </c>
      <c r="F184" t="s">
        <v>452</v>
      </c>
      <c r="G184" t="s">
        <v>457</v>
      </c>
      <c r="H184" t="s">
        <v>458</v>
      </c>
      <c r="I184">
        <v>26</v>
      </c>
      <c r="J184">
        <v>26</v>
      </c>
      <c r="K184">
        <v>26</v>
      </c>
      <c r="L184">
        <v>26</v>
      </c>
      <c r="M184">
        <v>26</v>
      </c>
      <c r="N184">
        <v>26</v>
      </c>
      <c r="O184">
        <v>0</v>
      </c>
      <c r="P184">
        <v>0</v>
      </c>
      <c r="Q184" t="s">
        <v>513</v>
      </c>
      <c r="R184" t="s">
        <v>436</v>
      </c>
    </row>
    <row r="185" spans="1:18" x14ac:dyDescent="0.35">
      <c r="A185" t="s">
        <v>508</v>
      </c>
      <c r="B185" t="s">
        <v>509</v>
      </c>
      <c r="C185" t="s">
        <v>510</v>
      </c>
      <c r="D185" t="s">
        <v>495</v>
      </c>
      <c r="E185" t="s">
        <v>431</v>
      </c>
      <c r="F185" t="s">
        <v>459</v>
      </c>
      <c r="G185" t="s">
        <v>460</v>
      </c>
      <c r="H185" t="s">
        <v>461</v>
      </c>
      <c r="I185">
        <v>25</v>
      </c>
      <c r="J185">
        <v>29</v>
      </c>
      <c r="K185">
        <v>40</v>
      </c>
      <c r="L185">
        <v>51</v>
      </c>
      <c r="M185">
        <v>62</v>
      </c>
      <c r="N185">
        <v>73</v>
      </c>
      <c r="O185">
        <v>0</v>
      </c>
      <c r="P185">
        <v>0</v>
      </c>
      <c r="Q185" t="s">
        <v>513</v>
      </c>
      <c r="R185" t="s">
        <v>436</v>
      </c>
    </row>
    <row r="186" spans="1:18" x14ac:dyDescent="0.35">
      <c r="A186" t="s">
        <v>508</v>
      </c>
      <c r="B186" t="s">
        <v>509</v>
      </c>
      <c r="C186" t="s">
        <v>510</v>
      </c>
      <c r="D186" t="s">
        <v>495</v>
      </c>
      <c r="E186" t="s">
        <v>431</v>
      </c>
      <c r="F186" t="s">
        <v>462</v>
      </c>
      <c r="G186" t="s">
        <v>446</v>
      </c>
      <c r="H186" t="s">
        <v>463</v>
      </c>
      <c r="I186">
        <v>11</v>
      </c>
      <c r="J186">
        <v>11</v>
      </c>
      <c r="K186">
        <v>11</v>
      </c>
      <c r="L186">
        <v>11</v>
      </c>
      <c r="M186">
        <v>11</v>
      </c>
      <c r="N186">
        <v>11</v>
      </c>
      <c r="O186">
        <v>0</v>
      </c>
      <c r="P186">
        <v>0</v>
      </c>
      <c r="Q186" t="s">
        <v>513</v>
      </c>
      <c r="R186" t="s">
        <v>436</v>
      </c>
    </row>
    <row r="187" spans="1:18" x14ac:dyDescent="0.35">
      <c r="A187" t="s">
        <v>508</v>
      </c>
      <c r="B187" t="s">
        <v>509</v>
      </c>
      <c r="C187" t="s">
        <v>510</v>
      </c>
      <c r="D187" t="s">
        <v>495</v>
      </c>
      <c r="E187" t="s">
        <v>431</v>
      </c>
      <c r="F187" t="s">
        <v>464</v>
      </c>
      <c r="G187" t="s">
        <v>446</v>
      </c>
      <c r="H187" t="s">
        <v>465</v>
      </c>
      <c r="I187">
        <v>12</v>
      </c>
      <c r="J187">
        <v>12</v>
      </c>
      <c r="K187">
        <v>12</v>
      </c>
      <c r="L187">
        <v>12</v>
      </c>
      <c r="M187">
        <v>12</v>
      </c>
      <c r="N187">
        <v>12</v>
      </c>
      <c r="O187">
        <v>0</v>
      </c>
      <c r="P187">
        <v>0</v>
      </c>
      <c r="Q187" t="s">
        <v>513</v>
      </c>
      <c r="R187" t="s">
        <v>436</v>
      </c>
    </row>
    <row r="188" spans="1:18" x14ac:dyDescent="0.35">
      <c r="A188" t="s">
        <v>508</v>
      </c>
      <c r="B188" t="s">
        <v>509</v>
      </c>
      <c r="C188" t="s">
        <v>510</v>
      </c>
      <c r="D188" t="s">
        <v>495</v>
      </c>
      <c r="E188" t="s">
        <v>431</v>
      </c>
      <c r="F188" t="s">
        <v>466</v>
      </c>
      <c r="G188" t="s">
        <v>467</v>
      </c>
      <c r="H188" t="s">
        <v>466</v>
      </c>
      <c r="I188">
        <v>23</v>
      </c>
      <c r="J188">
        <v>23</v>
      </c>
      <c r="K188">
        <v>23</v>
      </c>
      <c r="L188">
        <v>23</v>
      </c>
      <c r="M188">
        <v>25</v>
      </c>
      <c r="N188">
        <v>26</v>
      </c>
      <c r="O188">
        <v>0</v>
      </c>
      <c r="P188">
        <v>0</v>
      </c>
      <c r="Q188" t="s">
        <v>513</v>
      </c>
      <c r="R188" t="s">
        <v>436</v>
      </c>
    </row>
    <row r="189" spans="1:18" x14ac:dyDescent="0.35">
      <c r="A189" t="s">
        <v>508</v>
      </c>
      <c r="B189" t="s">
        <v>509</v>
      </c>
      <c r="C189" t="s">
        <v>510</v>
      </c>
      <c r="D189" t="s">
        <v>495</v>
      </c>
      <c r="E189" t="s">
        <v>431</v>
      </c>
      <c r="F189" t="s">
        <v>468</v>
      </c>
      <c r="G189" t="s">
        <v>433</v>
      </c>
      <c r="H189" t="s">
        <v>469</v>
      </c>
      <c r="I189">
        <v>19</v>
      </c>
      <c r="J189">
        <v>23</v>
      </c>
      <c r="K189">
        <v>29</v>
      </c>
      <c r="L189">
        <v>35</v>
      </c>
      <c r="M189">
        <v>41</v>
      </c>
      <c r="N189">
        <v>47</v>
      </c>
      <c r="O189">
        <v>0</v>
      </c>
      <c r="P189">
        <v>0</v>
      </c>
      <c r="Q189" t="s">
        <v>513</v>
      </c>
      <c r="R189" t="s">
        <v>436</v>
      </c>
    </row>
    <row r="190" spans="1:18" x14ac:dyDescent="0.35">
      <c r="A190" t="s">
        <v>508</v>
      </c>
      <c r="B190" t="s">
        <v>509</v>
      </c>
      <c r="C190" t="s">
        <v>510</v>
      </c>
      <c r="D190" t="s">
        <v>495</v>
      </c>
      <c r="E190" t="s">
        <v>431</v>
      </c>
      <c r="F190" t="s">
        <v>468</v>
      </c>
      <c r="G190" t="s">
        <v>470</v>
      </c>
      <c r="H190" t="s">
        <v>471</v>
      </c>
      <c r="I190">
        <v>17</v>
      </c>
      <c r="J190">
        <v>20</v>
      </c>
      <c r="K190">
        <v>24</v>
      </c>
      <c r="L190">
        <v>27</v>
      </c>
      <c r="M190">
        <v>29</v>
      </c>
      <c r="N190">
        <v>32</v>
      </c>
      <c r="O190">
        <v>0</v>
      </c>
      <c r="P190">
        <v>0</v>
      </c>
      <c r="Q190" t="s">
        <v>513</v>
      </c>
      <c r="R190" t="s">
        <v>436</v>
      </c>
    </row>
    <row r="191" spans="1:18" x14ac:dyDescent="0.35">
      <c r="A191" t="s">
        <v>508</v>
      </c>
      <c r="B191" t="s">
        <v>509</v>
      </c>
      <c r="C191" t="s">
        <v>510</v>
      </c>
      <c r="D191" t="s">
        <v>495</v>
      </c>
      <c r="E191" t="s">
        <v>431</v>
      </c>
      <c r="F191" t="s">
        <v>468</v>
      </c>
      <c r="G191" t="s">
        <v>443</v>
      </c>
      <c r="H191" t="s">
        <v>472</v>
      </c>
      <c r="I191">
        <v>15</v>
      </c>
      <c r="J191">
        <v>19</v>
      </c>
      <c r="K191">
        <v>23</v>
      </c>
      <c r="L191">
        <v>25</v>
      </c>
      <c r="M191">
        <v>29</v>
      </c>
      <c r="N191">
        <v>31</v>
      </c>
      <c r="O191">
        <v>0</v>
      </c>
      <c r="P191">
        <v>0</v>
      </c>
      <c r="Q191" t="s">
        <v>513</v>
      </c>
      <c r="R191" t="s">
        <v>436</v>
      </c>
    </row>
    <row r="192" spans="1:18" x14ac:dyDescent="0.35">
      <c r="A192" t="s">
        <v>508</v>
      </c>
      <c r="B192" t="s">
        <v>509</v>
      </c>
      <c r="C192" t="s">
        <v>510</v>
      </c>
      <c r="D192" t="s">
        <v>495</v>
      </c>
      <c r="E192" t="s">
        <v>431</v>
      </c>
      <c r="F192" t="s">
        <v>468</v>
      </c>
      <c r="G192" t="s">
        <v>473</v>
      </c>
      <c r="H192" t="s">
        <v>474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 t="s">
        <v>513</v>
      </c>
      <c r="R192" t="s">
        <v>436</v>
      </c>
    </row>
    <row r="193" spans="1:18" x14ac:dyDescent="0.35">
      <c r="A193" t="s">
        <v>508</v>
      </c>
      <c r="B193" t="s">
        <v>509</v>
      </c>
      <c r="C193" t="s">
        <v>510</v>
      </c>
      <c r="D193" t="s">
        <v>495</v>
      </c>
      <c r="E193" t="s">
        <v>431</v>
      </c>
      <c r="F193" t="s">
        <v>468</v>
      </c>
      <c r="G193" t="s">
        <v>475</v>
      </c>
      <c r="H193" t="s">
        <v>476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 t="s">
        <v>513</v>
      </c>
      <c r="R193" t="s">
        <v>436</v>
      </c>
    </row>
    <row r="194" spans="1:18" x14ac:dyDescent="0.35">
      <c r="A194" t="s">
        <v>508</v>
      </c>
      <c r="B194" t="s">
        <v>509</v>
      </c>
      <c r="C194" t="s">
        <v>510</v>
      </c>
      <c r="D194" t="s">
        <v>495</v>
      </c>
      <c r="E194" t="s">
        <v>431</v>
      </c>
      <c r="F194" t="s">
        <v>477</v>
      </c>
      <c r="G194" t="s">
        <v>467</v>
      </c>
      <c r="H194" t="s">
        <v>477</v>
      </c>
      <c r="I194">
        <v>54</v>
      </c>
      <c r="J194">
        <v>54</v>
      </c>
      <c r="K194">
        <v>54</v>
      </c>
      <c r="L194">
        <v>54</v>
      </c>
      <c r="M194">
        <v>54</v>
      </c>
      <c r="N194">
        <v>54</v>
      </c>
      <c r="O194">
        <v>0</v>
      </c>
      <c r="P194">
        <v>0</v>
      </c>
      <c r="Q194" t="s">
        <v>513</v>
      </c>
      <c r="R194" t="s">
        <v>436</v>
      </c>
    </row>
    <row r="195" spans="1:18" x14ac:dyDescent="0.35">
      <c r="A195" t="s">
        <v>508</v>
      </c>
      <c r="B195" t="s">
        <v>509</v>
      </c>
      <c r="C195" t="s">
        <v>510</v>
      </c>
      <c r="D195" t="s">
        <v>495</v>
      </c>
      <c r="E195" t="s">
        <v>431</v>
      </c>
      <c r="F195" t="s">
        <v>478</v>
      </c>
      <c r="G195" t="s">
        <v>446</v>
      </c>
      <c r="H195" t="s">
        <v>479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 s="190" t="s">
        <v>512</v>
      </c>
      <c r="R195" t="s">
        <v>440</v>
      </c>
    </row>
    <row r="196" spans="1:18" x14ac:dyDescent="0.35">
      <c r="A196" t="s">
        <v>508</v>
      </c>
      <c r="B196" t="s">
        <v>509</v>
      </c>
      <c r="C196" t="s">
        <v>510</v>
      </c>
      <c r="D196" t="s">
        <v>495</v>
      </c>
      <c r="E196" t="s">
        <v>431</v>
      </c>
      <c r="F196" t="s">
        <v>480</v>
      </c>
      <c r="G196" t="s">
        <v>467</v>
      </c>
      <c r="H196" t="s">
        <v>480</v>
      </c>
      <c r="I196">
        <v>42</v>
      </c>
      <c r="J196">
        <v>43</v>
      </c>
      <c r="K196">
        <v>46</v>
      </c>
      <c r="L196">
        <v>49</v>
      </c>
      <c r="M196">
        <v>51</v>
      </c>
      <c r="N196">
        <v>54</v>
      </c>
      <c r="O196">
        <v>0</v>
      </c>
      <c r="P196">
        <v>0</v>
      </c>
      <c r="Q196" t="s">
        <v>513</v>
      </c>
      <c r="R196" t="s">
        <v>436</v>
      </c>
    </row>
    <row r="197" spans="1:18" x14ac:dyDescent="0.35">
      <c r="A197" t="s">
        <v>508</v>
      </c>
      <c r="B197" t="s">
        <v>509</v>
      </c>
      <c r="C197" t="s">
        <v>510</v>
      </c>
      <c r="D197" t="s">
        <v>495</v>
      </c>
      <c r="E197" t="s">
        <v>431</v>
      </c>
      <c r="F197" t="s">
        <v>481</v>
      </c>
      <c r="G197" t="s">
        <v>433</v>
      </c>
      <c r="H197" t="s">
        <v>482</v>
      </c>
      <c r="I197">
        <v>21</v>
      </c>
      <c r="J197">
        <v>25</v>
      </c>
      <c r="K197">
        <v>32</v>
      </c>
      <c r="L197">
        <v>39</v>
      </c>
      <c r="M197">
        <v>46</v>
      </c>
      <c r="N197">
        <v>53</v>
      </c>
      <c r="O197">
        <v>0</v>
      </c>
      <c r="P197">
        <v>0</v>
      </c>
      <c r="Q197" t="s">
        <v>513</v>
      </c>
      <c r="R197" t="s">
        <v>436</v>
      </c>
    </row>
    <row r="198" spans="1:18" x14ac:dyDescent="0.35">
      <c r="A198" t="s">
        <v>508</v>
      </c>
      <c r="B198" t="s">
        <v>509</v>
      </c>
      <c r="C198" t="s">
        <v>510</v>
      </c>
      <c r="D198" t="s">
        <v>495</v>
      </c>
      <c r="E198" t="s">
        <v>431</v>
      </c>
      <c r="F198" t="s">
        <v>481</v>
      </c>
      <c r="G198" t="s">
        <v>443</v>
      </c>
      <c r="H198" t="s">
        <v>483</v>
      </c>
      <c r="I198">
        <v>10</v>
      </c>
      <c r="J198">
        <v>12</v>
      </c>
      <c r="K198">
        <v>16</v>
      </c>
      <c r="L198">
        <v>22</v>
      </c>
      <c r="M198">
        <v>28</v>
      </c>
      <c r="N198">
        <v>32</v>
      </c>
      <c r="O198">
        <v>0</v>
      </c>
      <c r="P198">
        <v>0</v>
      </c>
      <c r="Q198" t="s">
        <v>513</v>
      </c>
      <c r="R198" t="s">
        <v>436</v>
      </c>
    </row>
    <row r="199" spans="1:18" x14ac:dyDescent="0.35">
      <c r="A199" t="s">
        <v>508</v>
      </c>
      <c r="B199" t="s">
        <v>509</v>
      </c>
      <c r="C199" t="s">
        <v>510</v>
      </c>
      <c r="D199" t="s">
        <v>495</v>
      </c>
      <c r="E199" t="s">
        <v>431</v>
      </c>
      <c r="F199" t="s">
        <v>481</v>
      </c>
      <c r="G199" t="s">
        <v>473</v>
      </c>
      <c r="H199" t="s">
        <v>484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 s="190" t="s">
        <v>512</v>
      </c>
      <c r="R199" t="s">
        <v>440</v>
      </c>
    </row>
    <row r="200" spans="1:18" x14ac:dyDescent="0.35">
      <c r="A200" t="s">
        <v>508</v>
      </c>
      <c r="B200" t="s">
        <v>509</v>
      </c>
      <c r="C200" t="s">
        <v>510</v>
      </c>
      <c r="D200" t="s">
        <v>486</v>
      </c>
      <c r="E200" t="s">
        <v>486</v>
      </c>
      <c r="F200" t="s">
        <v>432</v>
      </c>
      <c r="G200" t="s">
        <v>433</v>
      </c>
      <c r="H200" t="s">
        <v>434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 s="190" t="s">
        <v>512</v>
      </c>
      <c r="R200" t="s">
        <v>440</v>
      </c>
    </row>
    <row r="201" spans="1:18" x14ac:dyDescent="0.35">
      <c r="A201" t="s">
        <v>508</v>
      </c>
      <c r="B201" t="s">
        <v>509</v>
      </c>
      <c r="C201" t="s">
        <v>510</v>
      </c>
      <c r="D201" t="s">
        <v>486</v>
      </c>
      <c r="E201" t="s">
        <v>486</v>
      </c>
      <c r="F201" t="s">
        <v>432</v>
      </c>
      <c r="G201" t="s">
        <v>437</v>
      </c>
      <c r="H201" t="s">
        <v>438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 s="190" t="s">
        <v>512</v>
      </c>
      <c r="R201" t="s">
        <v>440</v>
      </c>
    </row>
    <row r="202" spans="1:18" x14ac:dyDescent="0.35">
      <c r="A202" t="s">
        <v>508</v>
      </c>
      <c r="B202" t="s">
        <v>509</v>
      </c>
      <c r="C202" t="s">
        <v>510</v>
      </c>
      <c r="D202" t="s">
        <v>486</v>
      </c>
      <c r="E202" t="s">
        <v>486</v>
      </c>
      <c r="F202" t="s">
        <v>441</v>
      </c>
      <c r="G202" t="s">
        <v>433</v>
      </c>
      <c r="H202" t="s">
        <v>442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 s="190" t="s">
        <v>512</v>
      </c>
      <c r="R202" t="s">
        <v>440</v>
      </c>
    </row>
    <row r="203" spans="1:18" x14ac:dyDescent="0.35">
      <c r="A203" t="s">
        <v>508</v>
      </c>
      <c r="B203" t="s">
        <v>509</v>
      </c>
      <c r="C203" t="s">
        <v>510</v>
      </c>
      <c r="D203" t="s">
        <v>486</v>
      </c>
      <c r="E203" t="s">
        <v>486</v>
      </c>
      <c r="F203" t="s">
        <v>441</v>
      </c>
      <c r="G203" t="s">
        <v>443</v>
      </c>
      <c r="H203" t="s">
        <v>444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 s="190" t="s">
        <v>512</v>
      </c>
      <c r="R203" t="s">
        <v>440</v>
      </c>
    </row>
    <row r="204" spans="1:18" x14ac:dyDescent="0.35">
      <c r="A204" t="s">
        <v>508</v>
      </c>
      <c r="B204" t="s">
        <v>509</v>
      </c>
      <c r="C204" t="s">
        <v>510</v>
      </c>
      <c r="D204" t="s">
        <v>486</v>
      </c>
      <c r="E204" t="s">
        <v>486</v>
      </c>
      <c r="F204" t="s">
        <v>445</v>
      </c>
      <c r="G204" t="s">
        <v>446</v>
      </c>
      <c r="H204" t="s">
        <v>447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 s="190" t="s">
        <v>512</v>
      </c>
      <c r="R204" t="s">
        <v>440</v>
      </c>
    </row>
    <row r="205" spans="1:18" x14ac:dyDescent="0.35">
      <c r="A205" t="s">
        <v>508</v>
      </c>
      <c r="B205" t="s">
        <v>509</v>
      </c>
      <c r="C205" t="s">
        <v>510</v>
      </c>
      <c r="D205" t="s">
        <v>486</v>
      </c>
      <c r="E205" t="s">
        <v>486</v>
      </c>
      <c r="F205" t="s">
        <v>448</v>
      </c>
      <c r="G205" t="s">
        <v>446</v>
      </c>
      <c r="H205" t="s">
        <v>449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 s="190" t="s">
        <v>512</v>
      </c>
      <c r="R205" t="s">
        <v>440</v>
      </c>
    </row>
    <row r="206" spans="1:18" x14ac:dyDescent="0.35">
      <c r="A206" t="s">
        <v>508</v>
      </c>
      <c r="B206" t="s">
        <v>509</v>
      </c>
      <c r="C206" t="s">
        <v>510</v>
      </c>
      <c r="D206" t="s">
        <v>486</v>
      </c>
      <c r="E206" t="s">
        <v>486</v>
      </c>
      <c r="F206" t="s">
        <v>450</v>
      </c>
      <c r="G206" t="s">
        <v>446</v>
      </c>
      <c r="H206" t="s">
        <v>451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 s="190" t="s">
        <v>512</v>
      </c>
      <c r="R206" t="s">
        <v>440</v>
      </c>
    </row>
    <row r="207" spans="1:18" x14ac:dyDescent="0.35">
      <c r="A207" t="s">
        <v>508</v>
      </c>
      <c r="B207" t="s">
        <v>509</v>
      </c>
      <c r="C207" t="s">
        <v>510</v>
      </c>
      <c r="D207" t="s">
        <v>486</v>
      </c>
      <c r="E207" t="s">
        <v>486</v>
      </c>
      <c r="F207" t="s">
        <v>452</v>
      </c>
      <c r="G207" t="s">
        <v>453</v>
      </c>
      <c r="H207" t="s">
        <v>454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 s="190" t="s">
        <v>512</v>
      </c>
      <c r="R207" t="s">
        <v>440</v>
      </c>
    </row>
    <row r="208" spans="1:18" x14ac:dyDescent="0.35">
      <c r="A208" t="s">
        <v>508</v>
      </c>
      <c r="B208" t="s">
        <v>509</v>
      </c>
      <c r="C208" t="s">
        <v>510</v>
      </c>
      <c r="D208" t="s">
        <v>486</v>
      </c>
      <c r="E208" t="s">
        <v>486</v>
      </c>
      <c r="F208" t="s">
        <v>452</v>
      </c>
      <c r="G208" t="s">
        <v>455</v>
      </c>
      <c r="H208" t="s">
        <v>456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 s="190" t="s">
        <v>512</v>
      </c>
      <c r="R208" t="s">
        <v>440</v>
      </c>
    </row>
    <row r="209" spans="1:18" x14ac:dyDescent="0.35">
      <c r="A209" t="s">
        <v>508</v>
      </c>
      <c r="B209" t="s">
        <v>509</v>
      </c>
      <c r="C209" t="s">
        <v>510</v>
      </c>
      <c r="D209" t="s">
        <v>486</v>
      </c>
      <c r="E209" t="s">
        <v>486</v>
      </c>
      <c r="F209" t="s">
        <v>452</v>
      </c>
      <c r="G209" t="s">
        <v>457</v>
      </c>
      <c r="H209" t="s">
        <v>458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 s="190" t="s">
        <v>512</v>
      </c>
      <c r="R209" t="s">
        <v>440</v>
      </c>
    </row>
    <row r="210" spans="1:18" x14ac:dyDescent="0.35">
      <c r="A210" t="s">
        <v>508</v>
      </c>
      <c r="B210" t="s">
        <v>509</v>
      </c>
      <c r="C210" t="s">
        <v>510</v>
      </c>
      <c r="D210" t="s">
        <v>486</v>
      </c>
      <c r="E210" t="s">
        <v>486</v>
      </c>
      <c r="F210" t="s">
        <v>459</v>
      </c>
      <c r="G210" t="s">
        <v>460</v>
      </c>
      <c r="H210" t="s">
        <v>461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 s="190" t="s">
        <v>512</v>
      </c>
      <c r="R210" t="s">
        <v>440</v>
      </c>
    </row>
    <row r="211" spans="1:18" x14ac:dyDescent="0.35">
      <c r="A211" t="s">
        <v>508</v>
      </c>
      <c r="B211" t="s">
        <v>509</v>
      </c>
      <c r="C211" t="s">
        <v>510</v>
      </c>
      <c r="D211" t="s">
        <v>486</v>
      </c>
      <c r="E211" t="s">
        <v>486</v>
      </c>
      <c r="F211" t="s">
        <v>462</v>
      </c>
      <c r="G211" t="s">
        <v>446</v>
      </c>
      <c r="H211" t="s">
        <v>463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 s="190" t="s">
        <v>512</v>
      </c>
      <c r="R211" t="s">
        <v>440</v>
      </c>
    </row>
    <row r="212" spans="1:18" x14ac:dyDescent="0.35">
      <c r="A212" t="s">
        <v>508</v>
      </c>
      <c r="B212" t="s">
        <v>509</v>
      </c>
      <c r="C212" t="s">
        <v>510</v>
      </c>
      <c r="D212" t="s">
        <v>486</v>
      </c>
      <c r="E212" t="s">
        <v>486</v>
      </c>
      <c r="F212" t="s">
        <v>464</v>
      </c>
      <c r="G212" t="s">
        <v>446</v>
      </c>
      <c r="H212" t="s">
        <v>465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 s="190" t="s">
        <v>512</v>
      </c>
      <c r="R212" t="s">
        <v>440</v>
      </c>
    </row>
    <row r="213" spans="1:18" x14ac:dyDescent="0.35">
      <c r="A213" t="s">
        <v>508</v>
      </c>
      <c r="B213" t="s">
        <v>509</v>
      </c>
      <c r="C213" t="s">
        <v>510</v>
      </c>
      <c r="D213" t="s">
        <v>486</v>
      </c>
      <c r="E213" t="s">
        <v>486</v>
      </c>
      <c r="F213" t="s">
        <v>466</v>
      </c>
      <c r="G213" t="s">
        <v>467</v>
      </c>
      <c r="H213" t="s">
        <v>466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 s="190" t="s">
        <v>512</v>
      </c>
      <c r="R213" t="s">
        <v>440</v>
      </c>
    </row>
    <row r="214" spans="1:18" x14ac:dyDescent="0.35">
      <c r="A214" t="s">
        <v>508</v>
      </c>
      <c r="B214" t="s">
        <v>509</v>
      </c>
      <c r="C214" t="s">
        <v>510</v>
      </c>
      <c r="D214" t="s">
        <v>486</v>
      </c>
      <c r="E214" t="s">
        <v>486</v>
      </c>
      <c r="F214" t="s">
        <v>468</v>
      </c>
      <c r="G214" t="s">
        <v>433</v>
      </c>
      <c r="H214" t="s">
        <v>469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 s="190" t="s">
        <v>512</v>
      </c>
      <c r="R214" t="s">
        <v>440</v>
      </c>
    </row>
    <row r="215" spans="1:18" x14ac:dyDescent="0.35">
      <c r="A215" t="s">
        <v>508</v>
      </c>
      <c r="B215" t="s">
        <v>509</v>
      </c>
      <c r="C215" t="s">
        <v>510</v>
      </c>
      <c r="D215" t="s">
        <v>486</v>
      </c>
      <c r="E215" t="s">
        <v>486</v>
      </c>
      <c r="F215" t="s">
        <v>468</v>
      </c>
      <c r="G215" t="s">
        <v>470</v>
      </c>
      <c r="H215" t="s">
        <v>471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 s="190" t="s">
        <v>512</v>
      </c>
      <c r="R215" t="s">
        <v>440</v>
      </c>
    </row>
    <row r="216" spans="1:18" x14ac:dyDescent="0.35">
      <c r="A216" t="s">
        <v>508</v>
      </c>
      <c r="B216" t="s">
        <v>509</v>
      </c>
      <c r="C216" t="s">
        <v>510</v>
      </c>
      <c r="D216" t="s">
        <v>486</v>
      </c>
      <c r="E216" t="s">
        <v>486</v>
      </c>
      <c r="F216" t="s">
        <v>468</v>
      </c>
      <c r="G216" t="s">
        <v>443</v>
      </c>
      <c r="H216" t="s">
        <v>472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 s="190" t="s">
        <v>512</v>
      </c>
      <c r="R216" t="s">
        <v>440</v>
      </c>
    </row>
    <row r="217" spans="1:18" x14ac:dyDescent="0.35">
      <c r="A217" t="s">
        <v>508</v>
      </c>
      <c r="B217" t="s">
        <v>509</v>
      </c>
      <c r="C217" t="s">
        <v>510</v>
      </c>
      <c r="D217" t="s">
        <v>486</v>
      </c>
      <c r="E217" t="s">
        <v>486</v>
      </c>
      <c r="F217" t="s">
        <v>468</v>
      </c>
      <c r="G217" t="s">
        <v>473</v>
      </c>
      <c r="H217" t="s">
        <v>474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 s="190" t="s">
        <v>512</v>
      </c>
      <c r="R217" t="s">
        <v>440</v>
      </c>
    </row>
    <row r="218" spans="1:18" x14ac:dyDescent="0.35">
      <c r="A218" t="s">
        <v>508</v>
      </c>
      <c r="B218" t="s">
        <v>509</v>
      </c>
      <c r="C218" t="s">
        <v>510</v>
      </c>
      <c r="D218" t="s">
        <v>486</v>
      </c>
      <c r="E218" t="s">
        <v>486</v>
      </c>
      <c r="F218" t="s">
        <v>468</v>
      </c>
      <c r="G218" t="s">
        <v>475</v>
      </c>
      <c r="H218" t="s">
        <v>476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 s="190" t="s">
        <v>512</v>
      </c>
      <c r="R218" t="s">
        <v>440</v>
      </c>
    </row>
    <row r="219" spans="1:18" x14ac:dyDescent="0.35">
      <c r="A219" t="s">
        <v>508</v>
      </c>
      <c r="B219" t="s">
        <v>509</v>
      </c>
      <c r="C219" t="s">
        <v>510</v>
      </c>
      <c r="D219" t="s">
        <v>486</v>
      </c>
      <c r="E219" t="s">
        <v>486</v>
      </c>
      <c r="F219" t="s">
        <v>477</v>
      </c>
      <c r="G219" t="s">
        <v>467</v>
      </c>
      <c r="H219" t="s">
        <v>477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 s="190" t="s">
        <v>512</v>
      </c>
      <c r="R219" t="s">
        <v>440</v>
      </c>
    </row>
    <row r="220" spans="1:18" x14ac:dyDescent="0.35">
      <c r="A220" t="s">
        <v>508</v>
      </c>
      <c r="B220" t="s">
        <v>509</v>
      </c>
      <c r="C220" t="s">
        <v>510</v>
      </c>
      <c r="D220" t="s">
        <v>486</v>
      </c>
      <c r="E220" t="s">
        <v>486</v>
      </c>
      <c r="F220" t="s">
        <v>478</v>
      </c>
      <c r="G220" t="s">
        <v>446</v>
      </c>
      <c r="H220" t="s">
        <v>479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 s="190" t="s">
        <v>512</v>
      </c>
      <c r="R220" t="s">
        <v>440</v>
      </c>
    </row>
    <row r="221" spans="1:18" x14ac:dyDescent="0.35">
      <c r="A221" t="s">
        <v>508</v>
      </c>
      <c r="B221" t="s">
        <v>509</v>
      </c>
      <c r="C221" t="s">
        <v>510</v>
      </c>
      <c r="D221" t="s">
        <v>486</v>
      </c>
      <c r="E221" t="s">
        <v>486</v>
      </c>
      <c r="F221" t="s">
        <v>480</v>
      </c>
      <c r="G221" t="s">
        <v>467</v>
      </c>
      <c r="H221" t="s">
        <v>480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 s="190" t="s">
        <v>512</v>
      </c>
      <c r="R221" t="s">
        <v>440</v>
      </c>
    </row>
    <row r="222" spans="1:18" x14ac:dyDescent="0.35">
      <c r="A222" t="s">
        <v>508</v>
      </c>
      <c r="B222" t="s">
        <v>509</v>
      </c>
      <c r="C222" t="s">
        <v>510</v>
      </c>
      <c r="D222" t="s">
        <v>486</v>
      </c>
      <c r="E222" t="s">
        <v>486</v>
      </c>
      <c r="F222" t="s">
        <v>481</v>
      </c>
      <c r="G222" t="s">
        <v>433</v>
      </c>
      <c r="H222" t="s">
        <v>482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 s="190" t="s">
        <v>512</v>
      </c>
      <c r="R222" t="s">
        <v>440</v>
      </c>
    </row>
    <row r="223" spans="1:18" x14ac:dyDescent="0.35">
      <c r="A223" t="s">
        <v>508</v>
      </c>
      <c r="B223" t="s">
        <v>509</v>
      </c>
      <c r="C223" t="s">
        <v>510</v>
      </c>
      <c r="D223" t="s">
        <v>486</v>
      </c>
      <c r="E223" t="s">
        <v>486</v>
      </c>
      <c r="F223" t="s">
        <v>481</v>
      </c>
      <c r="G223" t="s">
        <v>443</v>
      </c>
      <c r="H223" t="s">
        <v>483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 s="190" t="s">
        <v>512</v>
      </c>
      <c r="R223" t="s">
        <v>440</v>
      </c>
    </row>
    <row r="224" spans="1:18" x14ac:dyDescent="0.35">
      <c r="A224" t="s">
        <v>508</v>
      </c>
      <c r="B224" t="s">
        <v>509</v>
      </c>
      <c r="C224" t="s">
        <v>510</v>
      </c>
      <c r="D224" t="s">
        <v>486</v>
      </c>
      <c r="E224" t="s">
        <v>486</v>
      </c>
      <c r="F224" t="s">
        <v>481</v>
      </c>
      <c r="G224" t="s">
        <v>473</v>
      </c>
      <c r="H224" t="s">
        <v>484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 s="190" t="s">
        <v>512</v>
      </c>
      <c r="R224" t="s">
        <v>440</v>
      </c>
    </row>
    <row r="225" spans="1:18" x14ac:dyDescent="0.35">
      <c r="A225" t="s">
        <v>514</v>
      </c>
      <c r="B225" t="s">
        <v>343</v>
      </c>
      <c r="C225" t="s">
        <v>510</v>
      </c>
      <c r="D225" t="s">
        <v>495</v>
      </c>
      <c r="E225" t="s">
        <v>431</v>
      </c>
      <c r="F225" t="s">
        <v>432</v>
      </c>
      <c r="G225" t="s">
        <v>433</v>
      </c>
      <c r="H225" t="s">
        <v>434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 s="190" t="s">
        <v>515</v>
      </c>
      <c r="R225" t="s">
        <v>440</v>
      </c>
    </row>
    <row r="226" spans="1:18" x14ac:dyDescent="0.35">
      <c r="A226" t="s">
        <v>514</v>
      </c>
      <c r="B226" t="s">
        <v>343</v>
      </c>
      <c r="C226" t="s">
        <v>510</v>
      </c>
      <c r="D226" t="s">
        <v>495</v>
      </c>
      <c r="E226" t="s">
        <v>431</v>
      </c>
      <c r="F226" t="s">
        <v>432</v>
      </c>
      <c r="G226" t="s">
        <v>437</v>
      </c>
      <c r="H226" t="s">
        <v>438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 s="190" t="s">
        <v>515</v>
      </c>
      <c r="R226" t="s">
        <v>440</v>
      </c>
    </row>
    <row r="227" spans="1:18" x14ac:dyDescent="0.35">
      <c r="A227" t="s">
        <v>514</v>
      </c>
      <c r="B227" t="s">
        <v>343</v>
      </c>
      <c r="C227" t="s">
        <v>510</v>
      </c>
      <c r="D227" t="s">
        <v>495</v>
      </c>
      <c r="E227" t="s">
        <v>431</v>
      </c>
      <c r="F227" t="s">
        <v>441</v>
      </c>
      <c r="G227" t="s">
        <v>433</v>
      </c>
      <c r="H227" t="s">
        <v>442</v>
      </c>
      <c r="I227">
        <v>10</v>
      </c>
      <c r="J227">
        <v>12</v>
      </c>
      <c r="K227">
        <v>18</v>
      </c>
      <c r="L227">
        <v>28</v>
      </c>
      <c r="M227">
        <v>36</v>
      </c>
      <c r="N227">
        <v>43</v>
      </c>
      <c r="O227">
        <v>0</v>
      </c>
      <c r="P227">
        <v>0</v>
      </c>
      <c r="Q227" s="190" t="s">
        <v>515</v>
      </c>
      <c r="R227" t="s">
        <v>436</v>
      </c>
    </row>
    <row r="228" spans="1:18" x14ac:dyDescent="0.35">
      <c r="A228" t="s">
        <v>514</v>
      </c>
      <c r="B228" t="s">
        <v>343</v>
      </c>
      <c r="C228" t="s">
        <v>510</v>
      </c>
      <c r="D228" t="s">
        <v>495</v>
      </c>
      <c r="E228" t="s">
        <v>431</v>
      </c>
      <c r="F228" t="s">
        <v>441</v>
      </c>
      <c r="G228" t="s">
        <v>443</v>
      </c>
      <c r="H228" t="s">
        <v>444</v>
      </c>
      <c r="I228">
        <v>9</v>
      </c>
      <c r="J228">
        <v>10</v>
      </c>
      <c r="K228">
        <v>13</v>
      </c>
      <c r="L228">
        <v>16</v>
      </c>
      <c r="M228">
        <v>18</v>
      </c>
      <c r="N228">
        <v>21</v>
      </c>
      <c r="O228">
        <v>0</v>
      </c>
      <c r="P228">
        <v>0</v>
      </c>
      <c r="Q228" s="190" t="s">
        <v>515</v>
      </c>
      <c r="R228" t="s">
        <v>436</v>
      </c>
    </row>
    <row r="229" spans="1:18" x14ac:dyDescent="0.35">
      <c r="A229" t="s">
        <v>514</v>
      </c>
      <c r="B229" t="s">
        <v>343</v>
      </c>
      <c r="C229" t="s">
        <v>510</v>
      </c>
      <c r="D229" t="s">
        <v>495</v>
      </c>
      <c r="E229" t="s">
        <v>431</v>
      </c>
      <c r="F229" t="s">
        <v>445</v>
      </c>
      <c r="G229" t="s">
        <v>446</v>
      </c>
      <c r="H229" t="s">
        <v>447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 s="190" t="s">
        <v>515</v>
      </c>
      <c r="R229" t="s">
        <v>440</v>
      </c>
    </row>
    <row r="230" spans="1:18" x14ac:dyDescent="0.35">
      <c r="A230" t="s">
        <v>514</v>
      </c>
      <c r="B230" t="s">
        <v>343</v>
      </c>
      <c r="C230" t="s">
        <v>510</v>
      </c>
      <c r="D230" t="s">
        <v>495</v>
      </c>
      <c r="E230" t="s">
        <v>431</v>
      </c>
      <c r="F230" t="s">
        <v>448</v>
      </c>
      <c r="G230" t="s">
        <v>446</v>
      </c>
      <c r="H230" t="s">
        <v>449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 s="190" t="s">
        <v>515</v>
      </c>
      <c r="R230" t="s">
        <v>440</v>
      </c>
    </row>
    <row r="231" spans="1:18" x14ac:dyDescent="0.35">
      <c r="A231" t="s">
        <v>514</v>
      </c>
      <c r="B231" t="s">
        <v>343</v>
      </c>
      <c r="C231" t="s">
        <v>510</v>
      </c>
      <c r="D231" t="s">
        <v>495</v>
      </c>
      <c r="E231" t="s">
        <v>431</v>
      </c>
      <c r="F231" t="s">
        <v>450</v>
      </c>
      <c r="G231" t="s">
        <v>446</v>
      </c>
      <c r="H231" t="s">
        <v>451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 s="190" t="s">
        <v>515</v>
      </c>
      <c r="R231" t="s">
        <v>440</v>
      </c>
    </row>
    <row r="232" spans="1:18" x14ac:dyDescent="0.35">
      <c r="A232" t="s">
        <v>514</v>
      </c>
      <c r="B232" t="s">
        <v>343</v>
      </c>
      <c r="C232" t="s">
        <v>510</v>
      </c>
      <c r="D232" t="s">
        <v>495</v>
      </c>
      <c r="E232" t="s">
        <v>431</v>
      </c>
      <c r="F232" t="s">
        <v>452</v>
      </c>
      <c r="G232" t="s">
        <v>453</v>
      </c>
      <c r="H232" t="s">
        <v>454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 s="190" t="s">
        <v>515</v>
      </c>
      <c r="R232" t="s">
        <v>440</v>
      </c>
    </row>
    <row r="233" spans="1:18" x14ac:dyDescent="0.35">
      <c r="A233" t="s">
        <v>514</v>
      </c>
      <c r="B233" t="s">
        <v>343</v>
      </c>
      <c r="C233" t="s">
        <v>510</v>
      </c>
      <c r="D233" t="s">
        <v>495</v>
      </c>
      <c r="E233" t="s">
        <v>431</v>
      </c>
      <c r="F233" t="s">
        <v>452</v>
      </c>
      <c r="G233" t="s">
        <v>455</v>
      </c>
      <c r="H233" t="s">
        <v>456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 s="190" t="s">
        <v>515</v>
      </c>
      <c r="R233" t="s">
        <v>440</v>
      </c>
    </row>
    <row r="234" spans="1:18" x14ac:dyDescent="0.35">
      <c r="A234" t="s">
        <v>514</v>
      </c>
      <c r="B234" t="s">
        <v>343</v>
      </c>
      <c r="C234" t="s">
        <v>510</v>
      </c>
      <c r="D234" t="s">
        <v>495</v>
      </c>
      <c r="E234" t="s">
        <v>431</v>
      </c>
      <c r="F234" t="s">
        <v>452</v>
      </c>
      <c r="G234" t="s">
        <v>457</v>
      </c>
      <c r="H234" t="s">
        <v>458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 s="190" t="s">
        <v>515</v>
      </c>
      <c r="R234" t="s">
        <v>440</v>
      </c>
    </row>
    <row r="235" spans="1:18" x14ac:dyDescent="0.35">
      <c r="A235" t="s">
        <v>514</v>
      </c>
      <c r="B235" t="s">
        <v>343</v>
      </c>
      <c r="C235" t="s">
        <v>510</v>
      </c>
      <c r="D235" t="s">
        <v>495</v>
      </c>
      <c r="E235" t="s">
        <v>431</v>
      </c>
      <c r="F235" t="s">
        <v>459</v>
      </c>
      <c r="G235" t="s">
        <v>460</v>
      </c>
      <c r="H235" t="s">
        <v>461</v>
      </c>
      <c r="I235">
        <v>39</v>
      </c>
      <c r="J235">
        <v>46</v>
      </c>
      <c r="K235">
        <v>64</v>
      </c>
      <c r="L235">
        <v>82</v>
      </c>
      <c r="M235">
        <v>103</v>
      </c>
      <c r="N235">
        <v>126</v>
      </c>
      <c r="O235">
        <v>0</v>
      </c>
      <c r="P235">
        <v>0</v>
      </c>
      <c r="Q235" s="190" t="s">
        <v>515</v>
      </c>
      <c r="R235" t="s">
        <v>436</v>
      </c>
    </row>
    <row r="236" spans="1:18" x14ac:dyDescent="0.35">
      <c r="A236" t="s">
        <v>514</v>
      </c>
      <c r="B236" t="s">
        <v>343</v>
      </c>
      <c r="C236" t="s">
        <v>510</v>
      </c>
      <c r="D236" t="s">
        <v>495</v>
      </c>
      <c r="E236" t="s">
        <v>431</v>
      </c>
      <c r="F236" t="s">
        <v>462</v>
      </c>
      <c r="G236" t="s">
        <v>446</v>
      </c>
      <c r="H236" t="s">
        <v>463</v>
      </c>
      <c r="I236">
        <v>5</v>
      </c>
      <c r="J236">
        <v>5</v>
      </c>
      <c r="K236">
        <v>5</v>
      </c>
      <c r="L236">
        <v>5</v>
      </c>
      <c r="M236">
        <v>5</v>
      </c>
      <c r="N236">
        <v>5</v>
      </c>
      <c r="O236">
        <v>0</v>
      </c>
      <c r="P236">
        <v>0</v>
      </c>
      <c r="Q236" s="190" t="s">
        <v>515</v>
      </c>
      <c r="R236" t="s">
        <v>436</v>
      </c>
    </row>
    <row r="237" spans="1:18" x14ac:dyDescent="0.35">
      <c r="A237" t="s">
        <v>514</v>
      </c>
      <c r="B237" t="s">
        <v>343</v>
      </c>
      <c r="C237" t="s">
        <v>510</v>
      </c>
      <c r="D237" t="s">
        <v>495</v>
      </c>
      <c r="E237" t="s">
        <v>431</v>
      </c>
      <c r="F237" t="s">
        <v>464</v>
      </c>
      <c r="G237" t="s">
        <v>446</v>
      </c>
      <c r="H237" t="s">
        <v>465</v>
      </c>
      <c r="I237">
        <v>6</v>
      </c>
      <c r="J237">
        <v>6</v>
      </c>
      <c r="K237">
        <v>6</v>
      </c>
      <c r="L237">
        <v>6</v>
      </c>
      <c r="M237">
        <v>6</v>
      </c>
      <c r="N237">
        <v>6</v>
      </c>
      <c r="O237">
        <v>0</v>
      </c>
      <c r="P237">
        <v>0</v>
      </c>
      <c r="Q237" s="190" t="s">
        <v>515</v>
      </c>
      <c r="R237" t="s">
        <v>436</v>
      </c>
    </row>
    <row r="238" spans="1:18" x14ac:dyDescent="0.35">
      <c r="A238" t="s">
        <v>514</v>
      </c>
      <c r="B238" t="s">
        <v>343</v>
      </c>
      <c r="C238" t="s">
        <v>510</v>
      </c>
      <c r="D238" t="s">
        <v>495</v>
      </c>
      <c r="E238" t="s">
        <v>431</v>
      </c>
      <c r="F238" t="s">
        <v>466</v>
      </c>
      <c r="G238" t="s">
        <v>467</v>
      </c>
      <c r="H238" t="s">
        <v>466</v>
      </c>
      <c r="I238">
        <v>64</v>
      </c>
      <c r="J238">
        <v>64</v>
      </c>
      <c r="K238">
        <v>64</v>
      </c>
      <c r="L238">
        <v>64</v>
      </c>
      <c r="M238">
        <v>64</v>
      </c>
      <c r="N238">
        <v>64</v>
      </c>
      <c r="O238">
        <v>0</v>
      </c>
      <c r="P238">
        <v>0</v>
      </c>
      <c r="Q238" s="190" t="s">
        <v>515</v>
      </c>
      <c r="R238" t="s">
        <v>436</v>
      </c>
    </row>
    <row r="239" spans="1:18" x14ac:dyDescent="0.35">
      <c r="A239" t="s">
        <v>514</v>
      </c>
      <c r="B239" t="s">
        <v>343</v>
      </c>
      <c r="C239" t="s">
        <v>510</v>
      </c>
      <c r="D239" t="s">
        <v>495</v>
      </c>
      <c r="E239" t="s">
        <v>431</v>
      </c>
      <c r="F239" t="s">
        <v>468</v>
      </c>
      <c r="G239" t="s">
        <v>433</v>
      </c>
      <c r="H239" t="s">
        <v>469</v>
      </c>
      <c r="I239">
        <v>23</v>
      </c>
      <c r="J239">
        <v>28</v>
      </c>
      <c r="K239">
        <v>32</v>
      </c>
      <c r="L239">
        <v>36</v>
      </c>
      <c r="M239">
        <v>39</v>
      </c>
      <c r="N239">
        <v>42</v>
      </c>
      <c r="O239">
        <v>0</v>
      </c>
      <c r="P239">
        <v>0</v>
      </c>
      <c r="Q239" s="190" t="s">
        <v>515</v>
      </c>
      <c r="R239" t="s">
        <v>436</v>
      </c>
    </row>
    <row r="240" spans="1:18" x14ac:dyDescent="0.35">
      <c r="A240" t="s">
        <v>514</v>
      </c>
      <c r="B240" t="s">
        <v>343</v>
      </c>
      <c r="C240" t="s">
        <v>510</v>
      </c>
      <c r="D240" t="s">
        <v>495</v>
      </c>
      <c r="E240" t="s">
        <v>431</v>
      </c>
      <c r="F240" t="s">
        <v>468</v>
      </c>
      <c r="G240" t="s">
        <v>470</v>
      </c>
      <c r="H240" t="s">
        <v>471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 s="190" t="s">
        <v>515</v>
      </c>
      <c r="R240" t="s">
        <v>440</v>
      </c>
    </row>
    <row r="241" spans="1:18" x14ac:dyDescent="0.35">
      <c r="A241" t="s">
        <v>514</v>
      </c>
      <c r="B241" t="s">
        <v>343</v>
      </c>
      <c r="C241" t="s">
        <v>510</v>
      </c>
      <c r="D241" t="s">
        <v>495</v>
      </c>
      <c r="E241" t="s">
        <v>431</v>
      </c>
      <c r="F241" t="s">
        <v>468</v>
      </c>
      <c r="G241" t="s">
        <v>443</v>
      </c>
      <c r="H241" t="s">
        <v>472</v>
      </c>
      <c r="I241">
        <v>22</v>
      </c>
      <c r="J241">
        <v>26</v>
      </c>
      <c r="K241">
        <v>28</v>
      </c>
      <c r="L241">
        <v>31</v>
      </c>
      <c r="M241">
        <v>33</v>
      </c>
      <c r="N241">
        <v>32</v>
      </c>
      <c r="O241">
        <v>0</v>
      </c>
      <c r="P241">
        <v>0</v>
      </c>
      <c r="Q241" s="190" t="s">
        <v>515</v>
      </c>
      <c r="R241" t="s">
        <v>436</v>
      </c>
    </row>
    <row r="242" spans="1:18" x14ac:dyDescent="0.35">
      <c r="A242" t="s">
        <v>514</v>
      </c>
      <c r="B242" t="s">
        <v>343</v>
      </c>
      <c r="C242" t="s">
        <v>510</v>
      </c>
      <c r="D242" t="s">
        <v>495</v>
      </c>
      <c r="E242" t="s">
        <v>431</v>
      </c>
      <c r="F242" t="s">
        <v>468</v>
      </c>
      <c r="G242" t="s">
        <v>473</v>
      </c>
      <c r="H242" t="s">
        <v>474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 s="190" t="s">
        <v>515</v>
      </c>
      <c r="R242" t="s">
        <v>440</v>
      </c>
    </row>
    <row r="243" spans="1:18" x14ac:dyDescent="0.35">
      <c r="A243" t="s">
        <v>514</v>
      </c>
      <c r="B243" t="s">
        <v>343</v>
      </c>
      <c r="C243" t="s">
        <v>510</v>
      </c>
      <c r="D243" t="s">
        <v>495</v>
      </c>
      <c r="E243" t="s">
        <v>431</v>
      </c>
      <c r="F243" t="s">
        <v>468</v>
      </c>
      <c r="G243" t="s">
        <v>475</v>
      </c>
      <c r="H243" t="s">
        <v>476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 s="190" t="s">
        <v>515</v>
      </c>
      <c r="R243" t="s">
        <v>440</v>
      </c>
    </row>
    <row r="244" spans="1:18" x14ac:dyDescent="0.35">
      <c r="A244" t="s">
        <v>514</v>
      </c>
      <c r="B244" t="s">
        <v>343</v>
      </c>
      <c r="C244" t="s">
        <v>510</v>
      </c>
      <c r="D244" t="s">
        <v>495</v>
      </c>
      <c r="E244" t="s">
        <v>431</v>
      </c>
      <c r="F244" t="s">
        <v>477</v>
      </c>
      <c r="G244" t="s">
        <v>467</v>
      </c>
      <c r="H244" t="s">
        <v>477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 s="190" t="s">
        <v>515</v>
      </c>
      <c r="R244" t="s">
        <v>440</v>
      </c>
    </row>
    <row r="245" spans="1:18" x14ac:dyDescent="0.35">
      <c r="A245" t="s">
        <v>514</v>
      </c>
      <c r="B245" t="s">
        <v>343</v>
      </c>
      <c r="C245" t="s">
        <v>510</v>
      </c>
      <c r="D245" t="s">
        <v>495</v>
      </c>
      <c r="E245" t="s">
        <v>431</v>
      </c>
      <c r="F245" t="s">
        <v>478</v>
      </c>
      <c r="G245" t="s">
        <v>446</v>
      </c>
      <c r="H245" t="s">
        <v>479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 s="190" t="s">
        <v>515</v>
      </c>
      <c r="R245" t="s">
        <v>440</v>
      </c>
    </row>
    <row r="246" spans="1:18" x14ac:dyDescent="0.35">
      <c r="A246" t="s">
        <v>514</v>
      </c>
      <c r="B246" t="s">
        <v>343</v>
      </c>
      <c r="C246" t="s">
        <v>510</v>
      </c>
      <c r="D246" t="s">
        <v>495</v>
      </c>
      <c r="E246" t="s">
        <v>431</v>
      </c>
      <c r="F246" t="s">
        <v>480</v>
      </c>
      <c r="G246" t="s">
        <v>467</v>
      </c>
      <c r="H246" t="s">
        <v>480</v>
      </c>
      <c r="I246">
        <v>96</v>
      </c>
      <c r="J246">
        <v>104</v>
      </c>
      <c r="K246">
        <v>160</v>
      </c>
      <c r="L246">
        <v>262</v>
      </c>
      <c r="M246">
        <v>268</v>
      </c>
      <c r="N246">
        <v>268</v>
      </c>
      <c r="O246">
        <v>0</v>
      </c>
      <c r="P246">
        <v>0</v>
      </c>
      <c r="Q246" s="190" t="s">
        <v>515</v>
      </c>
      <c r="R246" t="s">
        <v>436</v>
      </c>
    </row>
    <row r="247" spans="1:18" x14ac:dyDescent="0.35">
      <c r="A247" t="s">
        <v>514</v>
      </c>
      <c r="B247" t="s">
        <v>343</v>
      </c>
      <c r="C247" t="s">
        <v>510</v>
      </c>
      <c r="D247" t="s">
        <v>495</v>
      </c>
      <c r="E247" t="s">
        <v>431</v>
      </c>
      <c r="F247" t="s">
        <v>481</v>
      </c>
      <c r="G247" t="s">
        <v>433</v>
      </c>
      <c r="H247" t="s">
        <v>482</v>
      </c>
      <c r="I247">
        <v>23</v>
      </c>
      <c r="J247">
        <v>28</v>
      </c>
      <c r="K247">
        <v>43</v>
      </c>
      <c r="L247">
        <v>54</v>
      </c>
      <c r="M247">
        <v>63</v>
      </c>
      <c r="N247">
        <v>73</v>
      </c>
      <c r="O247">
        <v>0</v>
      </c>
      <c r="P247">
        <v>0</v>
      </c>
      <c r="Q247" s="190" t="s">
        <v>515</v>
      </c>
      <c r="R247" t="s">
        <v>436</v>
      </c>
    </row>
    <row r="248" spans="1:18" x14ac:dyDescent="0.35">
      <c r="A248" t="s">
        <v>514</v>
      </c>
      <c r="B248" t="s">
        <v>343</v>
      </c>
      <c r="C248" t="s">
        <v>510</v>
      </c>
      <c r="D248" t="s">
        <v>495</v>
      </c>
      <c r="E248" t="s">
        <v>431</v>
      </c>
      <c r="F248" t="s">
        <v>481</v>
      </c>
      <c r="G248" t="s">
        <v>443</v>
      </c>
      <c r="H248" t="s">
        <v>483</v>
      </c>
      <c r="I248">
        <v>12</v>
      </c>
      <c r="J248">
        <v>14</v>
      </c>
      <c r="K248">
        <v>20</v>
      </c>
      <c r="L248">
        <v>27</v>
      </c>
      <c r="M248">
        <v>33</v>
      </c>
      <c r="N248">
        <v>40</v>
      </c>
      <c r="O248">
        <v>0</v>
      </c>
      <c r="P248">
        <v>0</v>
      </c>
      <c r="Q248" s="190" t="s">
        <v>515</v>
      </c>
      <c r="R248" t="s">
        <v>436</v>
      </c>
    </row>
    <row r="249" spans="1:18" x14ac:dyDescent="0.35">
      <c r="A249" t="s">
        <v>514</v>
      </c>
      <c r="B249" t="s">
        <v>343</v>
      </c>
      <c r="C249" t="s">
        <v>510</v>
      </c>
      <c r="D249" t="s">
        <v>495</v>
      </c>
      <c r="E249" t="s">
        <v>431</v>
      </c>
      <c r="F249" t="s">
        <v>481</v>
      </c>
      <c r="G249" t="s">
        <v>473</v>
      </c>
      <c r="H249" t="s">
        <v>484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 s="190" t="s">
        <v>515</v>
      </c>
      <c r="R249" t="s">
        <v>440</v>
      </c>
    </row>
    <row r="250" spans="1:18" x14ac:dyDescent="0.35">
      <c r="A250" t="s">
        <v>492</v>
      </c>
      <c r="B250" t="s">
        <v>493</v>
      </c>
      <c r="C250" t="s">
        <v>494</v>
      </c>
      <c r="D250" t="s">
        <v>495</v>
      </c>
      <c r="E250" t="s">
        <v>431</v>
      </c>
      <c r="F250" t="s">
        <v>468</v>
      </c>
      <c r="G250" t="s">
        <v>443</v>
      </c>
      <c r="H250" t="s">
        <v>472</v>
      </c>
      <c r="I250">
        <v>10</v>
      </c>
      <c r="J250">
        <v>14</v>
      </c>
      <c r="K250">
        <v>18</v>
      </c>
      <c r="L250">
        <v>23</v>
      </c>
      <c r="M250">
        <v>31</v>
      </c>
      <c r="N250">
        <v>36</v>
      </c>
      <c r="O250">
        <v>42</v>
      </c>
      <c r="P250">
        <v>48</v>
      </c>
      <c r="Q250" t="s">
        <v>520</v>
      </c>
      <c r="R250" t="s">
        <v>436</v>
      </c>
    </row>
    <row r="251" spans="1:18" x14ac:dyDescent="0.35">
      <c r="A251" t="s">
        <v>492</v>
      </c>
      <c r="B251" t="s">
        <v>493</v>
      </c>
      <c r="C251" t="s">
        <v>494</v>
      </c>
      <c r="D251" t="s">
        <v>495</v>
      </c>
      <c r="E251" t="s">
        <v>431</v>
      </c>
      <c r="F251" t="s">
        <v>468</v>
      </c>
      <c r="G251" t="s">
        <v>433</v>
      </c>
      <c r="H251" t="s">
        <v>469</v>
      </c>
      <c r="I251">
        <v>21</v>
      </c>
      <c r="J251">
        <v>31</v>
      </c>
      <c r="K251">
        <v>40</v>
      </c>
      <c r="L251">
        <v>50</v>
      </c>
      <c r="M251">
        <v>67</v>
      </c>
      <c r="N251">
        <v>78</v>
      </c>
      <c r="O251">
        <v>87</v>
      </c>
      <c r="P251">
        <v>99</v>
      </c>
      <c r="Q251" t="s">
        <v>520</v>
      </c>
      <c r="R251" t="s">
        <v>436</v>
      </c>
    </row>
    <row r="252" spans="1:18" x14ac:dyDescent="0.35">
      <c r="A252" t="s">
        <v>492</v>
      </c>
      <c r="B252" t="s">
        <v>493</v>
      </c>
      <c r="C252" t="s">
        <v>494</v>
      </c>
      <c r="D252" t="s">
        <v>495</v>
      </c>
      <c r="E252" t="s">
        <v>431</v>
      </c>
      <c r="F252" t="s">
        <v>441</v>
      </c>
      <c r="G252" t="s">
        <v>443</v>
      </c>
      <c r="H252" t="s">
        <v>444</v>
      </c>
      <c r="I252">
        <v>6</v>
      </c>
      <c r="J252">
        <v>8</v>
      </c>
      <c r="K252">
        <v>10</v>
      </c>
      <c r="L252">
        <v>13</v>
      </c>
      <c r="M252">
        <v>16</v>
      </c>
      <c r="N252">
        <v>18</v>
      </c>
      <c r="O252">
        <v>21</v>
      </c>
      <c r="P252">
        <v>24</v>
      </c>
      <c r="Q252" t="s">
        <v>520</v>
      </c>
      <c r="R252" t="s">
        <v>436</v>
      </c>
    </row>
    <row r="253" spans="1:18" x14ac:dyDescent="0.35">
      <c r="A253" t="s">
        <v>492</v>
      </c>
      <c r="B253" t="s">
        <v>493</v>
      </c>
      <c r="C253" t="s">
        <v>494</v>
      </c>
      <c r="D253" t="s">
        <v>495</v>
      </c>
      <c r="E253" t="s">
        <v>431</v>
      </c>
      <c r="F253" t="s">
        <v>441</v>
      </c>
      <c r="G253" t="s">
        <v>433</v>
      </c>
      <c r="H253" t="s">
        <v>442</v>
      </c>
      <c r="I253">
        <v>11</v>
      </c>
      <c r="J253">
        <v>16</v>
      </c>
      <c r="K253">
        <v>21</v>
      </c>
      <c r="L253">
        <v>25</v>
      </c>
      <c r="M253">
        <v>32</v>
      </c>
      <c r="N253">
        <v>36</v>
      </c>
      <c r="O253">
        <v>41</v>
      </c>
      <c r="P253">
        <v>46</v>
      </c>
      <c r="Q253" t="s">
        <v>520</v>
      </c>
      <c r="R253" t="s">
        <v>436</v>
      </c>
    </row>
    <row r="254" spans="1:18" x14ac:dyDescent="0.35">
      <c r="A254" t="s">
        <v>492</v>
      </c>
      <c r="B254" t="s">
        <v>493</v>
      </c>
      <c r="C254" t="s">
        <v>494</v>
      </c>
      <c r="D254" t="s">
        <v>495</v>
      </c>
      <c r="E254" t="s">
        <v>431</v>
      </c>
      <c r="F254" t="s">
        <v>481</v>
      </c>
      <c r="G254" t="s">
        <v>443</v>
      </c>
      <c r="H254" t="s">
        <v>483</v>
      </c>
      <c r="I254">
        <v>9</v>
      </c>
      <c r="J254">
        <v>13</v>
      </c>
      <c r="K254">
        <v>17</v>
      </c>
      <c r="L254">
        <v>21</v>
      </c>
      <c r="M254">
        <v>29</v>
      </c>
      <c r="N254">
        <v>36</v>
      </c>
      <c r="O254">
        <v>42</v>
      </c>
      <c r="P254">
        <v>48</v>
      </c>
      <c r="Q254" t="s">
        <v>520</v>
      </c>
      <c r="R254" t="s">
        <v>436</v>
      </c>
    </row>
    <row r="255" spans="1:18" x14ac:dyDescent="0.35">
      <c r="A255" t="s">
        <v>492</v>
      </c>
      <c r="B255" t="s">
        <v>493</v>
      </c>
      <c r="C255" t="s">
        <v>494</v>
      </c>
      <c r="D255" t="s">
        <v>495</v>
      </c>
      <c r="E255" t="s">
        <v>431</v>
      </c>
      <c r="F255" t="s">
        <v>481</v>
      </c>
      <c r="G255" t="s">
        <v>433</v>
      </c>
      <c r="H255" t="s">
        <v>482</v>
      </c>
      <c r="I255">
        <v>22</v>
      </c>
      <c r="J255">
        <v>31</v>
      </c>
      <c r="K255">
        <v>40</v>
      </c>
      <c r="L255">
        <v>49</v>
      </c>
      <c r="M255">
        <v>62</v>
      </c>
      <c r="N255">
        <v>71</v>
      </c>
      <c r="O255">
        <v>80</v>
      </c>
      <c r="P255">
        <v>88</v>
      </c>
      <c r="Q255" t="s">
        <v>520</v>
      </c>
      <c r="R255" t="s">
        <v>436</v>
      </c>
    </row>
    <row r="256" spans="1:18" x14ac:dyDescent="0.35">
      <c r="A256" t="s">
        <v>492</v>
      </c>
      <c r="B256" t="s">
        <v>493</v>
      </c>
      <c r="C256" t="s">
        <v>494</v>
      </c>
      <c r="D256" t="s">
        <v>495</v>
      </c>
      <c r="E256" t="s">
        <v>431</v>
      </c>
      <c r="F256" t="s">
        <v>459</v>
      </c>
      <c r="G256" t="s">
        <v>460</v>
      </c>
      <c r="H256" t="s">
        <v>461</v>
      </c>
      <c r="I256">
        <v>38</v>
      </c>
      <c r="J256">
        <v>46</v>
      </c>
      <c r="K256">
        <v>55</v>
      </c>
      <c r="L256">
        <v>67</v>
      </c>
      <c r="M256">
        <v>77</v>
      </c>
      <c r="N256">
        <v>91</v>
      </c>
      <c r="O256">
        <v>103</v>
      </c>
      <c r="P256">
        <v>116</v>
      </c>
      <c r="Q256" t="s">
        <v>520</v>
      </c>
      <c r="R256" t="s">
        <v>436</v>
      </c>
    </row>
    <row r="257" spans="1:18" x14ac:dyDescent="0.35">
      <c r="A257" t="s">
        <v>492</v>
      </c>
      <c r="B257" t="s">
        <v>493</v>
      </c>
      <c r="C257" t="s">
        <v>494</v>
      </c>
      <c r="D257" t="s">
        <v>495</v>
      </c>
      <c r="E257" t="s">
        <v>431</v>
      </c>
      <c r="F257" t="s">
        <v>480</v>
      </c>
      <c r="G257" t="s">
        <v>467</v>
      </c>
      <c r="H257" t="s">
        <v>480</v>
      </c>
      <c r="I257">
        <v>84</v>
      </c>
      <c r="J257">
        <v>92</v>
      </c>
      <c r="K257">
        <v>100</v>
      </c>
      <c r="L257">
        <v>116</v>
      </c>
      <c r="M257">
        <v>132</v>
      </c>
      <c r="N257">
        <v>148</v>
      </c>
      <c r="O257">
        <v>164</v>
      </c>
      <c r="P257">
        <v>180</v>
      </c>
      <c r="Q257" t="s">
        <v>520</v>
      </c>
      <c r="R257" t="s">
        <v>436</v>
      </c>
    </row>
    <row r="258" spans="1:18" x14ac:dyDescent="0.35">
      <c r="A258" t="s">
        <v>492</v>
      </c>
      <c r="B258" t="s">
        <v>493</v>
      </c>
      <c r="C258" t="s">
        <v>494</v>
      </c>
      <c r="D258" t="s">
        <v>495</v>
      </c>
      <c r="E258" t="s">
        <v>431</v>
      </c>
      <c r="F258" t="s">
        <v>477</v>
      </c>
      <c r="G258" t="s">
        <v>467</v>
      </c>
      <c r="H258" t="s">
        <v>477</v>
      </c>
      <c r="I258">
        <v>46</v>
      </c>
      <c r="J258">
        <v>46</v>
      </c>
      <c r="K258">
        <v>46</v>
      </c>
      <c r="L258">
        <v>46</v>
      </c>
      <c r="M258">
        <v>46</v>
      </c>
      <c r="N258">
        <v>46</v>
      </c>
      <c r="O258">
        <v>46</v>
      </c>
      <c r="P258">
        <v>46</v>
      </c>
      <c r="Q258" t="s">
        <v>520</v>
      </c>
      <c r="R258" t="s">
        <v>436</v>
      </c>
    </row>
    <row r="259" spans="1:18" x14ac:dyDescent="0.35">
      <c r="A259" t="s">
        <v>492</v>
      </c>
      <c r="B259" t="s">
        <v>493</v>
      </c>
      <c r="C259" t="s">
        <v>494</v>
      </c>
      <c r="D259" t="s">
        <v>495</v>
      </c>
      <c r="E259" t="s">
        <v>431</v>
      </c>
      <c r="F259" t="s">
        <v>432</v>
      </c>
      <c r="G259" t="s">
        <v>433</v>
      </c>
      <c r="H259" t="s">
        <v>434</v>
      </c>
      <c r="I259">
        <v>15</v>
      </c>
      <c r="J259">
        <v>21</v>
      </c>
      <c r="K259">
        <v>27</v>
      </c>
      <c r="L259">
        <v>33</v>
      </c>
      <c r="M259">
        <v>44</v>
      </c>
      <c r="N259">
        <v>52</v>
      </c>
      <c r="O259">
        <v>59</v>
      </c>
      <c r="P259">
        <v>67</v>
      </c>
      <c r="Q259" t="s">
        <v>520</v>
      </c>
      <c r="R259" t="s">
        <v>436</v>
      </c>
    </row>
    <row r="260" spans="1:18" x14ac:dyDescent="0.35">
      <c r="A260" t="s">
        <v>492</v>
      </c>
      <c r="B260" t="s">
        <v>493</v>
      </c>
      <c r="C260" t="s">
        <v>494</v>
      </c>
      <c r="D260" t="s">
        <v>495</v>
      </c>
      <c r="E260" t="s">
        <v>431</v>
      </c>
      <c r="F260" t="s">
        <v>462</v>
      </c>
      <c r="G260" t="s">
        <v>446</v>
      </c>
      <c r="H260" t="s">
        <v>463</v>
      </c>
      <c r="I260">
        <v>9</v>
      </c>
      <c r="J260">
        <v>9</v>
      </c>
      <c r="K260">
        <v>9</v>
      </c>
      <c r="L260">
        <v>9</v>
      </c>
      <c r="M260">
        <v>9</v>
      </c>
      <c r="N260">
        <v>9</v>
      </c>
      <c r="O260">
        <v>9</v>
      </c>
      <c r="P260">
        <v>9</v>
      </c>
      <c r="Q260" t="s">
        <v>520</v>
      </c>
      <c r="R260" t="s">
        <v>436</v>
      </c>
    </row>
    <row r="261" spans="1:18" x14ac:dyDescent="0.35">
      <c r="A261" t="s">
        <v>492</v>
      </c>
      <c r="B261" t="s">
        <v>493</v>
      </c>
      <c r="C261" t="s">
        <v>494</v>
      </c>
      <c r="D261" t="s">
        <v>495</v>
      </c>
      <c r="E261" t="s">
        <v>431</v>
      </c>
      <c r="F261" t="s">
        <v>464</v>
      </c>
      <c r="G261" t="s">
        <v>446</v>
      </c>
      <c r="H261" t="s">
        <v>465</v>
      </c>
      <c r="I261">
        <v>8</v>
      </c>
      <c r="J261">
        <v>8</v>
      </c>
      <c r="K261">
        <v>8</v>
      </c>
      <c r="L261">
        <v>8</v>
      </c>
      <c r="M261">
        <v>8</v>
      </c>
      <c r="N261">
        <v>8</v>
      </c>
      <c r="O261">
        <v>8</v>
      </c>
      <c r="P261">
        <v>8</v>
      </c>
      <c r="Q261" t="s">
        <v>520</v>
      </c>
      <c r="R261" t="s">
        <v>436</v>
      </c>
    </row>
    <row r="262" spans="1:18" x14ac:dyDescent="0.35">
      <c r="A262" t="s">
        <v>492</v>
      </c>
      <c r="B262" t="s">
        <v>493</v>
      </c>
      <c r="C262" t="s">
        <v>494</v>
      </c>
      <c r="D262" t="s">
        <v>521</v>
      </c>
      <c r="E262" t="s">
        <v>486</v>
      </c>
      <c r="F262" t="s">
        <v>468</v>
      </c>
      <c r="G262" t="s">
        <v>433</v>
      </c>
      <c r="H262" t="s">
        <v>469</v>
      </c>
      <c r="I262">
        <v>25</v>
      </c>
      <c r="J262">
        <v>35</v>
      </c>
      <c r="K262">
        <v>45</v>
      </c>
      <c r="L262">
        <v>58</v>
      </c>
      <c r="M262">
        <v>77</v>
      </c>
      <c r="N262">
        <v>90</v>
      </c>
      <c r="O262">
        <v>103</v>
      </c>
      <c r="P262">
        <v>117</v>
      </c>
      <c r="Q262" t="s">
        <v>522</v>
      </c>
      <c r="R262" t="s">
        <v>436</v>
      </c>
    </row>
    <row r="263" spans="1:18" x14ac:dyDescent="0.35">
      <c r="A263" t="s">
        <v>492</v>
      </c>
      <c r="B263" t="s">
        <v>493</v>
      </c>
      <c r="C263" t="s">
        <v>494</v>
      </c>
      <c r="D263" t="s">
        <v>521</v>
      </c>
      <c r="E263" t="s">
        <v>486</v>
      </c>
      <c r="F263" t="s">
        <v>441</v>
      </c>
      <c r="G263" t="s">
        <v>433</v>
      </c>
      <c r="H263" t="s">
        <v>442</v>
      </c>
      <c r="I263">
        <v>10</v>
      </c>
      <c r="J263">
        <v>14</v>
      </c>
      <c r="K263">
        <v>19</v>
      </c>
      <c r="L263">
        <v>23</v>
      </c>
      <c r="M263">
        <v>29</v>
      </c>
      <c r="N263">
        <v>33</v>
      </c>
      <c r="O263">
        <v>37</v>
      </c>
      <c r="P263">
        <v>41</v>
      </c>
      <c r="Q263" t="s">
        <v>522</v>
      </c>
      <c r="R263" t="s">
        <v>436</v>
      </c>
    </row>
    <row r="264" spans="1:18" x14ac:dyDescent="0.35">
      <c r="A264" t="s">
        <v>492</v>
      </c>
      <c r="B264" t="s">
        <v>493</v>
      </c>
      <c r="C264" t="s">
        <v>494</v>
      </c>
      <c r="D264" t="s">
        <v>521</v>
      </c>
      <c r="E264" t="s">
        <v>486</v>
      </c>
      <c r="F264" t="s">
        <v>481</v>
      </c>
      <c r="G264" t="s">
        <v>433</v>
      </c>
      <c r="H264" t="s">
        <v>482</v>
      </c>
      <c r="I264">
        <v>19</v>
      </c>
      <c r="J264">
        <v>27</v>
      </c>
      <c r="K264">
        <v>35</v>
      </c>
      <c r="L264">
        <v>43</v>
      </c>
      <c r="M264">
        <v>54</v>
      </c>
      <c r="N264">
        <v>62</v>
      </c>
      <c r="O264">
        <v>71</v>
      </c>
      <c r="P264">
        <v>79</v>
      </c>
      <c r="Q264" t="s">
        <v>522</v>
      </c>
      <c r="R264" t="s">
        <v>436</v>
      </c>
    </row>
    <row r="265" spans="1:18" x14ac:dyDescent="0.35">
      <c r="A265" t="s">
        <v>492</v>
      </c>
      <c r="B265" t="s">
        <v>493</v>
      </c>
      <c r="C265" t="s">
        <v>494</v>
      </c>
      <c r="D265" t="s">
        <v>521</v>
      </c>
      <c r="E265" t="s">
        <v>486</v>
      </c>
      <c r="F265" t="s">
        <v>459</v>
      </c>
      <c r="G265" t="s">
        <v>460</v>
      </c>
      <c r="H265" t="s">
        <v>461</v>
      </c>
      <c r="I265">
        <v>38</v>
      </c>
      <c r="J265">
        <v>46</v>
      </c>
      <c r="K265">
        <v>55</v>
      </c>
      <c r="L265">
        <v>67</v>
      </c>
      <c r="M265">
        <v>77</v>
      </c>
      <c r="N265">
        <v>91</v>
      </c>
      <c r="O265">
        <v>103</v>
      </c>
      <c r="P265">
        <v>116</v>
      </c>
      <c r="Q265" t="s">
        <v>522</v>
      </c>
      <c r="R265" t="s">
        <v>436</v>
      </c>
    </row>
    <row r="266" spans="1:18" x14ac:dyDescent="0.35">
      <c r="A266" t="s">
        <v>492</v>
      </c>
      <c r="B266" t="s">
        <v>493</v>
      </c>
      <c r="C266" t="s">
        <v>494</v>
      </c>
      <c r="D266" t="s">
        <v>521</v>
      </c>
      <c r="E266" t="s">
        <v>486</v>
      </c>
      <c r="F266" t="s">
        <v>480</v>
      </c>
      <c r="G266" t="s">
        <v>467</v>
      </c>
      <c r="H266" t="s">
        <v>480</v>
      </c>
      <c r="I266">
        <v>31</v>
      </c>
      <c r="J266">
        <v>40</v>
      </c>
      <c r="K266">
        <v>50</v>
      </c>
      <c r="L266">
        <v>68</v>
      </c>
      <c r="M266">
        <v>86</v>
      </c>
      <c r="N266">
        <v>105</v>
      </c>
      <c r="O266">
        <v>123</v>
      </c>
      <c r="P266">
        <v>141</v>
      </c>
      <c r="Q266" t="s">
        <v>522</v>
      </c>
      <c r="R266" t="s">
        <v>436</v>
      </c>
    </row>
    <row r="267" spans="1:18" x14ac:dyDescent="0.35">
      <c r="A267" t="s">
        <v>492</v>
      </c>
      <c r="B267" t="s">
        <v>493</v>
      </c>
      <c r="C267" t="s">
        <v>494</v>
      </c>
      <c r="D267" t="s">
        <v>521</v>
      </c>
      <c r="E267" t="s">
        <v>486</v>
      </c>
      <c r="F267" t="s">
        <v>477</v>
      </c>
      <c r="G267" t="s">
        <v>467</v>
      </c>
      <c r="H267" t="s">
        <v>477</v>
      </c>
      <c r="I267">
        <v>46</v>
      </c>
      <c r="J267">
        <v>46</v>
      </c>
      <c r="K267">
        <v>46</v>
      </c>
      <c r="L267">
        <v>46</v>
      </c>
      <c r="M267">
        <v>46</v>
      </c>
      <c r="N267">
        <v>46</v>
      </c>
      <c r="O267">
        <v>46</v>
      </c>
      <c r="P267">
        <v>46</v>
      </c>
      <c r="Q267" t="s">
        <v>522</v>
      </c>
      <c r="R267" t="s">
        <v>436</v>
      </c>
    </row>
    <row r="268" spans="1:18" x14ac:dyDescent="0.35">
      <c r="A268" t="s">
        <v>492</v>
      </c>
      <c r="B268" t="s">
        <v>493</v>
      </c>
      <c r="C268" t="s">
        <v>494</v>
      </c>
      <c r="D268" t="s">
        <v>521</v>
      </c>
      <c r="E268" t="s">
        <v>486</v>
      </c>
      <c r="F268" t="s">
        <v>432</v>
      </c>
      <c r="G268" t="s">
        <v>433</v>
      </c>
      <c r="H268" t="s">
        <v>434</v>
      </c>
      <c r="I268">
        <v>18</v>
      </c>
      <c r="J268">
        <v>27</v>
      </c>
      <c r="K268">
        <v>36</v>
      </c>
      <c r="L268">
        <v>45</v>
      </c>
      <c r="M268">
        <v>60</v>
      </c>
      <c r="N268">
        <v>70</v>
      </c>
      <c r="O268">
        <v>80</v>
      </c>
      <c r="P268">
        <v>90</v>
      </c>
      <c r="Q268" t="s">
        <v>522</v>
      </c>
      <c r="R268" t="s">
        <v>436</v>
      </c>
    </row>
    <row r="269" spans="1:18" x14ac:dyDescent="0.35">
      <c r="A269" t="s">
        <v>492</v>
      </c>
      <c r="B269" t="s">
        <v>493</v>
      </c>
      <c r="C269" t="s">
        <v>494</v>
      </c>
      <c r="D269" t="s">
        <v>521</v>
      </c>
      <c r="E269" t="s">
        <v>486</v>
      </c>
      <c r="F269" t="s">
        <v>462</v>
      </c>
      <c r="G269" t="s">
        <v>446</v>
      </c>
      <c r="H269" t="s">
        <v>463</v>
      </c>
      <c r="I269">
        <v>9</v>
      </c>
      <c r="J269">
        <v>9</v>
      </c>
      <c r="K269">
        <v>9</v>
      </c>
      <c r="L269">
        <v>9</v>
      </c>
      <c r="M269">
        <v>9</v>
      </c>
      <c r="N269">
        <v>9</v>
      </c>
      <c r="O269">
        <v>9</v>
      </c>
      <c r="P269">
        <v>9</v>
      </c>
      <c r="Q269" t="s">
        <v>522</v>
      </c>
      <c r="R269" t="s">
        <v>436</v>
      </c>
    </row>
    <row r="270" spans="1:18" x14ac:dyDescent="0.35">
      <c r="A270" t="s">
        <v>492</v>
      </c>
      <c r="B270" t="s">
        <v>493</v>
      </c>
      <c r="C270" t="s">
        <v>494</v>
      </c>
      <c r="D270" t="s">
        <v>521</v>
      </c>
      <c r="E270" t="s">
        <v>486</v>
      </c>
      <c r="F270" t="s">
        <v>464</v>
      </c>
      <c r="G270" t="s">
        <v>446</v>
      </c>
      <c r="H270" t="s">
        <v>465</v>
      </c>
      <c r="I270">
        <v>8</v>
      </c>
      <c r="J270">
        <v>8</v>
      </c>
      <c r="K270">
        <v>8</v>
      </c>
      <c r="L270">
        <v>8</v>
      </c>
      <c r="M270">
        <v>8</v>
      </c>
      <c r="N270">
        <v>8</v>
      </c>
      <c r="O270">
        <v>8</v>
      </c>
      <c r="P270">
        <v>8</v>
      </c>
      <c r="Q270" t="s">
        <v>522</v>
      </c>
      <c r="R270" t="s">
        <v>436</v>
      </c>
    </row>
    <row r="271" spans="1:18" x14ac:dyDescent="0.35">
      <c r="A271" t="s">
        <v>492</v>
      </c>
      <c r="B271" t="s">
        <v>493</v>
      </c>
      <c r="C271" t="s">
        <v>494</v>
      </c>
      <c r="D271" t="s">
        <v>523</v>
      </c>
      <c r="E271" t="s">
        <v>431</v>
      </c>
      <c r="F271" t="s">
        <v>468</v>
      </c>
      <c r="G271" t="s">
        <v>433</v>
      </c>
      <c r="H271" t="s">
        <v>469</v>
      </c>
      <c r="I271">
        <v>20</v>
      </c>
      <c r="J271">
        <v>27</v>
      </c>
      <c r="K271">
        <v>35</v>
      </c>
      <c r="L271">
        <v>44</v>
      </c>
      <c r="M271">
        <v>58</v>
      </c>
      <c r="N271">
        <v>68</v>
      </c>
      <c r="O271">
        <v>78</v>
      </c>
      <c r="P271">
        <v>89</v>
      </c>
      <c r="Q271" t="s">
        <v>522</v>
      </c>
      <c r="R271" t="s">
        <v>436</v>
      </c>
    </row>
    <row r="272" spans="1:18" x14ac:dyDescent="0.35">
      <c r="A272" t="s">
        <v>492</v>
      </c>
      <c r="B272" t="s">
        <v>493</v>
      </c>
      <c r="C272" t="s">
        <v>494</v>
      </c>
      <c r="D272" t="s">
        <v>523</v>
      </c>
      <c r="E272" t="s">
        <v>431</v>
      </c>
      <c r="F272" t="s">
        <v>441</v>
      </c>
      <c r="G272" t="s">
        <v>433</v>
      </c>
      <c r="H272" t="s">
        <v>442</v>
      </c>
      <c r="I272">
        <v>10</v>
      </c>
      <c r="J272">
        <v>14</v>
      </c>
      <c r="K272">
        <v>18</v>
      </c>
      <c r="L272">
        <v>22</v>
      </c>
      <c r="M272">
        <v>28</v>
      </c>
      <c r="N272">
        <v>32</v>
      </c>
      <c r="O272">
        <v>36</v>
      </c>
      <c r="P272">
        <v>40</v>
      </c>
      <c r="Q272" t="s">
        <v>522</v>
      </c>
      <c r="R272" t="s">
        <v>436</v>
      </c>
    </row>
    <row r="273" spans="1:18" x14ac:dyDescent="0.35">
      <c r="A273" t="s">
        <v>492</v>
      </c>
      <c r="B273" t="s">
        <v>493</v>
      </c>
      <c r="C273" t="s">
        <v>494</v>
      </c>
      <c r="D273" t="s">
        <v>523</v>
      </c>
      <c r="E273" t="s">
        <v>431</v>
      </c>
      <c r="F273" t="s">
        <v>481</v>
      </c>
      <c r="G273" t="s">
        <v>433</v>
      </c>
      <c r="H273" t="s">
        <v>482</v>
      </c>
      <c r="I273">
        <v>19</v>
      </c>
      <c r="J273">
        <v>27</v>
      </c>
      <c r="K273">
        <v>35</v>
      </c>
      <c r="L273">
        <v>43</v>
      </c>
      <c r="M273">
        <v>54</v>
      </c>
      <c r="N273">
        <v>62</v>
      </c>
      <c r="O273">
        <v>71</v>
      </c>
      <c r="P273">
        <v>79</v>
      </c>
      <c r="Q273" t="s">
        <v>522</v>
      </c>
      <c r="R273" t="s">
        <v>436</v>
      </c>
    </row>
    <row r="274" spans="1:18" x14ac:dyDescent="0.35">
      <c r="A274" t="s">
        <v>492</v>
      </c>
      <c r="B274" t="s">
        <v>493</v>
      </c>
      <c r="C274" t="s">
        <v>494</v>
      </c>
      <c r="D274" t="s">
        <v>523</v>
      </c>
      <c r="E274" t="s">
        <v>431</v>
      </c>
      <c r="F274" t="s">
        <v>459</v>
      </c>
      <c r="G274" t="s">
        <v>460</v>
      </c>
      <c r="H274" t="s">
        <v>461</v>
      </c>
      <c r="I274">
        <v>38</v>
      </c>
      <c r="J274">
        <v>46</v>
      </c>
      <c r="K274">
        <v>55</v>
      </c>
      <c r="L274">
        <v>67</v>
      </c>
      <c r="M274">
        <v>77</v>
      </c>
      <c r="N274">
        <v>91</v>
      </c>
      <c r="O274">
        <v>103</v>
      </c>
      <c r="P274">
        <v>116</v>
      </c>
      <c r="Q274" t="s">
        <v>522</v>
      </c>
      <c r="R274" t="s">
        <v>436</v>
      </c>
    </row>
    <row r="275" spans="1:18" x14ac:dyDescent="0.35">
      <c r="A275" t="s">
        <v>492</v>
      </c>
      <c r="B275" t="s">
        <v>493</v>
      </c>
      <c r="C275" t="s">
        <v>494</v>
      </c>
      <c r="D275" t="s">
        <v>523</v>
      </c>
      <c r="E275" t="s">
        <v>431</v>
      </c>
      <c r="F275" t="s">
        <v>480</v>
      </c>
      <c r="G275" t="s">
        <v>467</v>
      </c>
      <c r="H275" t="s">
        <v>480</v>
      </c>
      <c r="I275">
        <v>84</v>
      </c>
      <c r="J275">
        <v>92</v>
      </c>
      <c r="K275">
        <v>100</v>
      </c>
      <c r="L275">
        <v>116</v>
      </c>
      <c r="M275">
        <v>132</v>
      </c>
      <c r="N275">
        <v>148</v>
      </c>
      <c r="O275">
        <v>160</v>
      </c>
      <c r="P275">
        <v>180</v>
      </c>
      <c r="Q275" t="s">
        <v>522</v>
      </c>
      <c r="R275" t="s">
        <v>436</v>
      </c>
    </row>
    <row r="276" spans="1:18" x14ac:dyDescent="0.35">
      <c r="A276" t="s">
        <v>492</v>
      </c>
      <c r="B276" t="s">
        <v>493</v>
      </c>
      <c r="C276" t="s">
        <v>494</v>
      </c>
      <c r="D276" t="s">
        <v>523</v>
      </c>
      <c r="E276" t="s">
        <v>431</v>
      </c>
      <c r="F276" t="s">
        <v>477</v>
      </c>
      <c r="G276" t="s">
        <v>467</v>
      </c>
      <c r="H276" t="s">
        <v>477</v>
      </c>
      <c r="I276">
        <v>46</v>
      </c>
      <c r="J276">
        <v>46</v>
      </c>
      <c r="K276">
        <v>46</v>
      </c>
      <c r="L276">
        <v>46</v>
      </c>
      <c r="M276">
        <v>46</v>
      </c>
      <c r="N276">
        <v>46</v>
      </c>
      <c r="O276">
        <v>46</v>
      </c>
      <c r="P276">
        <v>46</v>
      </c>
      <c r="Q276" t="s">
        <v>522</v>
      </c>
      <c r="R276" t="s">
        <v>436</v>
      </c>
    </row>
    <row r="277" spans="1:18" x14ac:dyDescent="0.35">
      <c r="A277" t="s">
        <v>492</v>
      </c>
      <c r="B277" t="s">
        <v>493</v>
      </c>
      <c r="C277" t="s">
        <v>494</v>
      </c>
      <c r="D277" t="s">
        <v>523</v>
      </c>
      <c r="E277" t="s">
        <v>431</v>
      </c>
      <c r="F277" t="s">
        <v>432</v>
      </c>
      <c r="G277" t="s">
        <v>433</v>
      </c>
      <c r="H277" t="s">
        <v>434</v>
      </c>
      <c r="I277">
        <v>15</v>
      </c>
      <c r="J277">
        <v>21</v>
      </c>
      <c r="K277">
        <v>27</v>
      </c>
      <c r="L277">
        <v>34</v>
      </c>
      <c r="M277">
        <v>44</v>
      </c>
      <c r="N277">
        <v>53</v>
      </c>
      <c r="O277">
        <v>61</v>
      </c>
      <c r="P277">
        <v>68</v>
      </c>
      <c r="Q277" t="s">
        <v>522</v>
      </c>
      <c r="R277" t="s">
        <v>436</v>
      </c>
    </row>
    <row r="278" spans="1:18" x14ac:dyDescent="0.35">
      <c r="A278" t="s">
        <v>492</v>
      </c>
      <c r="B278" t="s">
        <v>493</v>
      </c>
      <c r="C278" t="s">
        <v>494</v>
      </c>
      <c r="D278" t="s">
        <v>523</v>
      </c>
      <c r="E278" t="s">
        <v>431</v>
      </c>
      <c r="F278" t="s">
        <v>462</v>
      </c>
      <c r="G278" t="s">
        <v>446</v>
      </c>
      <c r="H278" t="s">
        <v>463</v>
      </c>
      <c r="I278">
        <v>9</v>
      </c>
      <c r="J278">
        <v>9</v>
      </c>
      <c r="K278">
        <v>9</v>
      </c>
      <c r="L278">
        <v>9</v>
      </c>
      <c r="M278">
        <v>9</v>
      </c>
      <c r="N278">
        <v>9</v>
      </c>
      <c r="O278">
        <v>9</v>
      </c>
      <c r="P278">
        <v>9</v>
      </c>
      <c r="Q278" t="s">
        <v>522</v>
      </c>
      <c r="R278" t="s">
        <v>436</v>
      </c>
    </row>
    <row r="279" spans="1:18" x14ac:dyDescent="0.35">
      <c r="A279" t="s">
        <v>492</v>
      </c>
      <c r="B279" t="s">
        <v>493</v>
      </c>
      <c r="C279" t="s">
        <v>494</v>
      </c>
      <c r="D279" t="s">
        <v>523</v>
      </c>
      <c r="E279" t="s">
        <v>431</v>
      </c>
      <c r="F279" t="s">
        <v>464</v>
      </c>
      <c r="G279" t="s">
        <v>446</v>
      </c>
      <c r="H279" t="s">
        <v>465</v>
      </c>
      <c r="I279">
        <v>8</v>
      </c>
      <c r="J279">
        <v>8</v>
      </c>
      <c r="K279">
        <v>8</v>
      </c>
      <c r="L279">
        <v>8</v>
      </c>
      <c r="M279">
        <v>8</v>
      </c>
      <c r="N279">
        <v>8</v>
      </c>
      <c r="O279">
        <v>8</v>
      </c>
      <c r="P279">
        <v>8</v>
      </c>
      <c r="Q279" t="s">
        <v>522</v>
      </c>
      <c r="R279" t="s">
        <v>436</v>
      </c>
    </row>
    <row r="280" spans="1:18" x14ac:dyDescent="0.35">
      <c r="A280" t="s">
        <v>429</v>
      </c>
      <c r="B280" t="s">
        <v>323</v>
      </c>
      <c r="C280" t="s">
        <v>430</v>
      </c>
      <c r="D280" t="s">
        <v>495</v>
      </c>
      <c r="E280" t="s">
        <v>431</v>
      </c>
      <c r="F280" t="s">
        <v>452</v>
      </c>
      <c r="G280" t="s">
        <v>524</v>
      </c>
      <c r="H280" t="s">
        <v>525</v>
      </c>
      <c r="I280">
        <v>6</v>
      </c>
      <c r="J280">
        <v>6</v>
      </c>
      <c r="K280">
        <v>6</v>
      </c>
      <c r="L280">
        <v>6</v>
      </c>
      <c r="M280">
        <v>6</v>
      </c>
      <c r="N280">
        <v>6</v>
      </c>
      <c r="O280">
        <v>6</v>
      </c>
      <c r="P280">
        <v>6</v>
      </c>
      <c r="Q280" t="s">
        <v>435</v>
      </c>
      <c r="R280" t="s">
        <v>436</v>
      </c>
    </row>
    <row r="281" spans="1:18" x14ac:dyDescent="0.35">
      <c r="A281" t="s">
        <v>429</v>
      </c>
      <c r="B281" t="s">
        <v>323</v>
      </c>
      <c r="C281" t="s">
        <v>430</v>
      </c>
      <c r="D281" t="s">
        <v>486</v>
      </c>
      <c r="E281" t="s">
        <v>486</v>
      </c>
      <c r="F281" t="s">
        <v>452</v>
      </c>
      <c r="G281" t="s">
        <v>524</v>
      </c>
      <c r="H281" t="s">
        <v>525</v>
      </c>
      <c r="I281">
        <v>6</v>
      </c>
      <c r="J281">
        <v>6</v>
      </c>
      <c r="K281">
        <v>6</v>
      </c>
      <c r="L281">
        <v>6</v>
      </c>
      <c r="M281">
        <v>6</v>
      </c>
      <c r="N281">
        <v>6</v>
      </c>
      <c r="O281">
        <v>6</v>
      </c>
      <c r="P281">
        <v>6</v>
      </c>
      <c r="Q281" t="s">
        <v>435</v>
      </c>
      <c r="R281" t="s">
        <v>436</v>
      </c>
    </row>
    <row r="282" spans="1:18" x14ac:dyDescent="0.35">
      <c r="A282" t="s">
        <v>429</v>
      </c>
      <c r="B282" t="s">
        <v>323</v>
      </c>
      <c r="C282" t="s">
        <v>430</v>
      </c>
      <c r="D282" t="s">
        <v>495</v>
      </c>
      <c r="E282" t="s">
        <v>431</v>
      </c>
      <c r="F282" t="s">
        <v>452</v>
      </c>
      <c r="G282" t="s">
        <v>526</v>
      </c>
      <c r="H282" t="s">
        <v>527</v>
      </c>
      <c r="I282">
        <v>3</v>
      </c>
      <c r="J282">
        <v>3</v>
      </c>
      <c r="K282">
        <v>3</v>
      </c>
      <c r="L282">
        <v>3</v>
      </c>
      <c r="M282">
        <v>3</v>
      </c>
      <c r="N282">
        <v>3</v>
      </c>
      <c r="O282">
        <v>3</v>
      </c>
      <c r="P282">
        <v>3</v>
      </c>
      <c r="Q282" t="s">
        <v>435</v>
      </c>
      <c r="R282" t="s">
        <v>436</v>
      </c>
    </row>
    <row r="283" spans="1:18" x14ac:dyDescent="0.35">
      <c r="A283" t="s">
        <v>429</v>
      </c>
      <c r="B283" t="s">
        <v>323</v>
      </c>
      <c r="C283" t="s">
        <v>430</v>
      </c>
      <c r="D283" t="s">
        <v>486</v>
      </c>
      <c r="E283" t="s">
        <v>486</v>
      </c>
      <c r="F283" t="s">
        <v>452</v>
      </c>
      <c r="G283" t="s">
        <v>526</v>
      </c>
      <c r="H283" t="s">
        <v>527</v>
      </c>
      <c r="I283">
        <v>3</v>
      </c>
      <c r="J283">
        <v>3</v>
      </c>
      <c r="K283">
        <v>3</v>
      </c>
      <c r="L283">
        <v>3</v>
      </c>
      <c r="M283">
        <v>3</v>
      </c>
      <c r="N283">
        <v>3</v>
      </c>
      <c r="O283">
        <v>3</v>
      </c>
      <c r="P283">
        <v>3</v>
      </c>
      <c r="Q283" t="s">
        <v>435</v>
      </c>
      <c r="R283" t="s">
        <v>436</v>
      </c>
    </row>
    <row r="284" spans="1:18" x14ac:dyDescent="0.35">
      <c r="A284" t="s">
        <v>535</v>
      </c>
      <c r="B284" t="s">
        <v>536</v>
      </c>
      <c r="C284" t="s">
        <v>537</v>
      </c>
      <c r="D284" t="s">
        <v>486</v>
      </c>
      <c r="E284" t="s">
        <v>486</v>
      </c>
      <c r="F284" t="s">
        <v>468</v>
      </c>
      <c r="G284" t="s">
        <v>472</v>
      </c>
      <c r="H284" t="s">
        <v>472</v>
      </c>
      <c r="I284">
        <v>14</v>
      </c>
      <c r="J284">
        <v>17</v>
      </c>
      <c r="K284">
        <v>18</v>
      </c>
      <c r="L284">
        <v>19</v>
      </c>
      <c r="M284">
        <v>20</v>
      </c>
      <c r="N284">
        <v>21</v>
      </c>
      <c r="O284">
        <v>0</v>
      </c>
      <c r="P284">
        <v>0</v>
      </c>
      <c r="Q284" t="s">
        <v>538</v>
      </c>
      <c r="R284" t="s">
        <v>436</v>
      </c>
    </row>
    <row r="285" spans="1:18" x14ac:dyDescent="0.35">
      <c r="A285" t="s">
        <v>535</v>
      </c>
      <c r="B285" t="s">
        <v>536</v>
      </c>
      <c r="C285" t="s">
        <v>537</v>
      </c>
      <c r="D285" t="s">
        <v>486</v>
      </c>
      <c r="E285" t="s">
        <v>486</v>
      </c>
      <c r="F285" t="s">
        <v>441</v>
      </c>
      <c r="G285" t="s">
        <v>444</v>
      </c>
      <c r="H285" t="s">
        <v>444</v>
      </c>
      <c r="I285">
        <v>3</v>
      </c>
      <c r="J285">
        <v>3</v>
      </c>
      <c r="K285">
        <v>5</v>
      </c>
      <c r="L285">
        <v>6</v>
      </c>
      <c r="M285">
        <v>8</v>
      </c>
      <c r="N285">
        <v>9</v>
      </c>
      <c r="O285">
        <v>0</v>
      </c>
      <c r="P285">
        <v>0</v>
      </c>
      <c r="Q285" t="s">
        <v>538</v>
      </c>
      <c r="R285" t="s">
        <v>436</v>
      </c>
    </row>
    <row r="286" spans="1:18" x14ac:dyDescent="0.35">
      <c r="A286" t="s">
        <v>535</v>
      </c>
      <c r="B286" t="s">
        <v>536</v>
      </c>
      <c r="C286" t="s">
        <v>537</v>
      </c>
      <c r="D286" t="s">
        <v>486</v>
      </c>
      <c r="E286" t="s">
        <v>486</v>
      </c>
      <c r="F286" t="s">
        <v>481</v>
      </c>
      <c r="G286" t="s">
        <v>483</v>
      </c>
      <c r="H286" t="s">
        <v>483</v>
      </c>
      <c r="I286">
        <v>7</v>
      </c>
      <c r="J286">
        <v>9</v>
      </c>
      <c r="K286">
        <v>12</v>
      </c>
      <c r="L286">
        <v>16</v>
      </c>
      <c r="M286">
        <v>20</v>
      </c>
      <c r="N286">
        <v>24</v>
      </c>
      <c r="O286">
        <v>0</v>
      </c>
      <c r="P286">
        <v>0</v>
      </c>
      <c r="Q286" t="s">
        <v>538</v>
      </c>
      <c r="R286" t="s">
        <v>436</v>
      </c>
    </row>
    <row r="287" spans="1:18" x14ac:dyDescent="0.35">
      <c r="A287" t="s">
        <v>535</v>
      </c>
      <c r="B287" t="s">
        <v>536</v>
      </c>
      <c r="C287" t="s">
        <v>537</v>
      </c>
      <c r="D287" t="s">
        <v>486</v>
      </c>
      <c r="E287" t="s">
        <v>486</v>
      </c>
      <c r="F287" t="s">
        <v>452</v>
      </c>
      <c r="G287" t="s">
        <v>539</v>
      </c>
      <c r="H287" t="s">
        <v>539</v>
      </c>
      <c r="I287">
        <v>4</v>
      </c>
      <c r="J287">
        <v>4</v>
      </c>
      <c r="K287">
        <v>4</v>
      </c>
      <c r="L287">
        <v>4</v>
      </c>
      <c r="M287">
        <v>4</v>
      </c>
      <c r="N287">
        <v>4</v>
      </c>
      <c r="O287">
        <v>0</v>
      </c>
      <c r="P287">
        <v>0</v>
      </c>
      <c r="Q287" t="s">
        <v>538</v>
      </c>
      <c r="R287" t="s">
        <v>436</v>
      </c>
    </row>
    <row r="288" spans="1:18" x14ac:dyDescent="0.35">
      <c r="A288" t="s">
        <v>535</v>
      </c>
      <c r="B288" t="s">
        <v>536</v>
      </c>
      <c r="C288" t="s">
        <v>537</v>
      </c>
      <c r="D288" t="s">
        <v>486</v>
      </c>
      <c r="E288" t="s">
        <v>486</v>
      </c>
      <c r="F288" t="s">
        <v>459</v>
      </c>
      <c r="G288" t="s">
        <v>461</v>
      </c>
      <c r="H288" t="s">
        <v>461</v>
      </c>
      <c r="I288">
        <v>49</v>
      </c>
      <c r="J288">
        <v>61</v>
      </c>
      <c r="K288">
        <v>91</v>
      </c>
      <c r="L288">
        <v>128</v>
      </c>
      <c r="M288">
        <v>164</v>
      </c>
      <c r="N288">
        <v>200</v>
      </c>
      <c r="O288">
        <v>0</v>
      </c>
      <c r="P288">
        <v>0</v>
      </c>
      <c r="Q288" t="s">
        <v>538</v>
      </c>
      <c r="R288" t="s">
        <v>436</v>
      </c>
    </row>
    <row r="289" spans="1:18" x14ac:dyDescent="0.35">
      <c r="A289" t="s">
        <v>535</v>
      </c>
      <c r="B289" t="s">
        <v>536</v>
      </c>
      <c r="C289" t="s">
        <v>537</v>
      </c>
      <c r="D289" t="s">
        <v>486</v>
      </c>
      <c r="E289" t="s">
        <v>486</v>
      </c>
      <c r="F289" t="s">
        <v>468</v>
      </c>
      <c r="G289" t="s">
        <v>469</v>
      </c>
      <c r="H289" t="s">
        <v>469</v>
      </c>
      <c r="I289">
        <v>31</v>
      </c>
      <c r="J289">
        <v>37</v>
      </c>
      <c r="K289">
        <v>41</v>
      </c>
      <c r="L289">
        <v>44</v>
      </c>
      <c r="M289">
        <v>48</v>
      </c>
      <c r="N289">
        <v>52</v>
      </c>
      <c r="O289">
        <v>0</v>
      </c>
      <c r="P289">
        <v>0</v>
      </c>
      <c r="Q289" t="s">
        <v>538</v>
      </c>
      <c r="R289" t="s">
        <v>436</v>
      </c>
    </row>
    <row r="290" spans="1:18" x14ac:dyDescent="0.35">
      <c r="A290" t="s">
        <v>535</v>
      </c>
      <c r="B290" t="s">
        <v>536</v>
      </c>
      <c r="C290" t="s">
        <v>537</v>
      </c>
      <c r="D290" t="s">
        <v>486</v>
      </c>
      <c r="E290" t="s">
        <v>486</v>
      </c>
      <c r="F290" t="s">
        <v>441</v>
      </c>
      <c r="G290" t="s">
        <v>442</v>
      </c>
      <c r="H290" t="s">
        <v>442</v>
      </c>
      <c r="I290">
        <v>11</v>
      </c>
      <c r="J290">
        <v>13</v>
      </c>
      <c r="K290">
        <v>19</v>
      </c>
      <c r="L290">
        <v>25</v>
      </c>
      <c r="M290">
        <v>31</v>
      </c>
      <c r="N290">
        <v>37</v>
      </c>
      <c r="O290">
        <v>0</v>
      </c>
      <c r="P290">
        <v>0</v>
      </c>
      <c r="Q290" t="s">
        <v>538</v>
      </c>
      <c r="R290" t="s">
        <v>436</v>
      </c>
    </row>
    <row r="291" spans="1:18" x14ac:dyDescent="0.35">
      <c r="A291" t="s">
        <v>535</v>
      </c>
      <c r="B291" t="s">
        <v>536</v>
      </c>
      <c r="C291" t="s">
        <v>537</v>
      </c>
      <c r="D291" t="s">
        <v>486</v>
      </c>
      <c r="E291" t="s">
        <v>486</v>
      </c>
      <c r="F291" t="s">
        <v>481</v>
      </c>
      <c r="G291" t="s">
        <v>482</v>
      </c>
      <c r="H291" t="s">
        <v>482</v>
      </c>
      <c r="I291">
        <v>31</v>
      </c>
      <c r="J291">
        <v>37</v>
      </c>
      <c r="K291">
        <v>47</v>
      </c>
      <c r="L291">
        <v>57</v>
      </c>
      <c r="M291">
        <v>68</v>
      </c>
      <c r="N291">
        <v>78</v>
      </c>
      <c r="O291">
        <v>0</v>
      </c>
      <c r="P291">
        <v>0</v>
      </c>
      <c r="Q291" t="s">
        <v>538</v>
      </c>
      <c r="R291" t="s">
        <v>436</v>
      </c>
    </row>
    <row r="292" spans="1:18" x14ac:dyDescent="0.35">
      <c r="A292" t="s">
        <v>535</v>
      </c>
      <c r="B292" t="s">
        <v>536</v>
      </c>
      <c r="C292" t="s">
        <v>537</v>
      </c>
      <c r="D292" t="s">
        <v>486</v>
      </c>
      <c r="E292" t="s">
        <v>486</v>
      </c>
      <c r="F292" t="s">
        <v>480</v>
      </c>
      <c r="G292" t="s">
        <v>480</v>
      </c>
      <c r="H292" t="s">
        <v>480</v>
      </c>
      <c r="I292">
        <v>36</v>
      </c>
      <c r="J292">
        <v>38</v>
      </c>
      <c r="K292">
        <v>43</v>
      </c>
      <c r="L292">
        <v>48</v>
      </c>
      <c r="M292">
        <v>54</v>
      </c>
      <c r="N292">
        <v>65</v>
      </c>
      <c r="O292">
        <v>0</v>
      </c>
      <c r="P292">
        <v>0</v>
      </c>
      <c r="Q292" t="s">
        <v>538</v>
      </c>
      <c r="R292" t="s">
        <v>436</v>
      </c>
    </row>
    <row r="293" spans="1:18" x14ac:dyDescent="0.35">
      <c r="A293" t="s">
        <v>535</v>
      </c>
      <c r="B293" t="s">
        <v>536</v>
      </c>
      <c r="C293" t="s">
        <v>537</v>
      </c>
      <c r="D293" t="s">
        <v>486</v>
      </c>
      <c r="E293" t="s">
        <v>486</v>
      </c>
      <c r="F293" t="s">
        <v>432</v>
      </c>
      <c r="G293" t="s">
        <v>434</v>
      </c>
      <c r="H293" t="s">
        <v>434</v>
      </c>
      <c r="I293">
        <v>12</v>
      </c>
      <c r="J293">
        <v>28</v>
      </c>
      <c r="K293">
        <v>43</v>
      </c>
      <c r="L293">
        <v>58</v>
      </c>
      <c r="M293">
        <v>73</v>
      </c>
      <c r="N293">
        <v>73</v>
      </c>
      <c r="O293">
        <v>0</v>
      </c>
      <c r="P293">
        <v>0</v>
      </c>
      <c r="Q293" t="s">
        <v>538</v>
      </c>
      <c r="R293" t="s">
        <v>436</v>
      </c>
    </row>
    <row r="294" spans="1:18" x14ac:dyDescent="0.35">
      <c r="A294" t="s">
        <v>535</v>
      </c>
      <c r="B294" t="s">
        <v>536</v>
      </c>
      <c r="C294" t="s">
        <v>537</v>
      </c>
      <c r="D294" t="s">
        <v>486</v>
      </c>
      <c r="E294" t="s">
        <v>486</v>
      </c>
      <c r="F294" t="s">
        <v>477</v>
      </c>
      <c r="G294" t="s">
        <v>477</v>
      </c>
      <c r="H294" t="s">
        <v>477</v>
      </c>
      <c r="I294">
        <v>31</v>
      </c>
      <c r="J294">
        <v>31</v>
      </c>
      <c r="K294">
        <v>31</v>
      </c>
      <c r="L294">
        <v>31</v>
      </c>
      <c r="M294">
        <v>31</v>
      </c>
      <c r="N294">
        <v>31</v>
      </c>
      <c r="O294">
        <v>0</v>
      </c>
      <c r="P294">
        <v>0</v>
      </c>
      <c r="Q294" t="s">
        <v>538</v>
      </c>
      <c r="R294" t="s">
        <v>436</v>
      </c>
    </row>
    <row r="295" spans="1:18" x14ac:dyDescent="0.35">
      <c r="A295" t="s">
        <v>535</v>
      </c>
      <c r="B295" t="s">
        <v>536</v>
      </c>
      <c r="C295" t="s">
        <v>537</v>
      </c>
      <c r="D295" t="s">
        <v>486</v>
      </c>
      <c r="E295" t="s">
        <v>486</v>
      </c>
      <c r="F295" t="s">
        <v>464</v>
      </c>
      <c r="G295" t="s">
        <v>465</v>
      </c>
      <c r="H295" t="s">
        <v>465</v>
      </c>
      <c r="I295">
        <v>12</v>
      </c>
      <c r="J295">
        <v>12</v>
      </c>
      <c r="K295">
        <v>12</v>
      </c>
      <c r="L295">
        <v>12</v>
      </c>
      <c r="M295">
        <v>12</v>
      </c>
      <c r="N295">
        <v>12</v>
      </c>
      <c r="O295">
        <v>0</v>
      </c>
      <c r="P295">
        <v>0</v>
      </c>
      <c r="Q295" t="s">
        <v>538</v>
      </c>
      <c r="R295" t="s">
        <v>436</v>
      </c>
    </row>
    <row r="296" spans="1:18" x14ac:dyDescent="0.35">
      <c r="A296" t="s">
        <v>535</v>
      </c>
      <c r="B296" t="s">
        <v>536</v>
      </c>
      <c r="C296" t="s">
        <v>537</v>
      </c>
      <c r="D296" t="s">
        <v>486</v>
      </c>
      <c r="E296" t="s">
        <v>486</v>
      </c>
      <c r="F296" t="s">
        <v>462</v>
      </c>
      <c r="G296" t="s">
        <v>463</v>
      </c>
      <c r="H296" t="s">
        <v>463</v>
      </c>
      <c r="I296">
        <v>11</v>
      </c>
      <c r="J296">
        <v>11</v>
      </c>
      <c r="K296">
        <v>11</v>
      </c>
      <c r="L296">
        <v>11</v>
      </c>
      <c r="M296">
        <v>11</v>
      </c>
      <c r="N296">
        <v>11</v>
      </c>
      <c r="O296">
        <v>0</v>
      </c>
      <c r="P296">
        <v>0</v>
      </c>
      <c r="Q296" t="s">
        <v>538</v>
      </c>
      <c r="R296" t="s">
        <v>436</v>
      </c>
    </row>
    <row r="297" spans="1:18" x14ac:dyDescent="0.35">
      <c r="A297" t="s">
        <v>535</v>
      </c>
      <c r="B297" t="s">
        <v>536</v>
      </c>
      <c r="C297" t="s">
        <v>537</v>
      </c>
      <c r="D297" t="s">
        <v>561</v>
      </c>
      <c r="E297" t="s">
        <v>431</v>
      </c>
      <c r="F297" t="s">
        <v>468</v>
      </c>
      <c r="G297" t="s">
        <v>472</v>
      </c>
      <c r="H297" t="s">
        <v>472</v>
      </c>
      <c r="I297">
        <v>10</v>
      </c>
      <c r="J297">
        <v>12</v>
      </c>
      <c r="K297">
        <v>12</v>
      </c>
      <c r="L297">
        <v>13</v>
      </c>
      <c r="M297">
        <v>14</v>
      </c>
      <c r="N297">
        <v>15</v>
      </c>
      <c r="O297">
        <v>0</v>
      </c>
      <c r="P297">
        <v>0</v>
      </c>
      <c r="Q297" t="s">
        <v>538</v>
      </c>
      <c r="R297" t="s">
        <v>436</v>
      </c>
    </row>
    <row r="298" spans="1:18" x14ac:dyDescent="0.35">
      <c r="A298" t="s">
        <v>535</v>
      </c>
      <c r="B298" t="s">
        <v>536</v>
      </c>
      <c r="C298" t="s">
        <v>537</v>
      </c>
      <c r="D298" t="s">
        <v>561</v>
      </c>
      <c r="E298" t="s">
        <v>431</v>
      </c>
      <c r="F298" t="s">
        <v>441</v>
      </c>
      <c r="G298" t="s">
        <v>444</v>
      </c>
      <c r="H298" t="s">
        <v>444</v>
      </c>
      <c r="I298">
        <v>3</v>
      </c>
      <c r="J298">
        <v>3</v>
      </c>
      <c r="K298">
        <v>5</v>
      </c>
      <c r="L298">
        <v>6</v>
      </c>
      <c r="M298">
        <v>8</v>
      </c>
      <c r="N298">
        <v>9</v>
      </c>
      <c r="O298">
        <v>0</v>
      </c>
      <c r="P298">
        <v>0</v>
      </c>
      <c r="Q298" t="s">
        <v>538</v>
      </c>
      <c r="R298" t="s">
        <v>436</v>
      </c>
    </row>
    <row r="299" spans="1:18" x14ac:dyDescent="0.35">
      <c r="A299" t="s">
        <v>535</v>
      </c>
      <c r="B299" t="s">
        <v>536</v>
      </c>
      <c r="C299" t="s">
        <v>537</v>
      </c>
      <c r="D299" t="s">
        <v>561</v>
      </c>
      <c r="E299" t="s">
        <v>431</v>
      </c>
      <c r="F299" t="s">
        <v>481</v>
      </c>
      <c r="G299" t="s">
        <v>483</v>
      </c>
      <c r="H299" t="s">
        <v>483</v>
      </c>
      <c r="I299">
        <v>6</v>
      </c>
      <c r="J299">
        <v>7</v>
      </c>
      <c r="K299">
        <v>10</v>
      </c>
      <c r="L299">
        <v>13</v>
      </c>
      <c r="M299">
        <v>16</v>
      </c>
      <c r="N299">
        <v>19</v>
      </c>
      <c r="O299">
        <v>0</v>
      </c>
      <c r="P299">
        <v>0</v>
      </c>
      <c r="Q299" t="s">
        <v>538</v>
      </c>
      <c r="R299" t="s">
        <v>436</v>
      </c>
    </row>
    <row r="300" spans="1:18" x14ac:dyDescent="0.35">
      <c r="A300" t="s">
        <v>535</v>
      </c>
      <c r="B300" t="s">
        <v>536</v>
      </c>
      <c r="C300" t="s">
        <v>537</v>
      </c>
      <c r="D300" t="s">
        <v>561</v>
      </c>
      <c r="E300" t="s">
        <v>431</v>
      </c>
      <c r="F300" t="s">
        <v>452</v>
      </c>
      <c r="G300" t="s">
        <v>539</v>
      </c>
      <c r="H300" t="s">
        <v>539</v>
      </c>
      <c r="I300">
        <v>4</v>
      </c>
      <c r="J300">
        <v>4</v>
      </c>
      <c r="K300">
        <v>4</v>
      </c>
      <c r="L300">
        <v>4</v>
      </c>
      <c r="M300">
        <v>4</v>
      </c>
      <c r="N300">
        <v>4</v>
      </c>
      <c r="O300">
        <v>0</v>
      </c>
      <c r="P300">
        <v>0</v>
      </c>
      <c r="Q300" t="s">
        <v>538</v>
      </c>
      <c r="R300" t="s">
        <v>436</v>
      </c>
    </row>
    <row r="301" spans="1:18" x14ac:dyDescent="0.35">
      <c r="A301" t="s">
        <v>535</v>
      </c>
      <c r="B301" t="s">
        <v>536</v>
      </c>
      <c r="C301" t="s">
        <v>537</v>
      </c>
      <c r="D301" t="s">
        <v>561</v>
      </c>
      <c r="E301" t="s">
        <v>431</v>
      </c>
      <c r="F301" t="s">
        <v>459</v>
      </c>
      <c r="G301" t="s">
        <v>461</v>
      </c>
      <c r="H301" t="s">
        <v>461</v>
      </c>
      <c r="I301">
        <v>29</v>
      </c>
      <c r="J301">
        <v>37</v>
      </c>
      <c r="K301">
        <v>57</v>
      </c>
      <c r="L301">
        <v>76</v>
      </c>
      <c r="M301">
        <v>100</v>
      </c>
      <c r="N301">
        <v>124</v>
      </c>
      <c r="O301">
        <v>0</v>
      </c>
      <c r="P301">
        <v>0</v>
      </c>
      <c r="Q301" t="s">
        <v>538</v>
      </c>
      <c r="R301" t="s">
        <v>436</v>
      </c>
    </row>
    <row r="302" spans="1:18" x14ac:dyDescent="0.35">
      <c r="A302" t="s">
        <v>535</v>
      </c>
      <c r="B302" t="s">
        <v>536</v>
      </c>
      <c r="C302" t="s">
        <v>537</v>
      </c>
      <c r="D302" t="s">
        <v>561</v>
      </c>
      <c r="E302" t="s">
        <v>431</v>
      </c>
      <c r="F302" t="s">
        <v>468</v>
      </c>
      <c r="G302" t="s">
        <v>469</v>
      </c>
      <c r="H302" t="s">
        <v>469</v>
      </c>
      <c r="I302">
        <v>17</v>
      </c>
      <c r="J302">
        <v>20</v>
      </c>
      <c r="K302">
        <v>24</v>
      </c>
      <c r="L302">
        <v>27</v>
      </c>
      <c r="M302">
        <v>31</v>
      </c>
      <c r="N302">
        <v>34</v>
      </c>
      <c r="O302">
        <v>0</v>
      </c>
      <c r="P302">
        <v>0</v>
      </c>
      <c r="Q302" t="s">
        <v>538</v>
      </c>
      <c r="R302" t="s">
        <v>436</v>
      </c>
    </row>
    <row r="303" spans="1:18" x14ac:dyDescent="0.35">
      <c r="A303" t="s">
        <v>535</v>
      </c>
      <c r="B303" t="s">
        <v>536</v>
      </c>
      <c r="C303" t="s">
        <v>537</v>
      </c>
      <c r="D303" t="s">
        <v>561</v>
      </c>
      <c r="E303" t="s">
        <v>431</v>
      </c>
      <c r="F303" t="s">
        <v>441</v>
      </c>
      <c r="G303" t="s">
        <v>442</v>
      </c>
      <c r="H303" t="s">
        <v>442</v>
      </c>
      <c r="I303">
        <v>11</v>
      </c>
      <c r="J303">
        <v>13</v>
      </c>
      <c r="K303">
        <v>19</v>
      </c>
      <c r="L303">
        <v>25</v>
      </c>
      <c r="M303">
        <v>31</v>
      </c>
      <c r="N303">
        <v>37</v>
      </c>
      <c r="O303">
        <v>0</v>
      </c>
      <c r="P303">
        <v>0</v>
      </c>
      <c r="Q303" t="s">
        <v>538</v>
      </c>
      <c r="R303" t="s">
        <v>436</v>
      </c>
    </row>
    <row r="304" spans="1:18" x14ac:dyDescent="0.35">
      <c r="A304" t="s">
        <v>535</v>
      </c>
      <c r="B304" t="s">
        <v>536</v>
      </c>
      <c r="C304" t="s">
        <v>537</v>
      </c>
      <c r="D304" t="s">
        <v>561</v>
      </c>
      <c r="E304" t="s">
        <v>431</v>
      </c>
      <c r="F304" t="s">
        <v>481</v>
      </c>
      <c r="G304" t="s">
        <v>482</v>
      </c>
      <c r="H304" t="s">
        <v>482</v>
      </c>
      <c r="I304">
        <v>25</v>
      </c>
      <c r="J304">
        <v>29</v>
      </c>
      <c r="K304">
        <v>38</v>
      </c>
      <c r="L304">
        <v>46</v>
      </c>
      <c r="M304">
        <v>54</v>
      </c>
      <c r="N304">
        <v>62</v>
      </c>
      <c r="O304">
        <v>0</v>
      </c>
      <c r="P304">
        <v>0</v>
      </c>
      <c r="Q304" t="s">
        <v>538</v>
      </c>
      <c r="R304" t="s">
        <v>436</v>
      </c>
    </row>
    <row r="305" spans="1:18" x14ac:dyDescent="0.35">
      <c r="A305" t="s">
        <v>535</v>
      </c>
      <c r="B305" t="s">
        <v>536</v>
      </c>
      <c r="C305" t="s">
        <v>537</v>
      </c>
      <c r="D305" t="s">
        <v>561</v>
      </c>
      <c r="E305" t="s">
        <v>431</v>
      </c>
      <c r="F305" t="s">
        <v>480</v>
      </c>
      <c r="G305" t="s">
        <v>480</v>
      </c>
      <c r="H305" t="s">
        <v>480</v>
      </c>
      <c r="I305">
        <v>36</v>
      </c>
      <c r="J305">
        <v>38</v>
      </c>
      <c r="K305">
        <v>43</v>
      </c>
      <c r="L305">
        <v>48</v>
      </c>
      <c r="M305">
        <v>54</v>
      </c>
      <c r="N305">
        <v>65</v>
      </c>
      <c r="O305">
        <v>0</v>
      </c>
      <c r="P305">
        <v>0</v>
      </c>
      <c r="Q305" t="s">
        <v>538</v>
      </c>
      <c r="R305" t="s">
        <v>436</v>
      </c>
    </row>
    <row r="306" spans="1:18" x14ac:dyDescent="0.35">
      <c r="A306" t="s">
        <v>535</v>
      </c>
      <c r="B306" t="s">
        <v>536</v>
      </c>
      <c r="C306" t="s">
        <v>537</v>
      </c>
      <c r="D306" t="s">
        <v>561</v>
      </c>
      <c r="E306" t="s">
        <v>431</v>
      </c>
      <c r="F306" t="s">
        <v>432</v>
      </c>
      <c r="G306" t="s">
        <v>434</v>
      </c>
      <c r="H306" t="s">
        <v>434</v>
      </c>
      <c r="I306">
        <v>13</v>
      </c>
      <c r="J306">
        <v>16</v>
      </c>
      <c r="K306">
        <v>22</v>
      </c>
      <c r="L306">
        <v>28</v>
      </c>
      <c r="M306">
        <v>34</v>
      </c>
      <c r="N306">
        <v>40</v>
      </c>
      <c r="O306">
        <v>0</v>
      </c>
      <c r="P306">
        <v>0</v>
      </c>
      <c r="Q306" t="s">
        <v>538</v>
      </c>
      <c r="R306" t="s">
        <v>436</v>
      </c>
    </row>
    <row r="307" spans="1:18" x14ac:dyDescent="0.35">
      <c r="A307" t="s">
        <v>535</v>
      </c>
      <c r="B307" t="s">
        <v>536</v>
      </c>
      <c r="C307" t="s">
        <v>537</v>
      </c>
      <c r="D307" t="s">
        <v>561</v>
      </c>
      <c r="E307" t="s">
        <v>431</v>
      </c>
      <c r="F307" t="s">
        <v>477</v>
      </c>
      <c r="G307" t="s">
        <v>477</v>
      </c>
      <c r="H307" t="s">
        <v>477</v>
      </c>
      <c r="I307">
        <v>31</v>
      </c>
      <c r="J307">
        <v>31</v>
      </c>
      <c r="K307">
        <v>31</v>
      </c>
      <c r="L307">
        <v>31</v>
      </c>
      <c r="M307">
        <v>31</v>
      </c>
      <c r="N307">
        <v>31</v>
      </c>
      <c r="O307">
        <v>0</v>
      </c>
      <c r="P307">
        <v>0</v>
      </c>
      <c r="Q307" t="s">
        <v>538</v>
      </c>
      <c r="R307" t="s">
        <v>436</v>
      </c>
    </row>
    <row r="308" spans="1:18" x14ac:dyDescent="0.35">
      <c r="A308" t="s">
        <v>535</v>
      </c>
      <c r="B308" t="s">
        <v>536</v>
      </c>
      <c r="C308" t="s">
        <v>537</v>
      </c>
      <c r="D308" t="s">
        <v>561</v>
      </c>
      <c r="E308" t="s">
        <v>431</v>
      </c>
      <c r="F308" t="s">
        <v>464</v>
      </c>
      <c r="G308" t="s">
        <v>465</v>
      </c>
      <c r="H308" t="s">
        <v>465</v>
      </c>
      <c r="I308">
        <v>12</v>
      </c>
      <c r="J308">
        <v>12</v>
      </c>
      <c r="K308">
        <v>12</v>
      </c>
      <c r="L308">
        <v>12</v>
      </c>
      <c r="M308">
        <v>12</v>
      </c>
      <c r="N308">
        <v>12</v>
      </c>
      <c r="O308">
        <v>0</v>
      </c>
      <c r="P308">
        <v>0</v>
      </c>
      <c r="Q308" t="s">
        <v>538</v>
      </c>
      <c r="R308" t="s">
        <v>436</v>
      </c>
    </row>
    <row r="309" spans="1:18" x14ac:dyDescent="0.35">
      <c r="A309" t="s">
        <v>535</v>
      </c>
      <c r="B309" t="s">
        <v>536</v>
      </c>
      <c r="C309" t="s">
        <v>537</v>
      </c>
      <c r="D309" t="s">
        <v>561</v>
      </c>
      <c r="E309" t="s">
        <v>431</v>
      </c>
      <c r="F309" t="s">
        <v>462</v>
      </c>
      <c r="G309" t="s">
        <v>463</v>
      </c>
      <c r="H309" t="s">
        <v>463</v>
      </c>
      <c r="I309">
        <v>11</v>
      </c>
      <c r="J309">
        <v>11</v>
      </c>
      <c r="K309">
        <v>11</v>
      </c>
      <c r="L309">
        <v>11</v>
      </c>
      <c r="M309">
        <v>11</v>
      </c>
      <c r="N309">
        <v>11</v>
      </c>
      <c r="O309">
        <v>0</v>
      </c>
      <c r="P309">
        <v>0</v>
      </c>
      <c r="Q309" t="s">
        <v>538</v>
      </c>
      <c r="R309" t="s">
        <v>436</v>
      </c>
    </row>
    <row r="310" spans="1:18" x14ac:dyDescent="0.35">
      <c r="A310" t="s">
        <v>535</v>
      </c>
      <c r="B310" t="s">
        <v>536</v>
      </c>
      <c r="C310" t="s">
        <v>537</v>
      </c>
      <c r="D310" t="s">
        <v>495</v>
      </c>
      <c r="E310" t="s">
        <v>431</v>
      </c>
      <c r="F310" t="s">
        <v>468</v>
      </c>
      <c r="G310" t="s">
        <v>472</v>
      </c>
      <c r="H310" t="s">
        <v>472</v>
      </c>
      <c r="I310">
        <v>8</v>
      </c>
      <c r="J310">
        <v>10</v>
      </c>
      <c r="K310">
        <v>10</v>
      </c>
      <c r="L310">
        <v>11</v>
      </c>
      <c r="M310">
        <v>12</v>
      </c>
      <c r="N310">
        <v>12</v>
      </c>
      <c r="O310">
        <v>0</v>
      </c>
      <c r="P310">
        <v>0</v>
      </c>
      <c r="Q310" t="s">
        <v>538</v>
      </c>
      <c r="R310" t="s">
        <v>436</v>
      </c>
    </row>
    <row r="311" spans="1:18" x14ac:dyDescent="0.35">
      <c r="A311" t="s">
        <v>535</v>
      </c>
      <c r="B311" t="s">
        <v>536</v>
      </c>
      <c r="C311" t="s">
        <v>537</v>
      </c>
      <c r="D311" t="s">
        <v>495</v>
      </c>
      <c r="E311" t="s">
        <v>431</v>
      </c>
      <c r="F311" t="s">
        <v>441</v>
      </c>
      <c r="G311" t="s">
        <v>444</v>
      </c>
      <c r="H311" t="s">
        <v>444</v>
      </c>
      <c r="I311">
        <v>2</v>
      </c>
      <c r="J311">
        <v>3</v>
      </c>
      <c r="K311">
        <v>4</v>
      </c>
      <c r="L311">
        <v>5</v>
      </c>
      <c r="M311">
        <v>6</v>
      </c>
      <c r="N311">
        <v>8</v>
      </c>
      <c r="O311">
        <v>0</v>
      </c>
      <c r="P311">
        <v>0</v>
      </c>
      <c r="Q311" t="s">
        <v>538</v>
      </c>
      <c r="R311" t="s">
        <v>436</v>
      </c>
    </row>
    <row r="312" spans="1:18" x14ac:dyDescent="0.35">
      <c r="A312" t="s">
        <v>535</v>
      </c>
      <c r="B312" t="s">
        <v>536</v>
      </c>
      <c r="C312" t="s">
        <v>537</v>
      </c>
      <c r="D312" t="s">
        <v>495</v>
      </c>
      <c r="E312" t="s">
        <v>431</v>
      </c>
      <c r="F312" t="s">
        <v>481</v>
      </c>
      <c r="G312" t="s">
        <v>483</v>
      </c>
      <c r="H312" t="s">
        <v>483</v>
      </c>
      <c r="I312">
        <v>5</v>
      </c>
      <c r="J312">
        <v>6</v>
      </c>
      <c r="K312">
        <v>8</v>
      </c>
      <c r="L312">
        <v>11</v>
      </c>
      <c r="M312">
        <v>13</v>
      </c>
      <c r="N312">
        <v>15</v>
      </c>
      <c r="O312">
        <v>0</v>
      </c>
      <c r="P312">
        <v>0</v>
      </c>
      <c r="Q312" t="s">
        <v>538</v>
      </c>
      <c r="R312" t="s">
        <v>436</v>
      </c>
    </row>
    <row r="313" spans="1:18" x14ac:dyDescent="0.35">
      <c r="A313" t="s">
        <v>535</v>
      </c>
      <c r="B313" t="s">
        <v>536</v>
      </c>
      <c r="C313" t="s">
        <v>537</v>
      </c>
      <c r="D313" t="s">
        <v>495</v>
      </c>
      <c r="E313" t="s">
        <v>431</v>
      </c>
      <c r="F313" t="s">
        <v>452</v>
      </c>
      <c r="G313" t="s">
        <v>539</v>
      </c>
      <c r="H313" t="s">
        <v>539</v>
      </c>
      <c r="I313">
        <v>4</v>
      </c>
      <c r="J313">
        <v>4</v>
      </c>
      <c r="K313">
        <v>4</v>
      </c>
      <c r="L313">
        <v>4</v>
      </c>
      <c r="M313">
        <v>4</v>
      </c>
      <c r="N313">
        <v>4</v>
      </c>
      <c r="O313">
        <v>0</v>
      </c>
      <c r="P313">
        <v>0</v>
      </c>
      <c r="Q313" t="s">
        <v>538</v>
      </c>
      <c r="R313" t="s">
        <v>436</v>
      </c>
    </row>
    <row r="314" spans="1:18" x14ac:dyDescent="0.35">
      <c r="A314" t="s">
        <v>535</v>
      </c>
      <c r="B314" t="s">
        <v>536</v>
      </c>
      <c r="C314" t="s">
        <v>537</v>
      </c>
      <c r="D314" t="s">
        <v>495</v>
      </c>
      <c r="E314" t="s">
        <v>431</v>
      </c>
      <c r="F314" t="s">
        <v>459</v>
      </c>
      <c r="G314" t="s">
        <v>461</v>
      </c>
      <c r="H314" t="s">
        <v>461</v>
      </c>
      <c r="I314">
        <v>22</v>
      </c>
      <c r="J314">
        <v>28</v>
      </c>
      <c r="K314">
        <v>44</v>
      </c>
      <c r="L314">
        <v>60</v>
      </c>
      <c r="M314">
        <v>82</v>
      </c>
      <c r="N314">
        <v>95</v>
      </c>
      <c r="O314">
        <v>0</v>
      </c>
      <c r="P314">
        <v>0</v>
      </c>
      <c r="Q314" t="s">
        <v>538</v>
      </c>
      <c r="R314" t="s">
        <v>436</v>
      </c>
    </row>
    <row r="315" spans="1:18" x14ac:dyDescent="0.35">
      <c r="A315" t="s">
        <v>535</v>
      </c>
      <c r="B315" t="s">
        <v>536</v>
      </c>
      <c r="C315" t="s">
        <v>537</v>
      </c>
      <c r="D315" t="s">
        <v>495</v>
      </c>
      <c r="E315" t="s">
        <v>431</v>
      </c>
      <c r="F315" t="s">
        <v>468</v>
      </c>
      <c r="G315" t="s">
        <v>469</v>
      </c>
      <c r="H315" t="s">
        <v>469</v>
      </c>
      <c r="I315">
        <v>14</v>
      </c>
      <c r="J315">
        <v>17</v>
      </c>
      <c r="K315">
        <v>19</v>
      </c>
      <c r="L315">
        <v>22</v>
      </c>
      <c r="M315">
        <v>25</v>
      </c>
      <c r="N315">
        <v>28</v>
      </c>
      <c r="O315">
        <v>0</v>
      </c>
      <c r="P315">
        <v>0</v>
      </c>
      <c r="Q315" t="s">
        <v>538</v>
      </c>
      <c r="R315" t="s">
        <v>436</v>
      </c>
    </row>
    <row r="316" spans="1:18" x14ac:dyDescent="0.35">
      <c r="A316" t="s">
        <v>535</v>
      </c>
      <c r="B316" t="s">
        <v>536</v>
      </c>
      <c r="C316" t="s">
        <v>537</v>
      </c>
      <c r="D316" t="s">
        <v>495</v>
      </c>
      <c r="E316" t="s">
        <v>431</v>
      </c>
      <c r="F316" t="s">
        <v>441</v>
      </c>
      <c r="G316" t="s">
        <v>442</v>
      </c>
      <c r="H316" t="s">
        <v>442</v>
      </c>
      <c r="I316">
        <v>9</v>
      </c>
      <c r="J316">
        <v>11</v>
      </c>
      <c r="K316">
        <v>16</v>
      </c>
      <c r="L316">
        <v>21</v>
      </c>
      <c r="M316">
        <v>26</v>
      </c>
      <c r="N316">
        <v>31</v>
      </c>
      <c r="O316">
        <v>0</v>
      </c>
      <c r="P316">
        <v>0</v>
      </c>
      <c r="Q316" t="s">
        <v>538</v>
      </c>
      <c r="R316" t="s">
        <v>436</v>
      </c>
    </row>
    <row r="317" spans="1:18" x14ac:dyDescent="0.35">
      <c r="A317" t="s">
        <v>535</v>
      </c>
      <c r="B317" t="s">
        <v>536</v>
      </c>
      <c r="C317" t="s">
        <v>537</v>
      </c>
      <c r="D317" t="s">
        <v>495</v>
      </c>
      <c r="E317" t="s">
        <v>431</v>
      </c>
      <c r="F317" t="s">
        <v>481</v>
      </c>
      <c r="G317" t="s">
        <v>482</v>
      </c>
      <c r="H317" t="s">
        <v>482</v>
      </c>
      <c r="I317">
        <v>21</v>
      </c>
      <c r="J317">
        <v>24</v>
      </c>
      <c r="K317">
        <v>31</v>
      </c>
      <c r="L317">
        <v>38</v>
      </c>
      <c r="M317">
        <v>44</v>
      </c>
      <c r="N317">
        <v>51</v>
      </c>
      <c r="O317">
        <v>0</v>
      </c>
      <c r="P317">
        <v>0</v>
      </c>
      <c r="Q317" t="s">
        <v>538</v>
      </c>
      <c r="R317" t="s">
        <v>436</v>
      </c>
    </row>
    <row r="318" spans="1:18" x14ac:dyDescent="0.35">
      <c r="A318" t="s">
        <v>535</v>
      </c>
      <c r="B318" t="s">
        <v>536</v>
      </c>
      <c r="C318" t="s">
        <v>537</v>
      </c>
      <c r="D318" t="s">
        <v>495</v>
      </c>
      <c r="E318" t="s">
        <v>431</v>
      </c>
      <c r="F318" t="s">
        <v>480</v>
      </c>
      <c r="G318" t="s">
        <v>480</v>
      </c>
      <c r="H318" t="s">
        <v>480</v>
      </c>
      <c r="I318">
        <v>36</v>
      </c>
      <c r="J318">
        <v>38</v>
      </c>
      <c r="K318">
        <v>43</v>
      </c>
      <c r="L318">
        <v>48</v>
      </c>
      <c r="M318">
        <v>54</v>
      </c>
      <c r="N318">
        <v>65</v>
      </c>
      <c r="O318">
        <v>0</v>
      </c>
      <c r="P318">
        <v>0</v>
      </c>
      <c r="Q318" t="s">
        <v>538</v>
      </c>
      <c r="R318" t="s">
        <v>436</v>
      </c>
    </row>
    <row r="319" spans="1:18" x14ac:dyDescent="0.35">
      <c r="A319" t="s">
        <v>535</v>
      </c>
      <c r="B319" t="s">
        <v>536</v>
      </c>
      <c r="C319" t="s">
        <v>537</v>
      </c>
      <c r="D319" t="s">
        <v>495</v>
      </c>
      <c r="E319" t="s">
        <v>431</v>
      </c>
      <c r="F319" t="s">
        <v>432</v>
      </c>
      <c r="G319" t="s">
        <v>434</v>
      </c>
      <c r="H319" t="s">
        <v>434</v>
      </c>
      <c r="I319">
        <v>11</v>
      </c>
      <c r="J319">
        <v>13</v>
      </c>
      <c r="K319">
        <v>18</v>
      </c>
      <c r="L319">
        <v>23</v>
      </c>
      <c r="M319">
        <v>28</v>
      </c>
      <c r="N319">
        <v>33</v>
      </c>
      <c r="O319">
        <v>0</v>
      </c>
      <c r="P319">
        <v>0</v>
      </c>
      <c r="Q319" t="s">
        <v>538</v>
      </c>
      <c r="R319" t="s">
        <v>436</v>
      </c>
    </row>
    <row r="320" spans="1:18" x14ac:dyDescent="0.35">
      <c r="A320" t="s">
        <v>535</v>
      </c>
      <c r="B320" t="s">
        <v>536</v>
      </c>
      <c r="C320" t="s">
        <v>537</v>
      </c>
      <c r="D320" t="s">
        <v>495</v>
      </c>
      <c r="E320" t="s">
        <v>431</v>
      </c>
      <c r="F320" t="s">
        <v>477</v>
      </c>
      <c r="G320" t="s">
        <v>477</v>
      </c>
      <c r="H320" t="s">
        <v>477</v>
      </c>
      <c r="I320">
        <v>31</v>
      </c>
      <c r="J320">
        <v>31</v>
      </c>
      <c r="K320">
        <v>31</v>
      </c>
      <c r="L320">
        <v>31</v>
      </c>
      <c r="M320">
        <v>31</v>
      </c>
      <c r="N320">
        <v>31</v>
      </c>
      <c r="O320">
        <v>0</v>
      </c>
      <c r="P320">
        <v>0</v>
      </c>
      <c r="Q320" t="s">
        <v>538</v>
      </c>
      <c r="R320" t="s">
        <v>436</v>
      </c>
    </row>
    <row r="321" spans="1:18" x14ac:dyDescent="0.35">
      <c r="A321" t="s">
        <v>535</v>
      </c>
      <c r="B321" t="s">
        <v>536</v>
      </c>
      <c r="C321" t="s">
        <v>537</v>
      </c>
      <c r="D321" t="s">
        <v>495</v>
      </c>
      <c r="E321" t="s">
        <v>431</v>
      </c>
      <c r="F321" t="s">
        <v>464</v>
      </c>
      <c r="G321" t="s">
        <v>465</v>
      </c>
      <c r="H321" t="s">
        <v>465</v>
      </c>
      <c r="I321">
        <v>12</v>
      </c>
      <c r="J321">
        <v>12</v>
      </c>
      <c r="K321">
        <v>12</v>
      </c>
      <c r="L321">
        <v>12</v>
      </c>
      <c r="M321">
        <v>12</v>
      </c>
      <c r="N321">
        <v>12</v>
      </c>
      <c r="O321">
        <v>0</v>
      </c>
      <c r="P321">
        <v>0</v>
      </c>
      <c r="Q321" t="s">
        <v>538</v>
      </c>
      <c r="R321" t="s">
        <v>436</v>
      </c>
    </row>
    <row r="322" spans="1:18" x14ac:dyDescent="0.35">
      <c r="A322" t="s">
        <v>535</v>
      </c>
      <c r="B322" t="s">
        <v>536</v>
      </c>
      <c r="C322" t="s">
        <v>537</v>
      </c>
      <c r="D322" t="s">
        <v>495</v>
      </c>
      <c r="E322" t="s">
        <v>431</v>
      </c>
      <c r="F322" t="s">
        <v>462</v>
      </c>
      <c r="G322" t="s">
        <v>463</v>
      </c>
      <c r="H322" t="s">
        <v>463</v>
      </c>
      <c r="I322">
        <v>11</v>
      </c>
      <c r="J322">
        <v>11</v>
      </c>
      <c r="K322">
        <v>11</v>
      </c>
      <c r="L322">
        <v>11</v>
      </c>
      <c r="M322">
        <v>11</v>
      </c>
      <c r="N322">
        <v>11</v>
      </c>
      <c r="O322">
        <v>0</v>
      </c>
      <c r="P322">
        <v>0</v>
      </c>
      <c r="Q322" t="s">
        <v>538</v>
      </c>
      <c r="R322" t="s">
        <v>436</v>
      </c>
    </row>
    <row r="323" spans="1:18" x14ac:dyDescent="0.35">
      <c r="A323" t="s">
        <v>540</v>
      </c>
      <c r="B323" t="s">
        <v>541</v>
      </c>
      <c r="C323" t="s">
        <v>494</v>
      </c>
      <c r="D323" t="s">
        <v>495</v>
      </c>
      <c r="E323" t="s">
        <v>431</v>
      </c>
      <c r="F323" t="s">
        <v>468</v>
      </c>
      <c r="G323" t="s">
        <v>472</v>
      </c>
      <c r="H323" t="s">
        <v>472</v>
      </c>
      <c r="I323">
        <v>18</v>
      </c>
      <c r="J323">
        <v>22</v>
      </c>
      <c r="K323">
        <v>23</v>
      </c>
      <c r="L323">
        <v>25</v>
      </c>
      <c r="M323">
        <v>27</v>
      </c>
      <c r="N323">
        <v>29</v>
      </c>
      <c r="O323">
        <v>31</v>
      </c>
      <c r="P323">
        <v>0</v>
      </c>
      <c r="Q323" t="s">
        <v>542</v>
      </c>
      <c r="R323" t="s">
        <v>436</v>
      </c>
    </row>
    <row r="324" spans="1:18" x14ac:dyDescent="0.35">
      <c r="A324" t="s">
        <v>540</v>
      </c>
      <c r="B324" t="s">
        <v>541</v>
      </c>
      <c r="C324" t="s">
        <v>494</v>
      </c>
      <c r="D324" t="s">
        <v>495</v>
      </c>
      <c r="E324" t="s">
        <v>431</v>
      </c>
      <c r="F324" t="s">
        <v>468</v>
      </c>
      <c r="G324" t="s">
        <v>543</v>
      </c>
      <c r="H324" t="s">
        <v>543</v>
      </c>
      <c r="I324">
        <v>33</v>
      </c>
      <c r="J324">
        <v>39</v>
      </c>
      <c r="K324">
        <v>42</v>
      </c>
      <c r="L324">
        <v>45</v>
      </c>
      <c r="M324">
        <v>48</v>
      </c>
      <c r="N324">
        <v>51</v>
      </c>
      <c r="O324">
        <v>57</v>
      </c>
      <c r="P324">
        <v>0</v>
      </c>
      <c r="Q324" t="s">
        <v>542</v>
      </c>
      <c r="R324" t="s">
        <v>436</v>
      </c>
    </row>
    <row r="325" spans="1:18" x14ac:dyDescent="0.35">
      <c r="A325" t="s">
        <v>540</v>
      </c>
      <c r="B325" t="s">
        <v>541</v>
      </c>
      <c r="C325" t="s">
        <v>494</v>
      </c>
      <c r="D325" t="s">
        <v>495</v>
      </c>
      <c r="E325" t="s">
        <v>431</v>
      </c>
      <c r="F325" t="s">
        <v>468</v>
      </c>
      <c r="G325" t="s">
        <v>469</v>
      </c>
      <c r="H325" t="s">
        <v>469</v>
      </c>
      <c r="I325">
        <v>13</v>
      </c>
      <c r="J325">
        <v>15</v>
      </c>
      <c r="K325">
        <v>19</v>
      </c>
      <c r="L325">
        <v>22</v>
      </c>
      <c r="M325">
        <v>26</v>
      </c>
      <c r="N325">
        <v>29</v>
      </c>
      <c r="O325">
        <v>32</v>
      </c>
      <c r="P325">
        <v>0</v>
      </c>
      <c r="Q325" t="s">
        <v>542</v>
      </c>
      <c r="R325" t="s">
        <v>436</v>
      </c>
    </row>
    <row r="326" spans="1:18" x14ac:dyDescent="0.35">
      <c r="A326" t="s">
        <v>540</v>
      </c>
      <c r="B326" t="s">
        <v>541</v>
      </c>
      <c r="C326" t="s">
        <v>494</v>
      </c>
      <c r="D326" t="s">
        <v>495</v>
      </c>
      <c r="E326" t="s">
        <v>431</v>
      </c>
      <c r="F326" t="s">
        <v>468</v>
      </c>
      <c r="G326" t="s">
        <v>471</v>
      </c>
      <c r="H326" t="s">
        <v>471</v>
      </c>
      <c r="I326">
        <v>12</v>
      </c>
      <c r="J326">
        <v>14</v>
      </c>
      <c r="K326">
        <v>16</v>
      </c>
      <c r="L326">
        <v>19</v>
      </c>
      <c r="M326">
        <v>22</v>
      </c>
      <c r="N326">
        <v>24</v>
      </c>
      <c r="O326">
        <v>26</v>
      </c>
      <c r="P326">
        <v>0</v>
      </c>
      <c r="Q326" t="s">
        <v>542</v>
      </c>
      <c r="R326" t="s">
        <v>436</v>
      </c>
    </row>
    <row r="327" spans="1:18" x14ac:dyDescent="0.35">
      <c r="A327" t="s">
        <v>540</v>
      </c>
      <c r="B327" t="s">
        <v>541</v>
      </c>
      <c r="C327" t="s">
        <v>494</v>
      </c>
      <c r="D327" t="s">
        <v>495</v>
      </c>
      <c r="E327" t="s">
        <v>431</v>
      </c>
      <c r="F327" t="s">
        <v>441</v>
      </c>
      <c r="G327" t="s">
        <v>444</v>
      </c>
      <c r="H327" t="s">
        <v>444</v>
      </c>
      <c r="I327">
        <v>4</v>
      </c>
      <c r="J327">
        <v>5</v>
      </c>
      <c r="K327">
        <v>7</v>
      </c>
      <c r="L327">
        <v>9</v>
      </c>
      <c r="M327">
        <v>11</v>
      </c>
      <c r="N327">
        <v>14</v>
      </c>
      <c r="O327">
        <v>16</v>
      </c>
      <c r="P327">
        <v>0</v>
      </c>
      <c r="Q327" t="s">
        <v>542</v>
      </c>
      <c r="R327" t="s">
        <v>436</v>
      </c>
    </row>
    <row r="328" spans="1:18" x14ac:dyDescent="0.35">
      <c r="A328" t="s">
        <v>540</v>
      </c>
      <c r="B328" t="s">
        <v>541</v>
      </c>
      <c r="C328" t="s">
        <v>494</v>
      </c>
      <c r="D328" t="s">
        <v>495</v>
      </c>
      <c r="E328" t="s">
        <v>431</v>
      </c>
      <c r="F328" t="s">
        <v>441</v>
      </c>
      <c r="G328" t="s">
        <v>544</v>
      </c>
      <c r="H328" t="s">
        <v>544</v>
      </c>
      <c r="I328">
        <v>6</v>
      </c>
      <c r="J328">
        <v>9</v>
      </c>
      <c r="K328">
        <v>12</v>
      </c>
      <c r="L328">
        <v>15</v>
      </c>
      <c r="M328">
        <v>21</v>
      </c>
      <c r="N328">
        <v>27</v>
      </c>
      <c r="O328">
        <v>30</v>
      </c>
      <c r="P328">
        <v>0</v>
      </c>
      <c r="Q328" t="s">
        <v>542</v>
      </c>
      <c r="R328" t="s">
        <v>436</v>
      </c>
    </row>
    <row r="329" spans="1:18" x14ac:dyDescent="0.35">
      <c r="A329" t="s">
        <v>540</v>
      </c>
      <c r="B329" t="s">
        <v>541</v>
      </c>
      <c r="C329" t="s">
        <v>494</v>
      </c>
      <c r="D329" t="s">
        <v>495</v>
      </c>
      <c r="E329" t="s">
        <v>431</v>
      </c>
      <c r="F329" t="s">
        <v>441</v>
      </c>
      <c r="G329" t="s">
        <v>442</v>
      </c>
      <c r="H329" t="s">
        <v>442</v>
      </c>
      <c r="I329">
        <v>7</v>
      </c>
      <c r="J329">
        <v>8</v>
      </c>
      <c r="K329">
        <v>12</v>
      </c>
      <c r="L329">
        <v>15</v>
      </c>
      <c r="M329">
        <v>19</v>
      </c>
      <c r="N329">
        <v>22</v>
      </c>
      <c r="O329">
        <v>24</v>
      </c>
      <c r="P329">
        <v>0</v>
      </c>
      <c r="Q329" t="s">
        <v>542</v>
      </c>
      <c r="R329" t="s">
        <v>436</v>
      </c>
    </row>
    <row r="330" spans="1:18" x14ac:dyDescent="0.35">
      <c r="A330" t="s">
        <v>540</v>
      </c>
      <c r="B330" t="s">
        <v>541</v>
      </c>
      <c r="C330" t="s">
        <v>494</v>
      </c>
      <c r="D330" t="s">
        <v>495</v>
      </c>
      <c r="E330" t="s">
        <v>431</v>
      </c>
      <c r="F330" t="s">
        <v>459</v>
      </c>
      <c r="G330" t="s">
        <v>545</v>
      </c>
      <c r="H330" t="s">
        <v>461</v>
      </c>
      <c r="I330">
        <v>22</v>
      </c>
      <c r="J330">
        <v>26</v>
      </c>
      <c r="K330">
        <v>36</v>
      </c>
      <c r="L330">
        <v>46</v>
      </c>
      <c r="M330">
        <v>56</v>
      </c>
      <c r="N330">
        <v>66</v>
      </c>
      <c r="O330">
        <v>72</v>
      </c>
      <c r="P330">
        <v>0</v>
      </c>
      <c r="Q330" t="s">
        <v>542</v>
      </c>
      <c r="R330" t="s">
        <v>436</v>
      </c>
    </row>
    <row r="331" spans="1:18" x14ac:dyDescent="0.35">
      <c r="A331" t="s">
        <v>540</v>
      </c>
      <c r="B331" t="s">
        <v>541</v>
      </c>
      <c r="C331" t="s">
        <v>494</v>
      </c>
      <c r="D331" t="s">
        <v>495</v>
      </c>
      <c r="E331" t="s">
        <v>431</v>
      </c>
      <c r="F331" t="s">
        <v>459</v>
      </c>
      <c r="G331" t="s">
        <v>546</v>
      </c>
      <c r="H331" t="s">
        <v>546</v>
      </c>
      <c r="I331">
        <v>24</v>
      </c>
      <c r="J331">
        <v>30</v>
      </c>
      <c r="K331">
        <v>45</v>
      </c>
      <c r="L331">
        <v>60</v>
      </c>
      <c r="M331">
        <v>75</v>
      </c>
      <c r="N331">
        <v>91</v>
      </c>
      <c r="O331">
        <v>99</v>
      </c>
      <c r="P331">
        <v>0</v>
      </c>
      <c r="Q331" t="s">
        <v>542</v>
      </c>
      <c r="R331" t="s">
        <v>436</v>
      </c>
    </row>
    <row r="332" spans="1:18" x14ac:dyDescent="0.35">
      <c r="A332" t="s">
        <v>540</v>
      </c>
      <c r="B332" t="s">
        <v>541</v>
      </c>
      <c r="C332" t="s">
        <v>494</v>
      </c>
      <c r="D332" t="s">
        <v>495</v>
      </c>
      <c r="E332" t="s">
        <v>431</v>
      </c>
      <c r="F332" t="s">
        <v>432</v>
      </c>
      <c r="G332" t="s">
        <v>434</v>
      </c>
      <c r="H332" t="s">
        <v>434</v>
      </c>
      <c r="I332">
        <v>12</v>
      </c>
      <c r="J332">
        <v>14</v>
      </c>
      <c r="K332">
        <v>19</v>
      </c>
      <c r="L332">
        <v>24</v>
      </c>
      <c r="M332">
        <v>29</v>
      </c>
      <c r="N332">
        <v>34</v>
      </c>
      <c r="O332">
        <v>37</v>
      </c>
      <c r="P332">
        <v>0</v>
      </c>
      <c r="Q332" t="s">
        <v>542</v>
      </c>
      <c r="R332" t="s">
        <v>436</v>
      </c>
    </row>
    <row r="333" spans="1:18" x14ac:dyDescent="0.35">
      <c r="A333" t="s">
        <v>540</v>
      </c>
      <c r="B333" t="s">
        <v>541</v>
      </c>
      <c r="C333" t="s">
        <v>494</v>
      </c>
      <c r="D333" t="s">
        <v>495</v>
      </c>
      <c r="E333" t="s">
        <v>431</v>
      </c>
      <c r="F333" t="s">
        <v>481</v>
      </c>
      <c r="G333" t="s">
        <v>483</v>
      </c>
      <c r="H333" t="s">
        <v>483</v>
      </c>
      <c r="I333">
        <v>9</v>
      </c>
      <c r="J333">
        <v>11</v>
      </c>
      <c r="K333">
        <v>14</v>
      </c>
      <c r="L333">
        <v>20</v>
      </c>
      <c r="M333">
        <v>23</v>
      </c>
      <c r="N333">
        <v>29</v>
      </c>
      <c r="O333">
        <v>31</v>
      </c>
      <c r="P333">
        <v>0</v>
      </c>
      <c r="Q333" t="s">
        <v>542</v>
      </c>
      <c r="R333" t="s">
        <v>436</v>
      </c>
    </row>
    <row r="334" spans="1:18" x14ac:dyDescent="0.35">
      <c r="A334" t="s">
        <v>540</v>
      </c>
      <c r="B334" t="s">
        <v>541</v>
      </c>
      <c r="C334" t="s">
        <v>494</v>
      </c>
      <c r="D334" t="s">
        <v>495</v>
      </c>
      <c r="E334" t="s">
        <v>431</v>
      </c>
      <c r="F334" t="s">
        <v>481</v>
      </c>
      <c r="G334" t="s">
        <v>547</v>
      </c>
      <c r="H334" t="s">
        <v>547</v>
      </c>
      <c r="I334">
        <v>15</v>
      </c>
      <c r="J334">
        <v>21</v>
      </c>
      <c r="K334">
        <v>27</v>
      </c>
      <c r="L334">
        <v>36</v>
      </c>
      <c r="M334">
        <v>42</v>
      </c>
      <c r="N334">
        <v>51</v>
      </c>
      <c r="O334">
        <v>57</v>
      </c>
      <c r="P334">
        <v>0</v>
      </c>
      <c r="Q334" t="s">
        <v>542</v>
      </c>
      <c r="R334" t="s">
        <v>436</v>
      </c>
    </row>
    <row r="335" spans="1:18" x14ac:dyDescent="0.35">
      <c r="A335" t="s">
        <v>540</v>
      </c>
      <c r="B335" t="s">
        <v>541</v>
      </c>
      <c r="C335" t="s">
        <v>494</v>
      </c>
      <c r="D335" t="s">
        <v>495</v>
      </c>
      <c r="E335" t="s">
        <v>431</v>
      </c>
      <c r="F335" t="s">
        <v>481</v>
      </c>
      <c r="G335" t="s">
        <v>482</v>
      </c>
      <c r="H335" t="s">
        <v>482</v>
      </c>
      <c r="I335">
        <v>15</v>
      </c>
      <c r="J335">
        <v>18</v>
      </c>
      <c r="K335">
        <v>23</v>
      </c>
      <c r="L335">
        <v>28</v>
      </c>
      <c r="M335">
        <v>33</v>
      </c>
      <c r="N335">
        <v>38</v>
      </c>
      <c r="O335">
        <v>41</v>
      </c>
      <c r="P335">
        <v>0</v>
      </c>
      <c r="Q335" t="s">
        <v>542</v>
      </c>
      <c r="R335" t="s">
        <v>436</v>
      </c>
    </row>
    <row r="336" spans="1:18" x14ac:dyDescent="0.35">
      <c r="A336" t="s">
        <v>540</v>
      </c>
      <c r="B336" t="s">
        <v>541</v>
      </c>
      <c r="C336" t="s">
        <v>494</v>
      </c>
      <c r="D336" t="s">
        <v>495</v>
      </c>
      <c r="E336" t="s">
        <v>431</v>
      </c>
      <c r="F336" t="s">
        <v>480</v>
      </c>
      <c r="G336" t="s">
        <v>480</v>
      </c>
      <c r="H336" t="s">
        <v>480</v>
      </c>
      <c r="I336">
        <v>28</v>
      </c>
      <c r="J336">
        <v>29</v>
      </c>
      <c r="K336">
        <v>31</v>
      </c>
      <c r="L336">
        <v>34</v>
      </c>
      <c r="M336">
        <v>37</v>
      </c>
      <c r="N336">
        <v>40</v>
      </c>
      <c r="O336">
        <v>42</v>
      </c>
      <c r="P336">
        <v>0</v>
      </c>
      <c r="Q336" t="s">
        <v>542</v>
      </c>
      <c r="R336" t="s">
        <v>436</v>
      </c>
    </row>
    <row r="337" spans="1:18" x14ac:dyDescent="0.35">
      <c r="A337" t="s">
        <v>540</v>
      </c>
      <c r="B337" t="s">
        <v>541</v>
      </c>
      <c r="C337" t="s">
        <v>494</v>
      </c>
      <c r="D337" t="s">
        <v>495</v>
      </c>
      <c r="E337" t="s">
        <v>431</v>
      </c>
      <c r="F337" t="s">
        <v>466</v>
      </c>
      <c r="G337" t="s">
        <v>466</v>
      </c>
      <c r="H337" t="s">
        <v>466</v>
      </c>
      <c r="I337">
        <v>35</v>
      </c>
      <c r="J337">
        <v>35</v>
      </c>
      <c r="K337">
        <v>35</v>
      </c>
      <c r="L337">
        <v>35</v>
      </c>
      <c r="M337">
        <v>35</v>
      </c>
      <c r="N337">
        <v>35</v>
      </c>
      <c r="O337">
        <v>35</v>
      </c>
      <c r="P337">
        <v>0</v>
      </c>
      <c r="Q337" t="s">
        <v>542</v>
      </c>
      <c r="R337" t="s">
        <v>436</v>
      </c>
    </row>
    <row r="338" spans="1:18" x14ac:dyDescent="0.35">
      <c r="A338" t="s">
        <v>540</v>
      </c>
      <c r="B338" t="s">
        <v>541</v>
      </c>
      <c r="C338" t="s">
        <v>494</v>
      </c>
      <c r="D338" t="s">
        <v>495</v>
      </c>
      <c r="E338" t="s">
        <v>431</v>
      </c>
      <c r="F338" t="s">
        <v>477</v>
      </c>
      <c r="G338" t="s">
        <v>477</v>
      </c>
      <c r="H338" t="s">
        <v>477</v>
      </c>
      <c r="I338">
        <v>33</v>
      </c>
      <c r="J338">
        <v>33</v>
      </c>
      <c r="K338">
        <v>33</v>
      </c>
      <c r="L338">
        <v>33</v>
      </c>
      <c r="M338">
        <v>33</v>
      </c>
      <c r="N338">
        <v>33</v>
      </c>
      <c r="O338">
        <v>33</v>
      </c>
      <c r="P338">
        <v>0</v>
      </c>
      <c r="Q338" t="s">
        <v>542</v>
      </c>
      <c r="R338" t="s">
        <v>436</v>
      </c>
    </row>
    <row r="339" spans="1:18" x14ac:dyDescent="0.35">
      <c r="A339" t="s">
        <v>540</v>
      </c>
      <c r="B339" t="s">
        <v>541</v>
      </c>
      <c r="C339" t="s">
        <v>494</v>
      </c>
      <c r="D339" t="s">
        <v>495</v>
      </c>
      <c r="E339" t="s">
        <v>431</v>
      </c>
      <c r="F339" t="s">
        <v>452</v>
      </c>
      <c r="G339" t="s">
        <v>548</v>
      </c>
      <c r="H339" t="s">
        <v>548</v>
      </c>
      <c r="I339">
        <v>28</v>
      </c>
      <c r="J339">
        <v>28</v>
      </c>
      <c r="K339">
        <v>28</v>
      </c>
      <c r="L339">
        <v>28</v>
      </c>
      <c r="M339">
        <v>28</v>
      </c>
      <c r="N339">
        <v>28</v>
      </c>
      <c r="O339">
        <v>28</v>
      </c>
      <c r="P339">
        <v>0</v>
      </c>
      <c r="Q339" t="s">
        <v>542</v>
      </c>
      <c r="R339" t="s">
        <v>436</v>
      </c>
    </row>
    <row r="340" spans="1:18" x14ac:dyDescent="0.35">
      <c r="A340" t="s">
        <v>540</v>
      </c>
      <c r="B340" t="s">
        <v>541</v>
      </c>
      <c r="C340" t="s">
        <v>494</v>
      </c>
      <c r="D340" t="s">
        <v>495</v>
      </c>
      <c r="E340" t="s">
        <v>431</v>
      </c>
      <c r="F340" t="s">
        <v>452</v>
      </c>
      <c r="G340" t="s">
        <v>549</v>
      </c>
      <c r="H340" t="s">
        <v>549</v>
      </c>
      <c r="I340">
        <v>5</v>
      </c>
      <c r="J340">
        <v>5</v>
      </c>
      <c r="K340">
        <v>5</v>
      </c>
      <c r="L340">
        <v>5</v>
      </c>
      <c r="M340">
        <v>5</v>
      </c>
      <c r="N340">
        <v>5</v>
      </c>
      <c r="O340">
        <v>5</v>
      </c>
      <c r="P340">
        <v>0</v>
      </c>
      <c r="Q340" t="s">
        <v>542</v>
      </c>
      <c r="R340" t="s">
        <v>436</v>
      </c>
    </row>
    <row r="341" spans="1:18" x14ac:dyDescent="0.35">
      <c r="A341" t="s">
        <v>540</v>
      </c>
      <c r="B341" t="s">
        <v>541</v>
      </c>
      <c r="C341" t="s">
        <v>494</v>
      </c>
      <c r="D341" t="s">
        <v>495</v>
      </c>
      <c r="E341" t="s">
        <v>431</v>
      </c>
      <c r="F341" t="s">
        <v>452</v>
      </c>
      <c r="G341" t="s">
        <v>550</v>
      </c>
      <c r="H341" t="s">
        <v>550</v>
      </c>
      <c r="I341">
        <v>45</v>
      </c>
      <c r="J341">
        <v>45</v>
      </c>
      <c r="K341">
        <v>45</v>
      </c>
      <c r="L341">
        <v>45</v>
      </c>
      <c r="M341">
        <v>45</v>
      </c>
      <c r="N341">
        <v>45</v>
      </c>
      <c r="O341">
        <v>45</v>
      </c>
      <c r="P341">
        <v>0</v>
      </c>
      <c r="Q341" t="s">
        <v>542</v>
      </c>
      <c r="R341" t="s">
        <v>436</v>
      </c>
    </row>
    <row r="342" spans="1:18" x14ac:dyDescent="0.35">
      <c r="A342" t="s">
        <v>540</v>
      </c>
      <c r="B342" t="s">
        <v>541</v>
      </c>
      <c r="C342" t="s">
        <v>494</v>
      </c>
      <c r="D342" t="s">
        <v>495</v>
      </c>
      <c r="E342" t="s">
        <v>431</v>
      </c>
      <c r="F342" t="s">
        <v>462</v>
      </c>
      <c r="G342" t="s">
        <v>463</v>
      </c>
      <c r="H342" t="s">
        <v>463</v>
      </c>
      <c r="I342">
        <v>11</v>
      </c>
      <c r="J342">
        <v>11</v>
      </c>
      <c r="K342">
        <v>11</v>
      </c>
      <c r="L342">
        <v>11</v>
      </c>
      <c r="M342">
        <v>11</v>
      </c>
      <c r="N342">
        <v>11</v>
      </c>
      <c r="O342">
        <v>11</v>
      </c>
      <c r="P342">
        <v>0</v>
      </c>
      <c r="Q342" t="s">
        <v>542</v>
      </c>
      <c r="R342" t="s">
        <v>436</v>
      </c>
    </row>
    <row r="343" spans="1:18" x14ac:dyDescent="0.35">
      <c r="A343" t="s">
        <v>540</v>
      </c>
      <c r="B343" t="s">
        <v>541</v>
      </c>
      <c r="C343" t="s">
        <v>494</v>
      </c>
      <c r="D343" t="s">
        <v>495</v>
      </c>
      <c r="E343" t="s">
        <v>431</v>
      </c>
      <c r="F343" t="s">
        <v>464</v>
      </c>
      <c r="G343" t="s">
        <v>465</v>
      </c>
      <c r="H343" t="s">
        <v>465</v>
      </c>
      <c r="I343">
        <v>12</v>
      </c>
      <c r="J343">
        <v>12</v>
      </c>
      <c r="K343">
        <v>12</v>
      </c>
      <c r="L343">
        <v>12</v>
      </c>
      <c r="M343">
        <v>12</v>
      </c>
      <c r="N343">
        <v>12</v>
      </c>
      <c r="O343">
        <v>12</v>
      </c>
      <c r="P343">
        <v>0</v>
      </c>
      <c r="Q343" t="s">
        <v>542</v>
      </c>
      <c r="R343" t="s">
        <v>436</v>
      </c>
    </row>
    <row r="344" spans="1:18" x14ac:dyDescent="0.35">
      <c r="A344" t="s">
        <v>516</v>
      </c>
      <c r="B344" t="s">
        <v>344</v>
      </c>
      <c r="C344" t="s">
        <v>517</v>
      </c>
      <c r="D344" t="s">
        <v>551</v>
      </c>
      <c r="E344" t="s">
        <v>431</v>
      </c>
      <c r="F344" t="s">
        <v>468</v>
      </c>
      <c r="G344" t="s">
        <v>472</v>
      </c>
      <c r="H344" t="s">
        <v>472</v>
      </c>
      <c r="I344">
        <v>5</v>
      </c>
      <c r="J344">
        <v>7</v>
      </c>
      <c r="K344">
        <v>10</v>
      </c>
      <c r="L344">
        <v>12</v>
      </c>
      <c r="M344">
        <v>15</v>
      </c>
      <c r="N344">
        <v>17</v>
      </c>
      <c r="O344">
        <v>19</v>
      </c>
      <c r="P344">
        <v>21</v>
      </c>
      <c r="Q344" t="s">
        <v>552</v>
      </c>
      <c r="R344" t="s">
        <v>436</v>
      </c>
    </row>
    <row r="345" spans="1:18" x14ac:dyDescent="0.35">
      <c r="A345" t="s">
        <v>516</v>
      </c>
      <c r="B345" t="s">
        <v>344</v>
      </c>
      <c r="C345" t="s">
        <v>517</v>
      </c>
      <c r="D345" t="s">
        <v>551</v>
      </c>
      <c r="E345" t="s">
        <v>431</v>
      </c>
      <c r="F345" t="s">
        <v>468</v>
      </c>
      <c r="G345" t="s">
        <v>469</v>
      </c>
      <c r="H345" t="s">
        <v>469</v>
      </c>
      <c r="I345">
        <v>15</v>
      </c>
      <c r="J345">
        <v>21</v>
      </c>
      <c r="K345">
        <v>26</v>
      </c>
      <c r="L345">
        <v>32</v>
      </c>
      <c r="M345">
        <v>41</v>
      </c>
      <c r="N345">
        <v>47</v>
      </c>
      <c r="O345">
        <v>53</v>
      </c>
      <c r="P345">
        <v>59</v>
      </c>
      <c r="Q345" t="s">
        <v>552</v>
      </c>
      <c r="R345" t="s">
        <v>436</v>
      </c>
    </row>
    <row r="346" spans="1:18" x14ac:dyDescent="0.35">
      <c r="A346" t="s">
        <v>516</v>
      </c>
      <c r="B346" t="s">
        <v>344</v>
      </c>
      <c r="C346" t="s">
        <v>517</v>
      </c>
      <c r="D346" t="s">
        <v>551</v>
      </c>
      <c r="E346" t="s">
        <v>431</v>
      </c>
      <c r="F346" t="s">
        <v>468</v>
      </c>
      <c r="G346" t="s">
        <v>471</v>
      </c>
      <c r="H346" t="s">
        <v>471</v>
      </c>
      <c r="I346">
        <v>6</v>
      </c>
      <c r="J346">
        <v>8</v>
      </c>
      <c r="K346">
        <v>10</v>
      </c>
      <c r="L346">
        <v>12</v>
      </c>
      <c r="M346">
        <v>16</v>
      </c>
      <c r="N346">
        <v>18</v>
      </c>
      <c r="O346">
        <v>20</v>
      </c>
      <c r="P346">
        <v>23</v>
      </c>
      <c r="Q346" t="s">
        <v>552</v>
      </c>
      <c r="R346" t="s">
        <v>436</v>
      </c>
    </row>
    <row r="347" spans="1:18" x14ac:dyDescent="0.35">
      <c r="A347" t="s">
        <v>516</v>
      </c>
      <c r="B347" t="s">
        <v>344</v>
      </c>
      <c r="C347" t="s">
        <v>517</v>
      </c>
      <c r="D347" t="s">
        <v>551</v>
      </c>
      <c r="E347" t="s">
        <v>431</v>
      </c>
      <c r="F347" t="s">
        <v>441</v>
      </c>
      <c r="G347" t="s">
        <v>444</v>
      </c>
      <c r="H347" t="s">
        <v>444</v>
      </c>
      <c r="I347">
        <v>6</v>
      </c>
      <c r="J347">
        <v>8</v>
      </c>
      <c r="K347">
        <v>10</v>
      </c>
      <c r="L347">
        <v>13</v>
      </c>
      <c r="M347">
        <v>16</v>
      </c>
      <c r="N347">
        <v>18</v>
      </c>
      <c r="O347">
        <v>21</v>
      </c>
      <c r="P347">
        <v>23</v>
      </c>
      <c r="Q347" t="s">
        <v>552</v>
      </c>
      <c r="R347" t="s">
        <v>436</v>
      </c>
    </row>
    <row r="348" spans="1:18" x14ac:dyDescent="0.35">
      <c r="A348" t="s">
        <v>516</v>
      </c>
      <c r="B348" t="s">
        <v>344</v>
      </c>
      <c r="C348" t="s">
        <v>517</v>
      </c>
      <c r="D348" t="s">
        <v>551</v>
      </c>
      <c r="E348" t="s">
        <v>431</v>
      </c>
      <c r="F348" t="s">
        <v>441</v>
      </c>
      <c r="G348" t="s">
        <v>442</v>
      </c>
      <c r="H348" t="s">
        <v>442</v>
      </c>
      <c r="I348">
        <v>20</v>
      </c>
      <c r="J348">
        <v>28</v>
      </c>
      <c r="K348">
        <v>36</v>
      </c>
      <c r="L348">
        <v>44</v>
      </c>
      <c r="M348">
        <v>56</v>
      </c>
      <c r="N348">
        <v>64</v>
      </c>
      <c r="O348">
        <v>72</v>
      </c>
      <c r="P348">
        <v>80</v>
      </c>
      <c r="Q348" t="s">
        <v>552</v>
      </c>
      <c r="R348" t="s">
        <v>436</v>
      </c>
    </row>
    <row r="349" spans="1:18" x14ac:dyDescent="0.35">
      <c r="A349" t="s">
        <v>516</v>
      </c>
      <c r="B349" t="s">
        <v>344</v>
      </c>
      <c r="C349" t="s">
        <v>517</v>
      </c>
      <c r="D349" t="s">
        <v>551</v>
      </c>
      <c r="E349" t="s">
        <v>431</v>
      </c>
      <c r="F349" t="s">
        <v>459</v>
      </c>
      <c r="G349" t="s">
        <v>461</v>
      </c>
      <c r="H349" t="s">
        <v>461</v>
      </c>
      <c r="I349">
        <v>56</v>
      </c>
      <c r="J349">
        <v>79</v>
      </c>
      <c r="K349">
        <v>101</v>
      </c>
      <c r="L349">
        <v>124</v>
      </c>
      <c r="M349">
        <v>158</v>
      </c>
      <c r="N349">
        <v>180</v>
      </c>
      <c r="O349">
        <v>203</v>
      </c>
      <c r="P349">
        <v>225</v>
      </c>
      <c r="Q349" t="s">
        <v>552</v>
      </c>
      <c r="R349" t="s">
        <v>436</v>
      </c>
    </row>
    <row r="350" spans="1:18" x14ac:dyDescent="0.35">
      <c r="A350" t="s">
        <v>516</v>
      </c>
      <c r="B350" t="s">
        <v>344</v>
      </c>
      <c r="C350" t="s">
        <v>517</v>
      </c>
      <c r="D350" t="s">
        <v>551</v>
      </c>
      <c r="E350" t="s">
        <v>431</v>
      </c>
      <c r="F350" t="s">
        <v>432</v>
      </c>
      <c r="G350" t="s">
        <v>434</v>
      </c>
      <c r="H350" t="s">
        <v>434</v>
      </c>
      <c r="I350">
        <v>3</v>
      </c>
      <c r="J350">
        <v>4</v>
      </c>
      <c r="K350">
        <v>5</v>
      </c>
      <c r="L350">
        <v>6</v>
      </c>
      <c r="M350">
        <v>7</v>
      </c>
      <c r="N350">
        <v>8</v>
      </c>
      <c r="O350">
        <v>9</v>
      </c>
      <c r="P350">
        <v>10</v>
      </c>
      <c r="Q350" t="s">
        <v>552</v>
      </c>
      <c r="R350" t="s">
        <v>436</v>
      </c>
    </row>
    <row r="351" spans="1:18" x14ac:dyDescent="0.35">
      <c r="A351" t="s">
        <v>516</v>
      </c>
      <c r="B351" t="s">
        <v>344</v>
      </c>
      <c r="C351" t="s">
        <v>517</v>
      </c>
      <c r="D351" t="s">
        <v>551</v>
      </c>
      <c r="E351" t="s">
        <v>431</v>
      </c>
      <c r="F351" t="s">
        <v>481</v>
      </c>
      <c r="G351" t="s">
        <v>483</v>
      </c>
      <c r="H351" t="s">
        <v>483</v>
      </c>
      <c r="I351">
        <v>16</v>
      </c>
      <c r="J351">
        <v>22</v>
      </c>
      <c r="K351">
        <v>28</v>
      </c>
      <c r="L351">
        <v>35</v>
      </c>
      <c r="M351">
        <v>44</v>
      </c>
      <c r="N351">
        <v>50</v>
      </c>
      <c r="O351">
        <v>57</v>
      </c>
      <c r="P351">
        <v>63</v>
      </c>
      <c r="Q351" t="s">
        <v>552</v>
      </c>
      <c r="R351" t="s">
        <v>436</v>
      </c>
    </row>
    <row r="352" spans="1:18" x14ac:dyDescent="0.35">
      <c r="A352" t="s">
        <v>516</v>
      </c>
      <c r="B352" t="s">
        <v>344</v>
      </c>
      <c r="C352" t="s">
        <v>517</v>
      </c>
      <c r="D352" t="s">
        <v>551</v>
      </c>
      <c r="E352" t="s">
        <v>431</v>
      </c>
      <c r="F352" t="s">
        <v>481</v>
      </c>
      <c r="G352" t="s">
        <v>482</v>
      </c>
      <c r="H352" t="s">
        <v>482</v>
      </c>
      <c r="I352">
        <v>52</v>
      </c>
      <c r="J352">
        <v>72</v>
      </c>
      <c r="K352">
        <v>93</v>
      </c>
      <c r="L352">
        <v>114</v>
      </c>
      <c r="M352">
        <v>145</v>
      </c>
      <c r="N352">
        <v>165</v>
      </c>
      <c r="O352">
        <v>186</v>
      </c>
      <c r="P352">
        <v>207</v>
      </c>
      <c r="Q352" t="s">
        <v>552</v>
      </c>
      <c r="R352" t="s">
        <v>436</v>
      </c>
    </row>
    <row r="353" spans="1:18" x14ac:dyDescent="0.35">
      <c r="A353" t="s">
        <v>516</v>
      </c>
      <c r="B353" t="s">
        <v>344</v>
      </c>
      <c r="C353" t="s">
        <v>517</v>
      </c>
      <c r="D353" t="s">
        <v>551</v>
      </c>
      <c r="E353" t="s">
        <v>431</v>
      </c>
      <c r="F353" t="s">
        <v>480</v>
      </c>
      <c r="G353" t="s">
        <v>480</v>
      </c>
      <c r="H353" t="s">
        <v>480</v>
      </c>
      <c r="I353">
        <v>46</v>
      </c>
      <c r="J353">
        <v>68</v>
      </c>
      <c r="K353">
        <v>86</v>
      </c>
      <c r="L353">
        <v>100</v>
      </c>
      <c r="M353">
        <v>114</v>
      </c>
      <c r="N353">
        <v>128</v>
      </c>
      <c r="O353">
        <v>146</v>
      </c>
      <c r="P353">
        <v>169</v>
      </c>
      <c r="Q353" t="s">
        <v>552</v>
      </c>
      <c r="R353" t="s">
        <v>436</v>
      </c>
    </row>
    <row r="354" spans="1:18" x14ac:dyDescent="0.35">
      <c r="A354" t="s">
        <v>516</v>
      </c>
      <c r="B354" t="s">
        <v>344</v>
      </c>
      <c r="C354" t="s">
        <v>517</v>
      </c>
      <c r="D354" t="s">
        <v>551</v>
      </c>
      <c r="E354" t="s">
        <v>431</v>
      </c>
      <c r="F354" t="s">
        <v>466</v>
      </c>
      <c r="G354" t="s">
        <v>466</v>
      </c>
      <c r="H354" t="s">
        <v>466</v>
      </c>
      <c r="I354">
        <v>50</v>
      </c>
      <c r="J354">
        <v>83</v>
      </c>
      <c r="K354">
        <v>110</v>
      </c>
      <c r="L354">
        <v>131</v>
      </c>
      <c r="M354">
        <v>151</v>
      </c>
      <c r="N354">
        <v>172</v>
      </c>
      <c r="O354">
        <v>198</v>
      </c>
      <c r="P354">
        <v>233</v>
      </c>
      <c r="Q354" t="s">
        <v>552</v>
      </c>
      <c r="R354" t="s">
        <v>436</v>
      </c>
    </row>
    <row r="355" spans="1:18" x14ac:dyDescent="0.35">
      <c r="A355" t="s">
        <v>516</v>
      </c>
      <c r="B355" t="s">
        <v>344</v>
      </c>
      <c r="C355" t="s">
        <v>517</v>
      </c>
      <c r="D355" t="s">
        <v>551</v>
      </c>
      <c r="E355" t="s">
        <v>431</v>
      </c>
      <c r="F355" t="s">
        <v>477</v>
      </c>
      <c r="G355" t="s">
        <v>477</v>
      </c>
      <c r="H355" t="s">
        <v>477</v>
      </c>
      <c r="I355">
        <v>48</v>
      </c>
      <c r="J355">
        <v>48</v>
      </c>
      <c r="K355">
        <v>48</v>
      </c>
      <c r="L355">
        <v>48</v>
      </c>
      <c r="M355">
        <v>48</v>
      </c>
      <c r="N355">
        <v>48</v>
      </c>
      <c r="O355">
        <v>48</v>
      </c>
      <c r="P355">
        <v>48</v>
      </c>
      <c r="Q355" t="s">
        <v>552</v>
      </c>
      <c r="R355" t="s">
        <v>436</v>
      </c>
    </row>
    <row r="356" spans="1:18" x14ac:dyDescent="0.35">
      <c r="A356" t="s">
        <v>516</v>
      </c>
      <c r="B356" t="s">
        <v>344</v>
      </c>
      <c r="C356" t="s">
        <v>517</v>
      </c>
      <c r="D356" t="s">
        <v>551</v>
      </c>
      <c r="E356" t="s">
        <v>431</v>
      </c>
      <c r="F356" t="s">
        <v>452</v>
      </c>
      <c r="G356" t="s">
        <v>553</v>
      </c>
      <c r="H356" t="s">
        <v>553</v>
      </c>
      <c r="I356">
        <v>-3</v>
      </c>
      <c r="J356">
        <v>-3</v>
      </c>
      <c r="K356">
        <v>-3</v>
      </c>
      <c r="L356">
        <v>-3</v>
      </c>
      <c r="M356">
        <v>-3</v>
      </c>
      <c r="N356">
        <v>-3</v>
      </c>
      <c r="O356">
        <v>-3</v>
      </c>
      <c r="P356">
        <v>-3</v>
      </c>
      <c r="Q356" t="s">
        <v>552</v>
      </c>
      <c r="R356" t="s">
        <v>436</v>
      </c>
    </row>
    <row r="357" spans="1:18" x14ac:dyDescent="0.35">
      <c r="A357" t="s">
        <v>516</v>
      </c>
      <c r="B357" t="s">
        <v>344</v>
      </c>
      <c r="C357" t="s">
        <v>517</v>
      </c>
      <c r="D357" t="s">
        <v>551</v>
      </c>
      <c r="E357" t="s">
        <v>431</v>
      </c>
      <c r="F357" t="s">
        <v>462</v>
      </c>
      <c r="G357" t="s">
        <v>463</v>
      </c>
      <c r="H357" t="s">
        <v>463</v>
      </c>
      <c r="I357">
        <v>4</v>
      </c>
      <c r="J357">
        <v>4</v>
      </c>
      <c r="K357">
        <v>4</v>
      </c>
      <c r="L357">
        <v>4</v>
      </c>
      <c r="M357">
        <v>4</v>
      </c>
      <c r="N357">
        <v>4</v>
      </c>
      <c r="O357">
        <v>4</v>
      </c>
      <c r="P357">
        <v>4</v>
      </c>
      <c r="Q357" t="s">
        <v>552</v>
      </c>
      <c r="R357" t="s">
        <v>436</v>
      </c>
    </row>
    <row r="358" spans="1:18" x14ac:dyDescent="0.35">
      <c r="A358" t="s">
        <v>516</v>
      </c>
      <c r="B358" t="s">
        <v>344</v>
      </c>
      <c r="C358" t="s">
        <v>517</v>
      </c>
      <c r="D358" t="s">
        <v>551</v>
      </c>
      <c r="E358" t="s">
        <v>431</v>
      </c>
      <c r="F358" t="s">
        <v>464</v>
      </c>
      <c r="G358" t="s">
        <v>465</v>
      </c>
      <c r="H358" t="s">
        <v>465</v>
      </c>
      <c r="I358">
        <v>6</v>
      </c>
      <c r="J358">
        <v>6</v>
      </c>
      <c r="K358">
        <v>6</v>
      </c>
      <c r="L358">
        <v>6</v>
      </c>
      <c r="M358">
        <v>6</v>
      </c>
      <c r="N358">
        <v>6</v>
      </c>
      <c r="O358">
        <v>6</v>
      </c>
      <c r="P358">
        <v>6</v>
      </c>
      <c r="Q358" t="s">
        <v>552</v>
      </c>
      <c r="R358" t="s">
        <v>436</v>
      </c>
    </row>
    <row r="359" spans="1:18" x14ac:dyDescent="0.35">
      <c r="A359" t="s">
        <v>516</v>
      </c>
      <c r="B359" t="s">
        <v>344</v>
      </c>
      <c r="C359" t="s">
        <v>517</v>
      </c>
      <c r="D359" t="s">
        <v>495</v>
      </c>
      <c r="E359" t="s">
        <v>431</v>
      </c>
      <c r="F359" t="s">
        <v>468</v>
      </c>
      <c r="G359" t="s">
        <v>472</v>
      </c>
      <c r="H359" t="s">
        <v>472</v>
      </c>
      <c r="I359">
        <v>23</v>
      </c>
      <c r="J359">
        <v>33</v>
      </c>
      <c r="K359">
        <v>42</v>
      </c>
      <c r="L359">
        <v>51</v>
      </c>
      <c r="M359">
        <v>65</v>
      </c>
      <c r="N359">
        <v>74</v>
      </c>
      <c r="O359">
        <v>84</v>
      </c>
      <c r="P359">
        <v>93</v>
      </c>
      <c r="Q359" t="s">
        <v>552</v>
      </c>
      <c r="R359" t="s">
        <v>436</v>
      </c>
    </row>
    <row r="360" spans="1:18" x14ac:dyDescent="0.35">
      <c r="A360" t="s">
        <v>516</v>
      </c>
      <c r="B360" t="s">
        <v>344</v>
      </c>
      <c r="C360" t="s">
        <v>517</v>
      </c>
      <c r="D360" t="s">
        <v>495</v>
      </c>
      <c r="E360" t="s">
        <v>431</v>
      </c>
      <c r="F360" t="s">
        <v>468</v>
      </c>
      <c r="G360" t="s">
        <v>469</v>
      </c>
      <c r="H360" t="s">
        <v>469</v>
      </c>
      <c r="I360">
        <v>55</v>
      </c>
      <c r="J360">
        <v>76</v>
      </c>
      <c r="K360">
        <v>98</v>
      </c>
      <c r="L360">
        <v>120</v>
      </c>
      <c r="M360">
        <v>153</v>
      </c>
      <c r="N360">
        <v>175</v>
      </c>
      <c r="O360">
        <v>197</v>
      </c>
      <c r="P360">
        <v>219</v>
      </c>
      <c r="Q360" t="s">
        <v>552</v>
      </c>
      <c r="R360" t="s">
        <v>436</v>
      </c>
    </row>
    <row r="361" spans="1:18" x14ac:dyDescent="0.35">
      <c r="A361" t="s">
        <v>516</v>
      </c>
      <c r="B361" t="s">
        <v>344</v>
      </c>
      <c r="C361" t="s">
        <v>517</v>
      </c>
      <c r="D361" t="s">
        <v>495</v>
      </c>
      <c r="E361" t="s">
        <v>431</v>
      </c>
      <c r="F361" t="s">
        <v>468</v>
      </c>
      <c r="G361" t="s">
        <v>471</v>
      </c>
      <c r="H361" t="s">
        <v>471</v>
      </c>
      <c r="I361">
        <v>20</v>
      </c>
      <c r="J361">
        <v>29</v>
      </c>
      <c r="K361">
        <v>37</v>
      </c>
      <c r="L361">
        <v>45</v>
      </c>
      <c r="M361">
        <v>57</v>
      </c>
      <c r="N361">
        <v>65</v>
      </c>
      <c r="O361">
        <v>74</v>
      </c>
      <c r="P361">
        <v>82</v>
      </c>
      <c r="Q361" t="s">
        <v>552</v>
      </c>
      <c r="R361" t="s">
        <v>436</v>
      </c>
    </row>
    <row r="362" spans="1:18" x14ac:dyDescent="0.35">
      <c r="A362" t="s">
        <v>516</v>
      </c>
      <c r="B362" t="s">
        <v>344</v>
      </c>
      <c r="C362" t="s">
        <v>517</v>
      </c>
      <c r="D362" t="s">
        <v>495</v>
      </c>
      <c r="E362" t="s">
        <v>431</v>
      </c>
      <c r="F362" t="s">
        <v>441</v>
      </c>
      <c r="G362" t="s">
        <v>444</v>
      </c>
      <c r="H362" t="s">
        <v>444</v>
      </c>
      <c r="I362">
        <v>6</v>
      </c>
      <c r="J362">
        <v>8</v>
      </c>
      <c r="K362">
        <v>10</v>
      </c>
      <c r="L362">
        <v>13</v>
      </c>
      <c r="M362">
        <v>16</v>
      </c>
      <c r="N362">
        <v>18</v>
      </c>
      <c r="O362">
        <v>21</v>
      </c>
      <c r="P362">
        <v>23</v>
      </c>
      <c r="Q362" t="s">
        <v>552</v>
      </c>
      <c r="R362" t="s">
        <v>436</v>
      </c>
    </row>
    <row r="363" spans="1:18" x14ac:dyDescent="0.35">
      <c r="A363" t="s">
        <v>516</v>
      </c>
      <c r="B363" t="s">
        <v>344</v>
      </c>
      <c r="C363" t="s">
        <v>517</v>
      </c>
      <c r="D363" t="s">
        <v>495</v>
      </c>
      <c r="E363" t="s">
        <v>431</v>
      </c>
      <c r="F363" t="s">
        <v>441</v>
      </c>
      <c r="G363" t="s">
        <v>442</v>
      </c>
      <c r="H363" t="s">
        <v>442</v>
      </c>
      <c r="I363">
        <v>20</v>
      </c>
      <c r="J363">
        <v>28</v>
      </c>
      <c r="K363">
        <v>36</v>
      </c>
      <c r="L363">
        <v>44</v>
      </c>
      <c r="M363">
        <v>56</v>
      </c>
      <c r="N363">
        <v>64</v>
      </c>
      <c r="O363">
        <v>72</v>
      </c>
      <c r="P363">
        <v>80</v>
      </c>
      <c r="Q363" t="s">
        <v>552</v>
      </c>
      <c r="R363" t="s">
        <v>436</v>
      </c>
    </row>
    <row r="364" spans="1:18" x14ac:dyDescent="0.35">
      <c r="A364" t="s">
        <v>516</v>
      </c>
      <c r="B364" t="s">
        <v>344</v>
      </c>
      <c r="C364" t="s">
        <v>517</v>
      </c>
      <c r="D364" t="s">
        <v>495</v>
      </c>
      <c r="E364" t="s">
        <v>431</v>
      </c>
      <c r="F364" t="s">
        <v>459</v>
      </c>
      <c r="G364" t="s">
        <v>461</v>
      </c>
      <c r="H364" t="s">
        <v>461</v>
      </c>
      <c r="I364">
        <v>56</v>
      </c>
      <c r="J364">
        <v>79</v>
      </c>
      <c r="K364">
        <v>101</v>
      </c>
      <c r="L364">
        <v>124</v>
      </c>
      <c r="M364">
        <v>158</v>
      </c>
      <c r="N364">
        <v>180</v>
      </c>
      <c r="O364">
        <v>203</v>
      </c>
      <c r="P364">
        <v>225</v>
      </c>
      <c r="Q364" t="s">
        <v>552</v>
      </c>
      <c r="R364" t="s">
        <v>436</v>
      </c>
    </row>
    <row r="365" spans="1:18" x14ac:dyDescent="0.35">
      <c r="A365" t="s">
        <v>516</v>
      </c>
      <c r="B365" t="s">
        <v>344</v>
      </c>
      <c r="C365" t="s">
        <v>517</v>
      </c>
      <c r="D365" t="s">
        <v>495</v>
      </c>
      <c r="E365" t="s">
        <v>431</v>
      </c>
      <c r="F365" t="s">
        <v>432</v>
      </c>
      <c r="G365" t="s">
        <v>434</v>
      </c>
      <c r="H365" t="s">
        <v>434</v>
      </c>
      <c r="I365">
        <v>3</v>
      </c>
      <c r="J365">
        <v>4</v>
      </c>
      <c r="K365">
        <v>5</v>
      </c>
      <c r="L365">
        <v>6</v>
      </c>
      <c r="M365">
        <v>7</v>
      </c>
      <c r="N365">
        <v>8</v>
      </c>
      <c r="O365">
        <v>9</v>
      </c>
      <c r="P365">
        <v>10</v>
      </c>
      <c r="Q365" t="s">
        <v>552</v>
      </c>
      <c r="R365" t="s">
        <v>436</v>
      </c>
    </row>
    <row r="366" spans="1:18" x14ac:dyDescent="0.35">
      <c r="A366" t="s">
        <v>516</v>
      </c>
      <c r="B366" t="s">
        <v>344</v>
      </c>
      <c r="C366" t="s">
        <v>517</v>
      </c>
      <c r="D366" t="s">
        <v>495</v>
      </c>
      <c r="E366" t="s">
        <v>431</v>
      </c>
      <c r="F366" t="s">
        <v>481</v>
      </c>
      <c r="G366" t="s">
        <v>483</v>
      </c>
      <c r="H366" t="s">
        <v>483</v>
      </c>
      <c r="I366">
        <v>16</v>
      </c>
      <c r="J366">
        <v>22</v>
      </c>
      <c r="K366">
        <v>28</v>
      </c>
      <c r="L366">
        <v>35</v>
      </c>
      <c r="M366">
        <v>44</v>
      </c>
      <c r="N366">
        <v>50</v>
      </c>
      <c r="O366">
        <v>57</v>
      </c>
      <c r="P366">
        <v>63</v>
      </c>
      <c r="Q366" t="s">
        <v>552</v>
      </c>
      <c r="R366" t="s">
        <v>436</v>
      </c>
    </row>
    <row r="367" spans="1:18" x14ac:dyDescent="0.35">
      <c r="A367" t="s">
        <v>516</v>
      </c>
      <c r="B367" t="s">
        <v>344</v>
      </c>
      <c r="C367" t="s">
        <v>517</v>
      </c>
      <c r="D367" t="s">
        <v>495</v>
      </c>
      <c r="E367" t="s">
        <v>431</v>
      </c>
      <c r="F367" t="s">
        <v>481</v>
      </c>
      <c r="G367" t="s">
        <v>482</v>
      </c>
      <c r="H367" t="s">
        <v>482</v>
      </c>
      <c r="I367">
        <v>52</v>
      </c>
      <c r="J367">
        <v>72</v>
      </c>
      <c r="K367">
        <v>93</v>
      </c>
      <c r="L367">
        <v>114</v>
      </c>
      <c r="M367">
        <v>145</v>
      </c>
      <c r="N367">
        <v>165</v>
      </c>
      <c r="O367">
        <v>186</v>
      </c>
      <c r="P367">
        <v>207</v>
      </c>
      <c r="Q367" t="s">
        <v>552</v>
      </c>
      <c r="R367" t="s">
        <v>436</v>
      </c>
    </row>
    <row r="368" spans="1:18" x14ac:dyDescent="0.35">
      <c r="A368" t="s">
        <v>516</v>
      </c>
      <c r="B368" t="s">
        <v>344</v>
      </c>
      <c r="C368" t="s">
        <v>517</v>
      </c>
      <c r="D368" t="s">
        <v>495</v>
      </c>
      <c r="E368" t="s">
        <v>431</v>
      </c>
      <c r="F368" t="s">
        <v>480</v>
      </c>
      <c r="G368" t="s">
        <v>480</v>
      </c>
      <c r="H368" t="s">
        <v>480</v>
      </c>
      <c r="I368">
        <v>46</v>
      </c>
      <c r="J368">
        <v>68</v>
      </c>
      <c r="K368">
        <v>86</v>
      </c>
      <c r="L368">
        <v>100</v>
      </c>
      <c r="M368">
        <v>114</v>
      </c>
      <c r="N368">
        <v>128</v>
      </c>
      <c r="O368">
        <v>146</v>
      </c>
      <c r="P368">
        <v>169</v>
      </c>
      <c r="Q368" t="s">
        <v>552</v>
      </c>
      <c r="R368" t="s">
        <v>436</v>
      </c>
    </row>
    <row r="369" spans="1:18" x14ac:dyDescent="0.35">
      <c r="A369" t="s">
        <v>516</v>
      </c>
      <c r="B369" t="s">
        <v>344</v>
      </c>
      <c r="C369" t="s">
        <v>517</v>
      </c>
      <c r="D369" t="s">
        <v>495</v>
      </c>
      <c r="E369" t="s">
        <v>431</v>
      </c>
      <c r="F369" t="s">
        <v>466</v>
      </c>
      <c r="G369" t="s">
        <v>466</v>
      </c>
      <c r="H369" t="s">
        <v>466</v>
      </c>
      <c r="I369">
        <v>50</v>
      </c>
      <c r="J369">
        <v>83</v>
      </c>
      <c r="K369">
        <v>110</v>
      </c>
      <c r="L369">
        <v>131</v>
      </c>
      <c r="M369">
        <v>151</v>
      </c>
      <c r="N369">
        <v>172</v>
      </c>
      <c r="O369">
        <v>198</v>
      </c>
      <c r="P369">
        <v>233</v>
      </c>
      <c r="Q369" t="s">
        <v>552</v>
      </c>
      <c r="R369" t="s">
        <v>436</v>
      </c>
    </row>
    <row r="370" spans="1:18" x14ac:dyDescent="0.35">
      <c r="A370" t="s">
        <v>516</v>
      </c>
      <c r="B370" t="s">
        <v>344</v>
      </c>
      <c r="C370" t="s">
        <v>517</v>
      </c>
      <c r="D370" t="s">
        <v>495</v>
      </c>
      <c r="E370" t="s">
        <v>431</v>
      </c>
      <c r="F370" t="s">
        <v>477</v>
      </c>
      <c r="G370" t="s">
        <v>477</v>
      </c>
      <c r="H370" t="s">
        <v>477</v>
      </c>
      <c r="I370">
        <v>48</v>
      </c>
      <c r="J370">
        <v>48</v>
      </c>
      <c r="K370">
        <v>48</v>
      </c>
      <c r="L370">
        <v>48</v>
      </c>
      <c r="M370">
        <v>48</v>
      </c>
      <c r="N370">
        <v>48</v>
      </c>
      <c r="O370">
        <v>48</v>
      </c>
      <c r="P370">
        <v>48</v>
      </c>
      <c r="Q370" t="s">
        <v>552</v>
      </c>
      <c r="R370" t="s">
        <v>436</v>
      </c>
    </row>
    <row r="371" spans="1:18" x14ac:dyDescent="0.35">
      <c r="A371" t="s">
        <v>516</v>
      </c>
      <c r="B371" t="s">
        <v>344</v>
      </c>
      <c r="C371" t="s">
        <v>517</v>
      </c>
      <c r="D371" t="s">
        <v>495</v>
      </c>
      <c r="E371" t="s">
        <v>431</v>
      </c>
      <c r="F371" t="s">
        <v>452</v>
      </c>
      <c r="G371" t="s">
        <v>553</v>
      </c>
      <c r="H371" t="s">
        <v>553</v>
      </c>
      <c r="I371">
        <v>-3</v>
      </c>
      <c r="J371">
        <v>-3</v>
      </c>
      <c r="K371">
        <v>-3</v>
      </c>
      <c r="L371">
        <v>-3</v>
      </c>
      <c r="M371">
        <v>-3</v>
      </c>
      <c r="N371">
        <v>-3</v>
      </c>
      <c r="O371">
        <v>-3</v>
      </c>
      <c r="P371">
        <v>-3</v>
      </c>
      <c r="Q371" t="s">
        <v>552</v>
      </c>
      <c r="R371" t="s">
        <v>436</v>
      </c>
    </row>
    <row r="372" spans="1:18" x14ac:dyDescent="0.35">
      <c r="A372" t="s">
        <v>516</v>
      </c>
      <c r="B372" t="s">
        <v>344</v>
      </c>
      <c r="C372" t="s">
        <v>517</v>
      </c>
      <c r="D372" t="s">
        <v>495</v>
      </c>
      <c r="E372" t="s">
        <v>431</v>
      </c>
      <c r="F372" t="s">
        <v>462</v>
      </c>
      <c r="G372" t="s">
        <v>463</v>
      </c>
      <c r="H372" t="s">
        <v>463</v>
      </c>
      <c r="I372">
        <v>4</v>
      </c>
      <c r="J372">
        <v>4</v>
      </c>
      <c r="K372">
        <v>4</v>
      </c>
      <c r="L372">
        <v>4</v>
      </c>
      <c r="M372">
        <v>4</v>
      </c>
      <c r="N372">
        <v>4</v>
      </c>
      <c r="O372">
        <v>4</v>
      </c>
      <c r="P372">
        <v>4</v>
      </c>
      <c r="Q372" t="s">
        <v>552</v>
      </c>
      <c r="R372" t="s">
        <v>436</v>
      </c>
    </row>
    <row r="373" spans="1:18" x14ac:dyDescent="0.35">
      <c r="A373" t="s">
        <v>516</v>
      </c>
      <c r="B373" t="s">
        <v>344</v>
      </c>
      <c r="C373" t="s">
        <v>517</v>
      </c>
      <c r="D373" t="s">
        <v>495</v>
      </c>
      <c r="E373" t="s">
        <v>431</v>
      </c>
      <c r="F373" t="s">
        <v>464</v>
      </c>
      <c r="G373" t="s">
        <v>465</v>
      </c>
      <c r="H373" t="s">
        <v>465</v>
      </c>
      <c r="I373">
        <v>6</v>
      </c>
      <c r="J373">
        <v>6</v>
      </c>
      <c r="K373">
        <v>6</v>
      </c>
      <c r="L373">
        <v>6</v>
      </c>
      <c r="M373">
        <v>6</v>
      </c>
      <c r="N373">
        <v>6</v>
      </c>
      <c r="O373">
        <v>6</v>
      </c>
      <c r="P373">
        <v>6</v>
      </c>
      <c r="Q373" t="s">
        <v>552</v>
      </c>
      <c r="R373" t="s">
        <v>436</v>
      </c>
    </row>
    <row r="374" spans="1:18" x14ac:dyDescent="0.35">
      <c r="A374" t="s">
        <v>516</v>
      </c>
      <c r="B374" t="s">
        <v>344</v>
      </c>
      <c r="C374" t="s">
        <v>517</v>
      </c>
      <c r="D374" t="s">
        <v>554</v>
      </c>
      <c r="E374" t="s">
        <v>486</v>
      </c>
      <c r="F374" t="s">
        <v>468</v>
      </c>
      <c r="G374" t="s">
        <v>472</v>
      </c>
      <c r="H374" t="s">
        <v>472</v>
      </c>
      <c r="I374">
        <v>38</v>
      </c>
      <c r="J374">
        <v>53</v>
      </c>
      <c r="K374">
        <v>68</v>
      </c>
      <c r="L374">
        <v>83</v>
      </c>
      <c r="M374">
        <v>106</v>
      </c>
      <c r="N374">
        <v>121</v>
      </c>
      <c r="O374">
        <v>136</v>
      </c>
      <c r="P374">
        <v>151</v>
      </c>
      <c r="Q374" t="s">
        <v>552</v>
      </c>
      <c r="R374" t="s">
        <v>436</v>
      </c>
    </row>
    <row r="375" spans="1:18" x14ac:dyDescent="0.35">
      <c r="A375" t="s">
        <v>516</v>
      </c>
      <c r="B375" t="s">
        <v>344</v>
      </c>
      <c r="C375" t="s">
        <v>517</v>
      </c>
      <c r="D375" t="s">
        <v>554</v>
      </c>
      <c r="E375" t="s">
        <v>486</v>
      </c>
      <c r="F375" t="s">
        <v>468</v>
      </c>
      <c r="G375" t="s">
        <v>469</v>
      </c>
      <c r="H375" t="s">
        <v>469</v>
      </c>
      <c r="I375">
        <v>87</v>
      </c>
      <c r="J375">
        <v>122</v>
      </c>
      <c r="K375">
        <v>157</v>
      </c>
      <c r="L375">
        <v>192</v>
      </c>
      <c r="M375">
        <v>245</v>
      </c>
      <c r="N375">
        <v>279</v>
      </c>
      <c r="O375">
        <v>314</v>
      </c>
      <c r="P375">
        <v>349</v>
      </c>
      <c r="Q375" t="s">
        <v>552</v>
      </c>
      <c r="R375" t="s">
        <v>436</v>
      </c>
    </row>
    <row r="376" spans="1:18" x14ac:dyDescent="0.35">
      <c r="A376" t="s">
        <v>516</v>
      </c>
      <c r="B376" t="s">
        <v>344</v>
      </c>
      <c r="C376" t="s">
        <v>517</v>
      </c>
      <c r="D376" t="s">
        <v>554</v>
      </c>
      <c r="E376" t="s">
        <v>486</v>
      </c>
      <c r="F376" t="s">
        <v>468</v>
      </c>
      <c r="G376" t="s">
        <v>471</v>
      </c>
      <c r="H376" t="s">
        <v>471</v>
      </c>
      <c r="I376">
        <v>32</v>
      </c>
      <c r="J376">
        <v>45</v>
      </c>
      <c r="K376">
        <v>57</v>
      </c>
      <c r="L376">
        <v>70</v>
      </c>
      <c r="M376">
        <v>89</v>
      </c>
      <c r="N376">
        <v>102</v>
      </c>
      <c r="O376">
        <v>114</v>
      </c>
      <c r="P376">
        <v>127</v>
      </c>
      <c r="Q376" t="s">
        <v>552</v>
      </c>
      <c r="R376" t="s">
        <v>436</v>
      </c>
    </row>
    <row r="377" spans="1:18" x14ac:dyDescent="0.35">
      <c r="A377" t="s">
        <v>516</v>
      </c>
      <c r="B377" t="s">
        <v>344</v>
      </c>
      <c r="C377" t="s">
        <v>517</v>
      </c>
      <c r="D377" t="s">
        <v>554</v>
      </c>
      <c r="E377" t="s">
        <v>486</v>
      </c>
      <c r="F377" t="s">
        <v>441</v>
      </c>
      <c r="G377" t="s">
        <v>444</v>
      </c>
      <c r="H377" t="s">
        <v>444</v>
      </c>
      <c r="I377">
        <v>6</v>
      </c>
      <c r="J377">
        <v>8</v>
      </c>
      <c r="K377">
        <v>10</v>
      </c>
      <c r="L377">
        <v>13</v>
      </c>
      <c r="M377">
        <v>16</v>
      </c>
      <c r="N377">
        <v>18</v>
      </c>
      <c r="O377">
        <v>21</v>
      </c>
      <c r="P377">
        <v>23</v>
      </c>
      <c r="Q377" t="s">
        <v>552</v>
      </c>
      <c r="R377" t="s">
        <v>436</v>
      </c>
    </row>
    <row r="378" spans="1:18" x14ac:dyDescent="0.35">
      <c r="A378" t="s">
        <v>516</v>
      </c>
      <c r="B378" t="s">
        <v>344</v>
      </c>
      <c r="C378" t="s">
        <v>517</v>
      </c>
      <c r="D378" t="s">
        <v>554</v>
      </c>
      <c r="E378" t="s">
        <v>486</v>
      </c>
      <c r="F378" t="s">
        <v>441</v>
      </c>
      <c r="G378" t="s">
        <v>442</v>
      </c>
      <c r="H378" t="s">
        <v>442</v>
      </c>
      <c r="I378">
        <v>20</v>
      </c>
      <c r="J378">
        <v>28</v>
      </c>
      <c r="K378">
        <v>36</v>
      </c>
      <c r="L378">
        <v>44</v>
      </c>
      <c r="M378">
        <v>56</v>
      </c>
      <c r="N378">
        <v>64</v>
      </c>
      <c r="O378">
        <v>72</v>
      </c>
      <c r="P378">
        <v>80</v>
      </c>
      <c r="Q378" t="s">
        <v>552</v>
      </c>
      <c r="R378" t="s">
        <v>436</v>
      </c>
    </row>
    <row r="379" spans="1:18" x14ac:dyDescent="0.35">
      <c r="A379" t="s">
        <v>516</v>
      </c>
      <c r="B379" t="s">
        <v>344</v>
      </c>
      <c r="C379" t="s">
        <v>517</v>
      </c>
      <c r="D379" t="s">
        <v>554</v>
      </c>
      <c r="E379" t="s">
        <v>486</v>
      </c>
      <c r="F379" t="s">
        <v>459</v>
      </c>
      <c r="G379" t="s">
        <v>461</v>
      </c>
      <c r="H379" t="s">
        <v>461</v>
      </c>
      <c r="I379">
        <v>56</v>
      </c>
      <c r="J379">
        <v>79</v>
      </c>
      <c r="K379">
        <v>101</v>
      </c>
      <c r="L379">
        <v>124</v>
      </c>
      <c r="M379">
        <v>158</v>
      </c>
      <c r="N379">
        <v>180</v>
      </c>
      <c r="O379">
        <v>203</v>
      </c>
      <c r="P379">
        <v>225</v>
      </c>
      <c r="Q379" t="s">
        <v>552</v>
      </c>
      <c r="R379" t="s">
        <v>436</v>
      </c>
    </row>
    <row r="380" spans="1:18" x14ac:dyDescent="0.35">
      <c r="A380" t="s">
        <v>516</v>
      </c>
      <c r="B380" t="s">
        <v>344</v>
      </c>
      <c r="C380" t="s">
        <v>517</v>
      </c>
      <c r="D380" t="s">
        <v>554</v>
      </c>
      <c r="E380" t="s">
        <v>486</v>
      </c>
      <c r="F380" t="s">
        <v>432</v>
      </c>
      <c r="G380" t="s">
        <v>434</v>
      </c>
      <c r="H380" t="s">
        <v>434</v>
      </c>
      <c r="I380">
        <v>3</v>
      </c>
      <c r="J380">
        <v>4</v>
      </c>
      <c r="K380">
        <v>5</v>
      </c>
      <c r="L380">
        <v>6</v>
      </c>
      <c r="M380">
        <v>8</v>
      </c>
      <c r="N380">
        <v>9</v>
      </c>
      <c r="O380">
        <v>10</v>
      </c>
      <c r="P380">
        <v>12</v>
      </c>
      <c r="Q380" t="s">
        <v>552</v>
      </c>
      <c r="R380" t="s">
        <v>436</v>
      </c>
    </row>
    <row r="381" spans="1:18" x14ac:dyDescent="0.35">
      <c r="A381" t="s">
        <v>516</v>
      </c>
      <c r="B381" t="s">
        <v>344</v>
      </c>
      <c r="C381" t="s">
        <v>517</v>
      </c>
      <c r="D381" t="s">
        <v>554</v>
      </c>
      <c r="E381" t="s">
        <v>486</v>
      </c>
      <c r="F381" t="s">
        <v>481</v>
      </c>
      <c r="G381" t="s">
        <v>483</v>
      </c>
      <c r="H381" t="s">
        <v>483</v>
      </c>
      <c r="I381">
        <v>16</v>
      </c>
      <c r="J381">
        <v>22</v>
      </c>
      <c r="K381">
        <v>28</v>
      </c>
      <c r="L381">
        <v>35</v>
      </c>
      <c r="M381">
        <v>44</v>
      </c>
      <c r="N381">
        <v>50</v>
      </c>
      <c r="O381">
        <v>57</v>
      </c>
      <c r="P381">
        <v>63</v>
      </c>
      <c r="Q381" t="s">
        <v>552</v>
      </c>
      <c r="R381" t="s">
        <v>436</v>
      </c>
    </row>
    <row r="382" spans="1:18" x14ac:dyDescent="0.35">
      <c r="A382" t="s">
        <v>516</v>
      </c>
      <c r="B382" t="s">
        <v>344</v>
      </c>
      <c r="C382" t="s">
        <v>517</v>
      </c>
      <c r="D382" t="s">
        <v>554</v>
      </c>
      <c r="E382" t="s">
        <v>486</v>
      </c>
      <c r="F382" t="s">
        <v>481</v>
      </c>
      <c r="G382" t="s">
        <v>482</v>
      </c>
      <c r="H382" t="s">
        <v>482</v>
      </c>
      <c r="I382">
        <v>52</v>
      </c>
      <c r="J382">
        <v>72</v>
      </c>
      <c r="K382">
        <v>93</v>
      </c>
      <c r="L382">
        <v>114</v>
      </c>
      <c r="M382">
        <v>145</v>
      </c>
      <c r="N382">
        <v>165</v>
      </c>
      <c r="O382">
        <v>186</v>
      </c>
      <c r="P382">
        <v>207</v>
      </c>
      <c r="Q382" t="s">
        <v>552</v>
      </c>
      <c r="R382" t="s">
        <v>436</v>
      </c>
    </row>
    <row r="383" spans="1:18" x14ac:dyDescent="0.35">
      <c r="A383" t="s">
        <v>516</v>
      </c>
      <c r="B383" t="s">
        <v>344</v>
      </c>
      <c r="C383" t="s">
        <v>517</v>
      </c>
      <c r="D383" t="s">
        <v>554</v>
      </c>
      <c r="E383" t="s">
        <v>486</v>
      </c>
      <c r="F383" t="s">
        <v>480</v>
      </c>
      <c r="G383" t="s">
        <v>480</v>
      </c>
      <c r="H383" t="s">
        <v>480</v>
      </c>
      <c r="I383">
        <v>46</v>
      </c>
      <c r="J383">
        <v>68</v>
      </c>
      <c r="K383">
        <v>87</v>
      </c>
      <c r="L383">
        <v>102</v>
      </c>
      <c r="M383">
        <v>117</v>
      </c>
      <c r="N383">
        <v>132</v>
      </c>
      <c r="O383">
        <v>150</v>
      </c>
      <c r="P383">
        <v>175</v>
      </c>
      <c r="Q383" t="s">
        <v>552</v>
      </c>
      <c r="R383" t="s">
        <v>436</v>
      </c>
    </row>
    <row r="384" spans="1:18" x14ac:dyDescent="0.35">
      <c r="A384" t="s">
        <v>516</v>
      </c>
      <c r="B384" t="s">
        <v>344</v>
      </c>
      <c r="C384" t="s">
        <v>517</v>
      </c>
      <c r="D384" t="s">
        <v>554</v>
      </c>
      <c r="E384" t="s">
        <v>486</v>
      </c>
      <c r="F384" t="s">
        <v>466</v>
      </c>
      <c r="G384" t="s">
        <v>466</v>
      </c>
      <c r="H384" t="s">
        <v>466</v>
      </c>
      <c r="I384">
        <v>47</v>
      </c>
      <c r="J384">
        <v>79</v>
      </c>
      <c r="K384">
        <v>104</v>
      </c>
      <c r="L384">
        <v>124</v>
      </c>
      <c r="M384">
        <v>144</v>
      </c>
      <c r="N384">
        <v>163</v>
      </c>
      <c r="O384">
        <v>188</v>
      </c>
      <c r="P384">
        <v>221</v>
      </c>
      <c r="Q384" t="s">
        <v>552</v>
      </c>
      <c r="R384" t="s">
        <v>436</v>
      </c>
    </row>
    <row r="385" spans="1:18" x14ac:dyDescent="0.35">
      <c r="A385" t="s">
        <v>516</v>
      </c>
      <c r="B385" t="s">
        <v>344</v>
      </c>
      <c r="C385" t="s">
        <v>517</v>
      </c>
      <c r="D385" t="s">
        <v>554</v>
      </c>
      <c r="E385" t="s">
        <v>486</v>
      </c>
      <c r="F385" t="s">
        <v>477</v>
      </c>
      <c r="G385" t="s">
        <v>477</v>
      </c>
      <c r="H385" t="s">
        <v>477</v>
      </c>
      <c r="I385">
        <v>48</v>
      </c>
      <c r="J385">
        <v>48</v>
      </c>
      <c r="K385">
        <v>48</v>
      </c>
      <c r="L385">
        <v>48</v>
      </c>
      <c r="M385">
        <v>48</v>
      </c>
      <c r="N385">
        <v>48</v>
      </c>
      <c r="O385">
        <v>48</v>
      </c>
      <c r="P385">
        <v>48</v>
      </c>
      <c r="Q385" t="s">
        <v>552</v>
      </c>
      <c r="R385" t="s">
        <v>436</v>
      </c>
    </row>
    <row r="386" spans="1:18" x14ac:dyDescent="0.35">
      <c r="A386" t="s">
        <v>516</v>
      </c>
      <c r="B386" t="s">
        <v>344</v>
      </c>
      <c r="C386" t="s">
        <v>517</v>
      </c>
      <c r="D386" t="s">
        <v>554</v>
      </c>
      <c r="E386" t="s">
        <v>486</v>
      </c>
      <c r="F386" t="s">
        <v>452</v>
      </c>
      <c r="G386" t="s">
        <v>553</v>
      </c>
      <c r="H386" t="s">
        <v>553</v>
      </c>
      <c r="I386">
        <v>-3</v>
      </c>
      <c r="J386">
        <v>-3</v>
      </c>
      <c r="K386">
        <v>-3</v>
      </c>
      <c r="L386">
        <v>-3</v>
      </c>
      <c r="M386">
        <v>-3</v>
      </c>
      <c r="N386">
        <v>-3</v>
      </c>
      <c r="O386">
        <v>-3</v>
      </c>
      <c r="P386">
        <v>-3</v>
      </c>
      <c r="Q386" t="s">
        <v>552</v>
      </c>
      <c r="R386" t="s">
        <v>436</v>
      </c>
    </row>
    <row r="387" spans="1:18" x14ac:dyDescent="0.35">
      <c r="A387" t="s">
        <v>516</v>
      </c>
      <c r="B387" t="s">
        <v>344</v>
      </c>
      <c r="C387" t="s">
        <v>517</v>
      </c>
      <c r="D387" t="s">
        <v>554</v>
      </c>
      <c r="E387" t="s">
        <v>486</v>
      </c>
      <c r="F387" t="s">
        <v>462</v>
      </c>
      <c r="G387" t="s">
        <v>463</v>
      </c>
      <c r="H387" t="s">
        <v>463</v>
      </c>
      <c r="I387">
        <v>4</v>
      </c>
      <c r="J387">
        <v>4</v>
      </c>
      <c r="K387">
        <v>4</v>
      </c>
      <c r="L387">
        <v>4</v>
      </c>
      <c r="M387">
        <v>4</v>
      </c>
      <c r="N387">
        <v>4</v>
      </c>
      <c r="O387">
        <v>4</v>
      </c>
      <c r="P387">
        <v>4</v>
      </c>
      <c r="Q387" t="s">
        <v>552</v>
      </c>
      <c r="R387" t="s">
        <v>436</v>
      </c>
    </row>
    <row r="388" spans="1:18" x14ac:dyDescent="0.35">
      <c r="A388" t="s">
        <v>516</v>
      </c>
      <c r="B388" t="s">
        <v>344</v>
      </c>
      <c r="C388" t="s">
        <v>517</v>
      </c>
      <c r="D388" t="s">
        <v>554</v>
      </c>
      <c r="E388" t="s">
        <v>486</v>
      </c>
      <c r="F388" t="s">
        <v>464</v>
      </c>
      <c r="G388" t="s">
        <v>465</v>
      </c>
      <c r="H388" t="s">
        <v>465</v>
      </c>
      <c r="I388">
        <v>6</v>
      </c>
      <c r="J388">
        <v>6</v>
      </c>
      <c r="K388">
        <v>6</v>
      </c>
      <c r="L388">
        <v>6</v>
      </c>
      <c r="M388">
        <v>6</v>
      </c>
      <c r="N388">
        <v>6</v>
      </c>
      <c r="O388">
        <v>6</v>
      </c>
      <c r="P388">
        <v>6</v>
      </c>
      <c r="Q388" t="s">
        <v>552</v>
      </c>
      <c r="R388" t="s">
        <v>436</v>
      </c>
    </row>
    <row r="389" spans="1:18" x14ac:dyDescent="0.35">
      <c r="A389" t="s">
        <v>518</v>
      </c>
      <c r="B389" t="s">
        <v>519</v>
      </c>
      <c r="C389" t="s">
        <v>506</v>
      </c>
      <c r="D389" t="s">
        <v>495</v>
      </c>
      <c r="E389" t="s">
        <v>431</v>
      </c>
      <c r="F389" t="s">
        <v>468</v>
      </c>
      <c r="G389" t="s">
        <v>472</v>
      </c>
      <c r="H389" t="s">
        <v>472</v>
      </c>
      <c r="I389">
        <v>20</v>
      </c>
      <c r="J389">
        <v>27</v>
      </c>
      <c r="K389">
        <v>36</v>
      </c>
      <c r="L389">
        <v>38</v>
      </c>
      <c r="M389">
        <v>42</v>
      </c>
      <c r="N389">
        <v>45</v>
      </c>
      <c r="O389">
        <v>49</v>
      </c>
      <c r="P389">
        <v>0</v>
      </c>
      <c r="Q389" t="s">
        <v>555</v>
      </c>
      <c r="R389" t="s">
        <v>436</v>
      </c>
    </row>
    <row r="390" spans="1:18" x14ac:dyDescent="0.35">
      <c r="A390" t="s">
        <v>518</v>
      </c>
      <c r="B390" t="s">
        <v>519</v>
      </c>
      <c r="C390" t="s">
        <v>506</v>
      </c>
      <c r="D390" t="s">
        <v>495</v>
      </c>
      <c r="E390" t="s">
        <v>431</v>
      </c>
      <c r="F390" t="s">
        <v>468</v>
      </c>
      <c r="G390" t="s">
        <v>556</v>
      </c>
      <c r="H390" t="s">
        <v>556</v>
      </c>
      <c r="I390">
        <v>40</v>
      </c>
      <c r="J390">
        <v>53</v>
      </c>
      <c r="K390">
        <v>64</v>
      </c>
      <c r="L390">
        <v>67</v>
      </c>
      <c r="M390">
        <v>73</v>
      </c>
      <c r="N390">
        <v>78</v>
      </c>
      <c r="O390">
        <v>87</v>
      </c>
      <c r="P390">
        <v>0</v>
      </c>
      <c r="Q390" t="s">
        <v>555</v>
      </c>
      <c r="R390" t="s">
        <v>436</v>
      </c>
    </row>
    <row r="391" spans="1:18" x14ac:dyDescent="0.35">
      <c r="A391" t="s">
        <v>518</v>
      </c>
      <c r="B391" t="s">
        <v>519</v>
      </c>
      <c r="C391" t="s">
        <v>506</v>
      </c>
      <c r="D391" t="s">
        <v>495</v>
      </c>
      <c r="E391" t="s">
        <v>431</v>
      </c>
      <c r="F391" t="s">
        <v>468</v>
      </c>
      <c r="G391" t="s">
        <v>469</v>
      </c>
      <c r="H391" t="s">
        <v>469</v>
      </c>
      <c r="I391">
        <v>18</v>
      </c>
      <c r="J391">
        <v>24</v>
      </c>
      <c r="K391">
        <v>28</v>
      </c>
      <c r="L391">
        <v>33</v>
      </c>
      <c r="M391">
        <v>39</v>
      </c>
      <c r="N391">
        <v>45</v>
      </c>
      <c r="O391">
        <v>50</v>
      </c>
      <c r="P391">
        <v>0</v>
      </c>
      <c r="Q391" t="s">
        <v>555</v>
      </c>
      <c r="R391" t="s">
        <v>436</v>
      </c>
    </row>
    <row r="392" spans="1:18" x14ac:dyDescent="0.35">
      <c r="A392" t="s">
        <v>518</v>
      </c>
      <c r="B392" t="s">
        <v>519</v>
      </c>
      <c r="C392" t="s">
        <v>506</v>
      </c>
      <c r="D392" t="s">
        <v>495</v>
      </c>
      <c r="E392" t="s">
        <v>431</v>
      </c>
      <c r="F392" t="s">
        <v>468</v>
      </c>
      <c r="G392" t="s">
        <v>471</v>
      </c>
      <c r="H392" t="s">
        <v>471</v>
      </c>
      <c r="I392">
        <v>13</v>
      </c>
      <c r="J392">
        <v>17</v>
      </c>
      <c r="K392">
        <v>20</v>
      </c>
      <c r="L392">
        <v>23</v>
      </c>
      <c r="M392">
        <v>26</v>
      </c>
      <c r="N392">
        <v>29</v>
      </c>
      <c r="O392">
        <v>32</v>
      </c>
      <c r="P392">
        <v>0</v>
      </c>
      <c r="Q392" t="s">
        <v>555</v>
      </c>
      <c r="R392" t="s">
        <v>436</v>
      </c>
    </row>
    <row r="393" spans="1:18" x14ac:dyDescent="0.35">
      <c r="A393" t="s">
        <v>518</v>
      </c>
      <c r="B393" t="s">
        <v>519</v>
      </c>
      <c r="C393" t="s">
        <v>506</v>
      </c>
      <c r="D393" t="s">
        <v>495</v>
      </c>
      <c r="E393" t="s">
        <v>431</v>
      </c>
      <c r="F393" t="s">
        <v>441</v>
      </c>
      <c r="G393" t="s">
        <v>444</v>
      </c>
      <c r="H393" t="s">
        <v>444</v>
      </c>
      <c r="I393">
        <v>5</v>
      </c>
      <c r="J393">
        <v>6</v>
      </c>
      <c r="K393">
        <v>6</v>
      </c>
      <c r="L393">
        <v>9</v>
      </c>
      <c r="M393">
        <v>11</v>
      </c>
      <c r="N393">
        <v>15</v>
      </c>
      <c r="O393">
        <v>17</v>
      </c>
      <c r="P393">
        <v>0</v>
      </c>
      <c r="Q393" t="s">
        <v>555</v>
      </c>
      <c r="R393" t="s">
        <v>436</v>
      </c>
    </row>
    <row r="394" spans="1:18" x14ac:dyDescent="0.35">
      <c r="A394" t="s">
        <v>518</v>
      </c>
      <c r="B394" t="s">
        <v>519</v>
      </c>
      <c r="C394" t="s">
        <v>506</v>
      </c>
      <c r="D394" t="s">
        <v>495</v>
      </c>
      <c r="E394" t="s">
        <v>431</v>
      </c>
      <c r="F394" t="s">
        <v>441</v>
      </c>
      <c r="G394" t="s">
        <v>557</v>
      </c>
      <c r="H394" t="s">
        <v>557</v>
      </c>
      <c r="I394">
        <v>6</v>
      </c>
      <c r="J394">
        <v>8</v>
      </c>
      <c r="K394">
        <v>8</v>
      </c>
      <c r="L394">
        <v>14</v>
      </c>
      <c r="M394">
        <v>20</v>
      </c>
      <c r="N394">
        <v>25</v>
      </c>
      <c r="O394">
        <v>28</v>
      </c>
      <c r="P394">
        <v>0</v>
      </c>
      <c r="Q394" t="s">
        <v>555</v>
      </c>
      <c r="R394" t="s">
        <v>436</v>
      </c>
    </row>
    <row r="395" spans="1:18" x14ac:dyDescent="0.35">
      <c r="A395" t="s">
        <v>518</v>
      </c>
      <c r="B395" t="s">
        <v>519</v>
      </c>
      <c r="C395" t="s">
        <v>506</v>
      </c>
      <c r="D395" t="s">
        <v>495</v>
      </c>
      <c r="E395" t="s">
        <v>431</v>
      </c>
      <c r="F395" t="s">
        <v>441</v>
      </c>
      <c r="G395" t="s">
        <v>442</v>
      </c>
      <c r="H395" t="s">
        <v>442</v>
      </c>
      <c r="I395">
        <v>6</v>
      </c>
      <c r="J395">
        <v>8</v>
      </c>
      <c r="K395">
        <v>9</v>
      </c>
      <c r="L395">
        <v>14</v>
      </c>
      <c r="M395">
        <v>18</v>
      </c>
      <c r="N395">
        <v>22</v>
      </c>
      <c r="O395">
        <v>26</v>
      </c>
      <c r="P395">
        <v>0</v>
      </c>
      <c r="Q395" t="s">
        <v>555</v>
      </c>
      <c r="R395" t="s">
        <v>436</v>
      </c>
    </row>
    <row r="396" spans="1:18" x14ac:dyDescent="0.35">
      <c r="A396" t="s">
        <v>518</v>
      </c>
      <c r="B396" t="s">
        <v>519</v>
      </c>
      <c r="C396" t="s">
        <v>506</v>
      </c>
      <c r="D396" t="s">
        <v>495</v>
      </c>
      <c r="E396" t="s">
        <v>431</v>
      </c>
      <c r="F396" t="s">
        <v>459</v>
      </c>
      <c r="G396" t="s">
        <v>461</v>
      </c>
      <c r="H396" t="s">
        <v>461</v>
      </c>
      <c r="I396">
        <v>27</v>
      </c>
      <c r="J396">
        <v>36</v>
      </c>
      <c r="K396">
        <v>43</v>
      </c>
      <c r="L396">
        <v>60</v>
      </c>
      <c r="M396">
        <v>80</v>
      </c>
      <c r="N396">
        <v>99</v>
      </c>
      <c r="O396">
        <v>119</v>
      </c>
      <c r="P396">
        <v>0</v>
      </c>
      <c r="Q396" t="s">
        <v>555</v>
      </c>
      <c r="R396" t="s">
        <v>436</v>
      </c>
    </row>
    <row r="397" spans="1:18" x14ac:dyDescent="0.35">
      <c r="A397" t="s">
        <v>518</v>
      </c>
      <c r="B397" t="s">
        <v>519</v>
      </c>
      <c r="C397" t="s">
        <v>506</v>
      </c>
      <c r="D397" t="s">
        <v>495</v>
      </c>
      <c r="E397" t="s">
        <v>431</v>
      </c>
      <c r="F397" t="s">
        <v>481</v>
      </c>
      <c r="G397" t="s">
        <v>483</v>
      </c>
      <c r="H397" t="s">
        <v>483</v>
      </c>
      <c r="I397">
        <v>10</v>
      </c>
      <c r="J397">
        <v>13</v>
      </c>
      <c r="K397">
        <v>17</v>
      </c>
      <c r="L397">
        <v>24</v>
      </c>
      <c r="M397">
        <v>31</v>
      </c>
      <c r="N397">
        <v>39</v>
      </c>
      <c r="O397">
        <v>44</v>
      </c>
      <c r="P397">
        <v>0</v>
      </c>
      <c r="Q397" t="s">
        <v>555</v>
      </c>
      <c r="R397" t="s">
        <v>436</v>
      </c>
    </row>
    <row r="398" spans="1:18" x14ac:dyDescent="0.35">
      <c r="A398" t="s">
        <v>518</v>
      </c>
      <c r="B398" t="s">
        <v>519</v>
      </c>
      <c r="C398" t="s">
        <v>506</v>
      </c>
      <c r="D398" t="s">
        <v>495</v>
      </c>
      <c r="E398" t="s">
        <v>431</v>
      </c>
      <c r="F398" t="s">
        <v>481</v>
      </c>
      <c r="G398" t="s">
        <v>558</v>
      </c>
      <c r="H398" t="s">
        <v>558</v>
      </c>
      <c r="I398">
        <v>17</v>
      </c>
      <c r="J398">
        <v>22</v>
      </c>
      <c r="K398">
        <v>28</v>
      </c>
      <c r="L398">
        <v>39</v>
      </c>
      <c r="M398">
        <v>53</v>
      </c>
      <c r="N398">
        <v>64</v>
      </c>
      <c r="O398">
        <v>73</v>
      </c>
      <c r="P398">
        <v>0</v>
      </c>
      <c r="Q398" t="s">
        <v>555</v>
      </c>
      <c r="R398" t="s">
        <v>436</v>
      </c>
    </row>
    <row r="399" spans="1:18" x14ac:dyDescent="0.35">
      <c r="A399" t="s">
        <v>518</v>
      </c>
      <c r="B399" t="s">
        <v>519</v>
      </c>
      <c r="C399" t="s">
        <v>506</v>
      </c>
      <c r="D399" t="s">
        <v>495</v>
      </c>
      <c r="E399" t="s">
        <v>431</v>
      </c>
      <c r="F399" t="s">
        <v>481</v>
      </c>
      <c r="G399" t="s">
        <v>482</v>
      </c>
      <c r="H399" t="s">
        <v>482</v>
      </c>
      <c r="I399">
        <v>27</v>
      </c>
      <c r="J399">
        <v>36</v>
      </c>
      <c r="K399">
        <v>43</v>
      </c>
      <c r="L399">
        <v>60</v>
      </c>
      <c r="M399">
        <v>80</v>
      </c>
      <c r="N399">
        <v>99</v>
      </c>
      <c r="O399">
        <v>119</v>
      </c>
      <c r="P399">
        <v>0</v>
      </c>
      <c r="Q399" t="s">
        <v>555</v>
      </c>
      <c r="R399" t="s">
        <v>436</v>
      </c>
    </row>
    <row r="400" spans="1:18" x14ac:dyDescent="0.35">
      <c r="A400" t="s">
        <v>518</v>
      </c>
      <c r="B400" t="s">
        <v>519</v>
      </c>
      <c r="C400" t="s">
        <v>506</v>
      </c>
      <c r="D400" t="s">
        <v>495</v>
      </c>
      <c r="E400" t="s">
        <v>431</v>
      </c>
      <c r="F400" t="s">
        <v>480</v>
      </c>
      <c r="G400" t="s">
        <v>480</v>
      </c>
      <c r="H400" t="s">
        <v>480</v>
      </c>
      <c r="I400">
        <v>53</v>
      </c>
      <c r="J400">
        <v>71</v>
      </c>
      <c r="K400">
        <v>72</v>
      </c>
      <c r="L400">
        <v>89</v>
      </c>
      <c r="M400">
        <v>108</v>
      </c>
      <c r="N400">
        <v>128</v>
      </c>
      <c r="O400">
        <v>149</v>
      </c>
      <c r="P400">
        <v>0</v>
      </c>
      <c r="Q400" t="s">
        <v>555</v>
      </c>
      <c r="R400" t="s">
        <v>436</v>
      </c>
    </row>
    <row r="401" spans="1:18" x14ac:dyDescent="0.35">
      <c r="A401" t="s">
        <v>518</v>
      </c>
      <c r="B401" t="s">
        <v>519</v>
      </c>
      <c r="C401" t="s">
        <v>506</v>
      </c>
      <c r="D401" t="s">
        <v>495</v>
      </c>
      <c r="E401" t="s">
        <v>431</v>
      </c>
      <c r="F401" t="s">
        <v>466</v>
      </c>
      <c r="G401" t="s">
        <v>466</v>
      </c>
      <c r="H401" t="s">
        <v>466</v>
      </c>
      <c r="I401">
        <v>53</v>
      </c>
      <c r="J401">
        <v>71</v>
      </c>
      <c r="K401">
        <v>71</v>
      </c>
      <c r="L401">
        <v>71</v>
      </c>
      <c r="M401">
        <v>71</v>
      </c>
      <c r="N401">
        <v>71</v>
      </c>
      <c r="O401">
        <v>71</v>
      </c>
      <c r="P401">
        <v>0</v>
      </c>
      <c r="Q401" t="s">
        <v>555</v>
      </c>
      <c r="R401" t="s">
        <v>436</v>
      </c>
    </row>
    <row r="402" spans="1:18" x14ac:dyDescent="0.35">
      <c r="A402" t="s">
        <v>518</v>
      </c>
      <c r="B402" t="s">
        <v>519</v>
      </c>
      <c r="C402" t="s">
        <v>506</v>
      </c>
      <c r="D402" t="s">
        <v>495</v>
      </c>
      <c r="E402" t="s">
        <v>431</v>
      </c>
      <c r="F402" t="s">
        <v>477</v>
      </c>
      <c r="G402" t="s">
        <v>477</v>
      </c>
      <c r="H402" t="s">
        <v>477</v>
      </c>
      <c r="I402">
        <v>45</v>
      </c>
      <c r="J402">
        <v>60</v>
      </c>
      <c r="K402">
        <v>60</v>
      </c>
      <c r="L402">
        <v>60</v>
      </c>
      <c r="M402">
        <v>60</v>
      </c>
      <c r="N402">
        <v>60</v>
      </c>
      <c r="O402">
        <v>60</v>
      </c>
      <c r="P402">
        <v>0</v>
      </c>
      <c r="Q402" t="s">
        <v>555</v>
      </c>
      <c r="R402" t="s">
        <v>436</v>
      </c>
    </row>
    <row r="403" spans="1:18" x14ac:dyDescent="0.35">
      <c r="A403" t="s">
        <v>518</v>
      </c>
      <c r="B403" t="s">
        <v>519</v>
      </c>
      <c r="C403" t="s">
        <v>506</v>
      </c>
      <c r="D403" t="s">
        <v>495</v>
      </c>
      <c r="E403" t="s">
        <v>431</v>
      </c>
      <c r="F403" t="s">
        <v>462</v>
      </c>
      <c r="G403" t="s">
        <v>463</v>
      </c>
      <c r="H403" t="s">
        <v>463</v>
      </c>
      <c r="I403">
        <v>11</v>
      </c>
      <c r="J403">
        <v>11</v>
      </c>
      <c r="K403">
        <v>11</v>
      </c>
      <c r="L403">
        <v>11</v>
      </c>
      <c r="M403">
        <v>11</v>
      </c>
      <c r="N403">
        <v>11</v>
      </c>
      <c r="O403">
        <v>11</v>
      </c>
      <c r="P403">
        <v>0</v>
      </c>
      <c r="Q403" t="s">
        <v>555</v>
      </c>
      <c r="R403" t="s">
        <v>436</v>
      </c>
    </row>
    <row r="404" spans="1:18" x14ac:dyDescent="0.35">
      <c r="A404" t="s">
        <v>518</v>
      </c>
      <c r="B404" t="s">
        <v>519</v>
      </c>
      <c r="C404" t="s">
        <v>506</v>
      </c>
      <c r="D404" t="s">
        <v>495</v>
      </c>
      <c r="E404" t="s">
        <v>431</v>
      </c>
      <c r="F404" t="s">
        <v>464</v>
      </c>
      <c r="G404" t="s">
        <v>465</v>
      </c>
      <c r="H404" t="s">
        <v>465</v>
      </c>
      <c r="I404">
        <v>12</v>
      </c>
      <c r="J404">
        <v>12</v>
      </c>
      <c r="K404">
        <v>12</v>
      </c>
      <c r="L404">
        <v>12</v>
      </c>
      <c r="M404">
        <v>12</v>
      </c>
      <c r="N404">
        <v>12</v>
      </c>
      <c r="O404">
        <v>12</v>
      </c>
      <c r="P404">
        <v>0</v>
      </c>
      <c r="Q404" t="s">
        <v>555</v>
      </c>
      <c r="R404" t="s">
        <v>436</v>
      </c>
    </row>
    <row r="405" spans="1:18" x14ac:dyDescent="0.35">
      <c r="A405" t="s">
        <v>518</v>
      </c>
      <c r="B405" t="s">
        <v>519</v>
      </c>
      <c r="C405" t="s">
        <v>506</v>
      </c>
      <c r="D405" t="s">
        <v>559</v>
      </c>
      <c r="E405" t="s">
        <v>431</v>
      </c>
      <c r="F405" t="s">
        <v>468</v>
      </c>
      <c r="G405" t="s">
        <v>472</v>
      </c>
      <c r="H405" t="s">
        <v>472</v>
      </c>
      <c r="I405">
        <v>16</v>
      </c>
      <c r="J405">
        <v>21</v>
      </c>
      <c r="K405">
        <v>25</v>
      </c>
      <c r="L405">
        <v>29</v>
      </c>
      <c r="M405">
        <v>31</v>
      </c>
      <c r="N405">
        <v>34</v>
      </c>
      <c r="O405">
        <v>36</v>
      </c>
      <c r="P405">
        <v>0</v>
      </c>
      <c r="Q405" t="s">
        <v>555</v>
      </c>
      <c r="R405" t="s">
        <v>436</v>
      </c>
    </row>
    <row r="406" spans="1:18" x14ac:dyDescent="0.35">
      <c r="A406" t="s">
        <v>518</v>
      </c>
      <c r="B406" t="s">
        <v>519</v>
      </c>
      <c r="C406" t="s">
        <v>506</v>
      </c>
      <c r="D406" t="s">
        <v>559</v>
      </c>
      <c r="E406" t="s">
        <v>431</v>
      </c>
      <c r="F406" t="s">
        <v>468</v>
      </c>
      <c r="G406" t="s">
        <v>556</v>
      </c>
      <c r="H406" t="s">
        <v>556</v>
      </c>
      <c r="I406">
        <v>29</v>
      </c>
      <c r="J406">
        <v>39</v>
      </c>
      <c r="K406">
        <v>45</v>
      </c>
      <c r="L406">
        <v>53</v>
      </c>
      <c r="M406">
        <v>56</v>
      </c>
      <c r="N406">
        <v>62</v>
      </c>
      <c r="O406">
        <v>64</v>
      </c>
      <c r="P406">
        <v>0</v>
      </c>
      <c r="Q406" t="s">
        <v>555</v>
      </c>
      <c r="R406" t="s">
        <v>436</v>
      </c>
    </row>
    <row r="407" spans="1:18" x14ac:dyDescent="0.35">
      <c r="A407" t="s">
        <v>518</v>
      </c>
      <c r="B407" t="s">
        <v>519</v>
      </c>
      <c r="C407" t="s">
        <v>506</v>
      </c>
      <c r="D407" t="s">
        <v>559</v>
      </c>
      <c r="E407" t="s">
        <v>431</v>
      </c>
      <c r="F407" t="s">
        <v>468</v>
      </c>
      <c r="G407" t="s">
        <v>469</v>
      </c>
      <c r="H407" t="s">
        <v>469</v>
      </c>
      <c r="I407">
        <v>12</v>
      </c>
      <c r="J407">
        <v>16</v>
      </c>
      <c r="K407">
        <v>19</v>
      </c>
      <c r="L407">
        <v>23</v>
      </c>
      <c r="M407">
        <v>28</v>
      </c>
      <c r="N407">
        <v>33</v>
      </c>
      <c r="O407">
        <v>37</v>
      </c>
      <c r="P407">
        <v>0</v>
      </c>
      <c r="Q407" t="s">
        <v>555</v>
      </c>
      <c r="R407" t="s">
        <v>436</v>
      </c>
    </row>
    <row r="408" spans="1:18" x14ac:dyDescent="0.35">
      <c r="A408" t="s">
        <v>518</v>
      </c>
      <c r="B408" t="s">
        <v>519</v>
      </c>
      <c r="C408" t="s">
        <v>506</v>
      </c>
      <c r="D408" t="s">
        <v>559</v>
      </c>
      <c r="E408" t="s">
        <v>431</v>
      </c>
      <c r="F408" t="s">
        <v>468</v>
      </c>
      <c r="G408" t="s">
        <v>471</v>
      </c>
      <c r="H408" t="s">
        <v>471</v>
      </c>
      <c r="I408">
        <v>11</v>
      </c>
      <c r="J408">
        <v>14</v>
      </c>
      <c r="K408">
        <v>16</v>
      </c>
      <c r="L408">
        <v>19</v>
      </c>
      <c r="M408">
        <v>22</v>
      </c>
      <c r="N408">
        <v>24</v>
      </c>
      <c r="O408">
        <v>26</v>
      </c>
      <c r="P408">
        <v>0</v>
      </c>
      <c r="Q408" t="s">
        <v>555</v>
      </c>
      <c r="R408" t="s">
        <v>436</v>
      </c>
    </row>
    <row r="409" spans="1:18" x14ac:dyDescent="0.35">
      <c r="A409" t="s">
        <v>518</v>
      </c>
      <c r="B409" t="s">
        <v>519</v>
      </c>
      <c r="C409" t="s">
        <v>506</v>
      </c>
      <c r="D409" t="s">
        <v>559</v>
      </c>
      <c r="E409" t="s">
        <v>431</v>
      </c>
      <c r="F409" t="s">
        <v>441</v>
      </c>
      <c r="G409" t="s">
        <v>444</v>
      </c>
      <c r="H409" t="s">
        <v>444</v>
      </c>
      <c r="I409">
        <v>5</v>
      </c>
      <c r="J409">
        <v>6</v>
      </c>
      <c r="K409">
        <v>6</v>
      </c>
      <c r="L409">
        <v>9</v>
      </c>
      <c r="M409">
        <v>11</v>
      </c>
      <c r="N409">
        <v>15</v>
      </c>
      <c r="O409">
        <v>17</v>
      </c>
      <c r="P409">
        <v>0</v>
      </c>
      <c r="Q409" t="s">
        <v>555</v>
      </c>
      <c r="R409" t="s">
        <v>436</v>
      </c>
    </row>
    <row r="410" spans="1:18" x14ac:dyDescent="0.35">
      <c r="A410" t="s">
        <v>518</v>
      </c>
      <c r="B410" t="s">
        <v>519</v>
      </c>
      <c r="C410" t="s">
        <v>506</v>
      </c>
      <c r="D410" t="s">
        <v>559</v>
      </c>
      <c r="E410" t="s">
        <v>431</v>
      </c>
      <c r="F410" t="s">
        <v>441</v>
      </c>
      <c r="G410" t="s">
        <v>557</v>
      </c>
      <c r="H410" t="s">
        <v>557</v>
      </c>
      <c r="I410">
        <v>6</v>
      </c>
      <c r="J410">
        <v>8</v>
      </c>
      <c r="K410">
        <v>8</v>
      </c>
      <c r="L410">
        <v>14</v>
      </c>
      <c r="M410">
        <v>20</v>
      </c>
      <c r="N410">
        <v>25</v>
      </c>
      <c r="O410">
        <v>28</v>
      </c>
      <c r="P410">
        <v>0</v>
      </c>
      <c r="Q410" t="s">
        <v>555</v>
      </c>
      <c r="R410" t="s">
        <v>436</v>
      </c>
    </row>
    <row r="411" spans="1:18" x14ac:dyDescent="0.35">
      <c r="A411" t="s">
        <v>518</v>
      </c>
      <c r="B411" t="s">
        <v>519</v>
      </c>
      <c r="C411" t="s">
        <v>506</v>
      </c>
      <c r="D411" t="s">
        <v>559</v>
      </c>
      <c r="E411" t="s">
        <v>431</v>
      </c>
      <c r="F411" t="s">
        <v>441</v>
      </c>
      <c r="G411" t="s">
        <v>442</v>
      </c>
      <c r="H411" t="s">
        <v>442</v>
      </c>
      <c r="I411">
        <v>6</v>
      </c>
      <c r="J411">
        <v>8</v>
      </c>
      <c r="K411">
        <v>9</v>
      </c>
      <c r="L411">
        <v>14</v>
      </c>
      <c r="M411">
        <v>18</v>
      </c>
      <c r="N411">
        <v>22</v>
      </c>
      <c r="O411">
        <v>26</v>
      </c>
      <c r="P411">
        <v>0</v>
      </c>
      <c r="Q411" t="s">
        <v>555</v>
      </c>
      <c r="R411" t="s">
        <v>436</v>
      </c>
    </row>
    <row r="412" spans="1:18" x14ac:dyDescent="0.35">
      <c r="A412" t="s">
        <v>518</v>
      </c>
      <c r="B412" t="s">
        <v>519</v>
      </c>
      <c r="C412" t="s">
        <v>506</v>
      </c>
      <c r="D412" t="s">
        <v>559</v>
      </c>
      <c r="E412" t="s">
        <v>431</v>
      </c>
      <c r="F412" t="s">
        <v>459</v>
      </c>
      <c r="G412" t="s">
        <v>461</v>
      </c>
      <c r="H412" t="s">
        <v>461</v>
      </c>
      <c r="I412">
        <v>21</v>
      </c>
      <c r="J412">
        <v>28</v>
      </c>
      <c r="K412">
        <v>34</v>
      </c>
      <c r="L412">
        <v>47</v>
      </c>
      <c r="M412">
        <v>61</v>
      </c>
      <c r="N412">
        <v>77</v>
      </c>
      <c r="O412">
        <v>92</v>
      </c>
      <c r="P412">
        <v>0</v>
      </c>
      <c r="Q412" t="s">
        <v>555</v>
      </c>
      <c r="R412" t="s">
        <v>436</v>
      </c>
    </row>
    <row r="413" spans="1:18" x14ac:dyDescent="0.35">
      <c r="A413" t="s">
        <v>518</v>
      </c>
      <c r="B413" t="s">
        <v>519</v>
      </c>
      <c r="C413" t="s">
        <v>506</v>
      </c>
      <c r="D413" t="s">
        <v>559</v>
      </c>
      <c r="E413" t="s">
        <v>431</v>
      </c>
      <c r="F413" t="s">
        <v>481</v>
      </c>
      <c r="G413" t="s">
        <v>483</v>
      </c>
      <c r="H413" t="s">
        <v>483</v>
      </c>
      <c r="I413">
        <v>8</v>
      </c>
      <c r="J413">
        <v>11</v>
      </c>
      <c r="K413">
        <v>13</v>
      </c>
      <c r="L413">
        <v>19</v>
      </c>
      <c r="M413">
        <v>24</v>
      </c>
      <c r="N413">
        <v>30</v>
      </c>
      <c r="O413">
        <v>37</v>
      </c>
      <c r="P413">
        <v>0</v>
      </c>
      <c r="Q413" t="s">
        <v>555</v>
      </c>
      <c r="R413" t="s">
        <v>436</v>
      </c>
    </row>
    <row r="414" spans="1:18" x14ac:dyDescent="0.35">
      <c r="A414" t="s">
        <v>518</v>
      </c>
      <c r="B414" t="s">
        <v>519</v>
      </c>
      <c r="C414" t="s">
        <v>506</v>
      </c>
      <c r="D414" t="s">
        <v>559</v>
      </c>
      <c r="E414" t="s">
        <v>431</v>
      </c>
      <c r="F414" t="s">
        <v>481</v>
      </c>
      <c r="G414" t="s">
        <v>558</v>
      </c>
      <c r="H414" t="s">
        <v>558</v>
      </c>
      <c r="I414">
        <v>15</v>
      </c>
      <c r="J414">
        <v>20</v>
      </c>
      <c r="K414">
        <v>22</v>
      </c>
      <c r="L414">
        <v>31</v>
      </c>
      <c r="M414">
        <v>39</v>
      </c>
      <c r="N414">
        <v>48</v>
      </c>
      <c r="O414">
        <v>62</v>
      </c>
      <c r="P414">
        <v>0</v>
      </c>
      <c r="Q414" t="s">
        <v>555</v>
      </c>
      <c r="R414" t="s">
        <v>436</v>
      </c>
    </row>
    <row r="415" spans="1:18" x14ac:dyDescent="0.35">
      <c r="A415" t="s">
        <v>518</v>
      </c>
      <c r="B415" t="s">
        <v>519</v>
      </c>
      <c r="C415" t="s">
        <v>506</v>
      </c>
      <c r="D415" t="s">
        <v>559</v>
      </c>
      <c r="E415" t="s">
        <v>431</v>
      </c>
      <c r="F415" t="s">
        <v>481</v>
      </c>
      <c r="G415" t="s">
        <v>482</v>
      </c>
      <c r="H415" t="s">
        <v>482</v>
      </c>
      <c r="I415">
        <v>14</v>
      </c>
      <c r="J415">
        <v>18</v>
      </c>
      <c r="K415">
        <v>21</v>
      </c>
      <c r="L415">
        <v>27</v>
      </c>
      <c r="M415">
        <v>33</v>
      </c>
      <c r="N415">
        <v>39</v>
      </c>
      <c r="O415">
        <v>45</v>
      </c>
      <c r="P415">
        <v>0</v>
      </c>
      <c r="Q415" t="s">
        <v>555</v>
      </c>
      <c r="R415" t="s">
        <v>436</v>
      </c>
    </row>
    <row r="416" spans="1:18" x14ac:dyDescent="0.35">
      <c r="A416" t="s">
        <v>518</v>
      </c>
      <c r="B416" t="s">
        <v>519</v>
      </c>
      <c r="C416" t="s">
        <v>506</v>
      </c>
      <c r="D416" t="s">
        <v>559</v>
      </c>
      <c r="E416" t="s">
        <v>431</v>
      </c>
      <c r="F416" t="s">
        <v>480</v>
      </c>
      <c r="G416" t="s">
        <v>480</v>
      </c>
      <c r="H416" t="s">
        <v>480</v>
      </c>
      <c r="I416">
        <v>53</v>
      </c>
      <c r="J416">
        <v>71</v>
      </c>
      <c r="K416">
        <v>72</v>
      </c>
      <c r="L416">
        <v>89</v>
      </c>
      <c r="M416">
        <v>108</v>
      </c>
      <c r="N416">
        <v>128</v>
      </c>
      <c r="O416">
        <v>149</v>
      </c>
      <c r="P416">
        <v>0</v>
      </c>
      <c r="Q416" t="s">
        <v>555</v>
      </c>
      <c r="R416" t="s">
        <v>436</v>
      </c>
    </row>
    <row r="417" spans="1:18" x14ac:dyDescent="0.35">
      <c r="A417" t="s">
        <v>518</v>
      </c>
      <c r="B417" t="s">
        <v>519</v>
      </c>
      <c r="C417" t="s">
        <v>506</v>
      </c>
      <c r="D417" t="s">
        <v>559</v>
      </c>
      <c r="E417" t="s">
        <v>431</v>
      </c>
      <c r="F417" t="s">
        <v>466</v>
      </c>
      <c r="G417" t="s">
        <v>466</v>
      </c>
      <c r="H417" t="s">
        <v>466</v>
      </c>
      <c r="I417">
        <v>53</v>
      </c>
      <c r="J417">
        <v>71</v>
      </c>
      <c r="K417">
        <v>71</v>
      </c>
      <c r="L417">
        <v>71</v>
      </c>
      <c r="M417">
        <v>71</v>
      </c>
      <c r="N417">
        <v>71</v>
      </c>
      <c r="O417">
        <v>71</v>
      </c>
      <c r="P417">
        <v>0</v>
      </c>
      <c r="Q417" t="s">
        <v>555</v>
      </c>
      <c r="R417" t="s">
        <v>436</v>
      </c>
    </row>
    <row r="418" spans="1:18" x14ac:dyDescent="0.35">
      <c r="A418" t="s">
        <v>518</v>
      </c>
      <c r="B418" t="s">
        <v>519</v>
      </c>
      <c r="C418" t="s">
        <v>506</v>
      </c>
      <c r="D418" t="s">
        <v>559</v>
      </c>
      <c r="E418" t="s">
        <v>431</v>
      </c>
      <c r="F418" t="s">
        <v>477</v>
      </c>
      <c r="G418" t="s">
        <v>477</v>
      </c>
      <c r="H418" t="s">
        <v>477</v>
      </c>
      <c r="I418">
        <v>60</v>
      </c>
      <c r="J418">
        <v>60</v>
      </c>
      <c r="K418">
        <v>60</v>
      </c>
      <c r="L418">
        <v>60</v>
      </c>
      <c r="M418">
        <v>60</v>
      </c>
      <c r="N418">
        <v>60</v>
      </c>
      <c r="O418">
        <v>60</v>
      </c>
      <c r="P418">
        <v>0</v>
      </c>
      <c r="Q418" t="s">
        <v>555</v>
      </c>
      <c r="R418" t="s">
        <v>436</v>
      </c>
    </row>
    <row r="419" spans="1:18" x14ac:dyDescent="0.35">
      <c r="A419" t="s">
        <v>518</v>
      </c>
      <c r="B419" t="s">
        <v>519</v>
      </c>
      <c r="C419" t="s">
        <v>506</v>
      </c>
      <c r="D419" t="s">
        <v>559</v>
      </c>
      <c r="E419" t="s">
        <v>431</v>
      </c>
      <c r="F419" t="s">
        <v>462</v>
      </c>
      <c r="G419" t="s">
        <v>463</v>
      </c>
      <c r="H419" t="s">
        <v>463</v>
      </c>
      <c r="I419">
        <v>11</v>
      </c>
      <c r="J419">
        <v>11</v>
      </c>
      <c r="K419">
        <v>11</v>
      </c>
      <c r="L419">
        <v>11</v>
      </c>
      <c r="M419">
        <v>11</v>
      </c>
      <c r="N419">
        <v>11</v>
      </c>
      <c r="O419">
        <v>11</v>
      </c>
      <c r="P419">
        <v>0</v>
      </c>
      <c r="Q419" t="s">
        <v>555</v>
      </c>
      <c r="R419" t="s">
        <v>436</v>
      </c>
    </row>
    <row r="420" spans="1:18" x14ac:dyDescent="0.35">
      <c r="A420" t="s">
        <v>518</v>
      </c>
      <c r="B420" t="s">
        <v>519</v>
      </c>
      <c r="C420" t="s">
        <v>506</v>
      </c>
      <c r="D420" t="s">
        <v>559</v>
      </c>
      <c r="E420" t="s">
        <v>431</v>
      </c>
      <c r="F420" t="s">
        <v>464</v>
      </c>
      <c r="G420" t="s">
        <v>465</v>
      </c>
      <c r="H420" t="s">
        <v>465</v>
      </c>
      <c r="I420">
        <v>12</v>
      </c>
      <c r="J420">
        <v>12</v>
      </c>
      <c r="K420">
        <v>12</v>
      </c>
      <c r="L420">
        <v>12</v>
      </c>
      <c r="M420">
        <v>12</v>
      </c>
      <c r="N420">
        <v>12</v>
      </c>
      <c r="O420">
        <v>12</v>
      </c>
      <c r="P420">
        <v>0</v>
      </c>
      <c r="Q420" t="s">
        <v>555</v>
      </c>
      <c r="R420" t="s">
        <v>436</v>
      </c>
    </row>
    <row r="421" spans="1:18" x14ac:dyDescent="0.35">
      <c r="A421" t="s">
        <v>518</v>
      </c>
      <c r="B421" t="s">
        <v>519</v>
      </c>
      <c r="C421" t="s">
        <v>506</v>
      </c>
      <c r="D421" t="s">
        <v>560</v>
      </c>
      <c r="E421" t="s">
        <v>486</v>
      </c>
      <c r="F421" t="s">
        <v>468</v>
      </c>
      <c r="G421" t="s">
        <v>472</v>
      </c>
      <c r="H421" t="s">
        <v>472</v>
      </c>
      <c r="I421">
        <v>20</v>
      </c>
      <c r="J421">
        <v>27</v>
      </c>
      <c r="K421">
        <v>36</v>
      </c>
      <c r="L421">
        <v>42</v>
      </c>
      <c r="M421">
        <v>45</v>
      </c>
      <c r="N421">
        <v>49</v>
      </c>
      <c r="O421">
        <v>55</v>
      </c>
      <c r="P421">
        <v>58</v>
      </c>
      <c r="Q421" t="s">
        <v>555</v>
      </c>
      <c r="R421" t="s">
        <v>436</v>
      </c>
    </row>
    <row r="422" spans="1:18" x14ac:dyDescent="0.35">
      <c r="A422" t="s">
        <v>518</v>
      </c>
      <c r="B422" t="s">
        <v>519</v>
      </c>
      <c r="C422" t="s">
        <v>506</v>
      </c>
      <c r="D422" t="s">
        <v>560</v>
      </c>
      <c r="E422" t="s">
        <v>486</v>
      </c>
      <c r="F422" t="s">
        <v>468</v>
      </c>
      <c r="G422" t="s">
        <v>556</v>
      </c>
      <c r="H422" t="s">
        <v>556</v>
      </c>
      <c r="I422">
        <v>42</v>
      </c>
      <c r="J422">
        <v>56</v>
      </c>
      <c r="K422">
        <v>64</v>
      </c>
      <c r="L422">
        <v>73</v>
      </c>
      <c r="M422">
        <v>78</v>
      </c>
      <c r="N422">
        <v>87</v>
      </c>
      <c r="O422">
        <v>95</v>
      </c>
      <c r="P422">
        <v>101</v>
      </c>
      <c r="Q422" t="s">
        <v>555</v>
      </c>
      <c r="R422" t="s">
        <v>436</v>
      </c>
    </row>
    <row r="423" spans="1:18" x14ac:dyDescent="0.35">
      <c r="A423" t="s">
        <v>518</v>
      </c>
      <c r="B423" t="s">
        <v>519</v>
      </c>
      <c r="C423" t="s">
        <v>506</v>
      </c>
      <c r="D423" t="s">
        <v>560</v>
      </c>
      <c r="E423" t="s">
        <v>486</v>
      </c>
      <c r="F423" t="s">
        <v>468</v>
      </c>
      <c r="G423" t="s">
        <v>469</v>
      </c>
      <c r="H423" t="s">
        <v>469</v>
      </c>
      <c r="I423">
        <v>24</v>
      </c>
      <c r="J423">
        <v>32</v>
      </c>
      <c r="K423">
        <v>38</v>
      </c>
      <c r="L423">
        <v>43</v>
      </c>
      <c r="M423">
        <v>48</v>
      </c>
      <c r="N423">
        <v>54</v>
      </c>
      <c r="O423">
        <v>59</v>
      </c>
      <c r="P423">
        <v>64</v>
      </c>
      <c r="Q423" t="s">
        <v>555</v>
      </c>
      <c r="R423" t="s">
        <v>436</v>
      </c>
    </row>
    <row r="424" spans="1:18" x14ac:dyDescent="0.35">
      <c r="A424" t="s">
        <v>518</v>
      </c>
      <c r="B424" t="s">
        <v>519</v>
      </c>
      <c r="C424" t="s">
        <v>506</v>
      </c>
      <c r="D424" t="s">
        <v>560</v>
      </c>
      <c r="E424" t="s">
        <v>486</v>
      </c>
      <c r="F424" t="s">
        <v>468</v>
      </c>
      <c r="G424" t="s">
        <v>471</v>
      </c>
      <c r="H424" t="s">
        <v>471</v>
      </c>
      <c r="I424">
        <v>15</v>
      </c>
      <c r="J424">
        <v>20</v>
      </c>
      <c r="K424">
        <v>23</v>
      </c>
      <c r="L424">
        <v>27</v>
      </c>
      <c r="M424">
        <v>31</v>
      </c>
      <c r="N424">
        <v>34</v>
      </c>
      <c r="O424">
        <v>38</v>
      </c>
      <c r="P424">
        <v>41</v>
      </c>
      <c r="Q424" t="s">
        <v>555</v>
      </c>
      <c r="R424" t="s">
        <v>436</v>
      </c>
    </row>
    <row r="425" spans="1:18" x14ac:dyDescent="0.35">
      <c r="A425" t="s">
        <v>518</v>
      </c>
      <c r="B425" t="s">
        <v>519</v>
      </c>
      <c r="C425" t="s">
        <v>506</v>
      </c>
      <c r="D425" t="s">
        <v>560</v>
      </c>
      <c r="E425" t="s">
        <v>486</v>
      </c>
      <c r="F425" t="s">
        <v>441</v>
      </c>
      <c r="G425" t="s">
        <v>444</v>
      </c>
      <c r="H425" t="s">
        <v>444</v>
      </c>
      <c r="I425">
        <v>5</v>
      </c>
      <c r="J425">
        <v>6</v>
      </c>
      <c r="K425">
        <v>6</v>
      </c>
      <c r="L425">
        <v>9</v>
      </c>
      <c r="M425">
        <v>11</v>
      </c>
      <c r="N425">
        <v>15</v>
      </c>
      <c r="O425">
        <v>17</v>
      </c>
      <c r="P425">
        <v>19</v>
      </c>
      <c r="Q425" t="s">
        <v>555</v>
      </c>
      <c r="R425" t="s">
        <v>436</v>
      </c>
    </row>
    <row r="426" spans="1:18" x14ac:dyDescent="0.35">
      <c r="A426" t="s">
        <v>518</v>
      </c>
      <c r="B426" t="s">
        <v>519</v>
      </c>
      <c r="C426" t="s">
        <v>506</v>
      </c>
      <c r="D426" t="s">
        <v>560</v>
      </c>
      <c r="E426" t="s">
        <v>486</v>
      </c>
      <c r="F426" t="s">
        <v>441</v>
      </c>
      <c r="G426" t="s">
        <v>557</v>
      </c>
      <c r="H426" t="s">
        <v>557</v>
      </c>
      <c r="I426">
        <v>6</v>
      </c>
      <c r="J426">
        <v>8</v>
      </c>
      <c r="K426">
        <v>8</v>
      </c>
      <c r="L426">
        <v>14</v>
      </c>
      <c r="M426">
        <v>20</v>
      </c>
      <c r="N426">
        <v>25</v>
      </c>
      <c r="O426">
        <v>28</v>
      </c>
      <c r="P426">
        <v>31</v>
      </c>
      <c r="Q426" t="s">
        <v>555</v>
      </c>
      <c r="R426" t="s">
        <v>436</v>
      </c>
    </row>
    <row r="427" spans="1:18" x14ac:dyDescent="0.35">
      <c r="A427" t="s">
        <v>518</v>
      </c>
      <c r="B427" t="s">
        <v>519</v>
      </c>
      <c r="C427" t="s">
        <v>506</v>
      </c>
      <c r="D427" t="s">
        <v>560</v>
      </c>
      <c r="E427" t="s">
        <v>486</v>
      </c>
      <c r="F427" t="s">
        <v>441</v>
      </c>
      <c r="G427" t="s">
        <v>442</v>
      </c>
      <c r="H427" t="s">
        <v>442</v>
      </c>
      <c r="I427">
        <v>6</v>
      </c>
      <c r="J427">
        <v>8</v>
      </c>
      <c r="K427">
        <v>9</v>
      </c>
      <c r="L427">
        <v>14</v>
      </c>
      <c r="M427">
        <v>17</v>
      </c>
      <c r="N427">
        <v>22</v>
      </c>
      <c r="O427">
        <v>26</v>
      </c>
      <c r="P427">
        <v>28</v>
      </c>
      <c r="Q427" t="s">
        <v>555</v>
      </c>
      <c r="R427" t="s">
        <v>436</v>
      </c>
    </row>
    <row r="428" spans="1:18" x14ac:dyDescent="0.35">
      <c r="A428" t="s">
        <v>518</v>
      </c>
      <c r="B428" t="s">
        <v>519</v>
      </c>
      <c r="C428" t="s">
        <v>506</v>
      </c>
      <c r="D428" t="s">
        <v>560</v>
      </c>
      <c r="E428" t="s">
        <v>486</v>
      </c>
      <c r="F428" t="s">
        <v>459</v>
      </c>
      <c r="G428" t="s">
        <v>461</v>
      </c>
      <c r="H428" t="s">
        <v>461</v>
      </c>
      <c r="I428">
        <v>32</v>
      </c>
      <c r="J428">
        <v>42</v>
      </c>
      <c r="K428">
        <v>50</v>
      </c>
      <c r="L428">
        <v>71</v>
      </c>
      <c r="M428">
        <v>94</v>
      </c>
      <c r="N428">
        <v>117</v>
      </c>
      <c r="O428">
        <v>140</v>
      </c>
      <c r="P428">
        <v>152</v>
      </c>
      <c r="Q428" t="s">
        <v>555</v>
      </c>
      <c r="R428" t="s">
        <v>436</v>
      </c>
    </row>
    <row r="429" spans="1:18" x14ac:dyDescent="0.35">
      <c r="A429" t="s">
        <v>518</v>
      </c>
      <c r="B429" t="s">
        <v>519</v>
      </c>
      <c r="C429" t="s">
        <v>506</v>
      </c>
      <c r="D429" t="s">
        <v>560</v>
      </c>
      <c r="E429" t="s">
        <v>486</v>
      </c>
      <c r="F429" t="s">
        <v>481</v>
      </c>
      <c r="G429" t="s">
        <v>483</v>
      </c>
      <c r="H429" t="s">
        <v>483</v>
      </c>
      <c r="I429">
        <v>10</v>
      </c>
      <c r="J429">
        <v>13</v>
      </c>
      <c r="K429">
        <v>17</v>
      </c>
      <c r="L429">
        <v>24</v>
      </c>
      <c r="M429">
        <v>31</v>
      </c>
      <c r="N429">
        <v>39</v>
      </c>
      <c r="O429">
        <v>44</v>
      </c>
      <c r="P429">
        <v>48</v>
      </c>
      <c r="Q429" t="s">
        <v>555</v>
      </c>
      <c r="R429" t="s">
        <v>436</v>
      </c>
    </row>
    <row r="430" spans="1:18" x14ac:dyDescent="0.35">
      <c r="A430" t="s">
        <v>518</v>
      </c>
      <c r="B430" t="s">
        <v>519</v>
      </c>
      <c r="C430" t="s">
        <v>506</v>
      </c>
      <c r="D430" t="s">
        <v>560</v>
      </c>
      <c r="E430" t="s">
        <v>486</v>
      </c>
      <c r="F430" t="s">
        <v>481</v>
      </c>
      <c r="G430" t="s">
        <v>558</v>
      </c>
      <c r="H430" t="s">
        <v>558</v>
      </c>
      <c r="I430">
        <v>17</v>
      </c>
      <c r="J430">
        <v>22</v>
      </c>
      <c r="K430">
        <v>28</v>
      </c>
      <c r="L430">
        <v>39</v>
      </c>
      <c r="M430">
        <v>53</v>
      </c>
      <c r="N430">
        <v>64</v>
      </c>
      <c r="O430">
        <v>73</v>
      </c>
      <c r="P430">
        <v>78</v>
      </c>
      <c r="Q430" t="s">
        <v>555</v>
      </c>
      <c r="R430" t="s">
        <v>436</v>
      </c>
    </row>
    <row r="431" spans="1:18" x14ac:dyDescent="0.35">
      <c r="A431" t="s">
        <v>518</v>
      </c>
      <c r="B431" t="s">
        <v>519</v>
      </c>
      <c r="C431" t="s">
        <v>506</v>
      </c>
      <c r="D431" t="s">
        <v>560</v>
      </c>
      <c r="E431" t="s">
        <v>486</v>
      </c>
      <c r="F431" t="s">
        <v>481</v>
      </c>
      <c r="G431" t="s">
        <v>482</v>
      </c>
      <c r="H431" t="s">
        <v>482</v>
      </c>
      <c r="I431">
        <v>32</v>
      </c>
      <c r="J431">
        <v>42</v>
      </c>
      <c r="K431">
        <v>50</v>
      </c>
      <c r="L431">
        <v>71</v>
      </c>
      <c r="M431">
        <v>94</v>
      </c>
      <c r="N431">
        <v>117</v>
      </c>
      <c r="O431">
        <v>140</v>
      </c>
      <c r="P431">
        <v>152</v>
      </c>
      <c r="Q431" t="s">
        <v>555</v>
      </c>
      <c r="R431" t="s">
        <v>436</v>
      </c>
    </row>
    <row r="432" spans="1:18" x14ac:dyDescent="0.35">
      <c r="A432" t="s">
        <v>518</v>
      </c>
      <c r="B432" t="s">
        <v>519</v>
      </c>
      <c r="C432" t="s">
        <v>506</v>
      </c>
      <c r="D432" t="s">
        <v>560</v>
      </c>
      <c r="E432" t="s">
        <v>486</v>
      </c>
      <c r="F432" t="s">
        <v>480</v>
      </c>
      <c r="G432" t="s">
        <v>480</v>
      </c>
      <c r="H432" t="s">
        <v>480</v>
      </c>
      <c r="I432">
        <v>53</v>
      </c>
      <c r="J432">
        <v>71</v>
      </c>
      <c r="K432">
        <v>72</v>
      </c>
      <c r="L432">
        <v>89</v>
      </c>
      <c r="M432">
        <v>108</v>
      </c>
      <c r="N432">
        <v>128</v>
      </c>
      <c r="O432">
        <v>149</v>
      </c>
      <c r="P432">
        <v>164</v>
      </c>
      <c r="Q432" t="s">
        <v>555</v>
      </c>
      <c r="R432" t="s">
        <v>436</v>
      </c>
    </row>
    <row r="433" spans="1:18" x14ac:dyDescent="0.35">
      <c r="A433" t="s">
        <v>518</v>
      </c>
      <c r="B433" t="s">
        <v>519</v>
      </c>
      <c r="C433" t="s">
        <v>506</v>
      </c>
      <c r="D433" t="s">
        <v>560</v>
      </c>
      <c r="E433" t="s">
        <v>486</v>
      </c>
      <c r="F433" t="s">
        <v>466</v>
      </c>
      <c r="G433" t="s">
        <v>466</v>
      </c>
      <c r="H433" t="s">
        <v>466</v>
      </c>
      <c r="I433">
        <v>53</v>
      </c>
      <c r="J433">
        <v>71</v>
      </c>
      <c r="K433">
        <v>71</v>
      </c>
      <c r="L433">
        <v>71</v>
      </c>
      <c r="M433">
        <v>71</v>
      </c>
      <c r="N433">
        <v>71</v>
      </c>
      <c r="O433">
        <v>71</v>
      </c>
      <c r="P433">
        <v>71</v>
      </c>
      <c r="Q433" t="s">
        <v>555</v>
      </c>
      <c r="R433" t="s">
        <v>436</v>
      </c>
    </row>
    <row r="434" spans="1:18" x14ac:dyDescent="0.35">
      <c r="A434" t="s">
        <v>518</v>
      </c>
      <c r="B434" t="s">
        <v>519</v>
      </c>
      <c r="C434" t="s">
        <v>506</v>
      </c>
      <c r="D434" t="s">
        <v>560</v>
      </c>
      <c r="E434" t="s">
        <v>486</v>
      </c>
      <c r="F434" t="s">
        <v>477</v>
      </c>
      <c r="G434" t="s">
        <v>477</v>
      </c>
      <c r="H434" t="s">
        <v>477</v>
      </c>
      <c r="I434">
        <v>45</v>
      </c>
      <c r="J434">
        <v>60</v>
      </c>
      <c r="K434">
        <v>60</v>
      </c>
      <c r="L434">
        <v>60</v>
      </c>
      <c r="M434">
        <v>60</v>
      </c>
      <c r="N434">
        <v>60</v>
      </c>
      <c r="O434">
        <v>60</v>
      </c>
      <c r="P434">
        <v>60</v>
      </c>
      <c r="Q434" t="s">
        <v>555</v>
      </c>
      <c r="R434" t="s">
        <v>436</v>
      </c>
    </row>
    <row r="435" spans="1:18" x14ac:dyDescent="0.35">
      <c r="A435" t="s">
        <v>518</v>
      </c>
      <c r="B435" t="s">
        <v>519</v>
      </c>
      <c r="C435" t="s">
        <v>506</v>
      </c>
      <c r="D435" t="s">
        <v>560</v>
      </c>
      <c r="E435" t="s">
        <v>486</v>
      </c>
      <c r="F435" t="s">
        <v>462</v>
      </c>
      <c r="G435" t="s">
        <v>463</v>
      </c>
      <c r="H435" t="s">
        <v>463</v>
      </c>
      <c r="I435">
        <v>11</v>
      </c>
      <c r="J435">
        <v>11</v>
      </c>
      <c r="K435">
        <v>11</v>
      </c>
      <c r="L435">
        <v>11</v>
      </c>
      <c r="M435">
        <v>11</v>
      </c>
      <c r="N435">
        <v>11</v>
      </c>
      <c r="O435">
        <v>11</v>
      </c>
      <c r="P435">
        <v>11</v>
      </c>
      <c r="Q435" t="s">
        <v>555</v>
      </c>
      <c r="R435" t="s">
        <v>436</v>
      </c>
    </row>
    <row r="436" spans="1:18" x14ac:dyDescent="0.35">
      <c r="A436" t="s">
        <v>518</v>
      </c>
      <c r="B436" t="s">
        <v>519</v>
      </c>
      <c r="C436" t="s">
        <v>506</v>
      </c>
      <c r="D436" t="s">
        <v>560</v>
      </c>
      <c r="E436" t="s">
        <v>486</v>
      </c>
      <c r="F436" t="s">
        <v>464</v>
      </c>
      <c r="G436" t="s">
        <v>465</v>
      </c>
      <c r="H436" t="s">
        <v>465</v>
      </c>
      <c r="I436">
        <v>12</v>
      </c>
      <c r="J436">
        <v>12</v>
      </c>
      <c r="K436">
        <v>12</v>
      </c>
      <c r="L436">
        <v>12</v>
      </c>
      <c r="M436">
        <v>12</v>
      </c>
      <c r="N436">
        <v>12</v>
      </c>
      <c r="O436">
        <v>12</v>
      </c>
      <c r="P436">
        <v>12</v>
      </c>
      <c r="Q436" t="s">
        <v>555</v>
      </c>
      <c r="R436" t="s">
        <v>436</v>
      </c>
    </row>
  </sheetData>
  <hyperlinks>
    <hyperlink ref="Q3" r:id="rId1" xr:uid="{935A7B02-AC0F-4AD8-B568-7C680D4C4731}"/>
    <hyperlink ref="Q6" r:id="rId2" xr:uid="{6010CB98-DC3E-4FB7-826C-8C662E00C047}"/>
    <hyperlink ref="Q7" r:id="rId3" xr:uid="{45F4B8CC-EA5B-438D-B67A-F8CB5591738A}"/>
    <hyperlink ref="Q8" r:id="rId4" xr:uid="{5C3D6C1B-AB3A-436B-AFF6-16BD1B55E7DF}"/>
    <hyperlink ref="Q9" r:id="rId5" xr:uid="{10607AB6-8408-4A04-B3CA-9C34792F0D39}"/>
    <hyperlink ref="Q10" r:id="rId6" xr:uid="{9535C396-F043-4238-9A3D-5A2471F90348}"/>
    <hyperlink ref="Q11" r:id="rId7" xr:uid="{E42DE830-6170-425D-877E-54FDD231DB96}"/>
    <hyperlink ref="Q13" r:id="rId8" xr:uid="{F406228A-63AE-4283-9A28-4BAA91195C79}"/>
    <hyperlink ref="Q15" r:id="rId9" xr:uid="{6BBA420C-F450-4C49-892F-FFDB32AB50B6}"/>
    <hyperlink ref="Q17" r:id="rId10" xr:uid="{DB4282A7-5408-4455-9D1D-AFB41A43E2E2}"/>
    <hyperlink ref="Q18" r:id="rId11" xr:uid="{52BADD69-5B42-410D-9F5F-B89DA2FDF9EA}"/>
    <hyperlink ref="Q20" r:id="rId12" xr:uid="{7EC52667-EA9F-4715-8159-1E780BC5ACED}"/>
    <hyperlink ref="Q24" r:id="rId13" xr:uid="{C252E821-2132-42ED-8696-F78959B27401}"/>
    <hyperlink ref="Q26" r:id="rId14" xr:uid="{0BC2316C-7543-4D2D-95C5-7C23698F99AA}"/>
    <hyperlink ref="Q29" r:id="rId15" xr:uid="{8B248C8F-7D23-49CD-96D3-9895AF75C1DF}"/>
    <hyperlink ref="Q30" r:id="rId16" xr:uid="{2C087471-FBD6-4FE8-A32B-20C265BC1BFE}"/>
    <hyperlink ref="Q31" r:id="rId17" xr:uid="{020E4965-069E-4570-AC3D-A86ABCC47761}"/>
    <hyperlink ref="Q32" r:id="rId18" xr:uid="{2C681569-0E86-4A83-9E2A-28558345DC1B}"/>
    <hyperlink ref="Q33" r:id="rId19" xr:uid="{B27EABF7-C5B8-460D-B509-03063827A2B0}"/>
    <hyperlink ref="Q34" r:id="rId20" xr:uid="{47C31E38-D7E1-439F-9D25-32548A91CC6B}"/>
    <hyperlink ref="Q38" r:id="rId21" xr:uid="{3E268772-9B3A-49D1-BEBD-FAE2BFB42857}"/>
    <hyperlink ref="Q40" r:id="rId22" xr:uid="{ECBC04AD-1B13-40BE-82E5-0A03DE592593}"/>
    <hyperlink ref="Q42" r:id="rId23" xr:uid="{B8A2B7A7-817F-4D82-A97D-E8BB717934FD}"/>
    <hyperlink ref="Q43" r:id="rId24" xr:uid="{83255B69-905E-471C-BDD2-FCCDF9BD605C}"/>
    <hyperlink ref="Q45" r:id="rId25" xr:uid="{1E914039-7853-44AA-86C5-6F3C311C7E63}"/>
    <hyperlink ref="Q49" r:id="rId26" xr:uid="{17D29B41-083F-4B94-911D-3DAD4C0D31C2}"/>
    <hyperlink ref="Q50" r:id="rId27" xr:uid="{9CC2CE8E-6341-4396-BF14-6A78D5874DBF}"/>
    <hyperlink ref="Q51" r:id="rId28" xr:uid="{28413F7F-3360-43AD-838E-2B87274DE74F}"/>
    <hyperlink ref="Q52" r:id="rId29" xr:uid="{D634CAD0-E479-4E0A-BAC2-28F1326C837C}"/>
    <hyperlink ref="Q53" r:id="rId30" xr:uid="{9BAEC100-7F9C-49E2-92D4-244D69F208B1}"/>
    <hyperlink ref="Q54" r:id="rId31" xr:uid="{3EEDE252-38C5-45A4-874E-112BD8C25B60}"/>
    <hyperlink ref="Q55" r:id="rId32" xr:uid="{C2D1C5D6-CC0D-4068-8128-D371D2A5B86B}"/>
    <hyperlink ref="Q56" r:id="rId33" xr:uid="{EE7838F4-D198-4BA1-A4CF-F1893FB329F1}"/>
    <hyperlink ref="Q57" r:id="rId34" xr:uid="{2A9E806A-33B4-4B5B-9862-A4376CBF7AAE}"/>
    <hyperlink ref="Q58" r:id="rId35" xr:uid="{5AFC0655-413E-4589-88D2-04E07777CFC5}"/>
    <hyperlink ref="Q59" r:id="rId36" xr:uid="{D0763AB7-39E8-46F3-AE40-28375A2EAD6E}"/>
    <hyperlink ref="Q60" r:id="rId37" xr:uid="{7317D391-19F3-4653-861D-6EA98D0881F3}"/>
    <hyperlink ref="Q61" r:id="rId38" xr:uid="{AFBD1C88-4C97-427E-BD57-B3899A0128AE}"/>
    <hyperlink ref="Q62" r:id="rId39" xr:uid="{5FC97D7B-4781-4FA1-B5DF-8743A4F7AB04}"/>
    <hyperlink ref="Q63" r:id="rId40" xr:uid="{4503F101-323A-4A88-A178-7990BBB5EC0C}"/>
    <hyperlink ref="Q64" r:id="rId41" xr:uid="{29E2C225-A0DF-4F72-B3A0-15F2FACA7510}"/>
    <hyperlink ref="Q65" r:id="rId42" xr:uid="{10E2DF60-9F03-471D-81D0-181C351AE929}"/>
    <hyperlink ref="Q66" r:id="rId43" xr:uid="{702D1BB1-A40D-4429-932B-E31AF2DD896F}"/>
    <hyperlink ref="Q67" r:id="rId44" xr:uid="{701D9C58-50E3-45ED-A985-777A38B03C6D}"/>
    <hyperlink ref="Q68" r:id="rId45" xr:uid="{029768E0-0FCF-416B-8D90-F61D703193AB}"/>
    <hyperlink ref="Q69" r:id="rId46" xr:uid="{09CA5ED0-C942-4271-BCD4-91CDAC61E25D}"/>
    <hyperlink ref="Q70" r:id="rId47" xr:uid="{9CAA920B-6FC4-445F-A44E-CC3DF96C025C}"/>
    <hyperlink ref="Q71" r:id="rId48" xr:uid="{53C0CBB5-48FD-4CCB-8D38-1B0BBBFB5EE2}"/>
    <hyperlink ref="Q72" r:id="rId49" xr:uid="{F29C8758-6316-450B-B733-A72AD7757BF7}"/>
    <hyperlink ref="Q73" r:id="rId50" xr:uid="{1E1BF49E-DB92-401E-B05D-950DA1250053}"/>
    <hyperlink ref="Q74" r:id="rId51" xr:uid="{51E20ECF-34CD-47A7-80A4-03E588B7F78F}"/>
    <hyperlink ref="Q75" r:id="rId52" xr:uid="{9AF84C16-78E2-4396-8FDF-77918FE7071F}"/>
    <hyperlink ref="Q76" r:id="rId53" xr:uid="{AA4F5B7E-FF84-4CAE-A9E5-DB10C6B17FAE}"/>
    <hyperlink ref="Q79" r:id="rId54" xr:uid="{6E252797-F292-4408-8A17-BC3E3D21B361}"/>
    <hyperlink ref="Q80" r:id="rId55" xr:uid="{19725B36-D27E-4B50-AC66-E2903F4E62C4}"/>
    <hyperlink ref="Q81" r:id="rId56" xr:uid="{DD90DFD0-3E14-421D-AC3D-7AB8B3934B26}"/>
    <hyperlink ref="Q82" r:id="rId57" xr:uid="{BE42AAEB-3926-44B9-9784-61D54286949F}"/>
    <hyperlink ref="Q83" r:id="rId58" xr:uid="{FFAED054-E7E0-46C1-B1E7-B8AD83E8319A}"/>
    <hyperlink ref="Q84" r:id="rId59" xr:uid="{883470DC-A9DB-438D-9BA0-2EF1830AF061}"/>
    <hyperlink ref="Q88" r:id="rId60" xr:uid="{FA306861-596A-492C-9F29-F7D0D57DE54C}"/>
    <hyperlink ref="Q90" r:id="rId61" xr:uid="{1C17CFEA-5B8D-4F8F-A0E0-02F9AD6CF5B5}"/>
    <hyperlink ref="Q92" r:id="rId62" xr:uid="{FB82FEC2-327D-4D92-8CE0-0C71E6C6DB01}"/>
    <hyperlink ref="Q93" r:id="rId63" xr:uid="{AED53E83-C481-4A13-85BB-0358548882F2}"/>
    <hyperlink ref="Q95" r:id="rId64" xr:uid="{541FF3FF-0837-4953-A821-841CD2F43E15}"/>
    <hyperlink ref="Q99" r:id="rId65" xr:uid="{ECB69717-1B17-4C85-96B4-FC1745D7EE85}"/>
    <hyperlink ref="Q100" r:id="rId66" xr:uid="{B775B8FE-F9E2-4CFF-98DA-F05EBA190BA7}"/>
    <hyperlink ref="Q101" r:id="rId67" xr:uid="{7914954A-33C0-437E-8BF6-0D7102C52862}"/>
    <hyperlink ref="Q104" r:id="rId68" xr:uid="{92B0A211-C503-4058-A370-3E7DE84597FD}"/>
    <hyperlink ref="Q105" r:id="rId69" xr:uid="{5C044860-334E-4BBA-84F7-EF105EEBD4F4}"/>
    <hyperlink ref="Q106" r:id="rId70" xr:uid="{4982E843-7C4D-434D-9E79-65C954F45BEC}"/>
    <hyperlink ref="Q107" r:id="rId71" xr:uid="{30CF520D-BB32-40B7-836C-37A5043F0938}"/>
    <hyperlink ref="Q108" r:id="rId72" xr:uid="{0DA46E7E-39D2-4A73-A157-C1B0FF9B3BD5}"/>
    <hyperlink ref="Q109" r:id="rId73" xr:uid="{BB6A2C8A-D1F4-44D6-A039-2E69EA9272A6}"/>
    <hyperlink ref="Q113" r:id="rId74" xr:uid="{2F480F02-EB98-4E3E-8083-B59DA5EEED43}"/>
    <hyperlink ref="Q115" r:id="rId75" xr:uid="{36A8F3F9-0B25-4D22-9224-341730DC7AC4}"/>
    <hyperlink ref="Q117" r:id="rId76" xr:uid="{1962D50A-35AD-4160-92C6-5320E2BF711C}"/>
    <hyperlink ref="Q118" r:id="rId77" xr:uid="{55B46956-5BE7-49EF-A510-B37D421C2D84}"/>
    <hyperlink ref="Q120" r:id="rId78" xr:uid="{B3066773-61BF-4B21-A37A-80DA36181D50}"/>
    <hyperlink ref="Q124" r:id="rId79" xr:uid="{02203EBC-9850-476A-A4A6-4C5BFE9030B8}"/>
    <hyperlink ref="Q125" r:id="rId80" xr:uid="{64567B7F-3932-4C8F-9FD3-F1F0AD1344D4}"/>
    <hyperlink ref="Q126" r:id="rId81" xr:uid="{4DE83C8D-83CC-4F89-AAD0-EBAA16D7D110}"/>
    <hyperlink ref="Q127" r:id="rId82" xr:uid="{F995BF08-D235-4F52-AD60-64331BCE9A15}"/>
    <hyperlink ref="Q128" r:id="rId83" xr:uid="{04A56B58-9CE5-4EA6-BB8C-C646364ADA8D}"/>
    <hyperlink ref="Q129" r:id="rId84" xr:uid="{95B3C199-B56E-4D75-B433-75FA39E56C77}"/>
    <hyperlink ref="Q130" r:id="rId85" xr:uid="{992E52D9-40AA-493E-9E78-B1ACDEB77CE8}"/>
    <hyperlink ref="Q131" r:id="rId86" xr:uid="{570183A3-3636-4E96-A602-E8578E0F5069}"/>
    <hyperlink ref="Q132" r:id="rId87" xr:uid="{2EA1E874-D55F-4009-9FF0-31443BCC282D}"/>
    <hyperlink ref="Q133" r:id="rId88" xr:uid="{88E3F0D4-51B4-4F67-906F-2A795F2DAD9A}"/>
    <hyperlink ref="Q134" r:id="rId89" xr:uid="{265276C5-BD7F-4688-A96F-BFDC3411BEDA}"/>
    <hyperlink ref="Q135" r:id="rId90" xr:uid="{1A49D427-839B-464B-9634-CD201A3CFBAB}"/>
    <hyperlink ref="Q136" r:id="rId91" xr:uid="{5C56C1D3-8913-4C86-9D84-9DD337E15CD6}"/>
    <hyperlink ref="Q137" r:id="rId92" xr:uid="{60DBA328-ECC3-430F-B82B-109CB8A15495}"/>
    <hyperlink ref="Q138" r:id="rId93" xr:uid="{8AEDC277-C7E4-4F7A-A9E0-002A40E46B05}"/>
    <hyperlink ref="Q139" r:id="rId94" xr:uid="{B8C5E9D9-7139-4062-81FD-F33058906CEE}"/>
    <hyperlink ref="Q140" r:id="rId95" xr:uid="{231AD6DB-0921-4058-9F61-74B3D29C7F63}"/>
    <hyperlink ref="Q141" r:id="rId96" xr:uid="{811466EF-E8E6-4307-811B-F4DF8734401F}"/>
    <hyperlink ref="Q142" r:id="rId97" xr:uid="{05EE227E-F1C5-46EF-AE91-539FC120FAE2}"/>
    <hyperlink ref="Q143" r:id="rId98" xr:uid="{81FBD428-43BA-4ED4-8C48-6569AB70810A}"/>
    <hyperlink ref="Q144" r:id="rId99" xr:uid="{890CF0AB-D124-40CC-94F3-50E3E2B64C69}"/>
    <hyperlink ref="Q145" r:id="rId100" xr:uid="{C7B6AC54-42EE-428A-A7ED-C0CC6412D0DB}"/>
    <hyperlink ref="Q146" r:id="rId101" xr:uid="{C055D9D9-1B28-46D2-AE32-DC5B9EA759BA}"/>
    <hyperlink ref="Q147" r:id="rId102" xr:uid="{36BD4A87-AD26-433E-87A7-7F942DE1A49B}"/>
    <hyperlink ref="Q148" r:id="rId103" xr:uid="{8EE60770-0129-457E-8AB4-822D74D6E0C6}"/>
    <hyperlink ref="Q149" r:id="rId104" xr:uid="{0BC230A0-5F6D-4A09-895A-F7B913D0D0C0}"/>
    <hyperlink ref="Q150" r:id="rId105" xr:uid="{4F1782DC-A8D4-452E-B0E9-C8C86E3B8121}"/>
    <hyperlink ref="Q151" r:id="rId106" xr:uid="{FF5F9FE2-239A-49CE-B39F-26B085E417B8}"/>
    <hyperlink ref="Q152" r:id="rId107" xr:uid="{36B6B964-F63C-42DE-BFAD-6843F505D74A}"/>
    <hyperlink ref="Q153" r:id="rId108" xr:uid="{AB695C06-199C-440E-B260-19D199E40D02}"/>
    <hyperlink ref="Q154" r:id="rId109" xr:uid="{EC0E0788-6137-4299-AF95-D28B986662B2}"/>
    <hyperlink ref="Q155" r:id="rId110" xr:uid="{CC6132B0-99DB-43BE-B998-730BA4570BF2}"/>
    <hyperlink ref="Q156" r:id="rId111" xr:uid="{DA746FCD-F0BF-46A0-87AA-38F568A1AADC}"/>
    <hyperlink ref="Q157" r:id="rId112" xr:uid="{6A6455F9-C439-42C8-B24C-30A655966B7D}"/>
    <hyperlink ref="Q158" r:id="rId113" xr:uid="{6EA3D9C3-FFD6-4862-AE0F-D4DE7D652074}"/>
    <hyperlink ref="Q159" r:id="rId114" xr:uid="{FBDC1C14-3B37-4E53-BB80-A155F1CF78AE}"/>
    <hyperlink ref="Q160" r:id="rId115" xr:uid="{4D4892AD-3DA7-4F66-9ACA-21CE1C304221}"/>
    <hyperlink ref="Q161" r:id="rId116" xr:uid="{B98B8180-1A16-497B-B9B5-697FF8458370}"/>
    <hyperlink ref="Q162" r:id="rId117" xr:uid="{6B9B748F-9060-4B8F-8E21-58419CD2BA58}"/>
    <hyperlink ref="Q163" r:id="rId118" xr:uid="{8DD8699E-0BE7-4B99-B059-2F5197ACE506}"/>
    <hyperlink ref="Q164" r:id="rId119" xr:uid="{1D163AAA-6557-4710-BBA6-2A17FE04335B}"/>
    <hyperlink ref="Q165" r:id="rId120" xr:uid="{1850A403-87F2-4BF6-B1A7-4D1AE7C1EE49}"/>
    <hyperlink ref="Q166" r:id="rId121" xr:uid="{77B96D5E-284C-48CF-850A-6F7F5399E715}"/>
    <hyperlink ref="Q167" r:id="rId122" xr:uid="{2322E3A2-8A60-4E14-868B-FC4099E48F57}"/>
    <hyperlink ref="Q168" r:id="rId123" xr:uid="{8A6EC1AA-4B48-45F5-BAED-C734F38AC434}"/>
    <hyperlink ref="Q169" r:id="rId124" xr:uid="{85DEC797-364B-4BB8-84FA-FEF4C04E4FB4}"/>
    <hyperlink ref="Q170" r:id="rId125" xr:uid="{D1BB9EB7-D79F-498C-B331-02E373E8FF20}"/>
    <hyperlink ref="Q171" r:id="rId126" xr:uid="{F48D91E0-7682-4F33-8C9C-80CB06BB4AB8}"/>
    <hyperlink ref="Q172" r:id="rId127" xr:uid="{B51D3572-79DC-4A68-95E7-7715F5A4924C}"/>
    <hyperlink ref="Q173" r:id="rId128" xr:uid="{83971663-72DD-48D4-AE63-0FE4FE4C180D}"/>
    <hyperlink ref="Q174" r:id="rId129" xr:uid="{BA5176B6-0C58-4758-B343-B2DDC5CD2A83}"/>
    <hyperlink ref="Q176" r:id="rId130" xr:uid="{EBA5090D-16E0-4735-BD84-9DB9FF1409AF}"/>
    <hyperlink ref="Q179" r:id="rId131" xr:uid="{F8B596A0-ABD3-497B-B8F6-3439199EC38A}"/>
    <hyperlink ref="Q180" r:id="rId132" xr:uid="{31D84D3C-5114-402A-8490-F0850BAC1BAC}"/>
    <hyperlink ref="Q181" r:id="rId133" xr:uid="{148246F8-E634-45B9-B6F6-0D363BAD79EA}"/>
    <hyperlink ref="Q182" r:id="rId134" xr:uid="{C99FF15F-89F2-4D58-BDB8-E6A3F4FA134C}"/>
    <hyperlink ref="Q183" r:id="rId135" xr:uid="{D1061620-943E-4F61-839E-10846BCFC73D}"/>
    <hyperlink ref="Q195" r:id="rId136" xr:uid="{6C253092-1369-4935-ABA2-95BCA10A20D0}"/>
    <hyperlink ref="Q199" r:id="rId137" xr:uid="{E64861E6-A7AC-49F5-96B0-F2464DEF6954}"/>
    <hyperlink ref="Q200" r:id="rId138" xr:uid="{237D6B34-8557-4AAA-A8B6-D30AB6FCC4E5}"/>
    <hyperlink ref="Q201" r:id="rId139" xr:uid="{E1D78228-6D87-4AEB-9298-E02449720B62}"/>
    <hyperlink ref="Q202" r:id="rId140" xr:uid="{9F65A346-CD85-4DE6-84B2-4654E781774F}"/>
    <hyperlink ref="Q203" r:id="rId141" xr:uid="{880E9A95-6A59-485C-8495-96F75ED0E4D1}"/>
    <hyperlink ref="Q204" r:id="rId142" xr:uid="{AB0F78BA-0E0A-4831-BB17-E581AEB1ABCC}"/>
    <hyperlink ref="Q205" r:id="rId143" xr:uid="{894A80EC-3773-40F3-B793-8E19D9C283C9}"/>
    <hyperlink ref="Q206" r:id="rId144" xr:uid="{1B37DC41-0D58-49F7-8CD7-199B45781D36}"/>
    <hyperlink ref="Q207" r:id="rId145" xr:uid="{1398C1D0-DEBF-4C56-A5C2-75BF04643E7C}"/>
    <hyperlink ref="Q208" r:id="rId146" xr:uid="{59E8C699-3BD7-4FBA-913E-9B13110EF646}"/>
    <hyperlink ref="Q209" r:id="rId147" xr:uid="{31F857D6-479A-4507-B167-A243A3EF039D}"/>
    <hyperlink ref="Q210" r:id="rId148" xr:uid="{FD0F4DB8-76DF-43CD-B3B9-1B41AE050C45}"/>
    <hyperlink ref="Q211" r:id="rId149" xr:uid="{0DE70DC4-4134-4353-9EF2-E08F53B0DFAE}"/>
    <hyperlink ref="Q212" r:id="rId150" xr:uid="{58125BBD-C2A8-4238-9F3E-9495CF8E0681}"/>
    <hyperlink ref="Q213" r:id="rId151" xr:uid="{48039504-3EAD-4806-B1C2-2ABF01F7EDC6}"/>
    <hyperlink ref="Q214" r:id="rId152" xr:uid="{07C5FD84-8A81-492B-8663-EE4CBC03647B}"/>
    <hyperlink ref="Q215" r:id="rId153" xr:uid="{51BCEC4D-CD26-417A-925B-0218EBB519E3}"/>
    <hyperlink ref="Q216" r:id="rId154" xr:uid="{8B170BD3-3C25-4CA4-A345-856854F1158C}"/>
    <hyperlink ref="Q217" r:id="rId155" xr:uid="{CB148E2E-698B-444E-BEE7-F167AFE22418}"/>
    <hyperlink ref="Q218" r:id="rId156" xr:uid="{27B8F02E-A1E8-4442-88D7-32EE68B7428B}"/>
    <hyperlink ref="Q219" r:id="rId157" xr:uid="{68475020-4693-4231-988D-292BA0859D4A}"/>
    <hyperlink ref="Q220" r:id="rId158" xr:uid="{8025B1A5-9CD9-4D0F-A536-A4F13BDE88B7}"/>
    <hyperlink ref="Q221" r:id="rId159" xr:uid="{CFAA1E19-DA24-4224-A3F6-01FC9ECBA32F}"/>
    <hyperlink ref="Q222" r:id="rId160" xr:uid="{33B39752-5090-455E-A723-FFDE1895A2A5}"/>
    <hyperlink ref="Q223" r:id="rId161" xr:uid="{9E915325-5F91-447F-8DCE-0199EDC0F5AC}"/>
    <hyperlink ref="Q224" r:id="rId162" xr:uid="{C37D287F-F5E7-4FD5-8484-FF29C7E30D05}"/>
    <hyperlink ref="Q225" r:id="rId163" xr:uid="{7B3324D6-91B3-442B-8C69-9DF0F3CDB6D9}"/>
    <hyperlink ref="Q226" r:id="rId164" xr:uid="{E5D84C0A-7607-40E7-BECE-C7D7D3ED57E7}"/>
    <hyperlink ref="Q227" r:id="rId165" xr:uid="{D47EBB2D-F132-4B17-ABC4-BA3CD1B33188}"/>
    <hyperlink ref="Q228" r:id="rId166" xr:uid="{D3FE072F-575F-49E1-92A6-04C59B69CF76}"/>
    <hyperlink ref="Q229" r:id="rId167" xr:uid="{4BA30CE5-5AA0-4713-AC00-FFDB592977BE}"/>
    <hyperlink ref="Q230" r:id="rId168" xr:uid="{97170B82-E638-47EC-9409-6470DCECA046}"/>
    <hyperlink ref="Q231" r:id="rId169" xr:uid="{1348EC60-1AA7-48D7-B93E-9E41D0779F9A}"/>
    <hyperlink ref="Q232" r:id="rId170" xr:uid="{F8ADF3B5-8C1A-4CFE-AE4F-C3050B5FB941}"/>
    <hyperlink ref="Q233" r:id="rId171" xr:uid="{02333A4A-C68C-49C2-828D-B57A142A43C8}"/>
    <hyperlink ref="Q234" r:id="rId172" xr:uid="{A3C3B6D5-CE26-4420-8C18-CFFAA89E0B83}"/>
    <hyperlink ref="Q235" r:id="rId173" xr:uid="{13EE0AC5-354F-44E5-9D0F-14CD522C1D54}"/>
    <hyperlink ref="Q236" r:id="rId174" xr:uid="{20FDAE93-EECC-4687-88EA-F03352E21517}"/>
    <hyperlink ref="Q237" r:id="rId175" xr:uid="{2C6CD04B-16DF-47CC-ACAF-AF9DDBE75C5F}"/>
    <hyperlink ref="Q238" r:id="rId176" xr:uid="{F74EEC5B-B9EF-4E3A-B1B0-86574EABF0E7}"/>
    <hyperlink ref="Q239" r:id="rId177" xr:uid="{13C7B714-04C8-4ACD-8FB6-F5227B564ED4}"/>
    <hyperlink ref="Q240" r:id="rId178" xr:uid="{C8650D84-C142-4177-AF2A-24D25AD27992}"/>
    <hyperlink ref="Q241" r:id="rId179" xr:uid="{34B9D5F8-51C3-44E7-8399-BC999FCCFD04}"/>
    <hyperlink ref="Q242" r:id="rId180" xr:uid="{53F521BB-DE3D-4E94-A333-11AF33446283}"/>
    <hyperlink ref="Q243" r:id="rId181" xr:uid="{00A6F620-7FBA-4F83-91CF-A45725A73382}"/>
    <hyperlink ref="Q244" r:id="rId182" xr:uid="{4F4BAE2C-ECE9-4326-AA85-8BCD6734B75F}"/>
    <hyperlink ref="Q245" r:id="rId183" xr:uid="{F47CF077-0A18-4C29-BE75-2773A30C0CD8}"/>
    <hyperlink ref="Q246" r:id="rId184" xr:uid="{76707878-3EB8-474A-9025-4C144F670831}"/>
    <hyperlink ref="Q247" r:id="rId185" xr:uid="{7F323C39-C179-4C8F-99B9-1732118C570F}"/>
    <hyperlink ref="Q248" r:id="rId186" xr:uid="{41BB3AB8-6904-4423-83F7-F8974FC64F19}"/>
    <hyperlink ref="Q249" r:id="rId187" xr:uid="{63EDB763-4A13-4E29-BC6E-9A748C9BAA4B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FC273-878C-4474-9B68-610AA28B429D}">
  <sheetPr codeName="Sheet5"/>
  <dimension ref="B2:S68"/>
  <sheetViews>
    <sheetView workbookViewId="0">
      <selection activeCell="O4" sqref="O4:O61"/>
    </sheetView>
  </sheetViews>
  <sheetFormatPr defaultColWidth="8.81640625" defaultRowHeight="14.5" x14ac:dyDescent="0.35"/>
  <cols>
    <col min="2" max="2" width="14.36328125" customWidth="1"/>
    <col min="3" max="3" width="37.453125" customWidth="1"/>
    <col min="4" max="13" width="7.36328125" customWidth="1"/>
    <col min="14" max="15" width="14.453125" customWidth="1"/>
    <col min="17" max="17" width="13.6328125" customWidth="1"/>
    <col min="18" max="18" width="14.81640625" customWidth="1"/>
    <col min="19" max="19" width="15.453125" customWidth="1"/>
  </cols>
  <sheetData>
    <row r="2" spans="2:19" x14ac:dyDescent="0.35">
      <c r="D2" s="176" t="s">
        <v>298</v>
      </c>
      <c r="E2" s="176"/>
      <c r="F2" s="176"/>
      <c r="G2" s="176"/>
      <c r="H2" s="176"/>
      <c r="I2" s="177" t="s">
        <v>200</v>
      </c>
      <c r="J2" s="177"/>
      <c r="K2" s="177"/>
      <c r="L2" s="177"/>
      <c r="M2" s="177"/>
    </row>
    <row r="3" spans="2:19" s="52" customFormat="1" ht="32.25" customHeight="1" x14ac:dyDescent="0.35">
      <c r="B3" s="178" t="s">
        <v>297</v>
      </c>
      <c r="C3" s="178" t="s">
        <v>299</v>
      </c>
      <c r="D3" s="178" t="s">
        <v>157</v>
      </c>
      <c r="E3" s="178" t="s">
        <v>58</v>
      </c>
      <c r="F3" s="178" t="s">
        <v>158</v>
      </c>
      <c r="G3" s="178" t="s">
        <v>287</v>
      </c>
      <c r="H3" s="178" t="s">
        <v>300</v>
      </c>
      <c r="I3" s="178" t="s">
        <v>157</v>
      </c>
      <c r="J3" s="178" t="s">
        <v>58</v>
      </c>
      <c r="K3" s="178" t="s">
        <v>158</v>
      </c>
      <c r="L3" s="178" t="s">
        <v>287</v>
      </c>
      <c r="M3" s="178" t="s">
        <v>300</v>
      </c>
      <c r="N3" s="178" t="s">
        <v>365</v>
      </c>
      <c r="O3" s="178" t="s">
        <v>366</v>
      </c>
      <c r="Q3" s="178" t="s">
        <v>579</v>
      </c>
      <c r="R3" s="178" t="s">
        <v>580</v>
      </c>
      <c r="S3" s="178"/>
    </row>
    <row r="4" spans="2:19" x14ac:dyDescent="0.35">
      <c r="B4" t="s">
        <v>301</v>
      </c>
      <c r="C4" t="s">
        <v>302</v>
      </c>
      <c r="D4" s="270">
        <v>2970</v>
      </c>
      <c r="E4" s="270">
        <v>3182</v>
      </c>
      <c r="F4" s="270">
        <v>3820</v>
      </c>
      <c r="G4" s="270">
        <v>4412</v>
      </c>
      <c r="H4" s="270">
        <v>4922</v>
      </c>
      <c r="I4" s="2">
        <v>2142</v>
      </c>
      <c r="J4" s="2">
        <v>2385</v>
      </c>
      <c r="K4" s="2">
        <v>2912</v>
      </c>
      <c r="L4" s="2">
        <v>3724</v>
      </c>
      <c r="M4" s="2">
        <v>4413</v>
      </c>
      <c r="N4" s="2">
        <v>7140</v>
      </c>
      <c r="O4" s="3">
        <f>+N4+22000/Pro_Forma!$C$14</f>
        <v>7324.8739495798318</v>
      </c>
      <c r="Q4" s="227">
        <v>1.1335356600910469</v>
      </c>
      <c r="R4">
        <v>658400</v>
      </c>
    </row>
    <row r="5" spans="2:19" x14ac:dyDescent="0.35">
      <c r="B5" t="s">
        <v>303</v>
      </c>
      <c r="C5" t="s">
        <v>304</v>
      </c>
      <c r="D5" s="270">
        <v>2185</v>
      </c>
      <c r="E5" s="270">
        <v>2341</v>
      </c>
      <c r="F5" s="270">
        <v>2810</v>
      </c>
      <c r="G5" s="270">
        <v>3245</v>
      </c>
      <c r="H5" s="270">
        <v>3620</v>
      </c>
      <c r="I5" s="2">
        <v>1068</v>
      </c>
      <c r="J5" s="2">
        <v>1165</v>
      </c>
      <c r="K5" s="2">
        <v>1529</v>
      </c>
      <c r="L5" s="2">
        <v>2126</v>
      </c>
      <c r="M5" s="2">
        <v>2527</v>
      </c>
      <c r="N5" s="2">
        <v>5400</v>
      </c>
      <c r="O5" s="3">
        <f>+N5+22000/Pro_Forma!$C$14</f>
        <v>5584.8739495798318</v>
      </c>
      <c r="Q5" s="227">
        <v>1.047040971168437</v>
      </c>
      <c r="R5">
        <v>489600</v>
      </c>
    </row>
    <row r="6" spans="2:19" x14ac:dyDescent="0.35">
      <c r="B6" t="s">
        <v>305</v>
      </c>
      <c r="C6" t="s">
        <v>304</v>
      </c>
      <c r="D6" s="270">
        <v>1935</v>
      </c>
      <c r="E6" s="270">
        <v>2072</v>
      </c>
      <c r="F6" s="270">
        <v>2487</v>
      </c>
      <c r="G6" s="270">
        <v>2873</v>
      </c>
      <c r="H6" s="270">
        <v>3205</v>
      </c>
      <c r="I6" s="2">
        <v>1387</v>
      </c>
      <c r="J6" s="2">
        <v>1396</v>
      </c>
      <c r="K6" s="2">
        <v>1698</v>
      </c>
      <c r="L6" s="2">
        <v>2220</v>
      </c>
      <c r="M6" s="2">
        <v>2714</v>
      </c>
      <c r="N6" s="2">
        <v>5400</v>
      </c>
      <c r="O6" s="3">
        <f>+N6+22000/Pro_Forma!$C$14</f>
        <v>5584.8739495798318</v>
      </c>
      <c r="Q6" s="227">
        <v>1.0379362670713199</v>
      </c>
      <c r="R6">
        <v>489600</v>
      </c>
    </row>
    <row r="7" spans="2:19" x14ac:dyDescent="0.35">
      <c r="B7" t="s">
        <v>306</v>
      </c>
      <c r="C7" t="s">
        <v>307</v>
      </c>
      <c r="D7" s="270">
        <v>1700</v>
      </c>
      <c r="E7" s="270">
        <v>1821</v>
      </c>
      <c r="F7" s="270">
        <v>2185</v>
      </c>
      <c r="G7" s="270">
        <v>2525</v>
      </c>
      <c r="H7" s="270">
        <v>2817</v>
      </c>
      <c r="I7" s="2">
        <v>1155</v>
      </c>
      <c r="J7" s="2">
        <v>1270</v>
      </c>
      <c r="K7" s="2">
        <v>1625</v>
      </c>
      <c r="L7" s="2">
        <v>2260</v>
      </c>
      <c r="M7" s="2">
        <v>2726</v>
      </c>
      <c r="N7" s="2">
        <v>5300</v>
      </c>
      <c r="O7" s="3">
        <f>+N7+22000/Pro_Forma!$C$14</f>
        <v>5484.8739495798318</v>
      </c>
      <c r="Q7" s="227">
        <v>1.0379362670713199</v>
      </c>
      <c r="R7">
        <v>444000</v>
      </c>
    </row>
    <row r="8" spans="2:19" x14ac:dyDescent="0.35">
      <c r="B8" t="s">
        <v>308</v>
      </c>
      <c r="C8" t="s">
        <v>304</v>
      </c>
      <c r="D8" s="270">
        <v>1797</v>
      </c>
      <c r="E8" s="270">
        <v>1925</v>
      </c>
      <c r="F8" s="270">
        <v>2310</v>
      </c>
      <c r="G8" s="270">
        <v>2668</v>
      </c>
      <c r="H8" s="270">
        <v>2977</v>
      </c>
      <c r="I8" s="2">
        <v>1078</v>
      </c>
      <c r="J8" s="2">
        <v>1175</v>
      </c>
      <c r="K8" s="2">
        <v>1542</v>
      </c>
      <c r="L8" s="2">
        <v>2145</v>
      </c>
      <c r="M8" s="2">
        <v>2316</v>
      </c>
      <c r="N8" s="2">
        <v>5400</v>
      </c>
      <c r="O8" s="3">
        <f>+N8+22000/Pro_Forma!$C$14</f>
        <v>5584.8739495798318</v>
      </c>
      <c r="Q8" s="227">
        <v>1.0379362670713199</v>
      </c>
      <c r="R8">
        <v>489600</v>
      </c>
    </row>
    <row r="9" spans="2:19" x14ac:dyDescent="0.35">
      <c r="B9" t="s">
        <v>309</v>
      </c>
      <c r="C9" t="s">
        <v>304</v>
      </c>
      <c r="D9" s="270">
        <v>1700</v>
      </c>
      <c r="E9" s="270">
        <v>1821</v>
      </c>
      <c r="F9" s="270">
        <v>2185</v>
      </c>
      <c r="G9" s="270">
        <v>2525</v>
      </c>
      <c r="H9" s="270">
        <v>2817</v>
      </c>
      <c r="I9" s="2">
        <v>989</v>
      </c>
      <c r="J9" s="2">
        <v>995</v>
      </c>
      <c r="K9" s="2">
        <v>1306</v>
      </c>
      <c r="L9" s="2">
        <v>1723</v>
      </c>
      <c r="M9" s="2">
        <v>1729</v>
      </c>
      <c r="N9" s="2">
        <v>5400</v>
      </c>
      <c r="O9" s="3">
        <f>+N9+22000/Pro_Forma!$C$14</f>
        <v>5584.8739495798318</v>
      </c>
      <c r="Q9" s="227">
        <v>1.047040971168437</v>
      </c>
      <c r="R9">
        <v>489600</v>
      </c>
    </row>
    <row r="10" spans="2:19" x14ac:dyDescent="0.35">
      <c r="B10" t="s">
        <v>310</v>
      </c>
      <c r="C10" t="s">
        <v>302</v>
      </c>
      <c r="D10" s="270">
        <v>2970</v>
      </c>
      <c r="E10" s="270">
        <v>3182</v>
      </c>
      <c r="F10" s="270">
        <v>3820</v>
      </c>
      <c r="G10" s="270">
        <v>4412</v>
      </c>
      <c r="H10" s="270">
        <v>4922</v>
      </c>
      <c r="I10" s="2">
        <v>2142</v>
      </c>
      <c r="J10" s="2">
        <v>2385</v>
      </c>
      <c r="K10" s="2">
        <v>2912</v>
      </c>
      <c r="L10" s="2">
        <v>3724</v>
      </c>
      <c r="M10" s="2">
        <v>4413</v>
      </c>
      <c r="N10" s="2">
        <v>7140</v>
      </c>
      <c r="O10" s="3">
        <f>+N10+22000/Pro_Forma!$C$14</f>
        <v>7324.8739495798318</v>
      </c>
      <c r="Q10" s="227">
        <v>1.110773899848255</v>
      </c>
      <c r="R10">
        <v>658400</v>
      </c>
    </row>
    <row r="11" spans="2:19" x14ac:dyDescent="0.35">
      <c r="B11" t="s">
        <v>311</v>
      </c>
      <c r="C11" t="s">
        <v>304</v>
      </c>
      <c r="D11" s="270">
        <v>1700</v>
      </c>
      <c r="E11" s="270">
        <v>1821</v>
      </c>
      <c r="F11" s="270">
        <v>2185</v>
      </c>
      <c r="G11" s="270">
        <v>2525</v>
      </c>
      <c r="H11" s="270">
        <v>2817</v>
      </c>
      <c r="I11" s="2">
        <v>957</v>
      </c>
      <c r="J11" s="2">
        <v>1222</v>
      </c>
      <c r="K11" s="2">
        <v>1370</v>
      </c>
      <c r="L11" s="2">
        <v>1905</v>
      </c>
      <c r="M11" s="2">
        <v>2277</v>
      </c>
      <c r="N11" s="2">
        <v>5400</v>
      </c>
      <c r="O11" s="3">
        <f>+N11+22000/Pro_Forma!$C$14</f>
        <v>5584.8739495798318</v>
      </c>
      <c r="Q11" s="227">
        <v>1.0743550834597879</v>
      </c>
      <c r="R11">
        <v>489600</v>
      </c>
    </row>
    <row r="12" spans="2:19" x14ac:dyDescent="0.35">
      <c r="B12" t="s">
        <v>312</v>
      </c>
      <c r="C12" t="s">
        <v>307</v>
      </c>
      <c r="D12" s="270">
        <v>2300</v>
      </c>
      <c r="E12" s="270">
        <v>2465</v>
      </c>
      <c r="F12" s="270">
        <v>2957</v>
      </c>
      <c r="G12" s="270">
        <v>3417</v>
      </c>
      <c r="H12" s="270">
        <v>3812</v>
      </c>
      <c r="I12" s="2">
        <v>1748</v>
      </c>
      <c r="J12" s="2">
        <v>1832</v>
      </c>
      <c r="K12" s="2">
        <v>2255</v>
      </c>
      <c r="L12" s="2">
        <v>3002</v>
      </c>
      <c r="M12" s="2">
        <v>3460</v>
      </c>
      <c r="N12" s="2">
        <v>5300</v>
      </c>
      <c r="O12" s="3">
        <f>+N12+22000/Pro_Forma!$C$14</f>
        <v>5484.8739495798318</v>
      </c>
      <c r="Q12" s="227">
        <v>1.047040971168437</v>
      </c>
      <c r="R12">
        <v>461600</v>
      </c>
    </row>
    <row r="13" spans="2:19" x14ac:dyDescent="0.35">
      <c r="B13" t="s">
        <v>313</v>
      </c>
      <c r="C13" t="s">
        <v>314</v>
      </c>
      <c r="D13" s="270">
        <v>1700</v>
      </c>
      <c r="E13" s="270">
        <v>1821</v>
      </c>
      <c r="F13" s="270">
        <v>2185</v>
      </c>
      <c r="G13" s="270">
        <v>2525</v>
      </c>
      <c r="H13" s="270">
        <v>2817</v>
      </c>
      <c r="I13" s="2">
        <v>1347</v>
      </c>
      <c r="J13" s="2">
        <v>1355</v>
      </c>
      <c r="K13" s="2">
        <v>1664</v>
      </c>
      <c r="L13" s="2">
        <v>2314</v>
      </c>
      <c r="M13" s="2">
        <v>2660</v>
      </c>
      <c r="N13" s="2">
        <v>5000</v>
      </c>
      <c r="O13" s="3">
        <f>+N13+22000/Pro_Forma!$C$14</f>
        <v>5184.8739495798318</v>
      </c>
      <c r="Q13" s="227">
        <v>1.0288315629742031</v>
      </c>
      <c r="R13">
        <v>428000</v>
      </c>
    </row>
    <row r="14" spans="2:19" x14ac:dyDescent="0.35">
      <c r="B14" t="s">
        <v>315</v>
      </c>
      <c r="C14" t="s">
        <v>304</v>
      </c>
      <c r="D14" s="270">
        <v>1700</v>
      </c>
      <c r="E14" s="270">
        <v>1821</v>
      </c>
      <c r="F14" s="270">
        <v>2185</v>
      </c>
      <c r="G14" s="270">
        <v>2525</v>
      </c>
      <c r="H14" s="270">
        <v>2817</v>
      </c>
      <c r="I14" s="2">
        <v>939</v>
      </c>
      <c r="J14" s="2">
        <v>1038</v>
      </c>
      <c r="K14" s="2">
        <v>1362</v>
      </c>
      <c r="L14" s="2">
        <v>1807</v>
      </c>
      <c r="M14" s="2">
        <v>2179</v>
      </c>
      <c r="N14" s="2">
        <v>5400</v>
      </c>
      <c r="O14" s="3">
        <f>+N14+22000/Pro_Forma!$C$14</f>
        <v>5584.8739495798318</v>
      </c>
      <c r="Q14" s="227">
        <v>1.083459787556905</v>
      </c>
      <c r="R14">
        <v>489600</v>
      </c>
    </row>
    <row r="15" spans="2:19" x14ac:dyDescent="0.35">
      <c r="B15" t="s">
        <v>316</v>
      </c>
      <c r="C15" t="s">
        <v>304</v>
      </c>
      <c r="D15" s="270">
        <v>1700</v>
      </c>
      <c r="E15" s="270">
        <v>1821</v>
      </c>
      <c r="F15" s="270">
        <v>2185</v>
      </c>
      <c r="G15" s="270">
        <v>2525</v>
      </c>
      <c r="H15" s="270">
        <v>2817</v>
      </c>
      <c r="I15" s="2">
        <v>1112</v>
      </c>
      <c r="J15" s="2">
        <v>1186</v>
      </c>
      <c r="K15" s="2">
        <v>1550</v>
      </c>
      <c r="L15" s="2">
        <v>2156</v>
      </c>
      <c r="M15" s="2">
        <v>2600</v>
      </c>
      <c r="N15" s="2">
        <v>5400</v>
      </c>
      <c r="O15" s="3">
        <f>+N15+22000/Pro_Forma!$C$14</f>
        <v>5584.8739495798318</v>
      </c>
      <c r="Q15" s="227">
        <v>1.0743550834597879</v>
      </c>
      <c r="R15">
        <v>489600</v>
      </c>
    </row>
    <row r="16" spans="2:19" x14ac:dyDescent="0.35">
      <c r="B16" t="s">
        <v>317</v>
      </c>
      <c r="C16" t="s">
        <v>314</v>
      </c>
      <c r="D16" s="270">
        <v>1700</v>
      </c>
      <c r="E16" s="270">
        <v>1821</v>
      </c>
      <c r="F16" s="270">
        <v>2185</v>
      </c>
      <c r="G16" s="270">
        <v>2525</v>
      </c>
      <c r="H16" s="270">
        <v>2817</v>
      </c>
      <c r="I16" s="2">
        <v>939</v>
      </c>
      <c r="J16" s="2">
        <v>1038</v>
      </c>
      <c r="K16" s="2">
        <v>1362</v>
      </c>
      <c r="L16" s="2">
        <v>1845</v>
      </c>
      <c r="M16" s="2">
        <v>2285</v>
      </c>
      <c r="N16" s="2">
        <v>5200</v>
      </c>
      <c r="O16" s="3">
        <f>+N16+22000/Pro_Forma!$C$14</f>
        <v>5384.8739495798318</v>
      </c>
      <c r="Q16" s="227">
        <v>0.99241274658573619</v>
      </c>
      <c r="R16">
        <v>452000</v>
      </c>
    </row>
    <row r="17" spans="2:18" x14ac:dyDescent="0.35">
      <c r="B17" t="s">
        <v>318</v>
      </c>
      <c r="C17" t="s">
        <v>304</v>
      </c>
      <c r="D17" s="270">
        <v>1700</v>
      </c>
      <c r="E17" s="270">
        <v>1821</v>
      </c>
      <c r="F17" s="270">
        <v>2185</v>
      </c>
      <c r="G17" s="270">
        <v>2525</v>
      </c>
      <c r="H17" s="270">
        <v>2817</v>
      </c>
      <c r="I17" s="2">
        <v>1058</v>
      </c>
      <c r="J17" s="2">
        <v>1381</v>
      </c>
      <c r="K17" s="2">
        <v>1514</v>
      </c>
      <c r="L17" s="2">
        <v>1940</v>
      </c>
      <c r="M17" s="2">
        <v>2540</v>
      </c>
      <c r="N17" s="2">
        <v>5400</v>
      </c>
      <c r="O17" s="3">
        <f>+N17+22000/Pro_Forma!$C$14</f>
        <v>5584.8739495798318</v>
      </c>
      <c r="Q17" s="227">
        <v>0.98330804248861936</v>
      </c>
      <c r="R17">
        <v>489600</v>
      </c>
    </row>
    <row r="18" spans="2:18" x14ac:dyDescent="0.35">
      <c r="B18" t="s">
        <v>319</v>
      </c>
      <c r="C18" t="s">
        <v>314</v>
      </c>
      <c r="D18" s="270">
        <v>1700</v>
      </c>
      <c r="E18" s="270">
        <v>1821</v>
      </c>
      <c r="F18" s="270">
        <v>2185</v>
      </c>
      <c r="G18" s="270">
        <v>2525</v>
      </c>
      <c r="H18" s="270">
        <v>2817</v>
      </c>
      <c r="I18" s="2">
        <v>1132</v>
      </c>
      <c r="J18" s="2">
        <v>1140</v>
      </c>
      <c r="K18" s="2">
        <v>1483</v>
      </c>
      <c r="L18" s="2">
        <v>2062</v>
      </c>
      <c r="M18" s="2">
        <v>2488</v>
      </c>
      <c r="N18" s="2">
        <v>5000</v>
      </c>
      <c r="O18" s="3">
        <f>+N18+22000/Pro_Forma!$C$14</f>
        <v>5184.8739495798318</v>
      </c>
      <c r="Q18" s="227">
        <v>0.98330804248861936</v>
      </c>
      <c r="R18">
        <v>428000</v>
      </c>
    </row>
    <row r="19" spans="2:18" x14ac:dyDescent="0.35">
      <c r="B19" t="s">
        <v>320</v>
      </c>
      <c r="C19" t="s">
        <v>314</v>
      </c>
      <c r="D19" s="270">
        <v>1700</v>
      </c>
      <c r="E19" s="270">
        <v>1821</v>
      </c>
      <c r="F19" s="270">
        <v>2185</v>
      </c>
      <c r="G19" s="270">
        <v>2525</v>
      </c>
      <c r="H19" s="270">
        <v>2817</v>
      </c>
      <c r="I19" s="2">
        <v>1150</v>
      </c>
      <c r="J19" s="2">
        <v>1157</v>
      </c>
      <c r="K19" s="2">
        <v>1469</v>
      </c>
      <c r="L19" s="2">
        <v>2043</v>
      </c>
      <c r="M19" s="2">
        <v>2451</v>
      </c>
      <c r="N19" s="2">
        <v>5000</v>
      </c>
      <c r="O19" s="3">
        <f>+N19+22000/Pro_Forma!$C$14</f>
        <v>5184.8739495798318</v>
      </c>
      <c r="Q19" s="227">
        <v>1.0288315629742031</v>
      </c>
      <c r="R19">
        <v>428000</v>
      </c>
    </row>
    <row r="20" spans="2:18" x14ac:dyDescent="0.35">
      <c r="B20" t="s">
        <v>321</v>
      </c>
      <c r="C20" t="s">
        <v>304</v>
      </c>
      <c r="D20" s="270">
        <v>1700</v>
      </c>
      <c r="E20" s="270">
        <v>1821</v>
      </c>
      <c r="F20" s="270">
        <v>2185</v>
      </c>
      <c r="G20" s="270">
        <v>2525</v>
      </c>
      <c r="H20" s="270">
        <v>2817</v>
      </c>
      <c r="I20" s="2">
        <v>1173</v>
      </c>
      <c r="J20" s="2">
        <v>1181</v>
      </c>
      <c r="K20" s="2">
        <v>1549</v>
      </c>
      <c r="L20" s="2">
        <v>2154</v>
      </c>
      <c r="M20" s="2">
        <v>2599</v>
      </c>
      <c r="N20" s="2">
        <v>5400</v>
      </c>
      <c r="O20" s="3">
        <f>+N20+22000/Pro_Forma!$C$14</f>
        <v>5584.8739495798318</v>
      </c>
      <c r="Q20" s="227">
        <v>1.110773899848255</v>
      </c>
      <c r="R20">
        <v>489600</v>
      </c>
    </row>
    <row r="21" spans="2:18" x14ac:dyDescent="0.35">
      <c r="B21" t="s">
        <v>322</v>
      </c>
      <c r="C21" t="s">
        <v>304</v>
      </c>
      <c r="D21" s="270">
        <v>1700</v>
      </c>
      <c r="E21" s="270">
        <v>1821</v>
      </c>
      <c r="F21" s="270">
        <v>2185</v>
      </c>
      <c r="G21" s="270">
        <v>2525</v>
      </c>
      <c r="H21" s="270">
        <v>2817</v>
      </c>
      <c r="I21" s="2">
        <v>882</v>
      </c>
      <c r="J21" s="2">
        <v>1016</v>
      </c>
      <c r="K21" s="2">
        <v>1279</v>
      </c>
      <c r="L21" s="2">
        <v>1779</v>
      </c>
      <c r="M21" s="2">
        <v>2146</v>
      </c>
      <c r="N21" s="2">
        <v>5400</v>
      </c>
      <c r="O21" s="3">
        <f>+N21+22000/Pro_Forma!$C$14</f>
        <v>5584.8739495798318</v>
      </c>
      <c r="Q21" s="227">
        <v>1.0743550834597879</v>
      </c>
      <c r="R21">
        <v>489600</v>
      </c>
    </row>
    <row r="22" spans="2:18" x14ac:dyDescent="0.35">
      <c r="B22" t="s">
        <v>323</v>
      </c>
      <c r="C22" t="s">
        <v>324</v>
      </c>
      <c r="D22" s="270">
        <v>2915</v>
      </c>
      <c r="E22" s="270">
        <v>3123</v>
      </c>
      <c r="F22" s="270">
        <v>3747</v>
      </c>
      <c r="G22" s="270">
        <v>4331</v>
      </c>
      <c r="H22" s="270">
        <v>4830</v>
      </c>
      <c r="I22" s="2">
        <v>1863</v>
      </c>
      <c r="J22" s="2">
        <v>2085</v>
      </c>
      <c r="K22" s="2">
        <v>2601</v>
      </c>
      <c r="L22" s="2">
        <v>3298</v>
      </c>
      <c r="M22" s="2">
        <v>3672</v>
      </c>
      <c r="N22" s="2">
        <v>6300</v>
      </c>
      <c r="O22" s="3">
        <f>+N22+22000/Pro_Forma!$C$14</f>
        <v>6484.8739495798318</v>
      </c>
      <c r="Q22" s="227">
        <v>0.99999999999999978</v>
      </c>
      <c r="R22">
        <v>608800</v>
      </c>
    </row>
    <row r="23" spans="2:18" x14ac:dyDescent="0.35">
      <c r="B23" t="s">
        <v>325</v>
      </c>
      <c r="C23" t="s">
        <v>314</v>
      </c>
      <c r="D23" s="270">
        <v>1700</v>
      </c>
      <c r="E23" s="270">
        <v>1821</v>
      </c>
      <c r="F23" s="270">
        <v>2185</v>
      </c>
      <c r="G23" s="270">
        <v>2525</v>
      </c>
      <c r="H23" s="270">
        <v>2817</v>
      </c>
      <c r="I23" s="2">
        <v>1055</v>
      </c>
      <c r="J23" s="2">
        <v>1062</v>
      </c>
      <c r="K23" s="2">
        <v>1376</v>
      </c>
      <c r="L23" s="2">
        <v>1914</v>
      </c>
      <c r="M23" s="2">
        <v>2275</v>
      </c>
      <c r="N23" s="2">
        <v>5000</v>
      </c>
      <c r="O23" s="3">
        <f>+N23+22000/Pro_Forma!$C$14</f>
        <v>5184.8739495798318</v>
      </c>
      <c r="Q23" s="227">
        <v>1.0288315629742031</v>
      </c>
      <c r="R23">
        <v>428000</v>
      </c>
    </row>
    <row r="24" spans="2:18" x14ac:dyDescent="0.35">
      <c r="B24" t="s">
        <v>326</v>
      </c>
      <c r="C24" t="s">
        <v>302</v>
      </c>
      <c r="D24" s="270">
        <v>3677</v>
      </c>
      <c r="E24" s="270">
        <v>3940</v>
      </c>
      <c r="F24" s="270">
        <v>4727</v>
      </c>
      <c r="G24" s="270">
        <v>5463</v>
      </c>
      <c r="H24" s="270">
        <v>6095</v>
      </c>
      <c r="I24" s="2">
        <v>2485</v>
      </c>
      <c r="J24" s="2">
        <v>2977</v>
      </c>
      <c r="K24" s="2">
        <v>3604</v>
      </c>
      <c r="L24" s="2">
        <v>4604</v>
      </c>
      <c r="M24" s="2">
        <v>4772</v>
      </c>
      <c r="N24" s="2">
        <v>5300</v>
      </c>
      <c r="O24" s="3">
        <f>+N24+22000/Pro_Forma!$C$14</f>
        <v>5484.8739495798318</v>
      </c>
      <c r="Q24" s="227">
        <v>1.138088012139606</v>
      </c>
      <c r="R24">
        <v>534400</v>
      </c>
    </row>
    <row r="25" spans="2:18" x14ac:dyDescent="0.35">
      <c r="B25" t="s">
        <v>327</v>
      </c>
      <c r="C25" t="s">
        <v>304</v>
      </c>
      <c r="D25" s="270">
        <v>1700</v>
      </c>
      <c r="E25" s="270">
        <v>1821</v>
      </c>
      <c r="F25" s="270">
        <v>2185</v>
      </c>
      <c r="G25" s="270">
        <v>2525</v>
      </c>
      <c r="H25" s="270">
        <v>2817</v>
      </c>
      <c r="I25" s="2">
        <v>1016</v>
      </c>
      <c r="J25" s="2">
        <v>1148</v>
      </c>
      <c r="K25" s="2">
        <v>1454</v>
      </c>
      <c r="L25" s="2">
        <v>2022</v>
      </c>
      <c r="M25" s="2">
        <v>2439</v>
      </c>
      <c r="N25" s="2">
        <v>5400</v>
      </c>
      <c r="O25" s="3">
        <f>+N25+22000/Pro_Forma!$C$14</f>
        <v>5584.8739495798318</v>
      </c>
      <c r="Q25" s="227">
        <v>1.0379362670713199</v>
      </c>
      <c r="R25">
        <v>489600</v>
      </c>
    </row>
    <row r="26" spans="2:18" x14ac:dyDescent="0.35">
      <c r="B26" t="s">
        <v>328</v>
      </c>
      <c r="C26" t="s">
        <v>304</v>
      </c>
      <c r="D26" s="270">
        <v>1747</v>
      </c>
      <c r="E26" s="270">
        <v>1872</v>
      </c>
      <c r="F26" s="270">
        <v>2247</v>
      </c>
      <c r="G26" s="270">
        <v>2595</v>
      </c>
      <c r="H26" s="270">
        <v>2895</v>
      </c>
      <c r="I26" s="2">
        <v>1269</v>
      </c>
      <c r="J26" s="2">
        <v>1306</v>
      </c>
      <c r="K26" s="2">
        <v>1713</v>
      </c>
      <c r="L26" s="2">
        <v>2382</v>
      </c>
      <c r="M26" s="2">
        <v>2789</v>
      </c>
      <c r="N26" s="2">
        <v>5400</v>
      </c>
      <c r="O26" s="3">
        <f>+N26+22000/Pro_Forma!$C$14</f>
        <v>5584.8739495798318</v>
      </c>
      <c r="Q26" s="227">
        <v>1.110773899848255</v>
      </c>
      <c r="R26">
        <v>489600</v>
      </c>
    </row>
    <row r="27" spans="2:18" x14ac:dyDescent="0.35">
      <c r="B27" t="s">
        <v>329</v>
      </c>
      <c r="C27" t="s">
        <v>314</v>
      </c>
      <c r="D27" s="270">
        <v>1700</v>
      </c>
      <c r="E27" s="270">
        <v>1821</v>
      </c>
      <c r="F27" s="270">
        <v>2185</v>
      </c>
      <c r="G27" s="270">
        <v>2525</v>
      </c>
      <c r="H27" s="270">
        <v>2817</v>
      </c>
      <c r="I27" s="2">
        <v>1116</v>
      </c>
      <c r="J27" s="2">
        <v>1213</v>
      </c>
      <c r="K27" s="2">
        <v>1503</v>
      </c>
      <c r="L27" s="2">
        <v>2067</v>
      </c>
      <c r="M27" s="2">
        <v>2503</v>
      </c>
      <c r="N27" s="2">
        <v>5000</v>
      </c>
      <c r="O27" s="3">
        <f>+N27+22000/Pro_Forma!$C$14</f>
        <v>5184.8739495798318</v>
      </c>
      <c r="Q27" s="227">
        <v>1.0379362670713199</v>
      </c>
      <c r="R27">
        <v>428000</v>
      </c>
    </row>
    <row r="28" spans="2:18" x14ac:dyDescent="0.35">
      <c r="B28" t="s">
        <v>330</v>
      </c>
      <c r="C28" t="s">
        <v>304</v>
      </c>
      <c r="D28" s="270">
        <v>1700</v>
      </c>
      <c r="E28" s="270">
        <v>1821</v>
      </c>
      <c r="F28" s="270">
        <v>2185</v>
      </c>
      <c r="G28" s="270">
        <v>2525</v>
      </c>
      <c r="H28" s="270">
        <v>2817</v>
      </c>
      <c r="I28" s="2">
        <v>774</v>
      </c>
      <c r="J28" s="2">
        <v>883</v>
      </c>
      <c r="K28" s="2">
        <v>1108</v>
      </c>
      <c r="L28" s="2">
        <v>1434</v>
      </c>
      <c r="M28" s="2">
        <v>1831</v>
      </c>
      <c r="N28" s="2">
        <v>5400</v>
      </c>
      <c r="O28" s="3">
        <f>+N28+22000/Pro_Forma!$C$14</f>
        <v>5584.8739495798318</v>
      </c>
      <c r="Q28" s="227">
        <v>1.0743550834597879</v>
      </c>
      <c r="R28">
        <v>489600</v>
      </c>
    </row>
    <row r="29" spans="2:18" x14ac:dyDescent="0.35">
      <c r="B29" t="s">
        <v>331</v>
      </c>
      <c r="C29" t="s">
        <v>304</v>
      </c>
      <c r="D29" s="270">
        <v>1962</v>
      </c>
      <c r="E29" s="270">
        <v>2103</v>
      </c>
      <c r="F29" s="270">
        <v>2522</v>
      </c>
      <c r="G29" s="270">
        <v>2918</v>
      </c>
      <c r="H29" s="270">
        <v>3255</v>
      </c>
      <c r="I29" s="2">
        <v>1171</v>
      </c>
      <c r="J29" s="2">
        <v>1528</v>
      </c>
      <c r="K29" s="2">
        <v>1675</v>
      </c>
      <c r="L29" s="2">
        <v>2330</v>
      </c>
      <c r="M29" s="2">
        <v>2769</v>
      </c>
      <c r="N29" s="2">
        <v>5400</v>
      </c>
      <c r="O29" s="3">
        <f>+N29+22000/Pro_Forma!$C$14</f>
        <v>5584.8739495798318</v>
      </c>
      <c r="Q29" s="227">
        <v>1.0288315629742031</v>
      </c>
      <c r="R29">
        <v>489600</v>
      </c>
    </row>
    <row r="30" spans="2:18" x14ac:dyDescent="0.35">
      <c r="B30" t="s">
        <v>332</v>
      </c>
      <c r="C30" t="s">
        <v>333</v>
      </c>
      <c r="D30" s="270">
        <v>2737</v>
      </c>
      <c r="E30" s="270">
        <v>2933</v>
      </c>
      <c r="F30" s="270">
        <v>3520</v>
      </c>
      <c r="G30" s="270">
        <v>4067</v>
      </c>
      <c r="H30" s="270">
        <v>4537</v>
      </c>
      <c r="I30" s="2">
        <v>2173</v>
      </c>
      <c r="J30" s="2">
        <v>2232</v>
      </c>
      <c r="K30" s="2">
        <v>2684</v>
      </c>
      <c r="L30" s="2">
        <v>3623</v>
      </c>
      <c r="M30" s="2">
        <v>3945</v>
      </c>
      <c r="N30" s="2">
        <v>5670</v>
      </c>
      <c r="O30" s="3">
        <f>+N30+22000/Pro_Forma!$C$14</f>
        <v>5854.8739495798318</v>
      </c>
      <c r="Q30" s="227">
        <v>1.056145675265554</v>
      </c>
      <c r="R30">
        <v>562400</v>
      </c>
    </row>
    <row r="31" spans="2:18" x14ac:dyDescent="0.35">
      <c r="B31" t="s">
        <v>334</v>
      </c>
      <c r="C31" t="s">
        <v>333</v>
      </c>
      <c r="D31" s="270">
        <v>3085</v>
      </c>
      <c r="E31" s="270">
        <v>3305</v>
      </c>
      <c r="F31" s="270">
        <v>3967</v>
      </c>
      <c r="G31" s="270">
        <v>4585</v>
      </c>
      <c r="H31" s="270">
        <v>5115</v>
      </c>
      <c r="I31" s="2">
        <v>1912</v>
      </c>
      <c r="J31" s="2">
        <v>2113</v>
      </c>
      <c r="K31" s="2">
        <v>2773</v>
      </c>
      <c r="L31" s="2">
        <v>3532</v>
      </c>
      <c r="M31" s="2">
        <v>4134</v>
      </c>
      <c r="N31" s="2">
        <v>5300</v>
      </c>
      <c r="O31" s="3">
        <f>+N31+22000/Pro_Forma!$C$14</f>
        <v>5484.8739495798318</v>
      </c>
      <c r="Q31" s="227">
        <v>1.083459787556905</v>
      </c>
      <c r="R31">
        <v>534400</v>
      </c>
    </row>
    <row r="32" spans="2:18" x14ac:dyDescent="0.35">
      <c r="B32" t="s">
        <v>335</v>
      </c>
      <c r="C32" t="s">
        <v>304</v>
      </c>
      <c r="D32" s="270">
        <v>2190</v>
      </c>
      <c r="E32" s="270">
        <v>2346</v>
      </c>
      <c r="F32" s="270">
        <v>2815</v>
      </c>
      <c r="G32" s="270">
        <v>3252</v>
      </c>
      <c r="H32" s="270">
        <v>3630</v>
      </c>
      <c r="I32" s="2">
        <v>1373</v>
      </c>
      <c r="J32" s="2">
        <v>1382</v>
      </c>
      <c r="K32" s="2">
        <v>1813</v>
      </c>
      <c r="L32" s="2">
        <v>2521</v>
      </c>
      <c r="M32" s="2">
        <v>3041</v>
      </c>
      <c r="N32" s="2">
        <v>5400</v>
      </c>
      <c r="O32" s="3">
        <f>+N32+22000/Pro_Forma!$C$14</f>
        <v>5584.8739495798318</v>
      </c>
      <c r="Q32" s="227">
        <v>1.047040971168437</v>
      </c>
      <c r="R32">
        <v>489600</v>
      </c>
    </row>
    <row r="33" spans="2:18" x14ac:dyDescent="0.35">
      <c r="B33" t="s">
        <v>336</v>
      </c>
      <c r="C33" t="s">
        <v>333</v>
      </c>
      <c r="D33" s="270">
        <v>3257</v>
      </c>
      <c r="E33" s="270">
        <v>3490</v>
      </c>
      <c r="F33" s="270">
        <v>4187</v>
      </c>
      <c r="G33" s="270">
        <v>4838</v>
      </c>
      <c r="H33" s="270">
        <v>5397</v>
      </c>
      <c r="I33" s="2">
        <v>2682</v>
      </c>
      <c r="J33" s="2">
        <v>2746</v>
      </c>
      <c r="K33" s="2">
        <v>3236</v>
      </c>
      <c r="L33" s="2">
        <v>4393</v>
      </c>
      <c r="M33" s="2">
        <v>5246</v>
      </c>
      <c r="N33" s="2">
        <v>5500</v>
      </c>
      <c r="O33" s="3">
        <f>+N33+22000/Pro_Forma!$C$14</f>
        <v>5684.8739495798318</v>
      </c>
      <c r="Q33" s="227">
        <v>1.006069802731411</v>
      </c>
      <c r="R33">
        <v>552000</v>
      </c>
    </row>
    <row r="34" spans="2:18" x14ac:dyDescent="0.35">
      <c r="B34" t="s">
        <v>337</v>
      </c>
      <c r="C34" t="s">
        <v>307</v>
      </c>
      <c r="D34" s="270">
        <v>2300</v>
      </c>
      <c r="E34" s="270">
        <v>2465</v>
      </c>
      <c r="F34" s="270">
        <v>2957</v>
      </c>
      <c r="G34" s="270">
        <v>3417</v>
      </c>
      <c r="H34" s="270">
        <v>3812</v>
      </c>
      <c r="I34" s="2">
        <v>1748</v>
      </c>
      <c r="J34" s="2">
        <v>1832</v>
      </c>
      <c r="K34" s="2">
        <v>2255</v>
      </c>
      <c r="L34" s="2">
        <v>3002</v>
      </c>
      <c r="M34" s="2">
        <v>3460</v>
      </c>
      <c r="N34" s="2">
        <v>5300</v>
      </c>
      <c r="O34" s="3">
        <f>+N34+22000/Pro_Forma!$C$14</f>
        <v>5484.8739495798318</v>
      </c>
      <c r="Q34" s="227">
        <v>1.047040971168437</v>
      </c>
      <c r="R34">
        <v>461600</v>
      </c>
    </row>
    <row r="35" spans="2:18" x14ac:dyDescent="0.35">
      <c r="B35" t="s">
        <v>338</v>
      </c>
      <c r="C35" t="s">
        <v>304</v>
      </c>
      <c r="D35" s="270">
        <v>1700</v>
      </c>
      <c r="E35" s="270">
        <v>1821</v>
      </c>
      <c r="F35" s="270">
        <v>2185</v>
      </c>
      <c r="G35" s="270">
        <v>2525</v>
      </c>
      <c r="H35" s="270">
        <v>2817</v>
      </c>
      <c r="I35" s="2">
        <v>973</v>
      </c>
      <c r="J35" s="2">
        <v>1075</v>
      </c>
      <c r="K35" s="2">
        <v>1411</v>
      </c>
      <c r="L35" s="2">
        <v>1962</v>
      </c>
      <c r="M35" s="2">
        <v>1995</v>
      </c>
      <c r="N35" s="2">
        <v>5400</v>
      </c>
      <c r="O35" s="3">
        <f>+N35+22000/Pro_Forma!$C$14</f>
        <v>5584.8739495798318</v>
      </c>
      <c r="Q35" s="227">
        <v>1.0379362670713199</v>
      </c>
      <c r="R35">
        <v>489600</v>
      </c>
    </row>
    <row r="36" spans="2:18" x14ac:dyDescent="0.35">
      <c r="B36" t="s">
        <v>339</v>
      </c>
      <c r="C36" t="s">
        <v>314</v>
      </c>
      <c r="D36" s="270">
        <v>2152</v>
      </c>
      <c r="E36" s="270">
        <v>2306</v>
      </c>
      <c r="F36" s="270">
        <v>2767</v>
      </c>
      <c r="G36" s="270">
        <v>3198</v>
      </c>
      <c r="H36" s="270">
        <v>3567</v>
      </c>
      <c r="I36" s="2">
        <v>1692</v>
      </c>
      <c r="J36" s="2">
        <v>1777</v>
      </c>
      <c r="K36" s="2">
        <v>2201</v>
      </c>
      <c r="L36" s="2">
        <v>2912</v>
      </c>
      <c r="M36" s="2">
        <v>3514</v>
      </c>
      <c r="N36" s="2">
        <v>5200</v>
      </c>
      <c r="O36" s="3">
        <f>+N36+22000/Pro_Forma!$C$14</f>
        <v>5384.8739495798318</v>
      </c>
      <c r="Q36" s="227">
        <v>0.9969650986342945</v>
      </c>
      <c r="R36">
        <v>452000</v>
      </c>
    </row>
    <row r="37" spans="2:18" x14ac:dyDescent="0.35">
      <c r="B37" t="s">
        <v>340</v>
      </c>
      <c r="C37" t="s">
        <v>307</v>
      </c>
      <c r="D37" s="270">
        <v>2300</v>
      </c>
      <c r="E37" s="270">
        <v>2465</v>
      </c>
      <c r="F37" s="270">
        <v>2957</v>
      </c>
      <c r="G37" s="270">
        <v>3417</v>
      </c>
      <c r="H37" s="270">
        <v>3812</v>
      </c>
      <c r="I37" s="2">
        <v>1748</v>
      </c>
      <c r="J37" s="2">
        <v>1832</v>
      </c>
      <c r="K37" s="2">
        <v>2255</v>
      </c>
      <c r="L37" s="2">
        <v>3002</v>
      </c>
      <c r="M37" s="2">
        <v>3460</v>
      </c>
      <c r="N37" s="2">
        <v>5300</v>
      </c>
      <c r="O37" s="3">
        <f>+N37+22000/Pro_Forma!$C$14</f>
        <v>5484.8739495798318</v>
      </c>
      <c r="Q37" s="227">
        <v>1.047040971168437</v>
      </c>
      <c r="R37">
        <v>461600</v>
      </c>
    </row>
    <row r="38" spans="2:18" x14ac:dyDescent="0.35">
      <c r="B38" t="s">
        <v>341</v>
      </c>
      <c r="C38" t="s">
        <v>333</v>
      </c>
      <c r="D38" s="270">
        <v>2572</v>
      </c>
      <c r="E38" s="270">
        <v>2755</v>
      </c>
      <c r="F38" s="270">
        <v>3307</v>
      </c>
      <c r="G38" s="270">
        <v>3820</v>
      </c>
      <c r="H38" s="270">
        <v>4262</v>
      </c>
      <c r="I38" s="2">
        <v>2205</v>
      </c>
      <c r="J38" s="2">
        <v>2212</v>
      </c>
      <c r="K38" s="2">
        <v>2902</v>
      </c>
      <c r="L38" s="2">
        <v>3944</v>
      </c>
      <c r="M38" s="2">
        <v>4190</v>
      </c>
      <c r="N38" s="2">
        <v>5400</v>
      </c>
      <c r="O38" s="3">
        <f>+N38+22000/Pro_Forma!$C$14</f>
        <v>5584.8739495798318</v>
      </c>
      <c r="Q38" s="227">
        <v>1.056145675265554</v>
      </c>
      <c r="R38">
        <v>489600</v>
      </c>
    </row>
    <row r="39" spans="2:18" x14ac:dyDescent="0.35">
      <c r="B39" t="s">
        <v>342</v>
      </c>
      <c r="C39" t="s">
        <v>314</v>
      </c>
      <c r="D39" s="270">
        <v>2152</v>
      </c>
      <c r="E39" s="270">
        <v>2306</v>
      </c>
      <c r="F39" s="270">
        <v>2767</v>
      </c>
      <c r="G39" s="270">
        <v>3198</v>
      </c>
      <c r="H39" s="270">
        <v>3567</v>
      </c>
      <c r="I39" s="2">
        <v>1692</v>
      </c>
      <c r="J39" s="2">
        <v>1777</v>
      </c>
      <c r="K39" s="2">
        <v>2201</v>
      </c>
      <c r="L39" s="2">
        <v>2912</v>
      </c>
      <c r="M39" s="2">
        <v>3514</v>
      </c>
      <c r="N39" s="2">
        <v>5200</v>
      </c>
      <c r="O39" s="3">
        <f>+N39+22000/Pro_Forma!$C$14</f>
        <v>5384.8739495798318</v>
      </c>
      <c r="Q39" s="227">
        <v>0.98330804248861936</v>
      </c>
      <c r="R39">
        <v>452000</v>
      </c>
    </row>
    <row r="40" spans="2:18" x14ac:dyDescent="0.35">
      <c r="B40" t="s">
        <v>343</v>
      </c>
      <c r="C40" t="s">
        <v>333</v>
      </c>
      <c r="D40" s="270">
        <v>3062</v>
      </c>
      <c r="E40" s="270">
        <v>3281</v>
      </c>
      <c r="F40" s="270">
        <v>3937</v>
      </c>
      <c r="G40" s="270">
        <v>4547</v>
      </c>
      <c r="H40" s="270">
        <v>5072</v>
      </c>
      <c r="I40" s="2">
        <v>2288</v>
      </c>
      <c r="J40" s="2">
        <v>2459</v>
      </c>
      <c r="K40" s="2">
        <v>3001</v>
      </c>
      <c r="L40" s="2">
        <v>3998</v>
      </c>
      <c r="M40" s="2">
        <v>4845</v>
      </c>
      <c r="N40" s="2">
        <v>6100</v>
      </c>
      <c r="O40" s="3">
        <f>+N40+22000/Pro_Forma!$C$14</f>
        <v>6284.8739495798318</v>
      </c>
      <c r="Q40" s="227">
        <v>0.99241274658573619</v>
      </c>
      <c r="R40">
        <v>491200</v>
      </c>
    </row>
    <row r="41" spans="2:18" x14ac:dyDescent="0.35">
      <c r="B41" t="s">
        <v>344</v>
      </c>
      <c r="C41" t="s">
        <v>302</v>
      </c>
      <c r="D41" s="270">
        <v>3677</v>
      </c>
      <c r="E41" s="270">
        <v>3940</v>
      </c>
      <c r="F41" s="270">
        <v>4727</v>
      </c>
      <c r="G41" s="270">
        <v>5463</v>
      </c>
      <c r="H41" s="270">
        <v>6095</v>
      </c>
      <c r="I41" s="2">
        <v>2485</v>
      </c>
      <c r="J41" s="2">
        <v>2977</v>
      </c>
      <c r="K41" s="2">
        <v>3604</v>
      </c>
      <c r="L41" s="2">
        <v>4604</v>
      </c>
      <c r="M41" s="2">
        <v>4772</v>
      </c>
      <c r="N41" s="2">
        <v>8925</v>
      </c>
      <c r="O41" s="3">
        <f>+N41+22000/Pro_Forma!$C$14</f>
        <v>9109.8739495798327</v>
      </c>
      <c r="Q41" s="227">
        <v>1.1836115326251899</v>
      </c>
      <c r="R41">
        <v>959200</v>
      </c>
    </row>
    <row r="42" spans="2:18" x14ac:dyDescent="0.35">
      <c r="B42" t="s">
        <v>345</v>
      </c>
      <c r="C42" t="s">
        <v>307</v>
      </c>
      <c r="D42" s="270">
        <v>1892</v>
      </c>
      <c r="E42" s="270">
        <v>2027</v>
      </c>
      <c r="F42" s="270">
        <v>2432</v>
      </c>
      <c r="G42" s="270">
        <v>2811</v>
      </c>
      <c r="H42" s="270">
        <v>3135</v>
      </c>
      <c r="I42" s="2">
        <v>1288</v>
      </c>
      <c r="J42" s="2">
        <v>1395</v>
      </c>
      <c r="K42" s="2">
        <v>1742</v>
      </c>
      <c r="L42" s="2">
        <v>2423</v>
      </c>
      <c r="M42" s="2">
        <v>2922</v>
      </c>
      <c r="N42" s="2">
        <v>5000</v>
      </c>
      <c r="O42" s="3">
        <f>+N42+22000/Pro_Forma!$C$14</f>
        <v>5184.8739495798318</v>
      </c>
      <c r="Q42" s="227">
        <v>1.0379362670713199</v>
      </c>
      <c r="R42">
        <v>428000</v>
      </c>
    </row>
    <row r="43" spans="2:18" x14ac:dyDescent="0.35">
      <c r="B43" t="s">
        <v>346</v>
      </c>
      <c r="C43" t="s">
        <v>333</v>
      </c>
      <c r="D43" s="270">
        <v>2675</v>
      </c>
      <c r="E43" s="270">
        <v>2866</v>
      </c>
      <c r="F43" s="270">
        <v>3440</v>
      </c>
      <c r="G43" s="270">
        <v>3975</v>
      </c>
      <c r="H43" s="270">
        <v>4435</v>
      </c>
      <c r="I43" s="2">
        <v>1732</v>
      </c>
      <c r="J43" s="2">
        <v>1914</v>
      </c>
      <c r="K43" s="2">
        <v>2512</v>
      </c>
      <c r="L43" s="2">
        <v>3370</v>
      </c>
      <c r="M43" s="2">
        <v>3861</v>
      </c>
      <c r="N43" s="2">
        <v>5670</v>
      </c>
      <c r="O43" s="3">
        <f>+N43+22000/Pro_Forma!$C$14</f>
        <v>5854.8739495798318</v>
      </c>
      <c r="Q43" s="227">
        <v>1.001517450682853</v>
      </c>
      <c r="R43">
        <v>562400</v>
      </c>
    </row>
    <row r="44" spans="2:18" x14ac:dyDescent="0.35">
      <c r="B44" t="s">
        <v>347</v>
      </c>
      <c r="C44" t="s">
        <v>302</v>
      </c>
      <c r="D44" s="270">
        <v>3677</v>
      </c>
      <c r="E44" s="270">
        <v>3940</v>
      </c>
      <c r="F44" s="270">
        <v>4727</v>
      </c>
      <c r="G44" s="270">
        <v>5463</v>
      </c>
      <c r="H44" s="270">
        <v>6095</v>
      </c>
      <c r="I44" s="2">
        <v>2485</v>
      </c>
      <c r="J44" s="2">
        <v>2977</v>
      </c>
      <c r="K44" s="2">
        <v>3604</v>
      </c>
      <c r="L44" s="2">
        <v>4604</v>
      </c>
      <c r="M44" s="2">
        <v>4772</v>
      </c>
      <c r="N44" s="2">
        <v>6930</v>
      </c>
      <c r="O44" s="3">
        <f>+N44+22000/Pro_Forma!$C$14</f>
        <v>7114.8739495798318</v>
      </c>
      <c r="Q44" s="227">
        <v>1.147192716236723</v>
      </c>
      <c r="R44">
        <v>740000</v>
      </c>
    </row>
    <row r="45" spans="2:18" x14ac:dyDescent="0.35">
      <c r="B45" t="s">
        <v>348</v>
      </c>
      <c r="C45" t="s">
        <v>333</v>
      </c>
      <c r="D45" s="270">
        <v>3187</v>
      </c>
      <c r="E45" s="270">
        <v>3415</v>
      </c>
      <c r="F45" s="270">
        <v>4097</v>
      </c>
      <c r="G45" s="270">
        <v>4735</v>
      </c>
      <c r="H45" s="270">
        <v>5282</v>
      </c>
      <c r="I45" s="2">
        <v>2459</v>
      </c>
      <c r="J45" s="2">
        <v>2746</v>
      </c>
      <c r="K45" s="2">
        <v>3124</v>
      </c>
      <c r="L45" s="2">
        <v>4075</v>
      </c>
      <c r="M45" s="2">
        <v>4647</v>
      </c>
      <c r="N45" s="2">
        <v>5670</v>
      </c>
      <c r="O45" s="3">
        <f>+N45+22000/Pro_Forma!$C$14</f>
        <v>5854.8739495798318</v>
      </c>
      <c r="Q45" s="227">
        <v>0.99241274658573619</v>
      </c>
      <c r="R45">
        <v>562400</v>
      </c>
    </row>
    <row r="46" spans="2:18" x14ac:dyDescent="0.35">
      <c r="B46" t="s">
        <v>349</v>
      </c>
      <c r="C46" t="s">
        <v>302</v>
      </c>
      <c r="D46" s="270">
        <v>3597</v>
      </c>
      <c r="E46" s="270">
        <v>3853</v>
      </c>
      <c r="F46" s="270">
        <v>4625</v>
      </c>
      <c r="G46" s="270">
        <v>5343</v>
      </c>
      <c r="H46" s="270">
        <v>5960</v>
      </c>
      <c r="I46" s="2">
        <v>2621</v>
      </c>
      <c r="J46" s="2">
        <v>2982</v>
      </c>
      <c r="K46" s="2">
        <v>3483</v>
      </c>
      <c r="L46" s="2">
        <v>4602</v>
      </c>
      <c r="M46" s="2">
        <v>5010</v>
      </c>
      <c r="N46" s="2">
        <v>6930</v>
      </c>
      <c r="O46" s="3">
        <f>+N46+22000/Pro_Forma!$C$14</f>
        <v>7114.8739495798318</v>
      </c>
      <c r="Q46" s="227">
        <v>1.1335356600910469</v>
      </c>
      <c r="R46">
        <v>740000</v>
      </c>
    </row>
    <row r="47" spans="2:18" x14ac:dyDescent="0.35">
      <c r="B47" t="s">
        <v>350</v>
      </c>
      <c r="C47" t="s">
        <v>302</v>
      </c>
      <c r="D47" s="270">
        <v>3807</v>
      </c>
      <c r="E47" s="270">
        <v>4078</v>
      </c>
      <c r="F47" s="270">
        <v>4895</v>
      </c>
      <c r="G47" s="270">
        <v>5655</v>
      </c>
      <c r="H47" s="270">
        <v>6307</v>
      </c>
      <c r="I47" s="2">
        <v>3179</v>
      </c>
      <c r="J47" s="2">
        <v>3298</v>
      </c>
      <c r="K47" s="2">
        <v>4214</v>
      </c>
      <c r="L47" s="2">
        <v>5377</v>
      </c>
      <c r="M47" s="2">
        <v>5659</v>
      </c>
      <c r="N47" s="2">
        <v>5670</v>
      </c>
      <c r="O47" s="3">
        <f>+N47+22000/Pro_Forma!$C$14</f>
        <v>5854.8739495798318</v>
      </c>
      <c r="Q47" s="227">
        <v>1.083459787556905</v>
      </c>
      <c r="R47">
        <v>562400</v>
      </c>
    </row>
    <row r="48" spans="2:18" x14ac:dyDescent="0.35">
      <c r="B48" t="s">
        <v>351</v>
      </c>
      <c r="C48" t="s">
        <v>307</v>
      </c>
      <c r="D48" s="270">
        <v>1700</v>
      </c>
      <c r="E48" s="270">
        <v>1821</v>
      </c>
      <c r="F48" s="270">
        <v>2185</v>
      </c>
      <c r="G48" s="270">
        <v>2525</v>
      </c>
      <c r="H48" s="270">
        <v>2817</v>
      </c>
      <c r="I48" s="2">
        <v>1172</v>
      </c>
      <c r="J48" s="2">
        <v>1212</v>
      </c>
      <c r="K48" s="2">
        <v>1590</v>
      </c>
      <c r="L48" s="2">
        <v>2211</v>
      </c>
      <c r="M48" s="2">
        <v>2667</v>
      </c>
      <c r="N48" s="2">
        <v>5300</v>
      </c>
      <c r="O48" s="3">
        <f>+N48+22000/Pro_Forma!$C$14</f>
        <v>5484.8739495798318</v>
      </c>
      <c r="Q48" s="227">
        <v>1.083459787556905</v>
      </c>
      <c r="R48">
        <v>444000</v>
      </c>
    </row>
    <row r="49" spans="2:18" x14ac:dyDescent="0.35">
      <c r="B49" t="s">
        <v>352</v>
      </c>
      <c r="C49" t="s">
        <v>304</v>
      </c>
      <c r="D49" s="270">
        <v>1700</v>
      </c>
      <c r="E49" s="270">
        <v>1821</v>
      </c>
      <c r="F49" s="270">
        <v>2185</v>
      </c>
      <c r="G49" s="270">
        <v>2525</v>
      </c>
      <c r="H49" s="270">
        <v>2817</v>
      </c>
      <c r="I49" s="2">
        <v>1068</v>
      </c>
      <c r="J49" s="2">
        <v>1165</v>
      </c>
      <c r="K49" s="2">
        <v>1529</v>
      </c>
      <c r="L49" s="2">
        <v>2126</v>
      </c>
      <c r="M49" s="2">
        <v>2527</v>
      </c>
      <c r="N49" s="2">
        <v>5400</v>
      </c>
      <c r="O49" s="3">
        <f>+N49+22000/Pro_Forma!$C$14</f>
        <v>5584.8739495798318</v>
      </c>
      <c r="Q49" s="227">
        <v>1.0379362670713199</v>
      </c>
      <c r="R49">
        <v>489600</v>
      </c>
    </row>
    <row r="50" spans="2:18" x14ac:dyDescent="0.35">
      <c r="B50" t="s">
        <v>353</v>
      </c>
      <c r="C50" t="s">
        <v>304</v>
      </c>
      <c r="D50" s="270">
        <v>1700</v>
      </c>
      <c r="E50" s="270">
        <v>1821</v>
      </c>
      <c r="F50" s="270">
        <v>2185</v>
      </c>
      <c r="G50" s="270">
        <v>2525</v>
      </c>
      <c r="H50" s="270">
        <v>2817</v>
      </c>
      <c r="I50" s="2">
        <v>962</v>
      </c>
      <c r="J50" s="2">
        <v>969</v>
      </c>
      <c r="K50" s="2">
        <v>1249</v>
      </c>
      <c r="L50" s="2">
        <v>1737</v>
      </c>
      <c r="M50" s="2">
        <v>1915</v>
      </c>
      <c r="N50" s="2">
        <v>5400</v>
      </c>
      <c r="O50" s="3">
        <f>+N50+22000/Pro_Forma!$C$14</f>
        <v>5584.8739495798318</v>
      </c>
      <c r="Q50" s="227">
        <v>1.083459787556905</v>
      </c>
      <c r="R50">
        <v>489600</v>
      </c>
    </row>
    <row r="51" spans="2:18" x14ac:dyDescent="0.35">
      <c r="B51" t="s">
        <v>354</v>
      </c>
      <c r="C51" t="s">
        <v>307</v>
      </c>
      <c r="D51" s="270">
        <v>2287</v>
      </c>
      <c r="E51" s="270">
        <v>2450</v>
      </c>
      <c r="F51" s="270">
        <v>2940</v>
      </c>
      <c r="G51" s="270">
        <v>3396</v>
      </c>
      <c r="H51" s="270">
        <v>3787</v>
      </c>
      <c r="I51" s="2">
        <v>1567</v>
      </c>
      <c r="J51" s="2">
        <v>1705</v>
      </c>
      <c r="K51" s="2">
        <v>2178</v>
      </c>
      <c r="L51" s="2">
        <v>2911</v>
      </c>
      <c r="M51" s="2">
        <v>3297</v>
      </c>
      <c r="N51" s="2">
        <v>5300</v>
      </c>
      <c r="O51" s="3">
        <f>+N51+22000/Pro_Forma!$C$14</f>
        <v>5484.8739495798318</v>
      </c>
      <c r="Q51" s="227">
        <v>1.083459787556905</v>
      </c>
      <c r="R51">
        <v>534400</v>
      </c>
    </row>
    <row r="52" spans="2:18" x14ac:dyDescent="0.35">
      <c r="B52" t="s">
        <v>355</v>
      </c>
      <c r="C52" t="s">
        <v>333</v>
      </c>
      <c r="D52" s="270">
        <v>2885</v>
      </c>
      <c r="E52" s="270">
        <v>3091</v>
      </c>
      <c r="F52" s="270">
        <v>3710</v>
      </c>
      <c r="G52" s="270">
        <v>4285</v>
      </c>
      <c r="H52" s="270">
        <v>4780</v>
      </c>
      <c r="I52" s="2">
        <v>1949</v>
      </c>
      <c r="J52" s="2">
        <v>2155</v>
      </c>
      <c r="K52" s="2">
        <v>2827</v>
      </c>
      <c r="L52" s="2">
        <v>3887</v>
      </c>
      <c r="M52" s="2">
        <v>4147</v>
      </c>
      <c r="N52" s="2">
        <v>5300</v>
      </c>
      <c r="O52" s="3">
        <f>+N52+22000/Pro_Forma!$C$14</f>
        <v>5484.8739495798318</v>
      </c>
      <c r="Q52" s="227">
        <v>1.110773899848255</v>
      </c>
      <c r="R52">
        <v>534400</v>
      </c>
    </row>
    <row r="53" spans="2:18" x14ac:dyDescent="0.35">
      <c r="B53" t="s">
        <v>356</v>
      </c>
      <c r="C53" t="s">
        <v>314</v>
      </c>
      <c r="D53" s="270">
        <v>1795</v>
      </c>
      <c r="E53" s="270">
        <v>1922</v>
      </c>
      <c r="F53" s="270">
        <v>2307</v>
      </c>
      <c r="G53" s="270">
        <v>2665</v>
      </c>
      <c r="H53" s="270">
        <v>2972</v>
      </c>
      <c r="I53" s="2">
        <v>1255</v>
      </c>
      <c r="J53" s="2">
        <v>1356</v>
      </c>
      <c r="K53" s="2">
        <v>1758</v>
      </c>
      <c r="L53" s="2">
        <v>2442</v>
      </c>
      <c r="M53" s="2">
        <v>2823</v>
      </c>
      <c r="N53" s="2">
        <v>5000</v>
      </c>
      <c r="O53" s="3">
        <f>+N53+22000/Pro_Forma!$C$14</f>
        <v>5184.8739495798318</v>
      </c>
      <c r="Q53" s="227">
        <v>1.0379362670713199</v>
      </c>
      <c r="R53">
        <v>428000</v>
      </c>
    </row>
    <row r="54" spans="2:18" x14ac:dyDescent="0.35">
      <c r="B54" t="s">
        <v>357</v>
      </c>
      <c r="C54" t="s">
        <v>307</v>
      </c>
      <c r="D54" s="270">
        <v>1785</v>
      </c>
      <c r="E54" s="270">
        <v>1912</v>
      </c>
      <c r="F54" s="270">
        <v>2295</v>
      </c>
      <c r="G54" s="270">
        <v>2650</v>
      </c>
      <c r="H54" s="270">
        <v>2957</v>
      </c>
      <c r="I54" s="2">
        <v>1166</v>
      </c>
      <c r="J54" s="2">
        <v>1272</v>
      </c>
      <c r="K54" s="2">
        <v>1550</v>
      </c>
      <c r="L54" s="2">
        <v>2156</v>
      </c>
      <c r="M54" s="2">
        <v>2600</v>
      </c>
      <c r="N54" s="2">
        <v>5300</v>
      </c>
      <c r="O54" s="3">
        <f>+N54+22000/Pro_Forma!$C$14</f>
        <v>5484.8739495798318</v>
      </c>
      <c r="Q54" s="227">
        <v>1.0379362670713199</v>
      </c>
      <c r="R54">
        <v>461600</v>
      </c>
    </row>
    <row r="55" spans="2:18" x14ac:dyDescent="0.35">
      <c r="B55" t="s">
        <v>358</v>
      </c>
      <c r="C55" t="s">
        <v>304</v>
      </c>
      <c r="D55" s="270">
        <v>1700</v>
      </c>
      <c r="E55" s="270">
        <v>1821</v>
      </c>
      <c r="F55" s="270">
        <v>2185</v>
      </c>
      <c r="G55" s="270">
        <v>2525</v>
      </c>
      <c r="H55" s="270">
        <v>2817</v>
      </c>
      <c r="I55" s="2">
        <v>952</v>
      </c>
      <c r="J55" s="2">
        <v>1038</v>
      </c>
      <c r="K55" s="2">
        <v>1362</v>
      </c>
      <c r="L55" s="2">
        <v>1865</v>
      </c>
      <c r="M55" s="2">
        <v>2285</v>
      </c>
      <c r="N55" s="2">
        <v>5400</v>
      </c>
      <c r="O55" s="3">
        <f>+N55+22000/Pro_Forma!$C$14</f>
        <v>5584.8739495798318</v>
      </c>
      <c r="Q55" s="227">
        <v>1.083459787556905</v>
      </c>
      <c r="R55">
        <v>489600</v>
      </c>
    </row>
    <row r="56" spans="2:18" x14ac:dyDescent="0.35">
      <c r="B56" t="s">
        <v>359</v>
      </c>
      <c r="C56" t="s">
        <v>304</v>
      </c>
      <c r="D56" s="270">
        <v>1700</v>
      </c>
      <c r="E56" s="270">
        <v>1821</v>
      </c>
      <c r="F56" s="270">
        <v>2185</v>
      </c>
      <c r="G56" s="270">
        <v>2525</v>
      </c>
      <c r="H56" s="270">
        <v>2817</v>
      </c>
      <c r="I56" s="2">
        <v>829</v>
      </c>
      <c r="J56" s="2">
        <v>916</v>
      </c>
      <c r="K56" s="2">
        <v>1202</v>
      </c>
      <c r="L56" s="2">
        <v>1636</v>
      </c>
      <c r="M56" s="2">
        <v>1655</v>
      </c>
      <c r="N56" s="2">
        <v>5400</v>
      </c>
      <c r="O56" s="3">
        <f>+N56+22000/Pro_Forma!$C$14</f>
        <v>5584.8739495798318</v>
      </c>
      <c r="Q56" s="227">
        <v>1.083459787556905</v>
      </c>
      <c r="R56">
        <v>489600</v>
      </c>
    </row>
    <row r="57" spans="2:18" x14ac:dyDescent="0.35">
      <c r="B57" t="s">
        <v>360</v>
      </c>
      <c r="C57" t="s">
        <v>314</v>
      </c>
      <c r="D57" s="270">
        <v>1700</v>
      </c>
      <c r="E57" s="270">
        <v>1821</v>
      </c>
      <c r="F57" s="270">
        <v>2185</v>
      </c>
      <c r="G57" s="270">
        <v>2525</v>
      </c>
      <c r="H57" s="270">
        <v>2817</v>
      </c>
      <c r="I57" s="2">
        <v>1116</v>
      </c>
      <c r="J57" s="2">
        <v>1123</v>
      </c>
      <c r="K57" s="2">
        <v>1474</v>
      </c>
      <c r="L57" s="2">
        <v>2028</v>
      </c>
      <c r="M57" s="2">
        <v>2393</v>
      </c>
      <c r="N57" s="2">
        <v>5000</v>
      </c>
      <c r="O57" s="3">
        <f>+N57+22000/Pro_Forma!$C$14</f>
        <v>5184.8739495798318</v>
      </c>
      <c r="Q57" s="227">
        <v>1.0288315629742031</v>
      </c>
      <c r="R57">
        <v>428000</v>
      </c>
    </row>
    <row r="58" spans="2:18" x14ac:dyDescent="0.35">
      <c r="B58" t="s">
        <v>361</v>
      </c>
      <c r="C58" t="s">
        <v>304</v>
      </c>
      <c r="D58" s="270">
        <v>1790</v>
      </c>
      <c r="E58" s="270">
        <v>1917</v>
      </c>
      <c r="F58" s="270">
        <v>2300</v>
      </c>
      <c r="G58" s="270">
        <v>2657</v>
      </c>
      <c r="H58" s="270">
        <v>2965</v>
      </c>
      <c r="I58" s="2">
        <v>1096</v>
      </c>
      <c r="J58" s="2">
        <v>1257</v>
      </c>
      <c r="K58" s="2">
        <v>1589</v>
      </c>
      <c r="L58" s="2">
        <v>2078</v>
      </c>
      <c r="M58" s="2">
        <v>2666</v>
      </c>
      <c r="N58" s="2">
        <v>5400</v>
      </c>
      <c r="O58" s="3">
        <f>+N58+22000/Pro_Forma!$C$14</f>
        <v>5584.8739495798318</v>
      </c>
      <c r="Q58" s="227">
        <v>1.0379362670713199</v>
      </c>
      <c r="R58">
        <v>489600</v>
      </c>
    </row>
    <row r="59" spans="2:18" x14ac:dyDescent="0.35">
      <c r="B59" t="s">
        <v>362</v>
      </c>
      <c r="C59" t="s">
        <v>333</v>
      </c>
      <c r="D59" s="270">
        <v>2747</v>
      </c>
      <c r="E59" s="270">
        <v>2943</v>
      </c>
      <c r="F59" s="270">
        <v>3532</v>
      </c>
      <c r="G59" s="270">
        <v>4082</v>
      </c>
      <c r="H59" s="270">
        <v>4555</v>
      </c>
      <c r="I59" s="2">
        <v>1998</v>
      </c>
      <c r="J59" s="2">
        <v>2250</v>
      </c>
      <c r="K59" s="2">
        <v>2693</v>
      </c>
      <c r="L59" s="2">
        <v>3652</v>
      </c>
      <c r="M59" s="2">
        <v>4240</v>
      </c>
      <c r="N59" s="2">
        <v>5670</v>
      </c>
      <c r="O59" s="3">
        <f>+N59+22000/Pro_Forma!$C$14</f>
        <v>5854.8739495798318</v>
      </c>
      <c r="Q59" s="227">
        <v>1.001517450682853</v>
      </c>
      <c r="R59">
        <v>562400</v>
      </c>
    </row>
    <row r="60" spans="2:18" x14ac:dyDescent="0.35">
      <c r="B60" t="s">
        <v>363</v>
      </c>
      <c r="C60" t="s">
        <v>307</v>
      </c>
      <c r="D60" s="270">
        <v>2270</v>
      </c>
      <c r="E60" s="270">
        <v>2431</v>
      </c>
      <c r="F60" s="270">
        <v>2917</v>
      </c>
      <c r="G60" s="270">
        <v>3370</v>
      </c>
      <c r="H60" s="270">
        <v>3760</v>
      </c>
      <c r="I60" s="2">
        <v>1604</v>
      </c>
      <c r="J60" s="2">
        <v>1615</v>
      </c>
      <c r="K60" s="2">
        <v>2104</v>
      </c>
      <c r="L60" s="2">
        <v>2917</v>
      </c>
      <c r="M60" s="2">
        <v>3178</v>
      </c>
      <c r="N60" s="2">
        <v>5300</v>
      </c>
      <c r="O60" s="3">
        <f>+N60+22000/Pro_Forma!$C$14</f>
        <v>5484.8739495798318</v>
      </c>
      <c r="Q60" s="227">
        <v>1.047040971168437</v>
      </c>
      <c r="R60">
        <v>461600</v>
      </c>
    </row>
    <row r="61" spans="2:18" x14ac:dyDescent="0.35">
      <c r="B61" t="s">
        <v>364</v>
      </c>
      <c r="C61" t="s">
        <v>307</v>
      </c>
      <c r="D61" s="270">
        <v>1785</v>
      </c>
      <c r="E61" s="270">
        <v>1912</v>
      </c>
      <c r="F61" s="270">
        <v>2295</v>
      </c>
      <c r="G61" s="270">
        <v>2650</v>
      </c>
      <c r="H61" s="270">
        <v>2957</v>
      </c>
      <c r="I61" s="2">
        <v>1166</v>
      </c>
      <c r="J61" s="2">
        <v>1272</v>
      </c>
      <c r="K61" s="2">
        <v>1550</v>
      </c>
      <c r="L61" s="2">
        <v>2156</v>
      </c>
      <c r="M61" s="2">
        <v>2600</v>
      </c>
      <c r="N61" s="2">
        <v>5300</v>
      </c>
      <c r="O61" s="3">
        <f>+N61+22000/Pro_Forma!$C$14</f>
        <v>5484.8739495798318</v>
      </c>
      <c r="Q61" s="227">
        <v>1.0379362670713199</v>
      </c>
      <c r="R61">
        <v>461600</v>
      </c>
    </row>
    <row r="62" spans="2:18" x14ac:dyDescent="0.35">
      <c r="Q62" s="227"/>
    </row>
    <row r="63" spans="2:18" x14ac:dyDescent="0.35">
      <c r="C63" t="str" cm="1">
        <f t="array" ref="C63:C68">+_xlfn.UNIQUE(C4:C61)</f>
        <v>Bay Area Region</v>
      </c>
    </row>
    <row r="64" spans="2:18" x14ac:dyDescent="0.35">
      <c r="C64" t="str">
        <v>None</v>
      </c>
    </row>
    <row r="65" spans="3:3" x14ac:dyDescent="0.35">
      <c r="C65" t="str">
        <v>Northern Region</v>
      </c>
    </row>
    <row r="66" spans="3:3" x14ac:dyDescent="0.35">
      <c r="C66" t="str">
        <v>Inland Region</v>
      </c>
    </row>
    <row r="67" spans="3:3" x14ac:dyDescent="0.35">
      <c r="C67" t="str">
        <v>City of Los Angeles (if within city limits); Balance of Los Angeles County (if outside city limits)</v>
      </c>
    </row>
    <row r="68" spans="3:3" x14ac:dyDescent="0.35">
      <c r="C68" t="str">
        <v>Coastal Region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767ADC-60F7-4CBA-9B51-E7B991A4E7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Model Changelog</vt:lpstr>
      <vt:lpstr>Sheet1</vt:lpstr>
      <vt:lpstr>Pro_Forma</vt:lpstr>
      <vt:lpstr>Tiebreak</vt:lpstr>
      <vt:lpstr>Draws_Module</vt:lpstr>
      <vt:lpstr>Cell Mapping</vt:lpstr>
      <vt:lpstr>UA</vt:lpstr>
      <vt:lpstr>Market Inputs</vt:lpstr>
      <vt:lpstr>Pro_Forma!Print_Area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Cazalis</dc:creator>
  <cp:lastModifiedBy>Nicolas Cazalis</cp:lastModifiedBy>
  <cp:lastPrinted>2025-10-29T22:58:30Z</cp:lastPrinted>
  <dcterms:created xsi:type="dcterms:W3CDTF">2025-06-25T18:17:51Z</dcterms:created>
  <dcterms:modified xsi:type="dcterms:W3CDTF">2026-06-23T23:52:20Z</dcterms:modified>
</cp:coreProperties>
</file>