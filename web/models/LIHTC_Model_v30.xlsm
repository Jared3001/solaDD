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colascazalis/Library/CloudStorage/GoogleDrive-nick@solaimpact.com/My Drive/"/>
    </mc:Choice>
  </mc:AlternateContent>
  <xr:revisionPtr revIDLastSave="0" documentId="8_{8C245534-040A-D447-A4BF-F4CEE2BBA6F7}" xr6:coauthVersionLast="47" xr6:coauthVersionMax="47" xr10:uidLastSave="{00000000-0000-0000-0000-000000000000}"/>
  <bookViews>
    <workbookView xWindow="34220" yWindow="-1880" windowWidth="38400" windowHeight="21000" activeTab="2" xr2:uid="{9218A149-E66F-4CA3-967D-EB85BC4FEA05}"/>
  </bookViews>
  <sheets>
    <sheet name="Model Changelog" sheetId="11" r:id="rId1"/>
    <sheet name="Sheet1" sheetId="10" r:id="rId2"/>
    <sheet name="Pro_Forma" sheetId="1" r:id="rId3"/>
    <sheet name="Tiebreak" sheetId="2" r:id="rId4"/>
    <sheet name="Draws_Module" sheetId="6" r:id="rId5"/>
    <sheet name="Cell Mapping" sheetId="7" r:id="rId6"/>
    <sheet name="UA" sheetId="9" r:id="rId7"/>
    <sheet name="Market Inputs" sheetId="8" r:id="rId8"/>
  </sheets>
  <definedNames>
    <definedName name="_xleta.MAX" hidden="1" xlm="1">#NAME?</definedName>
    <definedName name="_xleta.MIN" hidden="1" xlm="1">#NAME?</definedName>
    <definedName name="_xleta.ROUNDDOWN" hidden="1" xlm="1">#NAME?</definedName>
    <definedName name="_xlpm.br" hidden="1" xlm="1">#NAME?</definedName>
    <definedName name="_xlpm.cat" hidden="1" xlm="1">#NAME?</definedName>
    <definedName name="_xlpm.colIdx" hidden="1" xlm="1">#NAME?</definedName>
    <definedName name="_xlpm.ind" hidden="1" xlm="1">#NAME?</definedName>
    <definedName name="_xlpm.index" hidden="1" xlm="1">#NAME?</definedName>
    <definedName name="_xlpm.indx" hidden="1" xlm="1">#NAME?</definedName>
    <definedName name="_xlpm.jur" hidden="1" xlm="1">#NAME?</definedName>
    <definedName name="_xlpm.rowIdx" hidden="1" xlm="1">#NAME?</definedName>
    <definedName name="_xlpm.ut" hidden="1" xlm="1">#NAME?</definedName>
    <definedName name="_xlnm.Print_Area" localSheetId="2">Pro_Forma!$B$1:$Z$92</definedName>
    <definedName name="solver_cvg" localSheetId="2" hidden="1">0.001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500</definedName>
    <definedName name="solver_lhs1" localSheetId="2" hidden="1">Pro_Forma!$R$39</definedName>
    <definedName name="solver_lhs2" localSheetId="2" hidden="1">Pro_Forma!$I$7</definedName>
    <definedName name="solver_lhs3" localSheetId="2" hidden="1">Pro_Forma!$C$24</definedName>
    <definedName name="solver_lhs4" localSheetId="2" hidden="1">Pro_Forma!$R$35:$R$36</definedName>
    <definedName name="solver_lhs5" localSheetId="2" hidden="1">Pro_Forma!$R$38</definedName>
    <definedName name="solver_lhs6" localSheetId="2" hidden="1">Pro_Forma!$I$3:$I$6</definedName>
    <definedName name="solver_lhs7" localSheetId="2" hidden="1">Pro_Forma!$R$35</definedName>
    <definedName name="solver_lhs8" localSheetId="2" hidden="1">Pro_Forma!#REF!</definedName>
    <definedName name="solver_lin" localSheetId="2" hidden="1">2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2" localSheetId="2" hidden="1">1</definedName>
    <definedName name="solver_rel3" localSheetId="2" hidden="1">2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hs1" localSheetId="2" hidden="1">1</definedName>
    <definedName name="solver_rhs2" localSheetId="2" hidden="1">1</definedName>
    <definedName name="solver_rhs3" localSheetId="2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0.1</definedName>
    <definedName name="solver_rhs8" localSheetId="2" hidden="1">0.2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60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3" i="1" l="1"/>
  <c r="W40" i="1" s="1"/>
  <c r="C9" i="1"/>
  <c r="M4" i="1"/>
  <c r="AL63" i="1" a="1"/>
  <c r="AK63" i="1" a="1"/>
  <c r="AJ63" i="1" a="1"/>
  <c r="AI63" i="1" a="1"/>
  <c r="AL62" i="1" a="1"/>
  <c r="AK62" i="1" a="1"/>
  <c r="AJ62" i="1" a="1"/>
  <c r="AI62" i="1" a="1"/>
  <c r="AL61" i="1" a="1"/>
  <c r="AK61" i="1" a="1"/>
  <c r="AJ61" i="1" a="1"/>
  <c r="AI61" i="1" a="1"/>
  <c r="AL60" i="1" a="1"/>
  <c r="AK60" i="1" a="1"/>
  <c r="AJ60" i="1" a="1"/>
  <c r="AI60" i="1" a="1"/>
  <c r="AL59" i="1" a="1"/>
  <c r="AK59" i="1" a="1"/>
  <c r="AJ59" i="1" a="1"/>
  <c r="AI59" i="1" a="1"/>
  <c r="AL58" i="1" a="1"/>
  <c r="AK58" i="1" a="1"/>
  <c r="AJ58" i="1" a="1"/>
  <c r="AI58" i="1" a="1"/>
  <c r="AL57" i="1" a="1"/>
  <c r="AK57" i="1" a="1"/>
  <c r="AJ57" i="1" a="1"/>
  <c r="AI57" i="1" a="1"/>
  <c r="AL56" i="1" a="1"/>
  <c r="AK56" i="1" a="1"/>
  <c r="AJ56" i="1" a="1"/>
  <c r="AI56" i="1" a="1"/>
  <c r="AH29" i="1" a="1"/>
  <c r="E30" i="1"/>
  <c r="I6" i="1"/>
  <c r="I5" i="1"/>
  <c r="C35" i="2"/>
  <c r="S6" i="1"/>
  <c r="J67" i="1"/>
  <c r="K67" i="1"/>
  <c r="L60" i="1"/>
  <c r="L59" i="1"/>
  <c r="I117" i="1"/>
  <c r="O112" i="1"/>
  <c r="M108" i="1"/>
  <c r="M109" i="1"/>
  <c r="M110" i="1"/>
  <c r="M107" i="1"/>
  <c r="J108" i="1"/>
  <c r="C16" i="1"/>
  <c r="K131" i="1"/>
  <c r="H137" i="1"/>
  <c r="H109" i="1"/>
  <c r="H110" i="1"/>
  <c r="H111" i="1"/>
  <c r="H112" i="1"/>
  <c r="H113" i="1"/>
  <c r="H114" i="1"/>
  <c r="H115" i="1"/>
  <c r="H122" i="1"/>
  <c r="H123" i="1"/>
  <c r="H116" i="1"/>
  <c r="H124" i="1"/>
  <c r="H126" i="1"/>
  <c r="H128" i="1"/>
  <c r="H130" i="1"/>
  <c r="H125" i="1"/>
  <c r="C68" i="1"/>
  <c r="C44" i="1"/>
  <c r="X39" i="1"/>
  <c r="X38" i="1"/>
  <c r="C63" i="8" a="1"/>
  <c r="W35" i="1" l="1"/>
  <c r="W28" i="1"/>
  <c r="W30" i="1"/>
  <c r="W33" i="1"/>
  <c r="W34" i="1"/>
  <c r="W39" i="1"/>
  <c r="W38" i="1"/>
  <c r="W17" i="1" l="1"/>
  <c r="W22" i="1"/>
  <c r="W19" i="1"/>
  <c r="W18" i="1"/>
  <c r="W16" i="1"/>
  <c r="W15" i="1"/>
  <c r="Y23" i="1"/>
  <c r="Z23" i="1"/>
  <c r="X23" i="1"/>
  <c r="Z20" i="1"/>
  <c r="Y20" i="1"/>
  <c r="X20" i="1"/>
  <c r="S25" i="1"/>
  <c r="S11" i="1"/>
  <c r="C79" i="1"/>
  <c r="C20" i="6" s="1"/>
  <c r="D20" i="6" s="1"/>
  <c r="AE60" i="1"/>
  <c r="AE61" i="1"/>
  <c r="AE59" i="1"/>
  <c r="C64" i="1"/>
  <c r="C19" i="6" s="1"/>
  <c r="W8" i="1" l="1"/>
  <c r="C63" i="1" s="1"/>
  <c r="W5" i="1"/>
  <c r="C62" i="1" s="1"/>
  <c r="W20" i="1"/>
  <c r="W23" i="1"/>
  <c r="J11" i="10" l="1"/>
  <c r="J12" i="10" s="1"/>
  <c r="J9" i="10" s="1"/>
  <c r="J8" i="10" s="1"/>
  <c r="I11" i="10"/>
  <c r="I12" i="10" s="1"/>
  <c r="I9" i="10" s="1"/>
  <c r="I8" i="10" s="1"/>
  <c r="H11" i="10"/>
  <c r="H12" i="10" s="1"/>
  <c r="H9" i="10" s="1"/>
  <c r="H8" i="10" s="1"/>
  <c r="G11" i="10"/>
  <c r="G12" i="10" s="1"/>
  <c r="G9" i="10" s="1"/>
  <c r="G8" i="10" s="1"/>
  <c r="F11" i="10"/>
  <c r="F12" i="10" s="1"/>
  <c r="F9" i="10" s="1"/>
  <c r="F8" i="10" s="1"/>
  <c r="AE46" i="1"/>
  <c r="AE47" i="1"/>
  <c r="AE44" i="1"/>
  <c r="AE45" i="1"/>
  <c r="J17" i="1"/>
  <c r="B22" i="6" l="1"/>
  <c r="B24" i="6" s="1"/>
  <c r="C99" i="1"/>
  <c r="G25" i="2" l="1"/>
  <c r="G26" i="2"/>
  <c r="G28" i="2"/>
  <c r="G29" i="2"/>
  <c r="G30" i="2"/>
  <c r="G32" i="2"/>
  <c r="G33" i="2"/>
  <c r="G34" i="2"/>
  <c r="G36" i="2"/>
  <c r="G37" i="2"/>
  <c r="G38" i="2"/>
  <c r="G24" i="2"/>
  <c r="I4" i="1"/>
  <c r="C78" i="2" l="1"/>
  <c r="C79" i="2" s="1"/>
  <c r="C74" i="2"/>
  <c r="C75" i="2" s="1"/>
  <c r="C37" i="2"/>
  <c r="C38" i="2"/>
  <c r="C40" i="2" s="1"/>
  <c r="C28" i="2"/>
  <c r="C29" i="2" s="1"/>
  <c r="R37" i="1"/>
  <c r="R39" i="1" s="1"/>
  <c r="I45" i="1"/>
  <c r="J45" i="1" s="1"/>
  <c r="C87" i="1"/>
  <c r="D112" i="1"/>
  <c r="E55" i="1"/>
  <c r="C70" i="2"/>
  <c r="C72" i="2" s="1"/>
  <c r="P40" i="1"/>
  <c r="D12" i="1"/>
  <c r="C17" i="1" s="1"/>
  <c r="D18" i="1" s="1"/>
  <c r="J25" i="1"/>
  <c r="G39" i="2" s="1"/>
  <c r="J21" i="1"/>
  <c r="G35" i="2" s="1"/>
  <c r="G31" i="2"/>
  <c r="J13" i="1"/>
  <c r="L7" i="1"/>
  <c r="H22" i="1"/>
  <c r="H23" i="1" s="1"/>
  <c r="H24" i="1" s="1"/>
  <c r="H25" i="1" s="1"/>
  <c r="H18" i="1"/>
  <c r="H19" i="1" s="1"/>
  <c r="H20" i="1" s="1"/>
  <c r="H21" i="1" s="1"/>
  <c r="H14" i="1"/>
  <c r="H26" i="1" s="1"/>
  <c r="H10" i="1"/>
  <c r="H11" i="1" s="1"/>
  <c r="H12" i="1" s="1"/>
  <c r="H13" i="1" s="1"/>
  <c r="C76" i="1"/>
  <c r="C128" i="7"/>
  <c r="C127" i="7"/>
  <c r="C114" i="7"/>
  <c r="C113" i="7"/>
  <c r="C61" i="2"/>
  <c r="C5" i="7"/>
  <c r="C116" i="7"/>
  <c r="C111" i="7"/>
  <c r="C110" i="7"/>
  <c r="C108" i="7"/>
  <c r="C107" i="7"/>
  <c r="C105" i="7"/>
  <c r="C130" i="7"/>
  <c r="C125" i="7"/>
  <c r="C124" i="7"/>
  <c r="C122" i="7"/>
  <c r="C121" i="7"/>
  <c r="C119" i="7"/>
  <c r="C136" i="7"/>
  <c r="C118" i="7"/>
  <c r="C104" i="7"/>
  <c r="C101" i="7"/>
  <c r="C100" i="7"/>
  <c r="F19" i="2"/>
  <c r="F18" i="2"/>
  <c r="F17" i="2"/>
  <c r="F16" i="2"/>
  <c r="J4" i="1"/>
  <c r="H28" i="2" s="1"/>
  <c r="J5" i="1"/>
  <c r="K20" i="1" s="1"/>
  <c r="J6" i="1"/>
  <c r="K24" i="1" s="1"/>
  <c r="J3" i="1"/>
  <c r="K10" i="1" s="1"/>
  <c r="C98" i="7"/>
  <c r="C97" i="7"/>
  <c r="C96" i="7"/>
  <c r="C95" i="7"/>
  <c r="C94" i="7"/>
  <c r="C93" i="7"/>
  <c r="C92" i="7"/>
  <c r="C89" i="7"/>
  <c r="C88" i="7"/>
  <c r="C87" i="7"/>
  <c r="C86" i="7"/>
  <c r="C85" i="7"/>
  <c r="C84" i="7"/>
  <c r="C83" i="7"/>
  <c r="C80" i="7"/>
  <c r="C79" i="7"/>
  <c r="C78" i="7"/>
  <c r="C77" i="7"/>
  <c r="C76" i="7"/>
  <c r="C73" i="7"/>
  <c r="C72" i="7"/>
  <c r="C71" i="7"/>
  <c r="C68" i="7"/>
  <c r="C67" i="7"/>
  <c r="C66" i="7"/>
  <c r="C65" i="7"/>
  <c r="C64" i="7"/>
  <c r="C61" i="7"/>
  <c r="C60" i="7"/>
  <c r="C59" i="7"/>
  <c r="C58" i="7"/>
  <c r="C57" i="7"/>
  <c r="C56" i="7"/>
  <c r="C55" i="7"/>
  <c r="C52" i="7"/>
  <c r="C51" i="7"/>
  <c r="C50" i="7"/>
  <c r="C49" i="7"/>
  <c r="C48" i="7"/>
  <c r="C47" i="7"/>
  <c r="C46" i="7"/>
  <c r="C45" i="7"/>
  <c r="C44" i="7"/>
  <c r="C43" i="7"/>
  <c r="C40" i="7"/>
  <c r="C39" i="7"/>
  <c r="C38" i="7"/>
  <c r="C37" i="7"/>
  <c r="C36" i="7"/>
  <c r="C35" i="7"/>
  <c r="C34" i="7"/>
  <c r="C22" i="7"/>
  <c r="C23" i="7"/>
  <c r="C24" i="7"/>
  <c r="C25" i="7"/>
  <c r="C26" i="7"/>
  <c r="C27" i="7"/>
  <c r="C28" i="7"/>
  <c r="C29" i="7"/>
  <c r="C30" i="7"/>
  <c r="C31" i="7"/>
  <c r="C32" i="7"/>
  <c r="C33" i="7"/>
  <c r="C21" i="7"/>
  <c r="C13" i="7"/>
  <c r="C14" i="7"/>
  <c r="C15" i="7"/>
  <c r="C16" i="7"/>
  <c r="C17" i="7"/>
  <c r="C18" i="7"/>
  <c r="C7" i="7"/>
  <c r="C8" i="7"/>
  <c r="C9" i="7"/>
  <c r="C10" i="7"/>
  <c r="C6" i="7"/>
  <c r="C4" i="7"/>
  <c r="A219" i="6"/>
  <c r="C4" i="6"/>
  <c r="H46" i="1"/>
  <c r="C5" i="6"/>
  <c r="C80" i="6" s="1"/>
  <c r="C17" i="6"/>
  <c r="D17" i="6" s="1"/>
  <c r="D19" i="6"/>
  <c r="AF5" i="1"/>
  <c r="AG5" i="1" s="1"/>
  <c r="AH5" i="1" s="1"/>
  <c r="AI5" i="1" s="1"/>
  <c r="AJ5" i="1" s="1"/>
  <c r="AK5" i="1" s="1"/>
  <c r="AL5" i="1" s="1"/>
  <c r="AM5" i="1" s="1"/>
  <c r="AN5" i="1" s="1"/>
  <c r="AO5" i="1" s="1"/>
  <c r="AP5" i="1" s="1"/>
  <c r="AQ5" i="1" s="1"/>
  <c r="AD7" i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AD19" i="1" s="1"/>
  <c r="AD20" i="1" s="1"/>
  <c r="AD21" i="1" s="1"/>
  <c r="C33" i="1"/>
  <c r="S20" i="1"/>
  <c r="S14" i="1" s="1"/>
  <c r="D105" i="1"/>
  <c r="D110" i="1" s="1"/>
  <c r="J53" i="1"/>
  <c r="J57" i="1" s="1"/>
  <c r="J62" i="1" s="1"/>
  <c r="K53" i="1"/>
  <c r="K57" i="1" s="1"/>
  <c r="K62" i="1" s="1"/>
  <c r="C18" i="6"/>
  <c r="D18" i="6" s="1"/>
  <c r="C5" i="2"/>
  <c r="N42" i="1"/>
  <c r="K94" i="1" s="1"/>
  <c r="K96" i="1" s="1"/>
  <c r="M60" i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M59" i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155" i="6"/>
  <c r="Z155" i="6" l="1"/>
  <c r="R155" i="6"/>
  <c r="A220" i="6"/>
  <c r="AB156" i="6"/>
  <c r="AB157" i="6" s="1"/>
  <c r="R16" i="1"/>
  <c r="C78" i="1"/>
  <c r="H15" i="1"/>
  <c r="H16" i="1" s="1"/>
  <c r="H17" i="1" s="1"/>
  <c r="AD52" i="1"/>
  <c r="H39" i="2"/>
  <c r="K16" i="1"/>
  <c r="K15" i="1"/>
  <c r="K22" i="1"/>
  <c r="K14" i="1"/>
  <c r="C112" i="7"/>
  <c r="H35" i="2"/>
  <c r="AJ64" i="1"/>
  <c r="L14" i="1" s="1"/>
  <c r="L15" i="1" s="1"/>
  <c r="L16" i="1" s="1"/>
  <c r="L17" i="1" s="1"/>
  <c r="K25" i="1"/>
  <c r="J46" i="1"/>
  <c r="H26" i="2"/>
  <c r="H24" i="2"/>
  <c r="H34" i="2"/>
  <c r="D56" i="6"/>
  <c r="H25" i="2"/>
  <c r="H29" i="2"/>
  <c r="C76" i="6"/>
  <c r="K23" i="1"/>
  <c r="C91" i="7"/>
  <c r="C14" i="1"/>
  <c r="K12" i="1"/>
  <c r="C52" i="6"/>
  <c r="K11" i="1"/>
  <c r="D83" i="6"/>
  <c r="H31" i="2"/>
  <c r="H30" i="2"/>
  <c r="H32" i="2"/>
  <c r="H38" i="2"/>
  <c r="AI64" i="1"/>
  <c r="L10" i="1" s="1"/>
  <c r="M10" i="1" s="1"/>
  <c r="N10" i="1" s="1"/>
  <c r="O10" i="1" s="1"/>
  <c r="H33" i="2"/>
  <c r="H36" i="2"/>
  <c r="H37" i="2"/>
  <c r="K13" i="1"/>
  <c r="G27" i="2"/>
  <c r="H27" i="2" s="1"/>
  <c r="C37" i="6"/>
  <c r="C120" i="7"/>
  <c r="C63" i="7"/>
  <c r="C61" i="6"/>
  <c r="D76" i="6"/>
  <c r="C53" i="6"/>
  <c r="C73" i="6"/>
  <c r="C85" i="6"/>
  <c r="C39" i="6"/>
  <c r="D57" i="6"/>
  <c r="D85" i="6"/>
  <c r="C75" i="7"/>
  <c r="C78" i="6"/>
  <c r="D74" i="6"/>
  <c r="D68" i="6"/>
  <c r="C36" i="6"/>
  <c r="C42" i="7"/>
  <c r="AL64" i="1"/>
  <c r="L22" i="1" s="1"/>
  <c r="L23" i="1" s="1"/>
  <c r="AK64" i="1"/>
  <c r="L18" i="1" s="1"/>
  <c r="L19" i="1" s="1"/>
  <c r="L20" i="1" s="1"/>
  <c r="L21" i="1" s="1"/>
  <c r="D60" i="6"/>
  <c r="D61" i="6"/>
  <c r="I46" i="1"/>
  <c r="D72" i="6"/>
  <c r="C70" i="6"/>
  <c r="K18" i="1"/>
  <c r="D84" i="6"/>
  <c r="D62" i="6"/>
  <c r="K19" i="1"/>
  <c r="C57" i="6"/>
  <c r="C35" i="6"/>
  <c r="C69" i="6"/>
  <c r="C87" i="6"/>
  <c r="K17" i="1"/>
  <c r="K21" i="1"/>
  <c r="C77" i="6"/>
  <c r="C28" i="6"/>
  <c r="C31" i="6"/>
  <c r="C75" i="6"/>
  <c r="D52" i="6"/>
  <c r="D53" i="6"/>
  <c r="D73" i="6"/>
  <c r="C70" i="7"/>
  <c r="C106" i="7"/>
  <c r="C30" i="6"/>
  <c r="C40" i="6"/>
  <c r="C115" i="7"/>
  <c r="C38" i="6"/>
  <c r="C58" i="6"/>
  <c r="C123" i="7"/>
  <c r="C102" i="7"/>
  <c r="H94" i="1"/>
  <c r="C54" i="7"/>
  <c r="C129" i="7"/>
  <c r="C33" i="6"/>
  <c r="C126" i="7"/>
  <c r="V155" i="6"/>
  <c r="D69" i="6"/>
  <c r="C54" i="6"/>
  <c r="C86" i="6"/>
  <c r="D70" i="6"/>
  <c r="C43" i="6"/>
  <c r="C67" i="6"/>
  <c r="C51" i="6"/>
  <c r="C83" i="6"/>
  <c r="D77" i="6"/>
  <c r="C62" i="6"/>
  <c r="C41" i="6"/>
  <c r="D78" i="6"/>
  <c r="C44" i="6"/>
  <c r="D87" i="6"/>
  <c r="C59" i="6"/>
  <c r="C72" i="6"/>
  <c r="C12" i="7"/>
  <c r="C82" i="7"/>
  <c r="C45" i="6"/>
  <c r="D80" i="6"/>
  <c r="C65" i="6"/>
  <c r="C47" i="6"/>
  <c r="D81" i="6"/>
  <c r="C66" i="6"/>
  <c r="C49" i="6"/>
  <c r="D82" i="6"/>
  <c r="C55" i="6"/>
  <c r="C56" i="6"/>
  <c r="D59" i="6"/>
  <c r="D54" i="6"/>
  <c r="D86" i="6"/>
  <c r="C64" i="6"/>
  <c r="D67" i="6"/>
  <c r="C60" i="6"/>
  <c r="C71" i="6"/>
  <c r="C32" i="6"/>
  <c r="C74" i="6"/>
  <c r="D58" i="6"/>
  <c r="C34" i="6"/>
  <c r="D75" i="6"/>
  <c r="C79" i="6"/>
  <c r="C63" i="6"/>
  <c r="D71" i="6"/>
  <c r="D64" i="6"/>
  <c r="C46" i="6"/>
  <c r="C81" i="6"/>
  <c r="D65" i="6"/>
  <c r="C48" i="6"/>
  <c r="C82" i="6"/>
  <c r="D66" i="6"/>
  <c r="C42" i="6"/>
  <c r="D55" i="6"/>
  <c r="C50" i="6"/>
  <c r="D63" i="6"/>
  <c r="C109" i="7"/>
  <c r="C68" i="6"/>
  <c r="C84" i="6"/>
  <c r="C20" i="7"/>
  <c r="C29" i="6"/>
  <c r="D79" i="6"/>
  <c r="S9" i="1" l="1"/>
  <c r="O57" i="8"/>
  <c r="O48" i="8"/>
  <c r="O6" i="8"/>
  <c r="O11" i="8"/>
  <c r="O16" i="8"/>
  <c r="O20" i="8"/>
  <c r="O23" i="8"/>
  <c r="O28" i="8"/>
  <c r="O34" i="8"/>
  <c r="O40" i="8"/>
  <c r="O46" i="8"/>
  <c r="O60" i="8"/>
  <c r="O7" i="8"/>
  <c r="O12" i="8"/>
  <c r="O18" i="8"/>
  <c r="O24" i="8"/>
  <c r="O32" i="8"/>
  <c r="O39" i="8"/>
  <c r="O45" i="8"/>
  <c r="O58" i="8"/>
  <c r="O8" i="8"/>
  <c r="O13" i="8"/>
  <c r="O21" i="8"/>
  <c r="O25" i="8"/>
  <c r="O33" i="8"/>
  <c r="O38" i="8"/>
  <c r="O49" i="8"/>
  <c r="O54" i="8"/>
  <c r="O61" i="8"/>
  <c r="O5" i="8"/>
  <c r="O14" i="8"/>
  <c r="O17" i="8"/>
  <c r="O22" i="8"/>
  <c r="O30" i="8"/>
  <c r="O35" i="8"/>
  <c r="O41" i="8"/>
  <c r="O53" i="8"/>
  <c r="O4" i="8"/>
  <c r="O9" i="8"/>
  <c r="O29" i="8"/>
  <c r="O37" i="8"/>
  <c r="O44" i="8"/>
  <c r="O50" i="8"/>
  <c r="O55" i="8"/>
  <c r="O10" i="8"/>
  <c r="O15" i="8"/>
  <c r="O19" i="8"/>
  <c r="O26" i="8"/>
  <c r="O31" i="8"/>
  <c r="O36" i="8"/>
  <c r="O43" i="8"/>
  <c r="O51" i="8"/>
  <c r="O59" i="8"/>
  <c r="O27" i="8"/>
  <c r="O42" i="8"/>
  <c r="O47" i="8"/>
  <c r="O56" i="8"/>
  <c r="O52" i="8"/>
  <c r="D50" i="6"/>
  <c r="D51" i="6"/>
  <c r="AF155" i="6"/>
  <c r="A221" i="6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B158" i="6"/>
  <c r="AB159" i="6" s="1"/>
  <c r="AB160" i="6" s="1"/>
  <c r="AB161" i="6" s="1"/>
  <c r="H95" i="1"/>
  <c r="D34" i="1"/>
  <c r="H6" i="1"/>
  <c r="G19" i="2" s="1"/>
  <c r="J19" i="2" s="1"/>
  <c r="E110" i="1"/>
  <c r="D44" i="1"/>
  <c r="E112" i="1"/>
  <c r="C13" i="1"/>
  <c r="D33" i="1"/>
  <c r="I26" i="1"/>
  <c r="C2" i="2" s="1"/>
  <c r="C41" i="1"/>
  <c r="E113" i="1"/>
  <c r="M19" i="1"/>
  <c r="N19" i="1" s="1"/>
  <c r="O19" i="1" s="1"/>
  <c r="M22" i="1"/>
  <c r="N22" i="1" s="1"/>
  <c r="O22" i="1" s="1"/>
  <c r="M14" i="1"/>
  <c r="N14" i="1" s="1"/>
  <c r="O14" i="1" s="1"/>
  <c r="M15" i="1"/>
  <c r="N15" i="1" s="1"/>
  <c r="O15" i="1" s="1"/>
  <c r="M21" i="1"/>
  <c r="N21" i="1" s="1"/>
  <c r="O21" i="1" s="1"/>
  <c r="M16" i="1"/>
  <c r="D37" i="1"/>
  <c r="E115" i="1"/>
  <c r="H3" i="1"/>
  <c r="E109" i="1"/>
  <c r="E106" i="1"/>
  <c r="H5" i="1"/>
  <c r="E105" i="1"/>
  <c r="L11" i="1"/>
  <c r="L12" i="1" s="1"/>
  <c r="E108" i="1"/>
  <c r="E107" i="1"/>
  <c r="M17" i="1"/>
  <c r="N17" i="1" s="1"/>
  <c r="O17" i="1" s="1"/>
  <c r="K26" i="1"/>
  <c r="M26" i="1" s="1"/>
  <c r="N26" i="1" s="1"/>
  <c r="M20" i="1"/>
  <c r="N20" i="1" s="1"/>
  <c r="O20" i="1" s="1"/>
  <c r="M23" i="1"/>
  <c r="N23" i="1" s="1"/>
  <c r="O23" i="1" s="1"/>
  <c r="L24" i="1"/>
  <c r="M18" i="1"/>
  <c r="N18" i="1" s="1"/>
  <c r="O18" i="1" s="1"/>
  <c r="D47" i="6"/>
  <c r="D35" i="6"/>
  <c r="D43" i="6"/>
  <c r="D32" i="6"/>
  <c r="D28" i="6"/>
  <c r="D30" i="6"/>
  <c r="D48" i="6"/>
  <c r="D31" i="6"/>
  <c r="D38" i="6"/>
  <c r="D37" i="6"/>
  <c r="D45" i="6"/>
  <c r="D41" i="6"/>
  <c r="D44" i="6"/>
  <c r="D39" i="6"/>
  <c r="D34" i="6"/>
  <c r="D49" i="6"/>
  <c r="D36" i="6"/>
  <c r="D33" i="6"/>
  <c r="D46" i="6"/>
  <c r="D29" i="6"/>
  <c r="D42" i="6"/>
  <c r="D40" i="6"/>
  <c r="O26" i="1" l="1"/>
  <c r="J120" i="1"/>
  <c r="AB162" i="6"/>
  <c r="AB163" i="6" s="1"/>
  <c r="AB164" i="6" s="1"/>
  <c r="AB165" i="6" s="1"/>
  <c r="AB166" i="6" s="1"/>
  <c r="AB167" i="6" s="1"/>
  <c r="AB168" i="6" s="1"/>
  <c r="AB169" i="6" s="1"/>
  <c r="AB170" i="6" s="1"/>
  <c r="AB171" i="6" s="1"/>
  <c r="AB172" i="6" s="1"/>
  <c r="AB173" i="6" s="1"/>
  <c r="AB174" i="6" s="1"/>
  <c r="AB175" i="6" s="1"/>
  <c r="AB176" i="6" s="1"/>
  <c r="AB177" i="6" s="1"/>
  <c r="AB178" i="6" s="1"/>
  <c r="AB179" i="6" s="1"/>
  <c r="AB180" i="6" s="1"/>
  <c r="AB181" i="6" s="1"/>
  <c r="AB182" i="6" s="1"/>
  <c r="AB183" i="6" s="1"/>
  <c r="AB184" i="6" s="1"/>
  <c r="AB185" i="6" s="1"/>
  <c r="AB186" i="6" s="1"/>
  <c r="AB187" i="6" s="1"/>
  <c r="AB188" i="6" s="1"/>
  <c r="AB189" i="6" s="1"/>
  <c r="AB190" i="6" s="1"/>
  <c r="AB191" i="6" s="1"/>
  <c r="AB192" i="6" s="1"/>
  <c r="AB193" i="6" s="1"/>
  <c r="AB194" i="6" s="1"/>
  <c r="AB195" i="6" s="1"/>
  <c r="AB196" i="6" s="1"/>
  <c r="AB197" i="6" s="1"/>
  <c r="AB198" i="6" s="1"/>
  <c r="AB199" i="6" s="1"/>
  <c r="AB200" i="6" s="1"/>
  <c r="AB201" i="6" s="1"/>
  <c r="AB202" i="6" s="1"/>
  <c r="AB203" i="6" s="1"/>
  <c r="AB204" i="6" s="1"/>
  <c r="AB205" i="6" s="1"/>
  <c r="AB206" i="6" s="1"/>
  <c r="AB207" i="6" s="1"/>
  <c r="AB208" i="6" s="1"/>
  <c r="AB209" i="6" s="1"/>
  <c r="AB210" i="6" s="1"/>
  <c r="AB211" i="6" s="1"/>
  <c r="AB212" i="6" s="1"/>
  <c r="AB213" i="6" s="1"/>
  <c r="AB214" i="6" s="1"/>
  <c r="A271" i="6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N16" i="1"/>
  <c r="O16" i="1" s="1"/>
  <c r="I23" i="1"/>
  <c r="I37" i="2" s="1"/>
  <c r="I22" i="1"/>
  <c r="I10" i="1"/>
  <c r="G18" i="2"/>
  <c r="J18" i="2" s="1"/>
  <c r="I19" i="1"/>
  <c r="I33" i="2" s="1"/>
  <c r="I11" i="1"/>
  <c r="I25" i="2" s="1"/>
  <c r="I18" i="1"/>
  <c r="H4" i="1"/>
  <c r="M12" i="1"/>
  <c r="N12" i="1" s="1"/>
  <c r="O12" i="1" s="1"/>
  <c r="L13" i="1"/>
  <c r="G16" i="2"/>
  <c r="J16" i="2" s="1"/>
  <c r="K45" i="1"/>
  <c r="C6" i="6"/>
  <c r="C7" i="6" s="1"/>
  <c r="M11" i="1"/>
  <c r="N11" i="1" s="1"/>
  <c r="O11" i="1" s="1"/>
  <c r="L25" i="1"/>
  <c r="M25" i="1" s="1"/>
  <c r="N25" i="1" s="1"/>
  <c r="O25" i="1" s="1"/>
  <c r="M24" i="1"/>
  <c r="N24" i="1" s="1"/>
  <c r="O24" i="1" s="1"/>
  <c r="P198" i="6" l="1"/>
  <c r="R198" i="6" s="1"/>
  <c r="P204" i="6"/>
  <c r="R204" i="6" s="1"/>
  <c r="P205" i="6"/>
  <c r="R205" i="6" s="1"/>
  <c r="P214" i="6"/>
  <c r="R214" i="6" s="1"/>
  <c r="P193" i="6"/>
  <c r="R193" i="6" s="1"/>
  <c r="P199" i="6"/>
  <c r="R199" i="6" s="1"/>
  <c r="P212" i="6"/>
  <c r="R212" i="6" s="1"/>
  <c r="P200" i="6"/>
  <c r="R200" i="6" s="1"/>
  <c r="P206" i="6"/>
  <c r="R206" i="6" s="1"/>
  <c r="P194" i="6"/>
  <c r="R194" i="6" s="1"/>
  <c r="P207" i="6"/>
  <c r="R207" i="6" s="1"/>
  <c r="P213" i="6"/>
  <c r="R213" i="6" s="1"/>
  <c r="P195" i="6"/>
  <c r="R195" i="6" s="1"/>
  <c r="P202" i="6"/>
  <c r="R202" i="6" s="1"/>
  <c r="P196" i="6"/>
  <c r="R196" i="6" s="1"/>
  <c r="P203" i="6"/>
  <c r="R203" i="6" s="1"/>
  <c r="P210" i="6"/>
  <c r="R210" i="6" s="1"/>
  <c r="P211" i="6"/>
  <c r="R211" i="6" s="1"/>
  <c r="P197" i="6"/>
  <c r="R197" i="6" s="1"/>
  <c r="P209" i="6"/>
  <c r="R209" i="6" s="1"/>
  <c r="P201" i="6"/>
  <c r="R201" i="6" s="1"/>
  <c r="P208" i="6"/>
  <c r="R208" i="6" s="1"/>
  <c r="A497" i="6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I32" i="2"/>
  <c r="I24" i="2"/>
  <c r="I36" i="2"/>
  <c r="I15" i="1"/>
  <c r="I29" i="2" s="1"/>
  <c r="I14" i="1"/>
  <c r="C23" i="2" s="1"/>
  <c r="C25" i="2" s="1"/>
  <c r="H7" i="1"/>
  <c r="G17" i="2"/>
  <c r="J17" i="2" s="1"/>
  <c r="J21" i="2" s="1"/>
  <c r="C11" i="2" s="1"/>
  <c r="C13" i="2" s="1"/>
  <c r="M13" i="1"/>
  <c r="N13" i="1" s="1"/>
  <c r="T212" i="6"/>
  <c r="V212" i="6" s="1"/>
  <c r="T206" i="6"/>
  <c r="V206" i="6" s="1"/>
  <c r="H135" i="6"/>
  <c r="T209" i="6"/>
  <c r="V209" i="6" s="1"/>
  <c r="T200" i="6"/>
  <c r="V200" i="6" s="1"/>
  <c r="T207" i="6"/>
  <c r="V207" i="6" s="1"/>
  <c r="H138" i="6"/>
  <c r="X205" i="6"/>
  <c r="Z205" i="6" s="1"/>
  <c r="X199" i="6"/>
  <c r="Z199" i="6" s="1"/>
  <c r="X210" i="6"/>
  <c r="Z210" i="6" s="1"/>
  <c r="H140" i="6"/>
  <c r="H133" i="6"/>
  <c r="H137" i="6"/>
  <c r="C139" i="6"/>
  <c r="X201" i="6"/>
  <c r="Z201" i="6" s="1"/>
  <c r="T198" i="6"/>
  <c r="V198" i="6" s="1"/>
  <c r="C140" i="6"/>
  <c r="C132" i="6"/>
  <c r="G150" i="6"/>
  <c r="X198" i="6"/>
  <c r="Z198" i="6" s="1"/>
  <c r="X203" i="6"/>
  <c r="Z203" i="6" s="1"/>
  <c r="H146" i="6"/>
  <c r="X195" i="6"/>
  <c r="Z195" i="6" s="1"/>
  <c r="G151" i="6"/>
  <c r="X204" i="6"/>
  <c r="Z204" i="6" s="1"/>
  <c r="T199" i="6"/>
  <c r="V199" i="6" s="1"/>
  <c r="G148" i="6"/>
  <c r="C130" i="6"/>
  <c r="G131" i="6"/>
  <c r="T193" i="6"/>
  <c r="V193" i="6" s="1"/>
  <c r="X211" i="6"/>
  <c r="Z211" i="6" s="1"/>
  <c r="H134" i="6"/>
  <c r="H131" i="6"/>
  <c r="C135" i="6"/>
  <c r="C150" i="6"/>
  <c r="T197" i="6"/>
  <c r="V197" i="6" s="1"/>
  <c r="X207" i="6"/>
  <c r="Z207" i="6" s="1"/>
  <c r="G144" i="6"/>
  <c r="H141" i="6"/>
  <c r="C148" i="6"/>
  <c r="T208" i="6"/>
  <c r="V208" i="6" s="1"/>
  <c r="H142" i="6"/>
  <c r="T203" i="6"/>
  <c r="V203" i="6" s="1"/>
  <c r="C131" i="6"/>
  <c r="H147" i="6"/>
  <c r="H132" i="6"/>
  <c r="C143" i="6"/>
  <c r="G135" i="6"/>
  <c r="G134" i="6"/>
  <c r="H143" i="6"/>
  <c r="C138" i="6"/>
  <c r="H150" i="6"/>
  <c r="X197" i="6"/>
  <c r="Z197" i="6" s="1"/>
  <c r="G130" i="6"/>
  <c r="G145" i="6"/>
  <c r="C134" i="6"/>
  <c r="T196" i="6"/>
  <c r="V196" i="6" s="1"/>
  <c r="X214" i="6"/>
  <c r="Z214" i="6" s="1"/>
  <c r="G149" i="6"/>
  <c r="X206" i="6"/>
  <c r="Z206" i="6" s="1"/>
  <c r="X208" i="6"/>
  <c r="Z208" i="6" s="1"/>
  <c r="X209" i="6"/>
  <c r="Z209" i="6" s="1"/>
  <c r="C136" i="6"/>
  <c r="H136" i="6"/>
  <c r="G140" i="6"/>
  <c r="H151" i="6"/>
  <c r="T201" i="6"/>
  <c r="V201" i="6" s="1"/>
  <c r="G138" i="6"/>
  <c r="C147" i="6"/>
  <c r="C145" i="6"/>
  <c r="C144" i="6"/>
  <c r="G143" i="6"/>
  <c r="H148" i="6"/>
  <c r="H149" i="6"/>
  <c r="G136" i="6"/>
  <c r="H145" i="6"/>
  <c r="X196" i="6"/>
  <c r="Z196" i="6" s="1"/>
  <c r="C142" i="6"/>
  <c r="C133" i="6"/>
  <c r="X202" i="6"/>
  <c r="Z202" i="6" s="1"/>
  <c r="G139" i="6"/>
  <c r="H139" i="6"/>
  <c r="X193" i="6"/>
  <c r="Z193" i="6" s="1"/>
  <c r="H130" i="6"/>
  <c r="G133" i="6"/>
  <c r="C151" i="6"/>
  <c r="T214" i="6"/>
  <c r="V214" i="6" s="1"/>
  <c r="G141" i="6"/>
  <c r="G142" i="6"/>
  <c r="T211" i="6"/>
  <c r="V211" i="6" s="1"/>
  <c r="G137" i="6"/>
  <c r="G146" i="6"/>
  <c r="T205" i="6"/>
  <c r="V205" i="6" s="1"/>
  <c r="X194" i="6"/>
  <c r="Z194" i="6" s="1"/>
  <c r="G132" i="6"/>
  <c r="T194" i="6"/>
  <c r="V194" i="6" s="1"/>
  <c r="X212" i="6"/>
  <c r="Z212" i="6" s="1"/>
  <c r="T195" i="6"/>
  <c r="V195" i="6" s="1"/>
  <c r="X213" i="6"/>
  <c r="Z213" i="6" s="1"/>
  <c r="X200" i="6"/>
  <c r="Z200" i="6" s="1"/>
  <c r="G147" i="6"/>
  <c r="T202" i="6"/>
  <c r="V202" i="6" s="1"/>
  <c r="T210" i="6"/>
  <c r="V210" i="6" s="1"/>
  <c r="H144" i="6"/>
  <c r="C149" i="6"/>
  <c r="C137" i="6"/>
  <c r="T213" i="6"/>
  <c r="V213" i="6" s="1"/>
  <c r="C146" i="6"/>
  <c r="T204" i="6"/>
  <c r="V204" i="6" s="1"/>
  <c r="C141" i="6"/>
  <c r="K46" i="1"/>
  <c r="L45" i="1"/>
  <c r="A702" i="6" l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O13" i="1"/>
  <c r="I28" i="2"/>
  <c r="S36" i="1"/>
  <c r="S35" i="1"/>
  <c r="C30" i="2"/>
  <c r="C31" i="2" s="1"/>
  <c r="C41" i="2"/>
  <c r="C47" i="2" s="1"/>
  <c r="G21" i="2"/>
  <c r="C16" i="2" s="1"/>
  <c r="I7" i="1"/>
  <c r="S39" i="1"/>
  <c r="AF214" i="6"/>
  <c r="M45" i="1"/>
  <c r="L46" i="1"/>
  <c r="S38" i="1" l="1"/>
  <c r="S37" i="1" s="1"/>
  <c r="Q39" i="1" s="1"/>
  <c r="C42" i="2"/>
  <c r="N45" i="1"/>
  <c r="M46" i="1"/>
  <c r="C48" i="2"/>
  <c r="C60" i="2"/>
  <c r="C62" i="2" s="1"/>
  <c r="C52" i="2"/>
  <c r="I25" i="1" l="1"/>
  <c r="I24" i="1" s="1"/>
  <c r="K6" i="1" s="1"/>
  <c r="N46" i="1"/>
  <c r="O45" i="1"/>
  <c r="C64" i="2"/>
  <c r="I39" i="2" l="1"/>
  <c r="I38" i="2"/>
  <c r="M6" i="1"/>
  <c r="I21" i="1"/>
  <c r="O46" i="1"/>
  <c r="P45" i="1"/>
  <c r="I35" i="2" l="1"/>
  <c r="I20" i="1"/>
  <c r="I17" i="1"/>
  <c r="P46" i="1"/>
  <c r="Q45" i="1"/>
  <c r="I34" i="2" l="1"/>
  <c r="K5" i="1"/>
  <c r="M5" i="1" s="1"/>
  <c r="I31" i="2"/>
  <c r="I16" i="1"/>
  <c r="I13" i="1"/>
  <c r="Q46" i="1"/>
  <c r="R45" i="1"/>
  <c r="K4" i="1" l="1"/>
  <c r="I30" i="2"/>
  <c r="I27" i="2"/>
  <c r="I12" i="1"/>
  <c r="S45" i="1"/>
  <c r="R46" i="1"/>
  <c r="M28" i="1" l="1"/>
  <c r="I28" i="1"/>
  <c r="L28" i="1"/>
  <c r="I26" i="2"/>
  <c r="C17" i="2" s="1"/>
  <c r="C18" i="2" s="1"/>
  <c r="C20" i="2" s="1"/>
  <c r="C66" i="2" s="1"/>
  <c r="C6" i="2" s="1"/>
  <c r="N27" i="1"/>
  <c r="K3" i="1"/>
  <c r="M3" i="1" s="1"/>
  <c r="J27" i="1"/>
  <c r="N28" i="1"/>
  <c r="K7" i="1" s="1"/>
  <c r="M7" i="1" s="1"/>
  <c r="J28" i="1"/>
  <c r="M27" i="1"/>
  <c r="L27" i="1"/>
  <c r="I27" i="1"/>
  <c r="J134" i="1" s="1"/>
  <c r="K27" i="1"/>
  <c r="K28" i="1" s="1"/>
  <c r="S46" i="1"/>
  <c r="T45" i="1"/>
  <c r="N112" i="1" l="1"/>
  <c r="N120" i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J118" i="1"/>
  <c r="J119" i="1"/>
  <c r="J117" i="1"/>
  <c r="O108" i="1"/>
  <c r="O109" i="1"/>
  <c r="O110" i="1"/>
  <c r="O107" i="1"/>
  <c r="I108" i="1"/>
  <c r="H108" i="1" s="1"/>
  <c r="J129" i="1"/>
  <c r="I120" i="1"/>
  <c r="H120" i="1" s="1"/>
  <c r="H27" i="1"/>
  <c r="I134" i="1"/>
  <c r="H134" i="1" s="1"/>
  <c r="C39" i="1"/>
  <c r="J137" i="1"/>
  <c r="H38" i="1" s="1"/>
  <c r="L65" i="1" s="1"/>
  <c r="M65" i="1" s="1"/>
  <c r="N65" i="1" s="1"/>
  <c r="O65" i="1" s="1"/>
  <c r="P65" i="1" s="1"/>
  <c r="Q65" i="1" s="1"/>
  <c r="R65" i="1" s="1"/>
  <c r="S65" i="1" s="1"/>
  <c r="T65" i="1" s="1"/>
  <c r="U65" i="1" s="1"/>
  <c r="V65" i="1" s="1"/>
  <c r="W65" i="1" s="1"/>
  <c r="X65" i="1" s="1"/>
  <c r="Y65" i="1" s="1"/>
  <c r="Z65" i="1" s="1"/>
  <c r="AA65" i="1" s="1"/>
  <c r="J125" i="1"/>
  <c r="J130" i="1"/>
  <c r="J128" i="1"/>
  <c r="J126" i="1"/>
  <c r="J124" i="1"/>
  <c r="J116" i="1"/>
  <c r="J123" i="1"/>
  <c r="J122" i="1"/>
  <c r="J109" i="1"/>
  <c r="J110" i="1"/>
  <c r="J111" i="1"/>
  <c r="J112" i="1"/>
  <c r="J113" i="1"/>
  <c r="J114" i="1"/>
  <c r="J115" i="1"/>
  <c r="I127" i="1"/>
  <c r="H127" i="1" s="1"/>
  <c r="I118" i="1"/>
  <c r="C42" i="1"/>
  <c r="H28" i="1"/>
  <c r="S17" i="1"/>
  <c r="D114" i="1"/>
  <c r="E114" i="1" s="1"/>
  <c r="C38" i="1"/>
  <c r="E18" i="1"/>
  <c r="AD51" i="1"/>
  <c r="H31" i="1"/>
  <c r="U45" i="1"/>
  <c r="T46" i="1"/>
  <c r="I119" i="1" l="1"/>
  <c r="H119" i="1" s="1"/>
  <c r="I129" i="1"/>
  <c r="O27" i="1"/>
  <c r="I121" i="1"/>
  <c r="H118" i="1"/>
  <c r="O28" i="1"/>
  <c r="D36" i="1"/>
  <c r="C36" i="1" s="1"/>
  <c r="AM4" i="1"/>
  <c r="AG4" i="1"/>
  <c r="AK4" i="1"/>
  <c r="AP4" i="1"/>
  <c r="AF4" i="1"/>
  <c r="AL4" i="1"/>
  <c r="AJ4" i="1"/>
  <c r="AN4" i="1"/>
  <c r="AH4" i="1"/>
  <c r="AQ4" i="1"/>
  <c r="AI4" i="1"/>
  <c r="AO4" i="1"/>
  <c r="AE4" i="1"/>
  <c r="AD49" i="1"/>
  <c r="L47" i="1"/>
  <c r="U46" i="1"/>
  <c r="V45" i="1"/>
  <c r="H129" i="1" l="1"/>
  <c r="N111" i="1"/>
  <c r="H121" i="1"/>
  <c r="J121" i="1"/>
  <c r="C46" i="1"/>
  <c r="D46" i="1" s="1"/>
  <c r="C49" i="1"/>
  <c r="D49" i="1" s="1"/>
  <c r="C40" i="1"/>
  <c r="F17" i="6"/>
  <c r="M47" i="1"/>
  <c r="W45" i="1"/>
  <c r="V46" i="1"/>
  <c r="M111" i="1" l="1"/>
  <c r="O111" i="1"/>
  <c r="S21" i="1"/>
  <c r="B678" i="6" s="1"/>
  <c r="S18" i="1"/>
  <c r="D67" i="1" s="1"/>
  <c r="D40" i="1"/>
  <c r="F16" i="6"/>
  <c r="D118" i="6"/>
  <c r="D115" i="6"/>
  <c r="D151" i="6"/>
  <c r="D92" i="6"/>
  <c r="D101" i="6"/>
  <c r="D128" i="6"/>
  <c r="D143" i="6"/>
  <c r="D120" i="6"/>
  <c r="D119" i="6"/>
  <c r="D139" i="6"/>
  <c r="D105" i="6"/>
  <c r="D130" i="6"/>
  <c r="D124" i="6"/>
  <c r="D131" i="6"/>
  <c r="D107" i="6"/>
  <c r="D137" i="6"/>
  <c r="D125" i="6"/>
  <c r="D142" i="6"/>
  <c r="D110" i="6"/>
  <c r="D117" i="6"/>
  <c r="D114" i="6"/>
  <c r="D113" i="6"/>
  <c r="D111" i="6"/>
  <c r="D141" i="6"/>
  <c r="D104" i="6"/>
  <c r="D134" i="6"/>
  <c r="D103" i="6"/>
  <c r="D126" i="6"/>
  <c r="D127" i="6"/>
  <c r="D106" i="6"/>
  <c r="D148" i="6"/>
  <c r="D147" i="6"/>
  <c r="D121" i="6"/>
  <c r="D132" i="6"/>
  <c r="D93" i="6"/>
  <c r="D116" i="6"/>
  <c r="D129" i="6"/>
  <c r="D138" i="6"/>
  <c r="D122" i="6"/>
  <c r="D95" i="6"/>
  <c r="D99" i="6"/>
  <c r="D144" i="6"/>
  <c r="D96" i="6"/>
  <c r="D133" i="6"/>
  <c r="D97" i="6"/>
  <c r="D109" i="6"/>
  <c r="D150" i="6"/>
  <c r="D102" i="6"/>
  <c r="D123" i="6"/>
  <c r="D135" i="6"/>
  <c r="D145" i="6"/>
  <c r="D100" i="6"/>
  <c r="D140" i="6"/>
  <c r="D94" i="6"/>
  <c r="D112" i="6"/>
  <c r="D136" i="6"/>
  <c r="D149" i="6"/>
  <c r="D146" i="6"/>
  <c r="D108" i="6"/>
  <c r="D98" i="6"/>
  <c r="N47" i="1"/>
  <c r="X45" i="1"/>
  <c r="W46" i="1"/>
  <c r="C124" i="6" l="1"/>
  <c r="C129" i="6"/>
  <c r="C123" i="6"/>
  <c r="C128" i="6"/>
  <c r="C125" i="6"/>
  <c r="C126" i="6"/>
  <c r="C122" i="6"/>
  <c r="C127" i="6"/>
  <c r="B314" i="6"/>
  <c r="B517" i="6"/>
  <c r="B289" i="6"/>
  <c r="B438" i="6"/>
  <c r="B243" i="6"/>
  <c r="H117" i="6" s="1"/>
  <c r="B649" i="6"/>
  <c r="B572" i="6"/>
  <c r="F7" i="6"/>
  <c r="I155" i="6" s="1"/>
  <c r="D78" i="1"/>
  <c r="B580" i="6"/>
  <c r="B460" i="6"/>
  <c r="B588" i="6"/>
  <c r="B453" i="6"/>
  <c r="B426" i="6"/>
  <c r="B375" i="6"/>
  <c r="B531" i="6"/>
  <c r="B554" i="6"/>
  <c r="B576" i="6"/>
  <c r="B646" i="6"/>
  <c r="B608" i="6"/>
  <c r="B613" i="6"/>
  <c r="B605" i="6"/>
  <c r="B361" i="6"/>
  <c r="B493" i="6"/>
  <c r="B583" i="6"/>
  <c r="B623" i="6"/>
  <c r="B396" i="6"/>
  <c r="B318" i="6"/>
  <c r="B414" i="6"/>
  <c r="B706" i="6"/>
  <c r="B584" i="6"/>
  <c r="B680" i="6"/>
  <c r="B435" i="6"/>
  <c r="B348" i="6"/>
  <c r="B659" i="6"/>
  <c r="B686" i="6"/>
  <c r="B509" i="6"/>
  <c r="B353" i="6"/>
  <c r="B410" i="6"/>
  <c r="B456" i="6"/>
  <c r="B551" i="6"/>
  <c r="B601" i="6"/>
  <c r="B366" i="6"/>
  <c r="B564" i="6"/>
  <c r="B570" i="6"/>
  <c r="B225" i="6"/>
  <c r="H99" i="6" s="1"/>
  <c r="B552" i="6"/>
  <c r="B622" i="6"/>
  <c r="B540" i="6"/>
  <c r="B234" i="6"/>
  <c r="H108" i="6" s="1"/>
  <c r="B311" i="6"/>
  <c r="B253" i="6"/>
  <c r="H127" i="6" s="1"/>
  <c r="B629" i="6"/>
  <c r="B716" i="6"/>
  <c r="B479" i="6"/>
  <c r="B427" i="6"/>
  <c r="B333" i="6"/>
  <c r="B259" i="6"/>
  <c r="B637" i="6"/>
  <c r="B310" i="6"/>
  <c r="B419" i="6"/>
  <c r="B565" i="6"/>
  <c r="B529" i="6"/>
  <c r="B401" i="6"/>
  <c r="B625" i="6"/>
  <c r="B656" i="6"/>
  <c r="B429" i="6"/>
  <c r="B373" i="6"/>
  <c r="B233" i="6"/>
  <c r="H107" i="6" s="1"/>
  <c r="B218" i="6"/>
  <c r="H92" i="6" s="1"/>
  <c r="B452" i="6"/>
  <c r="B510" i="6"/>
  <c r="B512" i="6"/>
  <c r="B283" i="6"/>
  <c r="B405" i="6"/>
  <c r="B313" i="6"/>
  <c r="B290" i="6"/>
  <c r="B266" i="6"/>
  <c r="B268" i="6"/>
  <c r="B351" i="6"/>
  <c r="B406" i="6"/>
  <c r="B269" i="6"/>
  <c r="B446" i="6"/>
  <c r="B404" i="6"/>
  <c r="B467" i="6"/>
  <c r="B469" i="6"/>
  <c r="B449" i="6"/>
  <c r="B643" i="6"/>
  <c r="B355" i="6"/>
  <c r="B320" i="6"/>
  <c r="B359" i="6"/>
  <c r="B645" i="6"/>
  <c r="B440" i="6"/>
  <c r="B712" i="6"/>
  <c r="B300" i="6"/>
  <c r="B399" i="6"/>
  <c r="B256" i="6"/>
  <c r="B533" i="6"/>
  <c r="B644" i="6"/>
  <c r="B356" i="6"/>
  <c r="B715" i="6"/>
  <c r="B462" i="6"/>
  <c r="B249" i="6"/>
  <c r="H123" i="6" s="1"/>
  <c r="B325" i="6"/>
  <c r="B721" i="6"/>
  <c r="C118" i="6"/>
  <c r="C116" i="6"/>
  <c r="C119" i="6"/>
  <c r="C121" i="6"/>
  <c r="C120" i="6"/>
  <c r="C117" i="6"/>
  <c r="B718" i="6"/>
  <c r="B607" i="6"/>
  <c r="B671" i="6"/>
  <c r="B604" i="6"/>
  <c r="B485" i="6"/>
  <c r="B324" i="6"/>
  <c r="B506" i="6"/>
  <c r="B708" i="6"/>
  <c r="B618" i="6"/>
  <c r="B662" i="6"/>
  <c r="B642" i="6"/>
  <c r="B579" i="6"/>
  <c r="B255" i="6"/>
  <c r="H129" i="6" s="1"/>
  <c r="B620" i="6"/>
  <c r="B673" i="6"/>
  <c r="B499" i="6"/>
  <c r="B248" i="6"/>
  <c r="H122" i="6" s="1"/>
  <c r="B520" i="6"/>
  <c r="B219" i="6"/>
  <c r="H93" i="6" s="1"/>
  <c r="B329" i="6"/>
  <c r="B236" i="6"/>
  <c r="H110" i="6" s="1"/>
  <c r="B388" i="6"/>
  <c r="B254" i="6"/>
  <c r="H128" i="6" s="1"/>
  <c r="B291" i="6"/>
  <c r="B263" i="6"/>
  <c r="B669" i="6"/>
  <c r="B699" i="6"/>
  <c r="B606" i="6"/>
  <c r="B371" i="6"/>
  <c r="B433" i="6"/>
  <c r="B378" i="6"/>
  <c r="B658" i="6"/>
  <c r="B641" i="6"/>
  <c r="B611" i="6"/>
  <c r="B317" i="6"/>
  <c r="B458" i="6"/>
  <c r="B701" i="6"/>
  <c r="B702" i="6"/>
  <c r="B502" i="6"/>
  <c r="B370" i="6"/>
  <c r="B695" i="6"/>
  <c r="B496" i="6"/>
  <c r="B312" i="6"/>
  <c r="B602" i="6"/>
  <c r="B326" i="6"/>
  <c r="B437" i="6"/>
  <c r="B492" i="6"/>
  <c r="B258" i="6"/>
  <c r="B630" i="6"/>
  <c r="B267" i="6"/>
  <c r="B445" i="6"/>
  <c r="B685" i="6"/>
  <c r="B486" i="6"/>
  <c r="B238" i="6"/>
  <c r="H112" i="6" s="1"/>
  <c r="B441" i="6"/>
  <c r="B352" i="6"/>
  <c r="B413" i="6"/>
  <c r="B327" i="6"/>
  <c r="B691" i="6"/>
  <c r="B270" i="6"/>
  <c r="B515" i="6"/>
  <c r="B557" i="6"/>
  <c r="B397" i="6"/>
  <c r="B599" i="6"/>
  <c r="B689" i="6"/>
  <c r="B544" i="6"/>
  <c r="B664" i="6"/>
  <c r="B589" i="6"/>
  <c r="B500" i="6"/>
  <c r="B295" i="6"/>
  <c r="B335" i="6"/>
  <c r="B481" i="6"/>
  <c r="B494" i="6"/>
  <c r="B598" i="6"/>
  <c r="B490" i="6"/>
  <c r="B545" i="6"/>
  <c r="B443" i="6"/>
  <c r="B422" i="6"/>
  <c r="B617" i="6"/>
  <c r="B358" i="6"/>
  <c r="B448" i="6"/>
  <c r="B227" i="6"/>
  <c r="H101" i="6" s="1"/>
  <c r="B261" i="6"/>
  <c r="B301" i="6"/>
  <c r="B334" i="6"/>
  <c r="B710" i="6"/>
  <c r="B573" i="6"/>
  <c r="B416" i="6"/>
  <c r="B369" i="6"/>
  <c r="B229" i="6"/>
  <c r="H103" i="6" s="1"/>
  <c r="B242" i="6"/>
  <c r="B457" i="6"/>
  <c r="B347" i="6"/>
  <c r="B577" i="6"/>
  <c r="B581" i="6"/>
  <c r="B450" i="6"/>
  <c r="B402" i="6"/>
  <c r="B319" i="6"/>
  <c r="B246" i="6"/>
  <c r="H120" i="6" s="1"/>
  <c r="B667" i="6"/>
  <c r="B535" i="6"/>
  <c r="B694" i="6"/>
  <c r="B331" i="6"/>
  <c r="B595" i="6"/>
  <c r="B338" i="6"/>
  <c r="B298" i="6"/>
  <c r="B713" i="6"/>
  <c r="B666" i="6"/>
  <c r="B230" i="6"/>
  <c r="H104" i="6" s="1"/>
  <c r="B228" i="6"/>
  <c r="H102" i="6" s="1"/>
  <c r="B392" i="6"/>
  <c r="B265" i="6"/>
  <c r="B425" i="6"/>
  <c r="B344" i="6"/>
  <c r="B345" i="6"/>
  <c r="B337" i="6"/>
  <c r="B303" i="6"/>
  <c r="B575" i="6"/>
  <c r="B439" i="6"/>
  <c r="B260" i="6"/>
  <c r="B719" i="6"/>
  <c r="B503" i="6"/>
  <c r="B428" i="6"/>
  <c r="B514" i="6"/>
  <c r="B241" i="6"/>
  <c r="H115" i="6" s="1"/>
  <c r="B415" i="6"/>
  <c r="B464" i="6"/>
  <c r="B518" i="6"/>
  <c r="B491" i="6"/>
  <c r="B539" i="6"/>
  <c r="B621" i="6"/>
  <c r="B264" i="6"/>
  <c r="B372" i="6"/>
  <c r="B332" i="6"/>
  <c r="B488" i="6"/>
  <c r="B231" i="6"/>
  <c r="H105" i="6" s="1"/>
  <c r="B600" i="6"/>
  <c r="B679" i="6"/>
  <c r="B357" i="6"/>
  <c r="B522" i="6"/>
  <c r="B282" i="6"/>
  <c r="B558" i="6"/>
  <c r="B655" i="6"/>
  <c r="B432" i="6"/>
  <c r="B386" i="6"/>
  <c r="B587" i="6"/>
  <c r="B612" i="6"/>
  <c r="B368" i="6"/>
  <c r="B528" i="6"/>
  <c r="B547" i="6"/>
  <c r="B315" i="6"/>
  <c r="B532" i="6"/>
  <c r="B634" i="6"/>
  <c r="B307" i="6"/>
  <c r="B663" i="6"/>
  <c r="B400" i="6"/>
  <c r="B245" i="6"/>
  <c r="H119" i="6" s="1"/>
  <c r="B473" i="6"/>
  <c r="B424" i="6"/>
  <c r="B677" i="6"/>
  <c r="B561" i="6"/>
  <c r="B720" i="6"/>
  <c r="B442" i="6"/>
  <c r="B593" i="6"/>
  <c r="B384" i="6"/>
  <c r="B511" i="6"/>
  <c r="B272" i="6"/>
  <c r="B459" i="6"/>
  <c r="B683" i="6"/>
  <c r="B250" i="6"/>
  <c r="H124" i="6" s="1"/>
  <c r="B398" i="6"/>
  <c r="B688" i="6"/>
  <c r="B483" i="6"/>
  <c r="B251" i="6"/>
  <c r="H125" i="6" s="1"/>
  <c r="B536" i="6"/>
  <c r="B709" i="6"/>
  <c r="B342" i="6"/>
  <c r="B252" i="6"/>
  <c r="H126" i="6" s="1"/>
  <c r="B377" i="6"/>
  <c r="B274" i="6"/>
  <c r="B393" i="6"/>
  <c r="B482" i="6"/>
  <c r="B455" i="6"/>
  <c r="B527" i="6"/>
  <c r="B571" i="6"/>
  <c r="B279" i="6"/>
  <c r="B586" i="6"/>
  <c r="B567" i="6"/>
  <c r="B550" i="6"/>
  <c r="B417" i="6"/>
  <c r="B610" i="6"/>
  <c r="B304" i="6"/>
  <c r="B474" i="6"/>
  <c r="B560" i="6"/>
  <c r="B497" i="6"/>
  <c r="B447" i="6"/>
  <c r="B672" i="6"/>
  <c r="B336" i="6"/>
  <c r="B306" i="6"/>
  <c r="B693" i="6"/>
  <c r="B660" i="6"/>
  <c r="B475" i="6"/>
  <c r="B376" i="6"/>
  <c r="B635" i="6"/>
  <c r="B553" i="6"/>
  <c r="B682" i="6"/>
  <c r="B477" i="6"/>
  <c r="B389" i="6"/>
  <c r="B223" i="6"/>
  <c r="H97" i="6" s="1"/>
  <c r="B690" i="6"/>
  <c r="B668" i="6"/>
  <c r="B654" i="6"/>
  <c r="B480" i="6"/>
  <c r="B471" i="6"/>
  <c r="B538" i="6"/>
  <c r="B501" i="6"/>
  <c r="B434" i="6"/>
  <c r="B582" i="6"/>
  <c r="B367" i="6"/>
  <c r="B468" i="6"/>
  <c r="B609" i="6"/>
  <c r="B566" i="6"/>
  <c r="B343" i="6"/>
  <c r="B257" i="6"/>
  <c r="B563" i="6"/>
  <c r="B330" i="6"/>
  <c r="B578" i="6"/>
  <c r="B489" i="6"/>
  <c r="B556" i="6"/>
  <c r="B484" i="6"/>
  <c r="B498" i="6"/>
  <c r="B305" i="6"/>
  <c r="B381" i="6"/>
  <c r="B232" i="6"/>
  <c r="H106" i="6" s="1"/>
  <c r="B273" i="6"/>
  <c r="B633" i="6"/>
  <c r="B281" i="6"/>
  <c r="B707" i="6"/>
  <c r="B222" i="6"/>
  <c r="H96" i="6" s="1"/>
  <c r="B614" i="6"/>
  <c r="B340" i="6"/>
  <c r="B418" i="6"/>
  <c r="B296" i="6"/>
  <c r="B463" i="6"/>
  <c r="B619" i="6"/>
  <c r="B624" i="6"/>
  <c r="B391" i="6"/>
  <c r="B523" i="6"/>
  <c r="B521" i="6"/>
  <c r="B382" i="6"/>
  <c r="B674" i="6"/>
  <c r="B451" i="6"/>
  <c r="B714" i="6"/>
  <c r="B628" i="6"/>
  <c r="B363" i="6"/>
  <c r="B537" i="6"/>
  <c r="B640" i="6"/>
  <c r="B308" i="6"/>
  <c r="B594" i="6"/>
  <c r="B574" i="6"/>
  <c r="B390" i="6"/>
  <c r="B585" i="6"/>
  <c r="B504" i="6"/>
  <c r="B239" i="6"/>
  <c r="H113" i="6" s="1"/>
  <c r="B454" i="6"/>
  <c r="B487" i="6"/>
  <c r="B339" i="6"/>
  <c r="B220" i="6"/>
  <c r="H94" i="6" s="1"/>
  <c r="B590" i="6"/>
  <c r="B247" i="6"/>
  <c r="H121" i="6" s="1"/>
  <c r="B525" i="6"/>
  <c r="B591" i="6"/>
  <c r="B632" i="6"/>
  <c r="B478" i="6"/>
  <c r="B542" i="6"/>
  <c r="B385" i="6"/>
  <c r="B395" i="6"/>
  <c r="B341" i="6"/>
  <c r="B322" i="6"/>
  <c r="B350" i="6"/>
  <c r="B285" i="6"/>
  <c r="B530" i="6"/>
  <c r="B603" i="6"/>
  <c r="B508" i="6"/>
  <c r="B661" i="6"/>
  <c r="B687" i="6"/>
  <c r="B275" i="6"/>
  <c r="B409" i="6"/>
  <c r="B224" i="6"/>
  <c r="H98" i="6" s="1"/>
  <c r="B244" i="6"/>
  <c r="H118" i="6" s="1"/>
  <c r="B513" i="6"/>
  <c r="B411" i="6"/>
  <c r="B226" i="6"/>
  <c r="H100" i="6" s="1"/>
  <c r="B316" i="6"/>
  <c r="B698" i="6"/>
  <c r="B616" i="6"/>
  <c r="B364" i="6"/>
  <c r="B541" i="6"/>
  <c r="B615" i="6"/>
  <c r="B505" i="6"/>
  <c r="B631" i="6"/>
  <c r="B299" i="6"/>
  <c r="B235" i="6"/>
  <c r="H109" i="6" s="1"/>
  <c r="B379" i="6"/>
  <c r="B423" i="6"/>
  <c r="B293" i="6"/>
  <c r="B277" i="6"/>
  <c r="B461" i="6"/>
  <c r="B292" i="6"/>
  <c r="B408" i="6"/>
  <c r="B648" i="6"/>
  <c r="B365" i="6"/>
  <c r="B697" i="6"/>
  <c r="B271" i="6"/>
  <c r="B652" i="6"/>
  <c r="B681" i="6"/>
  <c r="B676" i="6"/>
  <c r="B495" i="6"/>
  <c r="B546" i="6"/>
  <c r="B638" i="6"/>
  <c r="B374" i="6"/>
  <c r="B321" i="6"/>
  <c r="B559" i="6"/>
  <c r="B420" i="6"/>
  <c r="B394" i="6"/>
  <c r="B657" i="6"/>
  <c r="B705" i="6"/>
  <c r="B430" i="6"/>
  <c r="B309" i="6"/>
  <c r="B262" i="6"/>
  <c r="B383" i="6"/>
  <c r="B692" i="6"/>
  <c r="B276" i="6"/>
  <c r="B431" i="6"/>
  <c r="B472" i="6"/>
  <c r="B287" i="6"/>
  <c r="B387" i="6"/>
  <c r="B636" i="6"/>
  <c r="B302" i="6"/>
  <c r="B711" i="6"/>
  <c r="B360" i="6"/>
  <c r="B670" i="6"/>
  <c r="B436" i="6"/>
  <c r="B470" i="6"/>
  <c r="B569" i="6"/>
  <c r="B626" i="6"/>
  <c r="B524" i="6"/>
  <c r="B597" i="6"/>
  <c r="B568" i="6"/>
  <c r="B221" i="6"/>
  <c r="H95" i="6" s="1"/>
  <c r="B280" i="6"/>
  <c r="B596" i="6"/>
  <c r="B562" i="6"/>
  <c r="B346" i="6"/>
  <c r="B639" i="6"/>
  <c r="B297" i="6"/>
  <c r="B403" i="6"/>
  <c r="B466" i="6"/>
  <c r="B294" i="6"/>
  <c r="B717" i="6"/>
  <c r="B288" i="6"/>
  <c r="B354" i="6"/>
  <c r="B549" i="6"/>
  <c r="B380" i="6"/>
  <c r="B700" i="6"/>
  <c r="B328" i="6"/>
  <c r="B278" i="6"/>
  <c r="B653" i="6"/>
  <c r="B704" i="6"/>
  <c r="B362" i="6"/>
  <c r="B703" i="6"/>
  <c r="B647" i="6"/>
  <c r="B555" i="6"/>
  <c r="B519" i="6"/>
  <c r="B407" i="6"/>
  <c r="B516" i="6"/>
  <c r="B592" i="6"/>
  <c r="B421" i="6"/>
  <c r="B237" i="6"/>
  <c r="H111" i="6" s="1"/>
  <c r="B548" i="6"/>
  <c r="B444" i="6"/>
  <c r="B627" i="6"/>
  <c r="B675" i="6"/>
  <c r="B476" i="6"/>
  <c r="B240" i="6"/>
  <c r="H114" i="6" s="1"/>
  <c r="B526" i="6"/>
  <c r="B650" i="6"/>
  <c r="B323" i="6"/>
  <c r="B696" i="6"/>
  <c r="B284" i="6"/>
  <c r="B651" i="6"/>
  <c r="B684" i="6"/>
  <c r="B286" i="6"/>
  <c r="B349" i="6"/>
  <c r="B507" i="6"/>
  <c r="B543" i="6"/>
  <c r="B412" i="6"/>
  <c r="B665" i="6"/>
  <c r="B534" i="6"/>
  <c r="B465" i="6"/>
  <c r="C114" i="6"/>
  <c r="C108" i="6"/>
  <c r="C93" i="6"/>
  <c r="C97" i="6"/>
  <c r="C96" i="6"/>
  <c r="C115" i="6"/>
  <c r="C105" i="6"/>
  <c r="C92" i="6"/>
  <c r="C101" i="6"/>
  <c r="C112" i="6"/>
  <c r="C98" i="6"/>
  <c r="C102" i="6"/>
  <c r="C110" i="6"/>
  <c r="C103" i="6"/>
  <c r="C100" i="6"/>
  <c r="C95" i="6"/>
  <c r="C104" i="6"/>
  <c r="C107" i="6"/>
  <c r="C99" i="6"/>
  <c r="C94" i="6"/>
  <c r="C111" i="6"/>
  <c r="C106" i="6"/>
  <c r="C109" i="6"/>
  <c r="C113" i="6"/>
  <c r="O47" i="1"/>
  <c r="X46" i="1"/>
  <c r="Y45" i="1"/>
  <c r="H116" i="6" l="1"/>
  <c r="P64" i="1"/>
  <c r="S64" i="1"/>
  <c r="T64" i="1"/>
  <c r="N64" i="1"/>
  <c r="O64" i="1"/>
  <c r="X64" i="1"/>
  <c r="R64" i="1"/>
  <c r="U64" i="1"/>
  <c r="L64" i="1"/>
  <c r="Q64" i="1"/>
  <c r="V64" i="1"/>
  <c r="W64" i="1"/>
  <c r="M64" i="1"/>
  <c r="P47" i="1"/>
  <c r="Z45" i="1"/>
  <c r="AA45" i="1" s="1"/>
  <c r="Y46" i="1"/>
  <c r="Y64" i="1"/>
  <c r="H37" i="1" l="1"/>
  <c r="I11" i="6"/>
  <c r="C35" i="1"/>
  <c r="Q47" i="1"/>
  <c r="AA46" i="1"/>
  <c r="AA64" i="1"/>
  <c r="Z46" i="1"/>
  <c r="Z64" i="1"/>
  <c r="M32" i="1" l="1"/>
  <c r="J131" i="1"/>
  <c r="I10" i="6"/>
  <c r="I12" i="6" s="1"/>
  <c r="D35" i="1"/>
  <c r="F20" i="6"/>
  <c r="R47" i="1"/>
  <c r="S47" i="1" l="1"/>
  <c r="T47" i="1" l="1"/>
  <c r="U47" i="1" l="1"/>
  <c r="V47" i="1" l="1"/>
  <c r="W47" i="1" l="1"/>
  <c r="X47" i="1" l="1"/>
  <c r="Y47" i="1" l="1"/>
  <c r="Z47" i="1" l="1"/>
  <c r="D41" i="1"/>
  <c r="AA47" i="1" l="1"/>
  <c r="AF193" i="6" l="1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I17" i="6"/>
  <c r="D79" i="1" l="1"/>
  <c r="AA3" i="1" l="1"/>
  <c r="D68" i="1"/>
  <c r="L85" i="1"/>
  <c r="AA9" i="1" l="1"/>
  <c r="AA8" i="1"/>
  <c r="F12" i="6"/>
  <c r="L86" i="1"/>
  <c r="D93" i="1" l="1"/>
  <c r="D92" i="1" l="1"/>
  <c r="G125" i="6" l="1"/>
  <c r="G126" i="6"/>
  <c r="G127" i="6"/>
  <c r="G128" i="6"/>
  <c r="G129" i="6"/>
  <c r="P188" i="6"/>
  <c r="T188" i="6"/>
  <c r="X188" i="6"/>
  <c r="P189" i="6"/>
  <c r="T189" i="6"/>
  <c r="X189" i="6"/>
  <c r="P190" i="6"/>
  <c r="T190" i="6"/>
  <c r="X190" i="6"/>
  <c r="P191" i="6"/>
  <c r="T191" i="6"/>
  <c r="X191" i="6"/>
  <c r="P192" i="6"/>
  <c r="T192" i="6"/>
  <c r="X192" i="6"/>
  <c r="V188" i="6" l="1"/>
  <c r="R191" i="6"/>
  <c r="Z188" i="6"/>
  <c r="V192" i="6"/>
  <c r="R188" i="6"/>
  <c r="Z192" i="6"/>
  <c r="Z191" i="6"/>
  <c r="Z189" i="6"/>
  <c r="V189" i="6"/>
  <c r="R190" i="6"/>
  <c r="V190" i="6"/>
  <c r="R189" i="6"/>
  <c r="Z190" i="6"/>
  <c r="V191" i="6"/>
  <c r="R192" i="6"/>
  <c r="AF188" i="6" l="1"/>
  <c r="AF191" i="6"/>
  <c r="AF189" i="6"/>
  <c r="AF192" i="6"/>
  <c r="AF190" i="6"/>
  <c r="G119" i="6" l="1"/>
  <c r="G120" i="6"/>
  <c r="G121" i="6"/>
  <c r="G122" i="6"/>
  <c r="G123" i="6"/>
  <c r="G124" i="6"/>
  <c r="P182" i="6"/>
  <c r="T182" i="6"/>
  <c r="X182" i="6"/>
  <c r="P183" i="6"/>
  <c r="T183" i="6"/>
  <c r="X183" i="6"/>
  <c r="P184" i="6"/>
  <c r="T184" i="6"/>
  <c r="X184" i="6"/>
  <c r="P185" i="6"/>
  <c r="T185" i="6"/>
  <c r="X185" i="6"/>
  <c r="P186" i="6"/>
  <c r="T186" i="6"/>
  <c r="X186" i="6"/>
  <c r="P187" i="6"/>
  <c r="T187" i="6"/>
  <c r="X187" i="6"/>
  <c r="R182" i="6" l="1"/>
  <c r="Z182" i="6"/>
  <c r="R184" i="6"/>
  <c r="R187" i="6"/>
  <c r="Z183" i="6"/>
  <c r="Z186" i="6"/>
  <c r="V187" i="6"/>
  <c r="Z185" i="6"/>
  <c r="V183" i="6"/>
  <c r="R185" i="6"/>
  <c r="V182" i="6"/>
  <c r="R186" i="6"/>
  <c r="V185" i="6"/>
  <c r="Z184" i="6"/>
  <c r="R183" i="6"/>
  <c r="V184" i="6"/>
  <c r="V186" i="6"/>
  <c r="Z187" i="6"/>
  <c r="AF184" i="6" l="1"/>
  <c r="AF185" i="6"/>
  <c r="AF183" i="6"/>
  <c r="AF186" i="6"/>
  <c r="AF182" i="6"/>
  <c r="AF187" i="6"/>
  <c r="I133" i="1" l="1"/>
  <c r="I131" i="1" s="1"/>
  <c r="H133" i="1" l="1"/>
  <c r="H131" i="1" s="1"/>
  <c r="G118" i="6" l="1"/>
  <c r="P181" i="6"/>
  <c r="T181" i="6"/>
  <c r="X181" i="6"/>
  <c r="V181" i="6" l="1"/>
  <c r="R181" i="6"/>
  <c r="Z181" i="6"/>
  <c r="AF181" i="6" l="1"/>
  <c r="M112" i="1" l="1"/>
  <c r="N113" i="1"/>
  <c r="O113" i="1" l="1"/>
  <c r="H32" i="1" s="1"/>
  <c r="M113" i="1"/>
  <c r="H33" i="1" l="1"/>
  <c r="L49" i="1" s="1"/>
  <c r="L48" i="1"/>
  <c r="H34" i="1" l="1"/>
  <c r="L50" i="1"/>
  <c r="M48" i="1"/>
  <c r="M49" i="1" l="1"/>
  <c r="M50" i="1" s="1"/>
  <c r="N48" i="1"/>
  <c r="N49" i="1" l="1"/>
  <c r="N50" i="1" s="1"/>
  <c r="O48" i="1"/>
  <c r="O49" i="1" l="1"/>
  <c r="O50" i="1" s="1"/>
  <c r="P48" i="1"/>
  <c r="P49" i="1" l="1"/>
  <c r="P50" i="1" s="1"/>
  <c r="Q48" i="1"/>
  <c r="Q49" i="1" l="1"/>
  <c r="Q50" i="1" s="1"/>
  <c r="R48" i="1"/>
  <c r="R49" i="1" l="1"/>
  <c r="R50" i="1" s="1"/>
  <c r="S48" i="1"/>
  <c r="S49" i="1" l="1"/>
  <c r="S50" i="1" s="1"/>
  <c r="T48" i="1"/>
  <c r="T49" i="1" l="1"/>
  <c r="T50" i="1" s="1"/>
  <c r="U48" i="1"/>
  <c r="U49" i="1" l="1"/>
  <c r="U50" i="1" s="1"/>
  <c r="V48" i="1"/>
  <c r="V49" i="1" l="1"/>
  <c r="V50" i="1" s="1"/>
  <c r="W48" i="1"/>
  <c r="W49" i="1" l="1"/>
  <c r="W50" i="1" s="1"/>
  <c r="X48" i="1"/>
  <c r="X49" i="1" l="1"/>
  <c r="X50" i="1" s="1"/>
  <c r="Y48" i="1"/>
  <c r="Y49" i="1" l="1"/>
  <c r="Y50" i="1" s="1"/>
  <c r="Z48" i="1"/>
  <c r="Z49" i="1" l="1"/>
  <c r="Z50" i="1" s="1"/>
  <c r="AA48" i="1"/>
  <c r="AA49" i="1" s="1"/>
  <c r="AA50" i="1" s="1"/>
  <c r="J106" i="1" l="1"/>
  <c r="I106" i="1" l="1"/>
  <c r="H35" i="1"/>
  <c r="L52" i="1" l="1"/>
  <c r="H36" i="1"/>
  <c r="H39" i="1" s="1"/>
  <c r="I35" i="1"/>
  <c r="M52" i="1" l="1"/>
  <c r="L53" i="1"/>
  <c r="S13" i="1"/>
  <c r="S15" i="1" s="1"/>
  <c r="N52" i="1" l="1"/>
  <c r="M53" i="1"/>
  <c r="W14" i="1"/>
  <c r="H41" i="1"/>
  <c r="J132" i="1" s="1"/>
  <c r="N53" i="1" l="1"/>
  <c r="O52" i="1"/>
  <c r="L56" i="1"/>
  <c r="I132" i="1"/>
  <c r="O53" i="1" l="1"/>
  <c r="P52" i="1"/>
  <c r="C48" i="1"/>
  <c r="D48" i="1" s="1"/>
  <c r="M56" i="1"/>
  <c r="L57" i="1"/>
  <c r="L62" i="1" s="1"/>
  <c r="L67" i="1" s="1"/>
  <c r="S31" i="1" s="1"/>
  <c r="S32" i="1" s="1"/>
  <c r="H132" i="1"/>
  <c r="P53" i="1" l="1"/>
  <c r="Q52" i="1"/>
  <c r="N56" i="1"/>
  <c r="M57" i="1"/>
  <c r="M62" i="1" s="1"/>
  <c r="M67" i="1" s="1"/>
  <c r="R52" i="1" l="1"/>
  <c r="Q53" i="1"/>
  <c r="O56" i="1"/>
  <c r="N57" i="1"/>
  <c r="N62" i="1" s="1"/>
  <c r="N67" i="1" s="1"/>
  <c r="S52" i="1" l="1"/>
  <c r="R53" i="1"/>
  <c r="P56" i="1"/>
  <c r="O57" i="1"/>
  <c r="O62" i="1" s="1"/>
  <c r="O67" i="1" s="1"/>
  <c r="T52" i="1" l="1"/>
  <c r="S53" i="1"/>
  <c r="Q56" i="1"/>
  <c r="P57" i="1"/>
  <c r="P62" i="1" s="1"/>
  <c r="P67" i="1" s="1"/>
  <c r="T53" i="1" l="1"/>
  <c r="U52" i="1"/>
  <c r="R56" i="1"/>
  <c r="Q57" i="1"/>
  <c r="Q62" i="1" s="1"/>
  <c r="Q67" i="1" s="1"/>
  <c r="U53" i="1" l="1"/>
  <c r="V52" i="1"/>
  <c r="S56" i="1"/>
  <c r="R57" i="1"/>
  <c r="R62" i="1" s="1"/>
  <c r="R67" i="1" s="1"/>
  <c r="V53" i="1" l="1"/>
  <c r="W52" i="1"/>
  <c r="T56" i="1"/>
  <c r="S57" i="1"/>
  <c r="S62" i="1" s="1"/>
  <c r="S67" i="1" s="1"/>
  <c r="X52" i="1" l="1"/>
  <c r="W53" i="1"/>
  <c r="U56" i="1"/>
  <c r="T57" i="1"/>
  <c r="T62" i="1" s="1"/>
  <c r="T67" i="1" s="1"/>
  <c r="X53" i="1" l="1"/>
  <c r="Y52" i="1"/>
  <c r="V56" i="1"/>
  <c r="U57" i="1"/>
  <c r="U62" i="1" s="1"/>
  <c r="U67" i="1" s="1"/>
  <c r="Y53" i="1" l="1"/>
  <c r="Z52" i="1"/>
  <c r="W56" i="1"/>
  <c r="V57" i="1"/>
  <c r="V62" i="1" s="1"/>
  <c r="V67" i="1" s="1"/>
  <c r="Z53" i="1" l="1"/>
  <c r="AA52" i="1"/>
  <c r="AA53" i="1" s="1"/>
  <c r="X56" i="1"/>
  <c r="W57" i="1"/>
  <c r="W62" i="1" s="1"/>
  <c r="W67" i="1" s="1"/>
  <c r="M31" i="1" l="1"/>
  <c r="M33" i="1" s="1"/>
  <c r="M35" i="1" s="1"/>
  <c r="M37" i="1" s="1"/>
  <c r="Y56" i="1"/>
  <c r="X57" i="1"/>
  <c r="X62" i="1" s="1"/>
  <c r="X67" i="1" s="1"/>
  <c r="Z56" i="1" l="1"/>
  <c r="Y57" i="1"/>
  <c r="Y62" i="1" s="1"/>
  <c r="Y67" i="1" s="1"/>
  <c r="AA56" i="1" l="1"/>
  <c r="AA57" i="1" s="1"/>
  <c r="AA62" i="1" s="1"/>
  <c r="Z57" i="1"/>
  <c r="Z62" i="1" s="1"/>
  <c r="Z67" i="1" s="1"/>
  <c r="C63" i="8" l="1"/>
  <c r="AL63" i="1"/>
  <c r="AK63" i="1"/>
  <c r="AJ63" i="1"/>
  <c r="AI63" i="1"/>
  <c r="AL62" i="1"/>
  <c r="AK62" i="1"/>
  <c r="AJ62" i="1"/>
  <c r="AI62" i="1"/>
  <c r="AL61" i="1"/>
  <c r="AK61" i="1"/>
  <c r="AJ61" i="1"/>
  <c r="AI61" i="1"/>
  <c r="AL60" i="1"/>
  <c r="AK60" i="1"/>
  <c r="AJ60" i="1"/>
  <c r="AI60" i="1"/>
  <c r="AL59" i="1"/>
  <c r="AK59" i="1"/>
  <c r="AJ59" i="1"/>
  <c r="AI59" i="1"/>
  <c r="AL58" i="1"/>
  <c r="AK58" i="1"/>
  <c r="AJ58" i="1"/>
  <c r="AI58" i="1"/>
  <c r="AL57" i="1"/>
  <c r="AK57" i="1"/>
  <c r="AJ57" i="1"/>
  <c r="AI57" i="1"/>
  <c r="AL56" i="1"/>
  <c r="AK56" i="1"/>
  <c r="AJ56" i="1"/>
  <c r="AI56" i="1"/>
  <c r="AH29" i="1"/>
  <c r="F5" i="6"/>
  <c r="I5" i="6"/>
  <c r="F6" i="6"/>
  <c r="I6" i="6"/>
  <c r="I7" i="6"/>
  <c r="F8" i="6"/>
  <c r="F9" i="6"/>
  <c r="F10" i="6"/>
  <c r="F15" i="6"/>
  <c r="I15" i="6"/>
  <c r="I16" i="6"/>
  <c r="F18" i="6"/>
  <c r="I18" i="6"/>
  <c r="F19" i="6"/>
  <c r="I19" i="6"/>
  <c r="C22" i="6"/>
  <c r="I22" i="6"/>
  <c r="C23" i="6"/>
  <c r="I23" i="6"/>
  <c r="C24" i="6"/>
  <c r="I24" i="6"/>
  <c r="B92" i="6"/>
  <c r="E92" i="6"/>
  <c r="I92" i="6"/>
  <c r="E93" i="6"/>
  <c r="G93" i="6"/>
  <c r="I93" i="6"/>
  <c r="E94" i="6"/>
  <c r="G94" i="6"/>
  <c r="I94" i="6"/>
  <c r="E95" i="6"/>
  <c r="G95" i="6"/>
  <c r="I95" i="6"/>
  <c r="E96" i="6"/>
  <c r="G96" i="6"/>
  <c r="I96" i="6"/>
  <c r="E97" i="6"/>
  <c r="G97" i="6"/>
  <c r="I97" i="6"/>
  <c r="E98" i="6"/>
  <c r="G98" i="6"/>
  <c r="I98" i="6"/>
  <c r="E99" i="6"/>
  <c r="G99" i="6"/>
  <c r="I99" i="6"/>
  <c r="E100" i="6"/>
  <c r="G100" i="6"/>
  <c r="I100" i="6"/>
  <c r="E101" i="6"/>
  <c r="G101" i="6"/>
  <c r="I101" i="6"/>
  <c r="E102" i="6"/>
  <c r="G102" i="6"/>
  <c r="I102" i="6"/>
  <c r="E103" i="6"/>
  <c r="G103" i="6"/>
  <c r="I103" i="6"/>
  <c r="E104" i="6"/>
  <c r="G104" i="6"/>
  <c r="I104" i="6"/>
  <c r="E105" i="6"/>
  <c r="G105" i="6"/>
  <c r="I105" i="6"/>
  <c r="E106" i="6"/>
  <c r="G106" i="6"/>
  <c r="I106" i="6"/>
  <c r="E107" i="6"/>
  <c r="G107" i="6"/>
  <c r="I107" i="6"/>
  <c r="E108" i="6"/>
  <c r="G108" i="6"/>
  <c r="I108" i="6"/>
  <c r="E109" i="6"/>
  <c r="G109" i="6"/>
  <c r="I109" i="6"/>
  <c r="E110" i="6"/>
  <c r="G110" i="6"/>
  <c r="I110" i="6"/>
  <c r="E111" i="6"/>
  <c r="G111" i="6"/>
  <c r="I111" i="6"/>
  <c r="E112" i="6"/>
  <c r="G112" i="6"/>
  <c r="I112" i="6"/>
  <c r="E113" i="6"/>
  <c r="G113" i="6"/>
  <c r="I113" i="6"/>
  <c r="E114" i="6"/>
  <c r="G114" i="6"/>
  <c r="I114" i="6"/>
  <c r="E115" i="6"/>
  <c r="G115" i="6"/>
  <c r="I115" i="6"/>
  <c r="E116" i="6"/>
  <c r="G116" i="6"/>
  <c r="I116" i="6"/>
  <c r="E117" i="6"/>
  <c r="G117" i="6"/>
  <c r="I117" i="6"/>
  <c r="E118" i="6"/>
  <c r="I118" i="6"/>
  <c r="E119" i="6"/>
  <c r="I119" i="6"/>
  <c r="E120" i="6"/>
  <c r="I120" i="6"/>
  <c r="E121" i="6"/>
  <c r="I121" i="6"/>
  <c r="E122" i="6"/>
  <c r="I122" i="6"/>
  <c r="E123" i="6"/>
  <c r="I123" i="6"/>
  <c r="E124" i="6"/>
  <c r="I124" i="6"/>
  <c r="E125" i="6"/>
  <c r="I125" i="6"/>
  <c r="E126" i="6"/>
  <c r="I126" i="6"/>
  <c r="E127" i="6"/>
  <c r="I127" i="6"/>
  <c r="E128" i="6"/>
  <c r="I128" i="6"/>
  <c r="E129" i="6"/>
  <c r="I129" i="6"/>
  <c r="E130" i="6"/>
  <c r="I130" i="6"/>
  <c r="E131" i="6"/>
  <c r="I131" i="6"/>
  <c r="E132" i="6"/>
  <c r="I132" i="6"/>
  <c r="E133" i="6"/>
  <c r="I133" i="6"/>
  <c r="E134" i="6"/>
  <c r="I134" i="6"/>
  <c r="E135" i="6"/>
  <c r="I135" i="6"/>
  <c r="E136" i="6"/>
  <c r="I136" i="6"/>
  <c r="E137" i="6"/>
  <c r="I137" i="6"/>
  <c r="E138" i="6"/>
  <c r="I138" i="6"/>
  <c r="E139" i="6"/>
  <c r="I139" i="6"/>
  <c r="E140" i="6"/>
  <c r="I140" i="6"/>
  <c r="E141" i="6"/>
  <c r="I141" i="6"/>
  <c r="E142" i="6"/>
  <c r="I142" i="6"/>
  <c r="E143" i="6"/>
  <c r="I143" i="6"/>
  <c r="E144" i="6"/>
  <c r="I144" i="6"/>
  <c r="E145" i="6"/>
  <c r="I145" i="6"/>
  <c r="E146" i="6"/>
  <c r="I146" i="6"/>
  <c r="E147" i="6"/>
  <c r="I147" i="6"/>
  <c r="E148" i="6"/>
  <c r="I148" i="6"/>
  <c r="E149" i="6"/>
  <c r="I149" i="6"/>
  <c r="E150" i="6"/>
  <c r="I150" i="6"/>
  <c r="E151" i="6"/>
  <c r="I151" i="6"/>
  <c r="B155" i="6"/>
  <c r="C155" i="6"/>
  <c r="D155" i="6"/>
  <c r="E155" i="6"/>
  <c r="F155" i="6"/>
  <c r="G155" i="6"/>
  <c r="H155" i="6"/>
  <c r="J155" i="6"/>
  <c r="K155" i="6"/>
  <c r="Q155" i="6"/>
  <c r="S155" i="6"/>
  <c r="U155" i="6"/>
  <c r="W155" i="6"/>
  <c r="Y155" i="6"/>
  <c r="AA155" i="6"/>
  <c r="AC155" i="6"/>
  <c r="AD155" i="6"/>
  <c r="AE155" i="6"/>
  <c r="AG155" i="6"/>
  <c r="B156" i="6"/>
  <c r="C156" i="6"/>
  <c r="D156" i="6"/>
  <c r="E156" i="6"/>
  <c r="F156" i="6"/>
  <c r="G156" i="6"/>
  <c r="H156" i="6"/>
  <c r="I156" i="6"/>
  <c r="J156" i="6"/>
  <c r="K156" i="6"/>
  <c r="P156" i="6"/>
  <c r="Q156" i="6"/>
  <c r="R156" i="6"/>
  <c r="S156" i="6"/>
  <c r="T156" i="6"/>
  <c r="U156" i="6"/>
  <c r="V156" i="6"/>
  <c r="W156" i="6"/>
  <c r="X156" i="6"/>
  <c r="Y156" i="6"/>
  <c r="Z156" i="6"/>
  <c r="AA156" i="6"/>
  <c r="AC156" i="6"/>
  <c r="AD156" i="6"/>
  <c r="AE156" i="6"/>
  <c r="AF156" i="6"/>
  <c r="AG156" i="6"/>
  <c r="B157" i="6"/>
  <c r="C157" i="6"/>
  <c r="D157" i="6"/>
  <c r="E157" i="6"/>
  <c r="F157" i="6"/>
  <c r="G157" i="6"/>
  <c r="H157" i="6"/>
  <c r="I157" i="6"/>
  <c r="J157" i="6"/>
  <c r="K157" i="6"/>
  <c r="P157" i="6"/>
  <c r="Q157" i="6"/>
  <c r="R157" i="6"/>
  <c r="S157" i="6"/>
  <c r="T157" i="6"/>
  <c r="U157" i="6"/>
  <c r="V157" i="6"/>
  <c r="W157" i="6"/>
  <c r="X157" i="6"/>
  <c r="Y157" i="6"/>
  <c r="Z157" i="6"/>
  <c r="AA157" i="6"/>
  <c r="AC157" i="6"/>
  <c r="AD157" i="6"/>
  <c r="AE157" i="6"/>
  <c r="AF157" i="6"/>
  <c r="AG157" i="6"/>
  <c r="B158" i="6"/>
  <c r="C158" i="6"/>
  <c r="D158" i="6"/>
  <c r="E158" i="6"/>
  <c r="F158" i="6"/>
  <c r="G158" i="6"/>
  <c r="H158" i="6"/>
  <c r="I158" i="6"/>
  <c r="J158" i="6"/>
  <c r="K158" i="6"/>
  <c r="P158" i="6"/>
  <c r="Q158" i="6"/>
  <c r="R158" i="6"/>
  <c r="S158" i="6"/>
  <c r="T158" i="6"/>
  <c r="U158" i="6"/>
  <c r="V158" i="6"/>
  <c r="W158" i="6"/>
  <c r="X158" i="6"/>
  <c r="Y158" i="6"/>
  <c r="Z158" i="6"/>
  <c r="AA158" i="6"/>
  <c r="AC158" i="6"/>
  <c r="AD158" i="6"/>
  <c r="AE158" i="6"/>
  <c r="AF158" i="6"/>
  <c r="AG158" i="6"/>
  <c r="B159" i="6"/>
  <c r="C159" i="6"/>
  <c r="D159" i="6"/>
  <c r="E159" i="6"/>
  <c r="F159" i="6"/>
  <c r="G159" i="6"/>
  <c r="H159" i="6"/>
  <c r="I159" i="6"/>
  <c r="J159" i="6"/>
  <c r="K159" i="6"/>
  <c r="P159" i="6"/>
  <c r="Q159" i="6"/>
  <c r="R159" i="6"/>
  <c r="S159" i="6"/>
  <c r="T159" i="6"/>
  <c r="U159" i="6"/>
  <c r="V159" i="6"/>
  <c r="W159" i="6"/>
  <c r="X159" i="6"/>
  <c r="Y159" i="6"/>
  <c r="Z159" i="6"/>
  <c r="AA159" i="6"/>
  <c r="AC159" i="6"/>
  <c r="AD159" i="6"/>
  <c r="AE159" i="6"/>
  <c r="AF159" i="6"/>
  <c r="AG159" i="6"/>
  <c r="B160" i="6"/>
  <c r="C160" i="6"/>
  <c r="D160" i="6"/>
  <c r="E160" i="6"/>
  <c r="F160" i="6"/>
  <c r="G160" i="6"/>
  <c r="H160" i="6"/>
  <c r="I160" i="6"/>
  <c r="J160" i="6"/>
  <c r="K160" i="6"/>
  <c r="P160" i="6"/>
  <c r="Q160" i="6"/>
  <c r="R160" i="6"/>
  <c r="S160" i="6"/>
  <c r="T160" i="6"/>
  <c r="U160" i="6"/>
  <c r="V160" i="6"/>
  <c r="W160" i="6"/>
  <c r="X160" i="6"/>
  <c r="Y160" i="6"/>
  <c r="Z160" i="6"/>
  <c r="AA160" i="6"/>
  <c r="AC160" i="6"/>
  <c r="AD160" i="6"/>
  <c r="AE160" i="6"/>
  <c r="AF160" i="6"/>
  <c r="AG160" i="6"/>
  <c r="B161" i="6"/>
  <c r="C161" i="6"/>
  <c r="D161" i="6"/>
  <c r="E161" i="6"/>
  <c r="F161" i="6"/>
  <c r="G161" i="6"/>
  <c r="H161" i="6"/>
  <c r="I161" i="6"/>
  <c r="J161" i="6"/>
  <c r="K161" i="6"/>
  <c r="P161" i="6"/>
  <c r="Q161" i="6"/>
  <c r="R161" i="6"/>
  <c r="S161" i="6"/>
  <c r="T161" i="6"/>
  <c r="U161" i="6"/>
  <c r="V161" i="6"/>
  <c r="W161" i="6"/>
  <c r="X161" i="6"/>
  <c r="Y161" i="6"/>
  <c r="Z161" i="6"/>
  <c r="AA161" i="6"/>
  <c r="AC161" i="6"/>
  <c r="AD161" i="6"/>
  <c r="AE161" i="6"/>
  <c r="AF161" i="6"/>
  <c r="AG161" i="6"/>
  <c r="B162" i="6"/>
  <c r="C162" i="6"/>
  <c r="D162" i="6"/>
  <c r="E162" i="6"/>
  <c r="F162" i="6"/>
  <c r="G162" i="6"/>
  <c r="H162" i="6"/>
  <c r="I162" i="6"/>
  <c r="J162" i="6"/>
  <c r="K162" i="6"/>
  <c r="P162" i="6"/>
  <c r="Q162" i="6"/>
  <c r="R162" i="6"/>
  <c r="S162" i="6"/>
  <c r="T162" i="6"/>
  <c r="U162" i="6"/>
  <c r="V162" i="6"/>
  <c r="W162" i="6"/>
  <c r="X162" i="6"/>
  <c r="Y162" i="6"/>
  <c r="Z162" i="6"/>
  <c r="AA162" i="6"/>
  <c r="AC162" i="6"/>
  <c r="AD162" i="6"/>
  <c r="AE162" i="6"/>
  <c r="AF162" i="6"/>
  <c r="AG162" i="6"/>
  <c r="B163" i="6"/>
  <c r="C163" i="6"/>
  <c r="D163" i="6"/>
  <c r="E163" i="6"/>
  <c r="F163" i="6"/>
  <c r="G163" i="6"/>
  <c r="H163" i="6"/>
  <c r="I163" i="6"/>
  <c r="J163" i="6"/>
  <c r="K163" i="6"/>
  <c r="P163" i="6"/>
  <c r="Q163" i="6"/>
  <c r="R163" i="6"/>
  <c r="S163" i="6"/>
  <c r="T163" i="6"/>
  <c r="U163" i="6"/>
  <c r="V163" i="6"/>
  <c r="W163" i="6"/>
  <c r="X163" i="6"/>
  <c r="Y163" i="6"/>
  <c r="Z163" i="6"/>
  <c r="AA163" i="6"/>
  <c r="AC163" i="6"/>
  <c r="AD163" i="6"/>
  <c r="AE163" i="6"/>
  <c r="AF163" i="6"/>
  <c r="AG163" i="6"/>
  <c r="B164" i="6"/>
  <c r="C164" i="6"/>
  <c r="D164" i="6"/>
  <c r="E164" i="6"/>
  <c r="F164" i="6"/>
  <c r="G164" i="6"/>
  <c r="H164" i="6"/>
  <c r="I164" i="6"/>
  <c r="J164" i="6"/>
  <c r="K164" i="6"/>
  <c r="P164" i="6"/>
  <c r="Q164" i="6"/>
  <c r="R164" i="6"/>
  <c r="S164" i="6"/>
  <c r="T164" i="6"/>
  <c r="U164" i="6"/>
  <c r="V164" i="6"/>
  <c r="W164" i="6"/>
  <c r="X164" i="6"/>
  <c r="Y164" i="6"/>
  <c r="Z164" i="6"/>
  <c r="AA164" i="6"/>
  <c r="AC164" i="6"/>
  <c r="AD164" i="6"/>
  <c r="AE164" i="6"/>
  <c r="AF164" i="6"/>
  <c r="AG164" i="6"/>
  <c r="B165" i="6"/>
  <c r="C165" i="6"/>
  <c r="D165" i="6"/>
  <c r="E165" i="6"/>
  <c r="F165" i="6"/>
  <c r="G165" i="6"/>
  <c r="H165" i="6"/>
  <c r="I165" i="6"/>
  <c r="J165" i="6"/>
  <c r="K165" i="6"/>
  <c r="P165" i="6"/>
  <c r="Q165" i="6"/>
  <c r="R165" i="6"/>
  <c r="S165" i="6"/>
  <c r="T165" i="6"/>
  <c r="U165" i="6"/>
  <c r="V165" i="6"/>
  <c r="W165" i="6"/>
  <c r="X165" i="6"/>
  <c r="Y165" i="6"/>
  <c r="Z165" i="6"/>
  <c r="AA165" i="6"/>
  <c r="AC165" i="6"/>
  <c r="AD165" i="6"/>
  <c r="AE165" i="6"/>
  <c r="AF165" i="6"/>
  <c r="AG165" i="6"/>
  <c r="B166" i="6"/>
  <c r="C166" i="6"/>
  <c r="D166" i="6"/>
  <c r="E166" i="6"/>
  <c r="F166" i="6"/>
  <c r="G166" i="6"/>
  <c r="H166" i="6"/>
  <c r="I166" i="6"/>
  <c r="J166" i="6"/>
  <c r="K166" i="6"/>
  <c r="P166" i="6"/>
  <c r="Q166" i="6"/>
  <c r="R166" i="6"/>
  <c r="S166" i="6"/>
  <c r="T166" i="6"/>
  <c r="U166" i="6"/>
  <c r="V166" i="6"/>
  <c r="W166" i="6"/>
  <c r="X166" i="6"/>
  <c r="Y166" i="6"/>
  <c r="Z166" i="6"/>
  <c r="AA166" i="6"/>
  <c r="AC166" i="6"/>
  <c r="AD166" i="6"/>
  <c r="AE166" i="6"/>
  <c r="AF166" i="6"/>
  <c r="AG166" i="6"/>
  <c r="B167" i="6"/>
  <c r="C167" i="6"/>
  <c r="D167" i="6"/>
  <c r="E167" i="6"/>
  <c r="F167" i="6"/>
  <c r="G167" i="6"/>
  <c r="H167" i="6"/>
  <c r="I167" i="6"/>
  <c r="J167" i="6"/>
  <c r="K167" i="6"/>
  <c r="P167" i="6"/>
  <c r="Q167" i="6"/>
  <c r="R167" i="6"/>
  <c r="S167" i="6"/>
  <c r="T167" i="6"/>
  <c r="U167" i="6"/>
  <c r="V167" i="6"/>
  <c r="W167" i="6"/>
  <c r="X167" i="6"/>
  <c r="Y167" i="6"/>
  <c r="Z167" i="6"/>
  <c r="AA167" i="6"/>
  <c r="AC167" i="6"/>
  <c r="AD167" i="6"/>
  <c r="AE167" i="6"/>
  <c r="AF167" i="6"/>
  <c r="AG167" i="6"/>
  <c r="B168" i="6"/>
  <c r="C168" i="6"/>
  <c r="D168" i="6"/>
  <c r="E168" i="6"/>
  <c r="F168" i="6"/>
  <c r="G168" i="6"/>
  <c r="H168" i="6"/>
  <c r="I168" i="6"/>
  <c r="J168" i="6"/>
  <c r="K168" i="6"/>
  <c r="P168" i="6"/>
  <c r="Q168" i="6"/>
  <c r="R168" i="6"/>
  <c r="S168" i="6"/>
  <c r="T168" i="6"/>
  <c r="U168" i="6"/>
  <c r="V168" i="6"/>
  <c r="W168" i="6"/>
  <c r="X168" i="6"/>
  <c r="Y168" i="6"/>
  <c r="Z168" i="6"/>
  <c r="AA168" i="6"/>
  <c r="AC168" i="6"/>
  <c r="AD168" i="6"/>
  <c r="AE168" i="6"/>
  <c r="AF168" i="6"/>
  <c r="AG168" i="6"/>
  <c r="B169" i="6"/>
  <c r="C169" i="6"/>
  <c r="D169" i="6"/>
  <c r="E169" i="6"/>
  <c r="F169" i="6"/>
  <c r="G169" i="6"/>
  <c r="H169" i="6"/>
  <c r="I169" i="6"/>
  <c r="J169" i="6"/>
  <c r="K169" i="6"/>
  <c r="P169" i="6"/>
  <c r="Q169" i="6"/>
  <c r="R169" i="6"/>
  <c r="S169" i="6"/>
  <c r="T169" i="6"/>
  <c r="U169" i="6"/>
  <c r="V169" i="6"/>
  <c r="W169" i="6"/>
  <c r="X169" i="6"/>
  <c r="Y169" i="6"/>
  <c r="Z169" i="6"/>
  <c r="AA169" i="6"/>
  <c r="AC169" i="6"/>
  <c r="AD169" i="6"/>
  <c r="AE169" i="6"/>
  <c r="AF169" i="6"/>
  <c r="AG169" i="6"/>
  <c r="B170" i="6"/>
  <c r="C170" i="6"/>
  <c r="D170" i="6"/>
  <c r="E170" i="6"/>
  <c r="F170" i="6"/>
  <c r="G170" i="6"/>
  <c r="H170" i="6"/>
  <c r="I170" i="6"/>
  <c r="J170" i="6"/>
  <c r="K170" i="6"/>
  <c r="P170" i="6"/>
  <c r="Q170" i="6"/>
  <c r="R170" i="6"/>
  <c r="S170" i="6"/>
  <c r="T170" i="6"/>
  <c r="U170" i="6"/>
  <c r="V170" i="6"/>
  <c r="W170" i="6"/>
  <c r="X170" i="6"/>
  <c r="Y170" i="6"/>
  <c r="Z170" i="6"/>
  <c r="AA170" i="6"/>
  <c r="AC170" i="6"/>
  <c r="AD170" i="6"/>
  <c r="AE170" i="6"/>
  <c r="AF170" i="6"/>
  <c r="AG170" i="6"/>
  <c r="B171" i="6"/>
  <c r="C171" i="6"/>
  <c r="D171" i="6"/>
  <c r="E171" i="6"/>
  <c r="F171" i="6"/>
  <c r="G171" i="6"/>
  <c r="H171" i="6"/>
  <c r="I171" i="6"/>
  <c r="J171" i="6"/>
  <c r="K171" i="6"/>
  <c r="P171" i="6"/>
  <c r="Q171" i="6"/>
  <c r="R171" i="6"/>
  <c r="S171" i="6"/>
  <c r="T171" i="6"/>
  <c r="U171" i="6"/>
  <c r="V171" i="6"/>
  <c r="W171" i="6"/>
  <c r="X171" i="6"/>
  <c r="Y171" i="6"/>
  <c r="Z171" i="6"/>
  <c r="AA171" i="6"/>
  <c r="AC171" i="6"/>
  <c r="AD171" i="6"/>
  <c r="AE171" i="6"/>
  <c r="AF171" i="6"/>
  <c r="AG171" i="6"/>
  <c r="B172" i="6"/>
  <c r="C172" i="6"/>
  <c r="D172" i="6"/>
  <c r="E172" i="6"/>
  <c r="F172" i="6"/>
  <c r="G172" i="6"/>
  <c r="H172" i="6"/>
  <c r="I172" i="6"/>
  <c r="J172" i="6"/>
  <c r="K172" i="6"/>
  <c r="P172" i="6"/>
  <c r="Q172" i="6"/>
  <c r="R172" i="6"/>
  <c r="S172" i="6"/>
  <c r="T172" i="6"/>
  <c r="U172" i="6"/>
  <c r="V172" i="6"/>
  <c r="W172" i="6"/>
  <c r="X172" i="6"/>
  <c r="Y172" i="6"/>
  <c r="Z172" i="6"/>
  <c r="AA172" i="6"/>
  <c r="AC172" i="6"/>
  <c r="AD172" i="6"/>
  <c r="AE172" i="6"/>
  <c r="AF172" i="6"/>
  <c r="AG172" i="6"/>
  <c r="B173" i="6"/>
  <c r="C173" i="6"/>
  <c r="D173" i="6"/>
  <c r="E173" i="6"/>
  <c r="F173" i="6"/>
  <c r="G173" i="6"/>
  <c r="H173" i="6"/>
  <c r="I173" i="6"/>
  <c r="J173" i="6"/>
  <c r="K173" i="6"/>
  <c r="P173" i="6"/>
  <c r="Q173" i="6"/>
  <c r="R173" i="6"/>
  <c r="S173" i="6"/>
  <c r="T173" i="6"/>
  <c r="U173" i="6"/>
  <c r="V173" i="6"/>
  <c r="W173" i="6"/>
  <c r="X173" i="6"/>
  <c r="Y173" i="6"/>
  <c r="Z173" i="6"/>
  <c r="AA173" i="6"/>
  <c r="AC173" i="6"/>
  <c r="AD173" i="6"/>
  <c r="AE173" i="6"/>
  <c r="AF173" i="6"/>
  <c r="AG173" i="6"/>
  <c r="B174" i="6"/>
  <c r="C174" i="6"/>
  <c r="D174" i="6"/>
  <c r="E174" i="6"/>
  <c r="F174" i="6"/>
  <c r="G174" i="6"/>
  <c r="H174" i="6"/>
  <c r="I174" i="6"/>
  <c r="J174" i="6"/>
  <c r="K174" i="6"/>
  <c r="P174" i="6"/>
  <c r="Q174" i="6"/>
  <c r="R174" i="6"/>
  <c r="S174" i="6"/>
  <c r="T174" i="6"/>
  <c r="U174" i="6"/>
  <c r="V174" i="6"/>
  <c r="W174" i="6"/>
  <c r="X174" i="6"/>
  <c r="Y174" i="6"/>
  <c r="Z174" i="6"/>
  <c r="AA174" i="6"/>
  <c r="AC174" i="6"/>
  <c r="AD174" i="6"/>
  <c r="AE174" i="6"/>
  <c r="AF174" i="6"/>
  <c r="AG174" i="6"/>
  <c r="B175" i="6"/>
  <c r="C175" i="6"/>
  <c r="D175" i="6"/>
  <c r="E175" i="6"/>
  <c r="F175" i="6"/>
  <c r="G175" i="6"/>
  <c r="H175" i="6"/>
  <c r="I175" i="6"/>
  <c r="J175" i="6"/>
  <c r="K175" i="6"/>
  <c r="P175" i="6"/>
  <c r="Q175" i="6"/>
  <c r="R175" i="6"/>
  <c r="S175" i="6"/>
  <c r="T175" i="6"/>
  <c r="U175" i="6"/>
  <c r="V175" i="6"/>
  <c r="W175" i="6"/>
  <c r="X175" i="6"/>
  <c r="Y175" i="6"/>
  <c r="Z175" i="6"/>
  <c r="AA175" i="6"/>
  <c r="AC175" i="6"/>
  <c r="AD175" i="6"/>
  <c r="AE175" i="6"/>
  <c r="AF175" i="6"/>
  <c r="AG175" i="6"/>
  <c r="B176" i="6"/>
  <c r="C176" i="6"/>
  <c r="D176" i="6"/>
  <c r="E176" i="6"/>
  <c r="F176" i="6"/>
  <c r="G176" i="6"/>
  <c r="H176" i="6"/>
  <c r="I176" i="6"/>
  <c r="J176" i="6"/>
  <c r="K176" i="6"/>
  <c r="P176" i="6"/>
  <c r="Q176" i="6"/>
  <c r="R176" i="6"/>
  <c r="S176" i="6"/>
  <c r="T176" i="6"/>
  <c r="U176" i="6"/>
  <c r="V176" i="6"/>
  <c r="W176" i="6"/>
  <c r="X176" i="6"/>
  <c r="Y176" i="6"/>
  <c r="Z176" i="6"/>
  <c r="AA176" i="6"/>
  <c r="AC176" i="6"/>
  <c r="AD176" i="6"/>
  <c r="AE176" i="6"/>
  <c r="AF176" i="6"/>
  <c r="AG176" i="6"/>
  <c r="B177" i="6"/>
  <c r="C177" i="6"/>
  <c r="D177" i="6"/>
  <c r="E177" i="6"/>
  <c r="F177" i="6"/>
  <c r="G177" i="6"/>
  <c r="H177" i="6"/>
  <c r="I177" i="6"/>
  <c r="J177" i="6"/>
  <c r="K177" i="6"/>
  <c r="P177" i="6"/>
  <c r="Q177" i="6"/>
  <c r="R177" i="6"/>
  <c r="S177" i="6"/>
  <c r="T177" i="6"/>
  <c r="U177" i="6"/>
  <c r="V177" i="6"/>
  <c r="W177" i="6"/>
  <c r="X177" i="6"/>
  <c r="Y177" i="6"/>
  <c r="Z177" i="6"/>
  <c r="AA177" i="6"/>
  <c r="AC177" i="6"/>
  <c r="AD177" i="6"/>
  <c r="AE177" i="6"/>
  <c r="AF177" i="6"/>
  <c r="AG177" i="6"/>
  <c r="B178" i="6"/>
  <c r="C178" i="6"/>
  <c r="D178" i="6"/>
  <c r="E178" i="6"/>
  <c r="F178" i="6"/>
  <c r="G178" i="6"/>
  <c r="H178" i="6"/>
  <c r="I178" i="6"/>
  <c r="J178" i="6"/>
  <c r="K178" i="6"/>
  <c r="P178" i="6"/>
  <c r="Q178" i="6"/>
  <c r="R178" i="6"/>
  <c r="S178" i="6"/>
  <c r="T178" i="6"/>
  <c r="U178" i="6"/>
  <c r="V178" i="6"/>
  <c r="W178" i="6"/>
  <c r="X178" i="6"/>
  <c r="Y178" i="6"/>
  <c r="Z178" i="6"/>
  <c r="AA178" i="6"/>
  <c r="AC178" i="6"/>
  <c r="AD178" i="6"/>
  <c r="AE178" i="6"/>
  <c r="AF178" i="6"/>
  <c r="AG178" i="6"/>
  <c r="B179" i="6"/>
  <c r="C179" i="6"/>
  <c r="D179" i="6"/>
  <c r="E179" i="6"/>
  <c r="F179" i="6"/>
  <c r="G179" i="6"/>
  <c r="H179" i="6"/>
  <c r="I179" i="6"/>
  <c r="J179" i="6"/>
  <c r="K179" i="6"/>
  <c r="P179" i="6"/>
  <c r="Q179" i="6"/>
  <c r="R179" i="6"/>
  <c r="S179" i="6"/>
  <c r="T179" i="6"/>
  <c r="U179" i="6"/>
  <c r="V179" i="6"/>
  <c r="W179" i="6"/>
  <c r="X179" i="6"/>
  <c r="Y179" i="6"/>
  <c r="Z179" i="6"/>
  <c r="AA179" i="6"/>
  <c r="AC179" i="6"/>
  <c r="AD179" i="6"/>
  <c r="AE179" i="6"/>
  <c r="AF179" i="6"/>
  <c r="AG179" i="6"/>
  <c r="B180" i="6"/>
  <c r="C180" i="6"/>
  <c r="D180" i="6"/>
  <c r="E180" i="6"/>
  <c r="F180" i="6"/>
  <c r="G180" i="6"/>
  <c r="H180" i="6"/>
  <c r="I180" i="6"/>
  <c r="J180" i="6"/>
  <c r="K180" i="6"/>
  <c r="P180" i="6"/>
  <c r="Q180" i="6"/>
  <c r="R180" i="6"/>
  <c r="S180" i="6"/>
  <c r="T180" i="6"/>
  <c r="U180" i="6"/>
  <c r="V180" i="6"/>
  <c r="W180" i="6"/>
  <c r="X180" i="6"/>
  <c r="Y180" i="6"/>
  <c r="Z180" i="6"/>
  <c r="AA180" i="6"/>
  <c r="AC180" i="6"/>
  <c r="AD180" i="6"/>
  <c r="AE180" i="6"/>
  <c r="AF180" i="6"/>
  <c r="AG180" i="6"/>
  <c r="B181" i="6"/>
  <c r="C181" i="6"/>
  <c r="D181" i="6"/>
  <c r="E181" i="6"/>
  <c r="F181" i="6"/>
  <c r="G181" i="6"/>
  <c r="H181" i="6"/>
  <c r="I181" i="6"/>
  <c r="J181" i="6"/>
  <c r="K181" i="6"/>
  <c r="Q181" i="6"/>
  <c r="S181" i="6"/>
  <c r="U181" i="6"/>
  <c r="W181" i="6"/>
  <c r="Y181" i="6"/>
  <c r="AA181" i="6"/>
  <c r="AC181" i="6"/>
  <c r="AD181" i="6"/>
  <c r="AE181" i="6"/>
  <c r="AG181" i="6"/>
  <c r="B182" i="6"/>
  <c r="C182" i="6"/>
  <c r="D182" i="6"/>
  <c r="E182" i="6"/>
  <c r="F182" i="6"/>
  <c r="G182" i="6"/>
  <c r="H182" i="6"/>
  <c r="I182" i="6"/>
  <c r="J182" i="6"/>
  <c r="K182" i="6"/>
  <c r="Q182" i="6"/>
  <c r="S182" i="6"/>
  <c r="U182" i="6"/>
  <c r="W182" i="6"/>
  <c r="Y182" i="6"/>
  <c r="AA182" i="6"/>
  <c r="AC182" i="6"/>
  <c r="AD182" i="6"/>
  <c r="AE182" i="6"/>
  <c r="AG182" i="6"/>
  <c r="B183" i="6"/>
  <c r="C183" i="6"/>
  <c r="D183" i="6"/>
  <c r="E183" i="6"/>
  <c r="F183" i="6"/>
  <c r="G183" i="6"/>
  <c r="H183" i="6"/>
  <c r="I183" i="6"/>
  <c r="J183" i="6"/>
  <c r="K183" i="6"/>
  <c r="Q183" i="6"/>
  <c r="S183" i="6"/>
  <c r="U183" i="6"/>
  <c r="W183" i="6"/>
  <c r="Y183" i="6"/>
  <c r="AA183" i="6"/>
  <c r="AC183" i="6"/>
  <c r="AD183" i="6"/>
  <c r="AE183" i="6"/>
  <c r="AG183" i="6"/>
  <c r="B184" i="6"/>
  <c r="C184" i="6"/>
  <c r="D184" i="6"/>
  <c r="E184" i="6"/>
  <c r="F184" i="6"/>
  <c r="G184" i="6"/>
  <c r="H184" i="6"/>
  <c r="I184" i="6"/>
  <c r="J184" i="6"/>
  <c r="K184" i="6"/>
  <c r="Q184" i="6"/>
  <c r="S184" i="6"/>
  <c r="U184" i="6"/>
  <c r="W184" i="6"/>
  <c r="Y184" i="6"/>
  <c r="AA184" i="6"/>
  <c r="AC184" i="6"/>
  <c r="AD184" i="6"/>
  <c r="AE184" i="6"/>
  <c r="AG184" i="6"/>
  <c r="B185" i="6"/>
  <c r="C185" i="6"/>
  <c r="D185" i="6"/>
  <c r="E185" i="6"/>
  <c r="F185" i="6"/>
  <c r="G185" i="6"/>
  <c r="H185" i="6"/>
  <c r="I185" i="6"/>
  <c r="J185" i="6"/>
  <c r="K185" i="6"/>
  <c r="Q185" i="6"/>
  <c r="S185" i="6"/>
  <c r="U185" i="6"/>
  <c r="W185" i="6"/>
  <c r="Y185" i="6"/>
  <c r="AA185" i="6"/>
  <c r="AC185" i="6"/>
  <c r="AD185" i="6"/>
  <c r="AE185" i="6"/>
  <c r="AG185" i="6"/>
  <c r="B186" i="6"/>
  <c r="C186" i="6"/>
  <c r="D186" i="6"/>
  <c r="E186" i="6"/>
  <c r="F186" i="6"/>
  <c r="G186" i="6"/>
  <c r="H186" i="6"/>
  <c r="I186" i="6"/>
  <c r="J186" i="6"/>
  <c r="K186" i="6"/>
  <c r="Q186" i="6"/>
  <c r="S186" i="6"/>
  <c r="U186" i="6"/>
  <c r="W186" i="6"/>
  <c r="Y186" i="6"/>
  <c r="AA186" i="6"/>
  <c r="AC186" i="6"/>
  <c r="AD186" i="6"/>
  <c r="AE186" i="6"/>
  <c r="AG186" i="6"/>
  <c r="B187" i="6"/>
  <c r="C187" i="6"/>
  <c r="D187" i="6"/>
  <c r="E187" i="6"/>
  <c r="F187" i="6"/>
  <c r="G187" i="6"/>
  <c r="H187" i="6"/>
  <c r="I187" i="6"/>
  <c r="J187" i="6"/>
  <c r="K187" i="6"/>
  <c r="Q187" i="6"/>
  <c r="S187" i="6"/>
  <c r="U187" i="6"/>
  <c r="W187" i="6"/>
  <c r="Y187" i="6"/>
  <c r="AA187" i="6"/>
  <c r="AC187" i="6"/>
  <c r="AD187" i="6"/>
  <c r="AE187" i="6"/>
  <c r="AG187" i="6"/>
  <c r="B188" i="6"/>
  <c r="C188" i="6"/>
  <c r="D188" i="6"/>
  <c r="E188" i="6"/>
  <c r="F188" i="6"/>
  <c r="G188" i="6"/>
  <c r="H188" i="6"/>
  <c r="I188" i="6"/>
  <c r="J188" i="6"/>
  <c r="K188" i="6"/>
  <c r="Q188" i="6"/>
  <c r="S188" i="6"/>
  <c r="U188" i="6"/>
  <c r="W188" i="6"/>
  <c r="Y188" i="6"/>
  <c r="AA188" i="6"/>
  <c r="AC188" i="6"/>
  <c r="AD188" i="6"/>
  <c r="AE188" i="6"/>
  <c r="AG188" i="6"/>
  <c r="B189" i="6"/>
  <c r="C189" i="6"/>
  <c r="D189" i="6"/>
  <c r="E189" i="6"/>
  <c r="F189" i="6"/>
  <c r="G189" i="6"/>
  <c r="H189" i="6"/>
  <c r="I189" i="6"/>
  <c r="J189" i="6"/>
  <c r="K189" i="6"/>
  <c r="Q189" i="6"/>
  <c r="S189" i="6"/>
  <c r="U189" i="6"/>
  <c r="W189" i="6"/>
  <c r="Y189" i="6"/>
  <c r="AA189" i="6"/>
  <c r="AC189" i="6"/>
  <c r="AD189" i="6"/>
  <c r="AE189" i="6"/>
  <c r="AG189" i="6"/>
  <c r="B190" i="6"/>
  <c r="C190" i="6"/>
  <c r="D190" i="6"/>
  <c r="E190" i="6"/>
  <c r="F190" i="6"/>
  <c r="G190" i="6"/>
  <c r="H190" i="6"/>
  <c r="I190" i="6"/>
  <c r="J190" i="6"/>
  <c r="K190" i="6"/>
  <c r="Q190" i="6"/>
  <c r="S190" i="6"/>
  <c r="U190" i="6"/>
  <c r="W190" i="6"/>
  <c r="Y190" i="6"/>
  <c r="AA190" i="6"/>
  <c r="AC190" i="6"/>
  <c r="AD190" i="6"/>
  <c r="AE190" i="6"/>
  <c r="AG190" i="6"/>
  <c r="B191" i="6"/>
  <c r="C191" i="6"/>
  <c r="D191" i="6"/>
  <c r="E191" i="6"/>
  <c r="F191" i="6"/>
  <c r="G191" i="6"/>
  <c r="H191" i="6"/>
  <c r="I191" i="6"/>
  <c r="J191" i="6"/>
  <c r="K191" i="6"/>
  <c r="Q191" i="6"/>
  <c r="S191" i="6"/>
  <c r="U191" i="6"/>
  <c r="W191" i="6"/>
  <c r="Y191" i="6"/>
  <c r="AA191" i="6"/>
  <c r="AC191" i="6"/>
  <c r="AD191" i="6"/>
  <c r="AE191" i="6"/>
  <c r="AG191" i="6"/>
  <c r="B192" i="6"/>
  <c r="C192" i="6"/>
  <c r="D192" i="6"/>
  <c r="E192" i="6"/>
  <c r="F192" i="6"/>
  <c r="G192" i="6"/>
  <c r="H192" i="6"/>
  <c r="I192" i="6"/>
  <c r="J192" i="6"/>
  <c r="K192" i="6"/>
  <c r="Q192" i="6"/>
  <c r="S192" i="6"/>
  <c r="U192" i="6"/>
  <c r="W192" i="6"/>
  <c r="Y192" i="6"/>
  <c r="AA192" i="6"/>
  <c r="AC192" i="6"/>
  <c r="AD192" i="6"/>
  <c r="AE192" i="6"/>
  <c r="AG192" i="6"/>
  <c r="B193" i="6"/>
  <c r="C193" i="6"/>
  <c r="D193" i="6"/>
  <c r="E193" i="6"/>
  <c r="F193" i="6"/>
  <c r="G193" i="6"/>
  <c r="H193" i="6"/>
  <c r="I193" i="6"/>
  <c r="J193" i="6"/>
  <c r="K193" i="6"/>
  <c r="Q193" i="6"/>
  <c r="S193" i="6"/>
  <c r="U193" i="6"/>
  <c r="W193" i="6"/>
  <c r="Y193" i="6"/>
  <c r="AA193" i="6"/>
  <c r="AC193" i="6"/>
  <c r="AD193" i="6"/>
  <c r="AE193" i="6"/>
  <c r="AG193" i="6"/>
  <c r="B194" i="6"/>
  <c r="C194" i="6"/>
  <c r="D194" i="6"/>
  <c r="E194" i="6"/>
  <c r="F194" i="6"/>
  <c r="G194" i="6"/>
  <c r="H194" i="6"/>
  <c r="I194" i="6"/>
  <c r="J194" i="6"/>
  <c r="K194" i="6"/>
  <c r="Q194" i="6"/>
  <c r="S194" i="6"/>
  <c r="U194" i="6"/>
  <c r="W194" i="6"/>
  <c r="Y194" i="6"/>
  <c r="AA194" i="6"/>
  <c r="AC194" i="6"/>
  <c r="AD194" i="6"/>
  <c r="AE194" i="6"/>
  <c r="AG194" i="6"/>
  <c r="B195" i="6"/>
  <c r="C195" i="6"/>
  <c r="D195" i="6"/>
  <c r="E195" i="6"/>
  <c r="F195" i="6"/>
  <c r="G195" i="6"/>
  <c r="H195" i="6"/>
  <c r="I195" i="6"/>
  <c r="J195" i="6"/>
  <c r="K195" i="6"/>
  <c r="Q195" i="6"/>
  <c r="S195" i="6"/>
  <c r="U195" i="6"/>
  <c r="W195" i="6"/>
  <c r="Y195" i="6"/>
  <c r="AA195" i="6"/>
  <c r="AC195" i="6"/>
  <c r="AD195" i="6"/>
  <c r="AE195" i="6"/>
  <c r="AG195" i="6"/>
  <c r="B196" i="6"/>
  <c r="C196" i="6"/>
  <c r="D196" i="6"/>
  <c r="E196" i="6"/>
  <c r="F196" i="6"/>
  <c r="G196" i="6"/>
  <c r="H196" i="6"/>
  <c r="I196" i="6"/>
  <c r="J196" i="6"/>
  <c r="K196" i="6"/>
  <c r="Q196" i="6"/>
  <c r="S196" i="6"/>
  <c r="U196" i="6"/>
  <c r="W196" i="6"/>
  <c r="Y196" i="6"/>
  <c r="AA196" i="6"/>
  <c r="AC196" i="6"/>
  <c r="AD196" i="6"/>
  <c r="AE196" i="6"/>
  <c r="AG196" i="6"/>
  <c r="B197" i="6"/>
  <c r="C197" i="6"/>
  <c r="D197" i="6"/>
  <c r="E197" i="6"/>
  <c r="F197" i="6"/>
  <c r="G197" i="6"/>
  <c r="H197" i="6"/>
  <c r="I197" i="6"/>
  <c r="J197" i="6"/>
  <c r="K197" i="6"/>
  <c r="Q197" i="6"/>
  <c r="S197" i="6"/>
  <c r="U197" i="6"/>
  <c r="W197" i="6"/>
  <c r="Y197" i="6"/>
  <c r="AA197" i="6"/>
  <c r="AC197" i="6"/>
  <c r="AD197" i="6"/>
  <c r="AE197" i="6"/>
  <c r="AG197" i="6"/>
  <c r="B198" i="6"/>
  <c r="C198" i="6"/>
  <c r="D198" i="6"/>
  <c r="E198" i="6"/>
  <c r="F198" i="6"/>
  <c r="G198" i="6"/>
  <c r="H198" i="6"/>
  <c r="I198" i="6"/>
  <c r="J198" i="6"/>
  <c r="K198" i="6"/>
  <c r="Q198" i="6"/>
  <c r="S198" i="6"/>
  <c r="U198" i="6"/>
  <c r="W198" i="6"/>
  <c r="Y198" i="6"/>
  <c r="AA198" i="6"/>
  <c r="AC198" i="6"/>
  <c r="AD198" i="6"/>
  <c r="AE198" i="6"/>
  <c r="AG198" i="6"/>
  <c r="B199" i="6"/>
  <c r="C199" i="6"/>
  <c r="D199" i="6"/>
  <c r="E199" i="6"/>
  <c r="F199" i="6"/>
  <c r="G199" i="6"/>
  <c r="H199" i="6"/>
  <c r="I199" i="6"/>
  <c r="J199" i="6"/>
  <c r="K199" i="6"/>
  <c r="Q199" i="6"/>
  <c r="S199" i="6"/>
  <c r="U199" i="6"/>
  <c r="W199" i="6"/>
  <c r="Y199" i="6"/>
  <c r="AA199" i="6"/>
  <c r="AC199" i="6"/>
  <c r="AD199" i="6"/>
  <c r="AE199" i="6"/>
  <c r="AG199" i="6"/>
  <c r="B200" i="6"/>
  <c r="C200" i="6"/>
  <c r="D200" i="6"/>
  <c r="E200" i="6"/>
  <c r="F200" i="6"/>
  <c r="G200" i="6"/>
  <c r="H200" i="6"/>
  <c r="I200" i="6"/>
  <c r="J200" i="6"/>
  <c r="K200" i="6"/>
  <c r="Q200" i="6"/>
  <c r="S200" i="6"/>
  <c r="U200" i="6"/>
  <c r="W200" i="6"/>
  <c r="Y200" i="6"/>
  <c r="AA200" i="6"/>
  <c r="AC200" i="6"/>
  <c r="AD200" i="6"/>
  <c r="AE200" i="6"/>
  <c r="AG200" i="6"/>
  <c r="B201" i="6"/>
  <c r="C201" i="6"/>
  <c r="D201" i="6"/>
  <c r="E201" i="6"/>
  <c r="F201" i="6"/>
  <c r="G201" i="6"/>
  <c r="H201" i="6"/>
  <c r="I201" i="6"/>
  <c r="J201" i="6"/>
  <c r="K201" i="6"/>
  <c r="Q201" i="6"/>
  <c r="S201" i="6"/>
  <c r="U201" i="6"/>
  <c r="W201" i="6"/>
  <c r="Y201" i="6"/>
  <c r="AA201" i="6"/>
  <c r="AC201" i="6"/>
  <c r="AD201" i="6"/>
  <c r="AE201" i="6"/>
  <c r="AG201" i="6"/>
  <c r="B202" i="6"/>
  <c r="C202" i="6"/>
  <c r="D202" i="6"/>
  <c r="E202" i="6"/>
  <c r="F202" i="6"/>
  <c r="G202" i="6"/>
  <c r="H202" i="6"/>
  <c r="I202" i="6"/>
  <c r="J202" i="6"/>
  <c r="K202" i="6"/>
  <c r="Q202" i="6"/>
  <c r="S202" i="6"/>
  <c r="U202" i="6"/>
  <c r="W202" i="6"/>
  <c r="Y202" i="6"/>
  <c r="AA202" i="6"/>
  <c r="AC202" i="6"/>
  <c r="AD202" i="6"/>
  <c r="AE202" i="6"/>
  <c r="AG202" i="6"/>
  <c r="B203" i="6"/>
  <c r="C203" i="6"/>
  <c r="D203" i="6"/>
  <c r="E203" i="6"/>
  <c r="F203" i="6"/>
  <c r="G203" i="6"/>
  <c r="H203" i="6"/>
  <c r="I203" i="6"/>
  <c r="J203" i="6"/>
  <c r="K203" i="6"/>
  <c r="Q203" i="6"/>
  <c r="S203" i="6"/>
  <c r="U203" i="6"/>
  <c r="W203" i="6"/>
  <c r="Y203" i="6"/>
  <c r="AA203" i="6"/>
  <c r="AC203" i="6"/>
  <c r="AD203" i="6"/>
  <c r="AE203" i="6"/>
  <c r="AG203" i="6"/>
  <c r="B204" i="6"/>
  <c r="C204" i="6"/>
  <c r="D204" i="6"/>
  <c r="E204" i="6"/>
  <c r="F204" i="6"/>
  <c r="G204" i="6"/>
  <c r="H204" i="6"/>
  <c r="I204" i="6"/>
  <c r="J204" i="6"/>
  <c r="K204" i="6"/>
  <c r="Q204" i="6"/>
  <c r="S204" i="6"/>
  <c r="U204" i="6"/>
  <c r="W204" i="6"/>
  <c r="Y204" i="6"/>
  <c r="AA204" i="6"/>
  <c r="AC204" i="6"/>
  <c r="AD204" i="6"/>
  <c r="AE204" i="6"/>
  <c r="AG204" i="6"/>
  <c r="B205" i="6"/>
  <c r="C205" i="6"/>
  <c r="D205" i="6"/>
  <c r="E205" i="6"/>
  <c r="F205" i="6"/>
  <c r="G205" i="6"/>
  <c r="H205" i="6"/>
  <c r="I205" i="6"/>
  <c r="J205" i="6"/>
  <c r="K205" i="6"/>
  <c r="Q205" i="6"/>
  <c r="S205" i="6"/>
  <c r="U205" i="6"/>
  <c r="W205" i="6"/>
  <c r="Y205" i="6"/>
  <c r="AA205" i="6"/>
  <c r="AC205" i="6"/>
  <c r="AD205" i="6"/>
  <c r="AE205" i="6"/>
  <c r="AG205" i="6"/>
  <c r="B206" i="6"/>
  <c r="C206" i="6"/>
  <c r="D206" i="6"/>
  <c r="E206" i="6"/>
  <c r="F206" i="6"/>
  <c r="G206" i="6"/>
  <c r="H206" i="6"/>
  <c r="I206" i="6"/>
  <c r="J206" i="6"/>
  <c r="K206" i="6"/>
  <c r="Q206" i="6"/>
  <c r="S206" i="6"/>
  <c r="U206" i="6"/>
  <c r="W206" i="6"/>
  <c r="Y206" i="6"/>
  <c r="AA206" i="6"/>
  <c r="AC206" i="6"/>
  <c r="AD206" i="6"/>
  <c r="AE206" i="6"/>
  <c r="AG206" i="6"/>
  <c r="B207" i="6"/>
  <c r="C207" i="6"/>
  <c r="D207" i="6"/>
  <c r="E207" i="6"/>
  <c r="F207" i="6"/>
  <c r="G207" i="6"/>
  <c r="H207" i="6"/>
  <c r="I207" i="6"/>
  <c r="J207" i="6"/>
  <c r="K207" i="6"/>
  <c r="Q207" i="6"/>
  <c r="S207" i="6"/>
  <c r="U207" i="6"/>
  <c r="W207" i="6"/>
  <c r="Y207" i="6"/>
  <c r="AA207" i="6"/>
  <c r="AC207" i="6"/>
  <c r="AD207" i="6"/>
  <c r="AE207" i="6"/>
  <c r="AG207" i="6"/>
  <c r="B208" i="6"/>
  <c r="C208" i="6"/>
  <c r="D208" i="6"/>
  <c r="E208" i="6"/>
  <c r="F208" i="6"/>
  <c r="G208" i="6"/>
  <c r="H208" i="6"/>
  <c r="I208" i="6"/>
  <c r="J208" i="6"/>
  <c r="K208" i="6"/>
  <c r="Q208" i="6"/>
  <c r="S208" i="6"/>
  <c r="U208" i="6"/>
  <c r="W208" i="6"/>
  <c r="Y208" i="6"/>
  <c r="AA208" i="6"/>
  <c r="AC208" i="6"/>
  <c r="AD208" i="6"/>
  <c r="AE208" i="6"/>
  <c r="AG208" i="6"/>
  <c r="B209" i="6"/>
  <c r="C209" i="6"/>
  <c r="D209" i="6"/>
  <c r="E209" i="6"/>
  <c r="F209" i="6"/>
  <c r="G209" i="6"/>
  <c r="H209" i="6"/>
  <c r="I209" i="6"/>
  <c r="J209" i="6"/>
  <c r="K209" i="6"/>
  <c r="Q209" i="6"/>
  <c r="S209" i="6"/>
  <c r="U209" i="6"/>
  <c r="W209" i="6"/>
  <c r="Y209" i="6"/>
  <c r="AA209" i="6"/>
  <c r="AC209" i="6"/>
  <c r="AD209" i="6"/>
  <c r="AE209" i="6"/>
  <c r="AG209" i="6"/>
  <c r="B210" i="6"/>
  <c r="C210" i="6"/>
  <c r="D210" i="6"/>
  <c r="E210" i="6"/>
  <c r="F210" i="6"/>
  <c r="G210" i="6"/>
  <c r="H210" i="6"/>
  <c r="I210" i="6"/>
  <c r="J210" i="6"/>
  <c r="K210" i="6"/>
  <c r="Q210" i="6"/>
  <c r="S210" i="6"/>
  <c r="U210" i="6"/>
  <c r="W210" i="6"/>
  <c r="Y210" i="6"/>
  <c r="AA210" i="6"/>
  <c r="AC210" i="6"/>
  <c r="AD210" i="6"/>
  <c r="AE210" i="6"/>
  <c r="AG210" i="6"/>
  <c r="B211" i="6"/>
  <c r="C211" i="6"/>
  <c r="D211" i="6"/>
  <c r="E211" i="6"/>
  <c r="F211" i="6"/>
  <c r="G211" i="6"/>
  <c r="H211" i="6"/>
  <c r="I211" i="6"/>
  <c r="J211" i="6"/>
  <c r="K211" i="6"/>
  <c r="Q211" i="6"/>
  <c r="S211" i="6"/>
  <c r="U211" i="6"/>
  <c r="W211" i="6"/>
  <c r="Y211" i="6"/>
  <c r="AA211" i="6"/>
  <c r="AC211" i="6"/>
  <c r="AD211" i="6"/>
  <c r="AE211" i="6"/>
  <c r="AG211" i="6"/>
  <c r="B212" i="6"/>
  <c r="C212" i="6"/>
  <c r="D212" i="6"/>
  <c r="E212" i="6"/>
  <c r="F212" i="6"/>
  <c r="G212" i="6"/>
  <c r="H212" i="6"/>
  <c r="I212" i="6"/>
  <c r="J212" i="6"/>
  <c r="K212" i="6"/>
  <c r="Q212" i="6"/>
  <c r="S212" i="6"/>
  <c r="U212" i="6"/>
  <c r="W212" i="6"/>
  <c r="Y212" i="6"/>
  <c r="AA212" i="6"/>
  <c r="AC212" i="6"/>
  <c r="AD212" i="6"/>
  <c r="AE212" i="6"/>
  <c r="AG212" i="6"/>
  <c r="B213" i="6"/>
  <c r="C213" i="6"/>
  <c r="D213" i="6"/>
  <c r="E213" i="6"/>
  <c r="F213" i="6"/>
  <c r="G213" i="6"/>
  <c r="H213" i="6"/>
  <c r="I213" i="6"/>
  <c r="J213" i="6"/>
  <c r="K213" i="6"/>
  <c r="Q213" i="6"/>
  <c r="S213" i="6"/>
  <c r="U213" i="6"/>
  <c r="W213" i="6"/>
  <c r="Y213" i="6"/>
  <c r="AA213" i="6"/>
  <c r="AC213" i="6"/>
  <c r="AD213" i="6"/>
  <c r="AE213" i="6"/>
  <c r="AG213" i="6"/>
  <c r="B214" i="6"/>
  <c r="C214" i="6"/>
  <c r="D214" i="6"/>
  <c r="E214" i="6"/>
  <c r="F214" i="6"/>
  <c r="G214" i="6"/>
  <c r="H214" i="6"/>
  <c r="I214" i="6"/>
  <c r="J214" i="6"/>
  <c r="K214" i="6"/>
  <c r="Q214" i="6"/>
  <c r="S214" i="6"/>
  <c r="U214" i="6"/>
  <c r="W214" i="6"/>
  <c r="Y214" i="6"/>
  <c r="AA214" i="6"/>
  <c r="AC214" i="6"/>
  <c r="AD214" i="6"/>
  <c r="AE214" i="6"/>
  <c r="AG214" i="6"/>
  <c r="AD5" i="1"/>
  <c r="W6" i="1"/>
  <c r="W9" i="1"/>
  <c r="W10" i="1"/>
  <c r="W11" i="1"/>
  <c r="W21" i="1"/>
  <c r="C24" i="1"/>
  <c r="W24" i="1"/>
  <c r="C25" i="1"/>
  <c r="W25" i="1"/>
  <c r="C26" i="1"/>
  <c r="W26" i="1"/>
  <c r="C27" i="1"/>
  <c r="W27" i="1"/>
  <c r="C28" i="1"/>
  <c r="AD28" i="1"/>
  <c r="C29" i="1"/>
  <c r="W29" i="1"/>
  <c r="AD29" i="1"/>
  <c r="C30" i="1"/>
  <c r="AD30" i="1"/>
  <c r="W31" i="1"/>
  <c r="AD31" i="1"/>
  <c r="W32" i="1"/>
  <c r="AD32" i="1"/>
  <c r="AD33" i="1"/>
  <c r="W36" i="1"/>
  <c r="M39" i="1"/>
  <c r="M40" i="1"/>
  <c r="M41" i="1"/>
  <c r="W41" i="1"/>
  <c r="M42" i="1"/>
  <c r="W42" i="1"/>
  <c r="C43" i="1"/>
  <c r="D43" i="1"/>
  <c r="C45" i="1"/>
  <c r="D45" i="1"/>
  <c r="C47" i="1"/>
  <c r="D47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D60" i="1"/>
  <c r="E60" i="1"/>
  <c r="D62" i="1"/>
  <c r="E62" i="1"/>
  <c r="D63" i="1"/>
  <c r="E63" i="1"/>
  <c r="D64" i="1"/>
  <c r="E64" i="1"/>
  <c r="E65" i="1"/>
  <c r="D66" i="1"/>
  <c r="E66" i="1"/>
  <c r="AA66" i="1"/>
  <c r="E67" i="1"/>
  <c r="AA67" i="1"/>
  <c r="D69" i="1"/>
  <c r="E69" i="1"/>
  <c r="D70" i="1"/>
  <c r="E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D71" i="1"/>
  <c r="E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D72" i="1"/>
  <c r="E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A73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C75" i="1"/>
  <c r="D75" i="1"/>
  <c r="E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D76" i="1"/>
  <c r="E76" i="1"/>
  <c r="D77" i="1"/>
  <c r="E77" i="1"/>
  <c r="E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E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D80" i="1"/>
  <c r="E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D81" i="1"/>
  <c r="E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D82" i="1"/>
  <c r="E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D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D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D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D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D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D94" i="1"/>
  <c r="I94" i="1"/>
  <c r="J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J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D97" i="1"/>
  <c r="D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D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D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D101" i="1"/>
  <c r="H102" i="1"/>
  <c r="H103" i="1"/>
  <c r="H104" i="1"/>
  <c r="D116" i="1"/>
  <c r="E116" i="1"/>
  <c r="D117" i="1"/>
  <c r="E117" i="1"/>
  <c r="D118" i="1"/>
  <c r="E118" i="1"/>
  <c r="D121" i="1"/>
  <c r="D123" i="1"/>
  <c r="D124" i="1"/>
  <c r="D125" i="1"/>
  <c r="D126" i="1"/>
  <c r="D127" i="1"/>
  <c r="D130" i="1"/>
  <c r="D131" i="1"/>
  <c r="D132" i="1"/>
  <c r="D133" i="1"/>
  <c r="D134" i="1"/>
  <c r="D135" i="1"/>
  <c r="H135" i="1"/>
  <c r="I135" i="1"/>
  <c r="J135" i="1"/>
  <c r="D136" i="1"/>
  <c r="H136" i="1"/>
  <c r="I136" i="1"/>
  <c r="J136" i="1"/>
  <c r="D137" i="1"/>
  <c r="H138" i="1"/>
  <c r="I138" i="1"/>
  <c r="J138" i="1"/>
  <c r="C7" i="2"/>
  <c r="C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Cazalis</author>
    <author>admin</author>
  </authors>
  <commentList>
    <comment ref="C43" authorId="0" shapeId="0" xr:uid="{5DD00B90-6933-B14E-BCFC-69126C1D826D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Bond issuer fees</t>
        </r>
      </text>
    </comment>
    <comment ref="C44" authorId="0" shapeId="0" xr:uid="{F8CDE433-BC91-CC4F-93FF-C4577FCC492C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Application and financial consultant, market study, CPA certs, CDLAC app fees, owner counsel</t>
        </r>
      </text>
    </comment>
    <comment ref="C45" authorId="0" shapeId="0" xr:uid="{71B5CF84-14CB-E647-AC16-9FF214CD2F1A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Deposits after award</t>
        </r>
      </text>
    </comment>
    <comment ref="C51" authorId="0" shapeId="0" xr:uid="{15B9D7BC-E5E6-B64A-9CFC-E5F17C3DFFD5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Perm lender and bond counsel, origination, agency fees, title</t>
        </r>
      </text>
    </comment>
    <comment ref="C53" authorId="1" shapeId="0" xr:uid="{9CDC2531-1AAF-4592-B48A-C9D8879BB334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Construction loan interest expense after completion is not counted in elegible basis</t>
        </r>
      </text>
    </comment>
    <comment ref="C54" authorId="0" shapeId="0" xr:uid="{54F66216-9337-A642-988A-74EC45032E1D}">
      <text>
        <r>
          <rPr>
            <b/>
            <sz val="10"/>
            <color rgb="FF000000"/>
            <rFont val="Tahoma"/>
            <family val="2"/>
          </rPr>
          <t>Nicolas Cazalis: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Construction lender legal, appraisal, enviro, title, inspections, origination fee</t>
        </r>
      </text>
    </comment>
    <comment ref="D66" authorId="1" shapeId="0" xr:uid="{3E95F6F9-DD56-48EA-A248-7E5C476DF526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If negative, SoLa gets reimbursed for its land/SC contribution or gets paid out for the sale of land</t>
        </r>
      </text>
    </comment>
    <comment ref="H94" authorId="1" shapeId="0" xr:uid="{05F34F33-7069-41BE-9B78-2C8F9FF59517}">
      <text>
        <r>
          <rPr>
            <b/>
            <sz val="9"/>
            <color rgb="FF000000"/>
            <rFont val="Tahoma"/>
            <family val="2"/>
          </rPr>
          <t>admin: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Deposit, DD, soft costs needed to entitle</t>
        </r>
      </text>
    </comment>
    <comment ref="B97" authorId="1" shapeId="0" xr:uid="{26F5C502-1ABA-4561-B9AE-BA8117850A72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Must not be more than $2.5m</t>
        </r>
      </text>
    </comment>
    <comment ref="J129" authorId="0" shapeId="0" xr:uid="{8F85AA68-83C3-480C-A9A4-D56D16C8EE0B}">
      <text>
        <r>
          <rPr>
            <b/>
            <sz val="9"/>
            <color indexed="81"/>
            <rFont val="Tahoma"/>
            <family val="2"/>
          </rPr>
          <t>Nicolas Cazalis:</t>
        </r>
        <r>
          <rPr>
            <sz val="9"/>
            <color indexed="81"/>
            <rFont val="Tahoma"/>
            <family val="2"/>
          </rPr>
          <t xml:space="preserve">
insert scep fee here if LA, 67.94/unit/year</t>
        </r>
      </text>
    </comment>
    <comment ref="J134" authorId="0" shapeId="0" xr:uid="{8943765C-71E0-48BB-BAE9-9AD4F2667468}">
      <text>
        <r>
          <rPr>
            <b/>
            <sz val="9"/>
            <color indexed="81"/>
            <rFont val="Tahoma"/>
            <family val="2"/>
          </rPr>
          <t>Nicolas Cazalis:</t>
        </r>
        <r>
          <rPr>
            <sz val="9"/>
            <color indexed="81"/>
            <rFont val="Tahoma"/>
            <family val="2"/>
          </rPr>
          <t xml:space="preserve">
$173/unit/year if City of LA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50" authorId="0" shapeId="0" xr:uid="{14D82666-1630-4493-8140-AB9203434EED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<sst xmlns="http://schemas.openxmlformats.org/spreadsheetml/2006/main" count="8204" uniqueCount="842">
  <si>
    <t>Uses</t>
  </si>
  <si>
    <t>Acquisition Costs</t>
  </si>
  <si>
    <t>Hard Costs</t>
  </si>
  <si>
    <t>Due Diligence</t>
  </si>
  <si>
    <t>Consultants</t>
  </si>
  <si>
    <t>Muni Fees</t>
  </si>
  <si>
    <t>Misc &amp; Carrying Costs</t>
  </si>
  <si>
    <t>Property Taxes</t>
  </si>
  <si>
    <t>Developer Fee</t>
  </si>
  <si>
    <t>Hard Cost Contingency</t>
  </si>
  <si>
    <t>Soft Cost Contingency</t>
  </si>
  <si>
    <t>Total</t>
  </si>
  <si>
    <t>Per Unit</t>
  </si>
  <si>
    <t>Budget</t>
  </si>
  <si>
    <t>Pro Forma</t>
  </si>
  <si>
    <t>Sources - Construction</t>
  </si>
  <si>
    <t>Base Rent</t>
  </si>
  <si>
    <t>Units</t>
  </si>
  <si>
    <t>Operating Expense</t>
  </si>
  <si>
    <t>Year 1</t>
  </si>
  <si>
    <t>Year 2</t>
  </si>
  <si>
    <t>Year 3</t>
  </si>
  <si>
    <t>Year 4</t>
  </si>
  <si>
    <t>Year 5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</si>
  <si>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</si>
  <si>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</si>
  <si>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</si>
  <si>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</si>
  <si>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</si>
  <si>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</si>
  <si>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</si>
  <si>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</si>
  <si>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</si>
  <si>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</si>
  <si>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NOI</t>
  </si>
  <si>
    <t>Tax Exempt Construction Loan</t>
  </si>
  <si>
    <t>Taxable Construction Loan</t>
  </si>
  <si>
    <t>Developer Equity/Loan</t>
  </si>
  <si>
    <t>Tax Credit Equity</t>
  </si>
  <si>
    <t>Deferred Dev. Fee</t>
  </si>
  <si>
    <t>Sources - Permanent</t>
  </si>
  <si>
    <t>Permanent Loan</t>
  </si>
  <si>
    <t>Eligible Basis</t>
  </si>
  <si>
    <t>Vacancy</t>
  </si>
  <si>
    <t>Effective Gross Income</t>
  </si>
  <si>
    <t>Other Income</t>
  </si>
  <si>
    <t>Debt Service</t>
  </si>
  <si>
    <t>Operating Cash Flow</t>
  </si>
  <si>
    <t>Net Income</t>
  </si>
  <si>
    <t>LP AM Fee</t>
  </si>
  <si>
    <t>Admin GP Fee</t>
  </si>
  <si>
    <t>MGP Fee (Nonprofit)</t>
  </si>
  <si>
    <t>Operating Reserves</t>
  </si>
  <si>
    <t>Rate</t>
  </si>
  <si>
    <t>Amount</t>
  </si>
  <si>
    <t>Tax Credit</t>
  </si>
  <si>
    <t>High Cost Adjustment</t>
  </si>
  <si>
    <t>Tax Credit Factor</t>
  </si>
  <si>
    <t>1B</t>
  </si>
  <si>
    <t>AMI</t>
  </si>
  <si>
    <t>Rent</t>
  </si>
  <si>
    <t>Util Allow</t>
  </si>
  <si>
    <t>Rent Roll</t>
  </si>
  <si>
    <t xml:space="preserve">1B </t>
  </si>
  <si>
    <t>MGR</t>
  </si>
  <si>
    <t>EGI</t>
  </si>
  <si>
    <t>Rent Growth</t>
  </si>
  <si>
    <t>Sale Analysis</t>
  </si>
  <si>
    <t>Reversion NOI</t>
  </si>
  <si>
    <t>Cap Rate</t>
  </si>
  <si>
    <t>Value</t>
  </si>
  <si>
    <t>Closing Costs</t>
  </si>
  <si>
    <t>Net Value</t>
  </si>
  <si>
    <t>Remaining Balance</t>
  </si>
  <si>
    <t>Net Proceeds</t>
  </si>
  <si>
    <t>LP Split</t>
  </si>
  <si>
    <t>GP Split</t>
  </si>
  <si>
    <t>Capitalized Dev Fee</t>
  </si>
  <si>
    <t>Land/Soft Costs Contributed - Dev</t>
  </si>
  <si>
    <t>Applicable Percentage</t>
  </si>
  <si>
    <t>Developer Cash Contr. (Equity/Loan)</t>
  </si>
  <si>
    <t>Tiebreaker</t>
  </si>
  <si>
    <t>Public Benefit Numerator</t>
  </si>
  <si>
    <t>Denominator (estimate)</t>
  </si>
  <si>
    <t>A. Unit Production Benefit</t>
  </si>
  <si>
    <t>Adjusted Units</t>
  </si>
  <si>
    <t>Benefit Multiplier</t>
  </si>
  <si>
    <t>Unit Production Benefit</t>
  </si>
  <si>
    <t>B. Rent Savings Benefit</t>
  </si>
  <si>
    <t>FMR</t>
  </si>
  <si>
    <t>Average Rent</t>
  </si>
  <si>
    <t>Monthly Rent Savings</t>
  </si>
  <si>
    <t>Rent Savings Benefit</t>
  </si>
  <si>
    <t>C. Population Benefit</t>
  </si>
  <si>
    <t>ELI Households</t>
  </si>
  <si>
    <t>ELI Benefit</t>
  </si>
  <si>
    <t>D. Location Benefit  - Resource Area</t>
  </si>
  <si>
    <t>Project meets the CDLAC new construction definition</t>
  </si>
  <si>
    <t>Yes</t>
  </si>
  <si>
    <t>Project is Large Family housing type</t>
  </si>
  <si>
    <t>No</t>
  </si>
  <si>
    <t>Project is Permanent Supportive Housing</t>
  </si>
  <si>
    <t>Opportunity Area Designation</t>
  </si>
  <si>
    <t>Project is located in a neighborhood experiencing neighborhood change*</t>
  </si>
  <si>
    <t>Bedroom-Adjusted Low Income Units</t>
  </si>
  <si>
    <t>Resource Area Benefit</t>
  </si>
  <si>
    <t>D. Location Benefit  - Transit/Walkability</t>
  </si>
  <si>
    <t>Transit Site Amenity Points</t>
  </si>
  <si>
    <t>Bedroom-Adjusted Low-Income Units</t>
  </si>
  <si>
    <t>Transit Benefit</t>
  </si>
  <si>
    <t>Walkable Amenity Count</t>
  </si>
  <si>
    <t>Walkability Benefit</t>
  </si>
  <si>
    <t>Project has:</t>
  </si>
  <si>
    <t>an award of HCD TOD funding</t>
  </si>
  <si>
    <t>an award of HCD AHSC funding</t>
  </si>
  <si>
    <t>a transit stop within ¼ mile with service every 30 min</t>
  </si>
  <si>
    <t>a transit stop within ½ mile with service every 15 min</t>
  </si>
  <si>
    <t>Mass Transit Benefit</t>
  </si>
  <si>
    <t>Transit/Walkability Benefit</t>
  </si>
  <si>
    <t>Total Public Benefit Numerator</t>
  </si>
  <si>
    <t>Denominator</t>
  </si>
  <si>
    <t>Statewide Basis Delta</t>
  </si>
  <si>
    <t>Statewide Median Basis Limit</t>
  </si>
  <si>
    <t>25% of Statewide Basis Delta</t>
  </si>
  <si>
    <t>Construction Type Adjustment</t>
  </si>
  <si>
    <t>Type III</t>
  </si>
  <si>
    <t>Return Summary</t>
  </si>
  <si>
    <t>GP MOIC</t>
  </si>
  <si>
    <t>GP Net Profit</t>
  </si>
  <si>
    <t>GP IRR (15-yr)</t>
  </si>
  <si>
    <t>LIHTC &amp; Legal Consulting</t>
  </si>
  <si>
    <t>Stabilized Value</t>
  </si>
  <si>
    <t>Stabilized Operations</t>
  </si>
  <si>
    <t>Tiebreak Score</t>
  </si>
  <si>
    <t>Deferred Dev Fee</t>
  </si>
  <si>
    <t>Beginning Balance</t>
  </si>
  <si>
    <t>Payment</t>
  </si>
  <si>
    <t>Ending Balance</t>
  </si>
  <si>
    <t>Developer Cash Flow</t>
  </si>
  <si>
    <t>Fund Cash Flow</t>
  </si>
  <si>
    <t>Fund IRR</t>
  </si>
  <si>
    <t>Depreciable Basis + Acq</t>
  </si>
  <si>
    <t>Bond Test Limit</t>
  </si>
  <si>
    <t>Ground Lessor</t>
  </si>
  <si>
    <t>Remaining CF</t>
  </si>
  <si>
    <t xml:space="preserve"> </t>
  </si>
  <si>
    <t>Ground Lease Pmt</t>
  </si>
  <si>
    <t>Adjusted NOI</t>
  </si>
  <si>
    <t>Ground Lease Underwriting</t>
  </si>
  <si>
    <t>Land Lease Reserve</t>
  </si>
  <si>
    <t>Land Costs</t>
  </si>
  <si>
    <t>Surplus Proceeds</t>
  </si>
  <si>
    <t>Lease Rate</t>
  </si>
  <si>
    <t>30Y Treasury</t>
  </si>
  <si>
    <t>Escalation</t>
  </si>
  <si>
    <t>Starting Lease</t>
  </si>
  <si>
    <t>Ground Lease Payment</t>
  </si>
  <si>
    <t>0B</t>
  </si>
  <si>
    <t>2B</t>
  </si>
  <si>
    <t>Acres</t>
  </si>
  <si>
    <t>DU/Ac</t>
  </si>
  <si>
    <t>SF</t>
  </si>
  <si>
    <t>Total Cash Flow</t>
  </si>
  <si>
    <t>Total IRR</t>
  </si>
  <si>
    <t>Perm Loan Costs</t>
  </si>
  <si>
    <t>Constr Loan Closing Costs</t>
  </si>
  <si>
    <t>Project Name</t>
  </si>
  <si>
    <t>B-Bond</t>
  </si>
  <si>
    <t>B-Bond Assumptions</t>
  </si>
  <si>
    <t>Interest Rate</t>
  </si>
  <si>
    <t>DSCR</t>
  </si>
  <si>
    <t>Cash Flow Sweep</t>
  </si>
  <si>
    <t>B-Bond Interest</t>
  </si>
  <si>
    <t>Proceeds</t>
  </si>
  <si>
    <t>Residual NOI</t>
  </si>
  <si>
    <t>Accrual</t>
  </si>
  <si>
    <t>On/Off</t>
  </si>
  <si>
    <t>Gap before Dev Equity/Deferrals</t>
  </si>
  <si>
    <t>Base Deferred Dev Fee</t>
  </si>
  <si>
    <t>Excess Funding Adjustment</t>
  </si>
  <si>
    <t>Dev Fee Helper Calcs</t>
  </si>
  <si>
    <t>Developer Fees</t>
  </si>
  <si>
    <t>Acq Deposit</t>
  </si>
  <si>
    <t>Architect</t>
  </si>
  <si>
    <t>Due Diligence Reports</t>
  </si>
  <si>
    <t>CDLAC App Costs</t>
  </si>
  <si>
    <t>Startup Costs (At Risk)</t>
  </si>
  <si>
    <t>Equity Required</t>
  </si>
  <si>
    <t>Residual need before Dev/Deferred (permanent)</t>
  </si>
  <si>
    <t>Developer cash cap at permanent</t>
  </si>
  <si>
    <t>Developer Equity/Loan (residual, capped)</t>
  </si>
  <si>
    <t>Permanent Deferred Dev. Fee (bounded by construction DDF &amp; residual)</t>
  </si>
  <si>
    <t>Dev Fee Calc</t>
  </si>
  <si>
    <t>15% of unadjusted eligible basis</t>
  </si>
  <si>
    <t>5% of unadjusted eligible acq basis</t>
  </si>
  <si>
    <t>Unadjusted Eligible basis &gt;6,666,667</t>
  </si>
  <si>
    <t>5% of above</t>
  </si>
  <si>
    <t>Plus $1m</t>
  </si>
  <si>
    <t>Maximum Capitalized Dev Fee</t>
  </si>
  <si>
    <t>Max of 2,500,000</t>
  </si>
  <si>
    <t>HUD FMR</t>
  </si>
  <si>
    <t>Start Month (date)</t>
  </si>
  <si>
    <t>Developer Cash Cap</t>
  </si>
  <si>
    <t>Tax Credit Equity Cap</t>
  </si>
  <si>
    <t>Curve Mode (Manual/S-curve)</t>
  </si>
  <si>
    <t>S-curve</t>
  </si>
  <si>
    <t>Ground Lessor Cap</t>
  </si>
  <si>
    <t>S-curve steepness k</t>
  </si>
  <si>
    <t>Dev Fee pattern early/mid/late %</t>
  </si>
  <si>
    <t>25% / 25% / 50%</t>
  </si>
  <si>
    <t>% of Tax Credit Equity during construction</t>
  </si>
  <si>
    <t>Deferred Dev Fee Cap (Construction)</t>
  </si>
  <si>
    <t>Rates</t>
  </si>
  <si>
    <t>TE monthly rate</t>
  </si>
  <si>
    <t>Taxable monthly rate</t>
  </si>
  <si>
    <t>B-Bond monthly rate</t>
  </si>
  <si>
    <t>Month #</t>
  </si>
  <si>
    <t>% Manual</t>
  </si>
  <si>
    <t>% S-curve (logistic diff)</t>
  </si>
  <si>
    <t>% Used (normalized)</t>
  </si>
  <si>
    <t>Monthly Spending by Category (side-by-side)</t>
  </si>
  <si>
    <t>Consultants/Muni/Due/LIHTC/Closing</t>
  </si>
  <si>
    <t>Property Taxes &amp; Misc/Carrying</t>
  </si>
  <si>
    <t>Contingency</t>
  </si>
  <si>
    <t>Total Uses</t>
  </si>
  <si>
    <t>Monthly Waterfall of Sources &amp; Interest (DevCash → TaxEq → Ground → TE → Taxable → B-Bond → Deferred)</t>
  </si>
  <si>
    <t>Mo</t>
  </si>
  <si>
    <t>DevCash Beg</t>
  </si>
  <si>
    <t>DevCash Draw</t>
  </si>
  <si>
    <t>DevCash End</t>
  </si>
  <si>
    <t>TaxEq Beg</t>
  </si>
  <si>
    <t>TaxEq Draw</t>
  </si>
  <si>
    <t>TaxEq End</t>
  </si>
  <si>
    <t>Ground Beg</t>
  </si>
  <si>
    <t>Ground Draw</t>
  </si>
  <si>
    <t>Ground End</t>
  </si>
  <si>
    <t>TE Beg</t>
  </si>
  <si>
    <t>TE Draw</t>
  </si>
  <si>
    <t>TE Int</t>
  </si>
  <si>
    <t>TE End</t>
  </si>
  <si>
    <t>Tax Beg</t>
  </si>
  <si>
    <t>Tax Draw</t>
  </si>
  <si>
    <t>Tax Int</t>
  </si>
  <si>
    <t>Tax End</t>
  </si>
  <si>
    <t>B Beg</t>
  </si>
  <si>
    <t>B Draw</t>
  </si>
  <si>
    <t>B Int</t>
  </si>
  <si>
    <t>B End</t>
  </si>
  <si>
    <t>DefDF Beg</t>
  </si>
  <si>
    <t>DefDF Draw</t>
  </si>
  <si>
    <t>DefDF End</t>
  </si>
  <si>
    <t>Total Beg</t>
  </si>
  <si>
    <t>Total Int</t>
  </si>
  <si>
    <t>Total End</t>
  </si>
  <si>
    <t>Costs Deferred to Conversion</t>
  </si>
  <si>
    <t>Tax Exempt Interest</t>
  </si>
  <si>
    <t>Taxable Interest</t>
  </si>
  <si>
    <t>Tax-Exempt Loan less IR</t>
  </si>
  <si>
    <t>B-Bond Loan less IR</t>
  </si>
  <si>
    <t>Taxable Loan less IR</t>
  </si>
  <si>
    <t>Check</t>
  </si>
  <si>
    <t>Sum of draws</t>
  </si>
  <si>
    <t>Sum of uses</t>
  </si>
  <si>
    <t>Unlevered Uses</t>
  </si>
  <si>
    <t>Unlevered Sources</t>
  </si>
  <si>
    <t>Delta</t>
  </si>
  <si>
    <t>Equity Close</t>
  </si>
  <si>
    <t>Deal Kickoff</t>
  </si>
  <si>
    <t>Total Duration (m)</t>
  </si>
  <si>
    <t>Conversion Time (m)</t>
  </si>
  <si>
    <t>Construction Time (m)</t>
  </si>
  <si>
    <t>Developer Fee Phase-In</t>
  </si>
  <si>
    <t>Close</t>
  </si>
  <si>
    <t>Construction</t>
  </si>
  <si>
    <t>Conversion</t>
  </si>
  <si>
    <t>Construction Phase Dev Fee</t>
  </si>
  <si>
    <t>Spent at Close</t>
  </si>
  <si>
    <t>Interest Expense</t>
  </si>
  <si>
    <t>Month</t>
  </si>
  <si>
    <t>Timeline</t>
  </si>
  <si>
    <t>Date</t>
  </si>
  <si>
    <t>Start Date</t>
  </si>
  <si>
    <t>Interest Expense by Period</t>
  </si>
  <si>
    <t>Before TCO</t>
  </si>
  <si>
    <t xml:space="preserve">After TCO </t>
  </si>
  <si>
    <t>Pre-TCO Interest</t>
  </si>
  <si>
    <t>Post-TCO Interest</t>
  </si>
  <si>
    <t>3B</t>
  </si>
  <si>
    <t>Mix</t>
  </si>
  <si>
    <t>Avg SF</t>
  </si>
  <si>
    <t>Land Cost/SF x DU/Ac</t>
  </si>
  <si>
    <t>100% AMI</t>
  </si>
  <si>
    <t>Unit Summary</t>
  </si>
  <si>
    <t>Construction Draw &amp; Interest Module</t>
  </si>
  <si>
    <t>Construction Spend Curve</t>
  </si>
  <si>
    <t>Land Lease Schedule</t>
  </si>
  <si>
    <t>%</t>
  </si>
  <si>
    <t>County</t>
  </si>
  <si>
    <t>CTCAC 100% AMI Rents</t>
  </si>
  <si>
    <t>CDLAC Region</t>
  </si>
  <si>
    <t>4B</t>
  </si>
  <si>
    <t>Alameda</t>
  </si>
  <si>
    <t>Bay Area Region</t>
  </si>
  <si>
    <t>Alpine</t>
  </si>
  <si>
    <t>None</t>
  </si>
  <si>
    <t>Amador</t>
  </si>
  <si>
    <t>Butte</t>
  </si>
  <si>
    <t>Northern Region</t>
  </si>
  <si>
    <t>Calaveras</t>
  </si>
  <si>
    <t>Colusa</t>
  </si>
  <si>
    <t>Contra Costa</t>
  </si>
  <si>
    <t>Del Norte</t>
  </si>
  <si>
    <t>El Dorado</t>
  </si>
  <si>
    <t>Fresno</t>
  </si>
  <si>
    <t>Inland Region</t>
  </si>
  <si>
    <t>Glenn</t>
  </si>
  <si>
    <t>Humboldt</t>
  </si>
  <si>
    <t>Imperial</t>
  </si>
  <si>
    <t>Inyo</t>
  </si>
  <si>
    <t>Kern</t>
  </si>
  <si>
    <t>Kings</t>
  </si>
  <si>
    <t>Lake</t>
  </si>
  <si>
    <t>Lassen</t>
  </si>
  <si>
    <t>Los Angeles</t>
  </si>
  <si>
    <t>City of Los Angeles (if within city limits); Balance of Los Angeles County (if outside city limits)</t>
  </si>
  <si>
    <t>Madera</t>
  </si>
  <si>
    <t>Marin</t>
  </si>
  <si>
    <t>Mariposa</t>
  </si>
  <si>
    <t>Mendocino</t>
  </si>
  <si>
    <t>Merced</t>
  </si>
  <si>
    <t>Modoc</t>
  </si>
  <si>
    <t>Mono</t>
  </si>
  <si>
    <t>Monterey</t>
  </si>
  <si>
    <t>Coastal Region</t>
  </si>
  <si>
    <t>Napa</t>
  </si>
  <si>
    <t>Nevada</t>
  </si>
  <si>
    <t>Orange</t>
  </si>
  <si>
    <t>Placer</t>
  </si>
  <si>
    <t>Plumas</t>
  </si>
  <si>
    <t>Riverside</t>
  </si>
  <si>
    <t>Sacramento</t>
  </si>
  <si>
    <t>San Benito</t>
  </si>
  <si>
    <t>San Bernardino</t>
  </si>
  <si>
    <t>San Diego</t>
  </si>
  <si>
    <t>San Francisco</t>
  </si>
  <si>
    <t>San Joaquin</t>
  </si>
  <si>
    <t>San Luis Obispo</t>
  </si>
  <si>
    <t>San Mateo</t>
  </si>
  <si>
    <t>Santa Barbara</t>
  </si>
  <si>
    <t>Santa Clara</t>
  </si>
  <si>
    <t>Santa Cruz</t>
  </si>
  <si>
    <t>Shasta</t>
  </si>
  <si>
    <t>Sierra</t>
  </si>
  <si>
    <t>Siskiyou</t>
  </si>
  <si>
    <t>Solano</t>
  </si>
  <si>
    <t>Sonoma</t>
  </si>
  <si>
    <t>Stanislaus</t>
  </si>
  <si>
    <t>Sutter</t>
  </si>
  <si>
    <t>Tehama</t>
  </si>
  <si>
    <t>Trinity</t>
  </si>
  <si>
    <t>Tulare</t>
  </si>
  <si>
    <t>Tuolumne</t>
  </si>
  <si>
    <t>Ventura</t>
  </si>
  <si>
    <t>Yolo</t>
  </si>
  <si>
    <t>Yuba</t>
  </si>
  <si>
    <t>Operating Cost Minimum</t>
  </si>
  <si>
    <t>Total Operating Expense/Unit</t>
  </si>
  <si>
    <t>Unit Count</t>
  </si>
  <si>
    <t>Unit Mix begin</t>
  </si>
  <si>
    <t>Unit Mix end</t>
  </si>
  <si>
    <t>Unit mix</t>
  </si>
  <si>
    <t>Costs Deferred:Conversion</t>
  </si>
  <si>
    <t>Equity:Project</t>
  </si>
  <si>
    <t>Land costs</t>
  </si>
  <si>
    <t>0B Rent roll units begin</t>
  </si>
  <si>
    <t>0B Rent roll units end</t>
  </si>
  <si>
    <t>1B Rent roll units</t>
  </si>
  <si>
    <t>0B Rent roll units</t>
  </si>
  <si>
    <t>1B Rent roll units begin</t>
  </si>
  <si>
    <t>1B Rent roll units end</t>
  </si>
  <si>
    <t>2B Rent roll units begin</t>
  </si>
  <si>
    <t>2B Rent roll units end</t>
  </si>
  <si>
    <t>2B Rent roll units</t>
  </si>
  <si>
    <t>manager's unit</t>
  </si>
  <si>
    <t>0B utility allowance begin</t>
  </si>
  <si>
    <t>0B utility allowance end</t>
  </si>
  <si>
    <t>0B utility allowance</t>
  </si>
  <si>
    <t>1B utility allowance begin</t>
  </si>
  <si>
    <t>1B utility allowance end</t>
  </si>
  <si>
    <t>1B utility allowance</t>
  </si>
  <si>
    <t>2B utility allowance begin</t>
  </si>
  <si>
    <t>2B utility allowance end</t>
  </si>
  <si>
    <t>2B utility allowance</t>
  </si>
  <si>
    <t>manager's utility allowance</t>
  </si>
  <si>
    <t>Total Construction Sources</t>
  </si>
  <si>
    <t>Total Permanent Sources</t>
  </si>
  <si>
    <t>Total Developer Fee</t>
  </si>
  <si>
    <t>Total Startup Costs</t>
  </si>
  <si>
    <t>Pro_Forma</t>
  </si>
  <si>
    <t>Prevailing Wage Adjustment</t>
  </si>
  <si>
    <t>Total Affordable Units</t>
  </si>
  <si>
    <t>3B utility allowance begin</t>
  </si>
  <si>
    <t>3B utility allowance end</t>
  </si>
  <si>
    <t>3B utility allowance</t>
  </si>
  <si>
    <t>3B Rent roll units begin</t>
  </si>
  <si>
    <t>3B Rent roll units end</t>
  </si>
  <si>
    <t>3B Rent roll units</t>
  </si>
  <si>
    <t>y=178.5x+103967</t>
  </si>
  <si>
    <t>y=157.72x+112970</t>
  </si>
  <si>
    <t>NRSF</t>
  </si>
  <si>
    <t>FAR</t>
  </si>
  <si>
    <t>PHA</t>
  </si>
  <si>
    <t>Jurisdiction/City</t>
  </si>
  <si>
    <t>Effective Date</t>
  </si>
  <si>
    <t>Unit Type</t>
  </si>
  <si>
    <t>Unit Type (Standardized)</t>
  </si>
  <si>
    <t>Utility</t>
  </si>
  <si>
    <t>Fuel/Notes</t>
  </si>
  <si>
    <t>Utility_Full</t>
  </si>
  <si>
    <t>0BR</t>
  </si>
  <si>
    <t>1BR</t>
  </si>
  <si>
    <t>2BR</t>
  </si>
  <si>
    <t>3BR</t>
  </si>
  <si>
    <t>4BR</t>
  </si>
  <si>
    <t>5BR</t>
  </si>
  <si>
    <t>6BR</t>
  </si>
  <si>
    <t>7BR</t>
  </si>
  <si>
    <t>Source URL</t>
  </si>
  <si>
    <t>Status</t>
  </si>
  <si>
    <t>Housing Authority of the City of Los Angeles (HACLA)</t>
  </si>
  <si>
    <t>Multifamily</t>
  </si>
  <si>
    <t>Air Conditioning</t>
  </si>
  <si>
    <t>Electric</t>
  </si>
  <si>
    <t>Air Conditioning - Electric</t>
  </si>
  <si>
    <t>Populated</t>
  </si>
  <si>
    <t>Evaporative Cooler</t>
  </si>
  <si>
    <t>Air Conditioning - Evaporative Cooler</t>
  </si>
  <si>
    <t>Pending / Zero-fill</t>
  </si>
  <si>
    <t>Cooking</t>
  </si>
  <si>
    <t>Cooking - Electric</t>
  </si>
  <si>
    <t>Natural Gas</t>
  </si>
  <si>
    <t>Cooking - Natural Gas</t>
  </si>
  <si>
    <t>Dishwasher</t>
  </si>
  <si>
    <t>Allowance</t>
  </si>
  <si>
    <t>Dishwasher - Allowance</t>
  </si>
  <si>
    <t>Dryer</t>
  </si>
  <si>
    <t>Dryer - Allowance</t>
  </si>
  <si>
    <t>Freezer</t>
  </si>
  <si>
    <t>Freezer - Allowance</t>
  </si>
  <si>
    <t>Other - Specify</t>
  </si>
  <si>
    <t>Lifeline / Baseline Credit</t>
  </si>
  <si>
    <t>Other - Specify - Lifeline / Baseline Credit</t>
  </si>
  <si>
    <t>Solar/PV Credit</t>
  </si>
  <si>
    <t>Other - Specify - Solar/PV Credit</t>
  </si>
  <si>
    <t>Utility Customer Charge / Fee</t>
  </si>
  <si>
    <t>Other - Specify - Utility Customer Charge / Fee</t>
  </si>
  <si>
    <t>Other Electric</t>
  </si>
  <si>
    <t>Electric (Lights/Plugs)</t>
  </si>
  <si>
    <t>Other Electric - Electric (Lights/Plugs)</t>
  </si>
  <si>
    <t>Range/Microwave</t>
  </si>
  <si>
    <t>Range/Microwave - Allowance</t>
  </si>
  <si>
    <t>Refrigerator</t>
  </si>
  <si>
    <t>Refrigerator - Allowance</t>
  </si>
  <si>
    <t>Sewer</t>
  </si>
  <si>
    <t>—</t>
  </si>
  <si>
    <t>Space Heating</t>
  </si>
  <si>
    <t>Space Heating - Electric</t>
  </si>
  <si>
    <t>Electric - Heat Pump</t>
  </si>
  <si>
    <t>Space Heating - Electric - Heat Pump</t>
  </si>
  <si>
    <t>Space Heating - Natural Gas</t>
  </si>
  <si>
    <t>Oil/Propane</t>
  </si>
  <si>
    <t>Space Heating - Oil/Propane</t>
  </si>
  <si>
    <t>Other/Specify</t>
  </si>
  <si>
    <t>Space Heating - Other/Specify</t>
  </si>
  <si>
    <t>Trash Collection</t>
  </si>
  <si>
    <t>Washer</t>
  </si>
  <si>
    <t>Washer - Allowance</t>
  </si>
  <si>
    <t>Water</t>
  </si>
  <si>
    <t>Water Heating</t>
  </si>
  <si>
    <t>Water Heating - Electric</t>
  </si>
  <si>
    <t>Water Heating - Natural Gas</t>
  </si>
  <si>
    <t>Water Heating - Oil/Propane</t>
  </si>
  <si>
    <t>Single-Family Detached</t>
  </si>
  <si>
    <t>Single-Family</t>
  </si>
  <si>
    <t>Housing Authority of the County of San Diego (HACSD)</t>
  </si>
  <si>
    <t>San Diego County</t>
  </si>
  <si>
    <t>2025-03-01</t>
  </si>
  <si>
    <t>https://www.sandiegocounty.gov/content/dam/sdc/sdhcd/new-docs/Rental_assistance/Utility_Allowance_Schedule_HUD_52667_03-2025.pdf</t>
  </si>
  <si>
    <t>Los Angeles County Development Authority (LACDA)</t>
  </si>
  <si>
    <t>Los Angeles County</t>
  </si>
  <si>
    <t>2025-07-01</t>
  </si>
  <si>
    <t>Multi-Family</t>
  </si>
  <si>
    <t>Oakland Housing Authority (OHA)</t>
  </si>
  <si>
    <t>Oakland</t>
  </si>
  <si>
    <t>2025-09-01</t>
  </si>
  <si>
    <t>https://www.oakha.org/propertyowners/paymentstandards/</t>
  </si>
  <si>
    <t>OHA Section 8 Utility &amp; Appliance Allowances (effective 2025-09-01)</t>
  </si>
  <si>
    <t>SRO / Rooming</t>
  </si>
  <si>
    <t>SRO/Rooming</t>
  </si>
  <si>
    <t>OHA SRO Utility &amp; Appliance Allowances (effective 2025-09-01)</t>
  </si>
  <si>
    <t>Orange County Housing Authority (OCHA)</t>
  </si>
  <si>
    <t>Orange County</t>
  </si>
  <si>
    <t>2025-10-01</t>
  </si>
  <si>
    <t>https://www.ochousing.org/sites/ocha/files/2025-10/2026%20Utility%20Allowance%20Schedule%20-%20Public%20Use.pdf</t>
  </si>
  <si>
    <t>Sacramento Housing &amp; Redevelopment Agency (SHRA)</t>
  </si>
  <si>
    <t>Sacramento (City/County)</t>
  </si>
  <si>
    <t>2025-04-01</t>
  </si>
  <si>
    <t>Apartment Walk-Up</t>
  </si>
  <si>
    <t>https://www.shra.org/housing-choice-voucher-program/</t>
  </si>
  <si>
    <t>SHRA Energy Efficient Multi-Family (Apt/Townhouse/Duplex) — user screenshot, 2025-04-01</t>
  </si>
  <si>
    <t>San Diego Housing Commission (SDHC)</t>
  </si>
  <si>
    <t>https://sdhc.org/wp-content/uploads/2022/Utility-Allowance-Chart.pdf</t>
  </si>
  <si>
    <t>San Francisco Housing Authority (SFHA)</t>
  </si>
  <si>
    <t>2025-01-01</t>
  </si>
  <si>
    <t>Santa Clara County Housing Authority (SCCHA)</t>
  </si>
  <si>
    <t>Santa Clara County</t>
  </si>
  <si>
    <t>LACDA Utility Allowance Schedule (Std) — user high-res table, 2025-07-01</t>
  </si>
  <si>
    <t>Single-Family (All Electric)</t>
  </si>
  <si>
    <t>LACDA Utility Allowance Schedule (All Electric) — user high-res table, 2025-07-01</t>
  </si>
  <si>
    <t>Multi-Family (All Electric)</t>
  </si>
  <si>
    <t>Code Enforcement Program</t>
  </si>
  <si>
    <t>Other - Specify - Code Enforcement Program</t>
  </si>
  <si>
    <t>Rent Stabilization Fee</t>
  </si>
  <si>
    <t>Other - Specify - Rent Stabilization Fee</t>
  </si>
  <si>
    <t>Net RPSF</t>
  </si>
  <si>
    <t>Target Income Mix</t>
  </si>
  <si>
    <t>Utility Allowance</t>
  </si>
  <si>
    <t>NOI Coverage</t>
  </si>
  <si>
    <t>Derived Ground rent</t>
  </si>
  <si>
    <t>Architect &amp; Engineering</t>
  </si>
  <si>
    <t>Entitlement &amp; Permitting</t>
  </si>
  <si>
    <t>Housing Authority of the City of Santa Ana</t>
  </si>
  <si>
    <t>Santa Ana</t>
  </si>
  <si>
    <t>2024-10-01</t>
  </si>
  <si>
    <t>Santa Ana UA Schedules (effective 2024-10-01) – uploaded PDF</t>
  </si>
  <si>
    <t>Other - Specify - Utility Customer Charge / Fee (Gas)</t>
  </si>
  <si>
    <t>Housing Authority of the County of Riverside</t>
  </si>
  <si>
    <t>Riverside County</t>
  </si>
  <si>
    <t>Riverside EE Apt (MF) – UA chart 7/1/2025 – uploaded PDF</t>
  </si>
  <si>
    <t>Space Heating - Bottle Gas/Propane</t>
  </si>
  <si>
    <t>Cooking - Bottle Gas/Propane</t>
  </si>
  <si>
    <t>Other Electric - Electric (Lights/Plugs) - Non-SCE (avg)</t>
  </si>
  <si>
    <t>Other Electric - SCE (Monthly Credit)</t>
  </si>
  <si>
    <t>Water Heating - Bottle Gas/Propane</t>
  </si>
  <si>
    <t>Other - Specify - Electric Charge (Riverside PU) 45.21</t>
  </si>
  <si>
    <t>Other - Specify - Electric Charge (Non-SCE/Non-RevPU) 27.54</t>
  </si>
  <si>
    <t>Other - Specify - Natural Gas Monthly Charge 5.10</t>
  </si>
  <si>
    <t>SCCHA 2026 UA Schedule (effective 10/01/2025) – uploaded worksheet</t>
  </si>
  <si>
    <t>Space Heating - LPG/Propane</t>
  </si>
  <si>
    <t>Cooking - LPG/Propane</t>
  </si>
  <si>
    <t>Water Heating - LPG/Propane</t>
  </si>
  <si>
    <t>Semi-Detached/Row/Townhouse (MF)</t>
  </si>
  <si>
    <t>Single Family Detached / Manufactured</t>
  </si>
  <si>
    <t>Old Multi-Family</t>
  </si>
  <si>
    <t>D. Location Benefit  - Community Revitalization Area</t>
  </si>
  <si>
    <t xml:space="preserve">Project is in Community Revitalization Area </t>
  </si>
  <si>
    <t>Community Revitalization Area Benefit</t>
  </si>
  <si>
    <t>CDLAC/CTCAC Deposits</t>
  </si>
  <si>
    <t>Modular Costs</t>
  </si>
  <si>
    <t>Lot SF/Acres</t>
  </si>
  <si>
    <t>Aff. Units</t>
  </si>
  <si>
    <t>Monthly Absorption</t>
  </si>
  <si>
    <t>Perm Delay</t>
  </si>
  <si>
    <t>Bond Issuance &amp; Legal</t>
  </si>
  <si>
    <t>LIHTC Consulting &amp; App</t>
  </si>
  <si>
    <t>CDLAC/TCAC Fees</t>
  </si>
  <si>
    <t>Soft Debt</t>
  </si>
  <si>
    <t>Max Out</t>
  </si>
  <si>
    <t>Fund Yield</t>
  </si>
  <si>
    <t>Total Yield</t>
  </si>
  <si>
    <t>Return on Cost</t>
  </si>
  <si>
    <t>Construction Cost Index</t>
  </si>
  <si>
    <t>Adjusted Threshold Basis Limit</t>
  </si>
  <si>
    <t>2-Bedroom Threshold Basis Limit</t>
  </si>
  <si>
    <t>Spent to Date</t>
  </si>
  <si>
    <t>Total Profit + Fees</t>
  </si>
  <si>
    <t>Podium Levels</t>
  </si>
  <si>
    <t>Award</t>
  </si>
  <si>
    <t>Costs to obtain Award</t>
  </si>
  <si>
    <t>Subtotal</t>
  </si>
  <si>
    <t>Working Capital Uses</t>
  </si>
  <si>
    <t>Total Working Capital Uses</t>
  </si>
  <si>
    <t>Post-Award Costs</t>
  </si>
  <si>
    <t>Application Costs</t>
  </si>
  <si>
    <t>Financial Consulting</t>
  </si>
  <si>
    <t>QCT/DDA</t>
  </si>
  <si>
    <t>QCT</t>
  </si>
  <si>
    <t>Award to Close</t>
  </si>
  <si>
    <t>Start to Award</t>
  </si>
  <si>
    <t>Interest</t>
  </si>
  <si>
    <t>Land Lease Reserve by Period</t>
  </si>
  <si>
    <t>Deferred Developer Fee</t>
  </si>
  <si>
    <t>Resource Area</t>
  </si>
  <si>
    <t>CRA</t>
  </si>
  <si>
    <t>Neighborhood Change Area</t>
  </si>
  <si>
    <t>Low</t>
  </si>
  <si>
    <t>Construction Type</t>
  </si>
  <si>
    <t>Prevailing Wage</t>
  </si>
  <si>
    <t>Modular</t>
  </si>
  <si>
    <t>On-site PNRSF</t>
  </si>
  <si>
    <t>Sponsor Funds Needed</t>
  </si>
  <si>
    <t>Amortization</t>
  </si>
  <si>
    <t>Expense Growth</t>
  </si>
  <si>
    <t>Federal</t>
  </si>
  <si>
    <t>State</t>
  </si>
  <si>
    <t>Maximum Credits</t>
  </si>
  <si>
    <t>State Credit Ask</t>
  </si>
  <si>
    <t>State Tax Credit Equity</t>
  </si>
  <si>
    <t>Total Tax Credit Equity</t>
  </si>
  <si>
    <t>Federal Tax Credit Equity</t>
  </si>
  <si>
    <t>Tax Credits</t>
  </si>
  <si>
    <t>Adjusted Eligible Basis</t>
  </si>
  <si>
    <t>Average Rent Calc</t>
  </si>
  <si>
    <t>Summary - Low-Income Units</t>
  </si>
  <si>
    <t>Summary - All Units</t>
  </si>
  <si>
    <t>Perm Loan/B-Bond Costs</t>
  </si>
  <si>
    <t>At Close</t>
  </si>
  <si>
    <t>At Stabilization</t>
  </si>
  <si>
    <t>BIPOC?</t>
  </si>
  <si>
    <t>Marketing</t>
  </si>
  <si>
    <t>Insurance</t>
  </si>
  <si>
    <t>FF&amp;E</t>
  </si>
  <si>
    <t>Podium Cost PSF</t>
  </si>
  <si>
    <t>Net Sale Proceeds</t>
  </si>
  <si>
    <t>Residual Cash Flow</t>
  </si>
  <si>
    <t>Residential Stories</t>
  </si>
  <si>
    <t>Type IIb</t>
  </si>
  <si>
    <t>Type Ib</t>
  </si>
  <si>
    <t>Site Assumptions</t>
  </si>
  <si>
    <t>Project Assumptions</t>
  </si>
  <si>
    <t>Scenario 1</t>
  </si>
  <si>
    <t>Scenario 2</t>
  </si>
  <si>
    <t>Scenario 3</t>
  </si>
  <si>
    <t>Scenario 4</t>
  </si>
  <si>
    <t>Scenario 5</t>
  </si>
  <si>
    <t>Unit Mix</t>
  </si>
  <si>
    <t>Income Mix</t>
  </si>
  <si>
    <t>Costs</t>
  </si>
  <si>
    <t>Construction Loan</t>
  </si>
  <si>
    <t>Equity</t>
  </si>
  <si>
    <t>Federal Pricing</t>
  </si>
  <si>
    <t>State Pricing</t>
  </si>
  <si>
    <t>Hard Costs + Demo/Offsite</t>
  </si>
  <si>
    <t>Net Rent Limit</t>
  </si>
  <si>
    <t>Actual Rent</t>
  </si>
  <si>
    <t>Change</t>
  </si>
  <si>
    <t>Added actual rent function, NOI based on that</t>
  </si>
  <si>
    <t>Updated rents to 2026 HUD</t>
  </si>
  <si>
    <t>Gross Rent Lim</t>
  </si>
  <si>
    <t>Avg Rent</t>
  </si>
  <si>
    <t>Avg RPSF</t>
  </si>
  <si>
    <t>Construction Loan - Tax-Exempt</t>
  </si>
  <si>
    <t>Construction Loan - Taxable</t>
  </si>
  <si>
    <t>Permanent Financing</t>
  </si>
  <si>
    <t>Taxable Spread</t>
  </si>
  <si>
    <t>Tax-Exempt Spread</t>
  </si>
  <si>
    <t>Index Rate</t>
  </si>
  <si>
    <t>Tax-Exempt Rate</t>
  </si>
  <si>
    <t>Taxable Rate</t>
  </si>
  <si>
    <t>Tax-Exempt Loan</t>
  </si>
  <si>
    <t>Tax-Exempt?</t>
  </si>
  <si>
    <t>Taxable Loan</t>
  </si>
  <si>
    <t>Total Permanent Loan</t>
  </si>
  <si>
    <t>Blended Rate</t>
  </si>
  <si>
    <t xml:space="preserve">Permanent Loan </t>
  </si>
  <si>
    <t>Construction Financing</t>
  </si>
  <si>
    <t>Total Construction Loan</t>
  </si>
  <si>
    <t>Year 16</t>
  </si>
  <si>
    <t>Exit Year</t>
  </si>
  <si>
    <t>SOFR</t>
  </si>
  <si>
    <t>US10Y</t>
  </si>
  <si>
    <t>Max Gap Investor Cash Flow</t>
  </si>
  <si>
    <t>Max Gap Inv IRR</t>
  </si>
  <si>
    <t>Land Acquisition / Addtl deposit</t>
  </si>
  <si>
    <t>Distribution of Interest</t>
  </si>
  <si>
    <t>Distribution of Principal</t>
  </si>
  <si>
    <t>Accrued Return</t>
  </si>
  <si>
    <t>LIHTC mods</t>
  </si>
  <si>
    <t>5.5% discount</t>
  </si>
  <si>
    <t>Residual Receipts</t>
  </si>
  <si>
    <t>Interest Type</t>
  </si>
  <si>
    <t>Simple</t>
  </si>
  <si>
    <t>Updated lien priority of dev fee/ b bond/ soft debt</t>
  </si>
  <si>
    <t>Updated soft debt interest calc to toggle simple/compounding</t>
  </si>
  <si>
    <t>Sponsor Funds</t>
  </si>
  <si>
    <t>Helper Calcs</t>
  </si>
  <si>
    <t>Gap ex state credits</t>
  </si>
  <si>
    <t>Gap Financing Selector</t>
  </si>
  <si>
    <t>Fannie</t>
  </si>
  <si>
    <t>Freddie</t>
  </si>
  <si>
    <t>Private</t>
  </si>
  <si>
    <t>MMD</t>
  </si>
  <si>
    <t>Reinvestment Rate</t>
  </si>
  <si>
    <t>Reinvestment Earnings</t>
  </si>
  <si>
    <t>Additional Interest Expense</t>
  </si>
  <si>
    <t>Bond Analysis</t>
  </si>
  <si>
    <t>Eligible Bond Interest</t>
  </si>
  <si>
    <t>Origination fee</t>
  </si>
  <si>
    <t>SD Beg</t>
  </si>
  <si>
    <t>SD Draw</t>
  </si>
  <si>
    <t>SD Int</t>
  </si>
  <si>
    <t>SD End</t>
  </si>
  <si>
    <t>Soft Debt less IR</t>
  </si>
  <si>
    <t>Soft Debt Interest</t>
  </si>
  <si>
    <t>Soft Debt Monthly rate</t>
  </si>
  <si>
    <t>Construction Phase?</t>
  </si>
  <si>
    <t>Basis Eligible Interest</t>
  </si>
  <si>
    <t>Non-Eligible Interest</t>
  </si>
  <si>
    <t>Basis-Eligible Interest</t>
  </si>
  <si>
    <t>Agency Review Fee</t>
  </si>
  <si>
    <t>Conversion Fee</t>
  </si>
  <si>
    <t>Standby Fee</t>
  </si>
  <si>
    <t>Bank underwriting fee</t>
  </si>
  <si>
    <t>Bond Underwriter Fee</t>
  </si>
  <si>
    <t>Rating Agency &amp; Trustee</t>
  </si>
  <si>
    <t>Bond/UW Counsel</t>
  </si>
  <si>
    <t>Title/3rd Party/DD</t>
  </si>
  <si>
    <t>Total Permanent Loan Costs</t>
  </si>
  <si>
    <t>Bond Issuer</t>
  </si>
  <si>
    <t xml:space="preserve">Tax-Exempt Index </t>
  </si>
  <si>
    <t>Taxable Bonds Invested</t>
  </si>
  <si>
    <t>Tax-Exempt Bonds Invested</t>
  </si>
  <si>
    <t>Construction Period Bond Reinvestment</t>
  </si>
  <si>
    <t>Added perm debt selector</t>
  </si>
  <si>
    <t>Added bond reinvestment calcs</t>
  </si>
  <si>
    <t>More accurate perm closing cost estimate</t>
  </si>
  <si>
    <t>Owner LIHTC Consulting/Legal</t>
  </si>
  <si>
    <t>Construction Loan Costs</t>
  </si>
  <si>
    <t>Tax-Exempt Bond Request / % of basis</t>
  </si>
  <si>
    <t>DDA</t>
  </si>
  <si>
    <t>840 G St, San Diego</t>
  </si>
  <si>
    <t>Advertising</t>
  </si>
  <si>
    <t>Legal</t>
  </si>
  <si>
    <t>Accounting/Audit</t>
  </si>
  <si>
    <t>Security</t>
  </si>
  <si>
    <t>Gas</t>
  </si>
  <si>
    <t>Electricity</t>
  </si>
  <si>
    <t>Water/Sewer</t>
  </si>
  <si>
    <t>Maintenance Payroll</t>
  </si>
  <si>
    <t>Manager Unit Expense</t>
  </si>
  <si>
    <t>Payroll Taxes/Benefit</t>
  </si>
  <si>
    <t>Painting</t>
  </si>
  <si>
    <t>Repairs</t>
  </si>
  <si>
    <t>Trash Removal</t>
  </si>
  <si>
    <t>Exterminating</t>
  </si>
  <si>
    <t>Grounds</t>
  </si>
  <si>
    <t>Elevator</t>
  </si>
  <si>
    <t>Resident Services</t>
  </si>
  <si>
    <t>Supplies</t>
  </si>
  <si>
    <t>On-Site Manager</t>
  </si>
  <si>
    <t>PUPM</t>
  </si>
  <si>
    <t>PUPY</t>
  </si>
  <si>
    <t>Office Admin</t>
  </si>
  <si>
    <t>Cleaning</t>
  </si>
  <si>
    <t>Operating Expense Calc</t>
  </si>
  <si>
    <t>Operating Expense Worksheet</t>
  </si>
  <si>
    <t>Total Operating Expense</t>
  </si>
  <si>
    <t>Replacement Reserves</t>
  </si>
  <si>
    <t>Total Expense w/ Reserves</t>
  </si>
  <si>
    <t>Real Estate Taxes</t>
  </si>
  <si>
    <t>Total Resi Operating Expense</t>
  </si>
  <si>
    <t>Bond Monitoring</t>
  </si>
  <si>
    <t>Covenant Monitoring</t>
  </si>
  <si>
    <t>Fees</t>
  </si>
  <si>
    <t>Parking</t>
  </si>
  <si>
    <t>Late Fees</t>
  </si>
  <si>
    <t>NSF Fee</t>
  </si>
  <si>
    <t>Damages</t>
  </si>
  <si>
    <t>Demo/Offsites/Non-Eligible</t>
  </si>
  <si>
    <t>Cost/Space</t>
  </si>
  <si>
    <t>Plug</t>
  </si>
  <si>
    <t>Management Fee</t>
  </si>
  <si>
    <t>Reserves</t>
  </si>
  <si>
    <t>LP Management Fee</t>
  </si>
  <si>
    <t>MGP Management Fee</t>
  </si>
  <si>
    <t>Partnership Fees</t>
  </si>
  <si>
    <t>AGP Management Fee</t>
  </si>
  <si>
    <t xml:space="preserve">Laundry </t>
  </si>
  <si>
    <t>Annual</t>
  </si>
  <si>
    <t>Spaces (Non Eligible)</t>
  </si>
  <si>
    <t>City Fees</t>
  </si>
  <si>
    <t>Eligible Period Earnings</t>
  </si>
  <si>
    <t>Eligible Period Arb</t>
  </si>
  <si>
    <t>Added itemized operating expense</t>
  </si>
  <si>
    <t>Updated arb eligible basis calc to be more conservative. Now reinvestment proceeds are netted against interest expense for purposes of basis</t>
  </si>
  <si>
    <t>Arbitrage Expense/(Earnings)</t>
  </si>
  <si>
    <t>Large Family?</t>
  </si>
  <si>
    <t>Highest</t>
  </si>
  <si>
    <t>Added large family calcs</t>
  </si>
  <si>
    <t>Point Score:</t>
  </si>
  <si>
    <t>2025-12-01</t>
  </si>
  <si>
    <t>https://hacla.org/sites/default/files/Section%208/Utility%20Allowances/Utility%20Allowance%20Schedule%202025%20-SFR%20&amp;%20MFR.pdf</t>
  </si>
  <si>
    <t>2026-04-01</t>
  </si>
  <si>
    <t>2026-01-01</t>
  </si>
  <si>
    <t>Detached - Single Family</t>
  </si>
  <si>
    <t>https://sfha.org/files/documents/Utility%20Allowance%20-%20HCV%202026%20revised.pdf</t>
  </si>
  <si>
    <t>Low Rise Apt (2-4 units)</t>
  </si>
  <si>
    <t>High Rise Apt (5+ units)</t>
  </si>
  <si>
    <t>Housing Authority of the City of Long Beach (HACLB)</t>
  </si>
  <si>
    <t>Long Beach</t>
  </si>
  <si>
    <t>Energy Efficient Apartment (All-Electric)</t>
  </si>
  <si>
    <t>https://www.longbeach.gov/haclb/housing-providers/utility-allowance-schedule/</t>
  </si>
  <si>
    <t>Housing Authorities of the City and County of Fresno</t>
  </si>
  <si>
    <t>Fresno (City/County)</t>
  </si>
  <si>
    <t>Multi-Family Mid-Rise (5+) — Energy Efficient (LIHTC)</t>
  </si>
  <si>
    <t>https://fresnohousing.org/wp-content/uploads/2025/12/2026-LIHTC-Utility-Allowance-Schedule-Energy-Efficient.pdf</t>
  </si>
  <si>
    <t>Housing Authority of the County of Alameda (HACA)</t>
  </si>
  <si>
    <t>Alameda County</t>
  </si>
  <si>
    <t>2026-07-01</t>
  </si>
  <si>
    <t>Multi-Family (Attached)</t>
  </si>
  <si>
    <t>https://www.haca.net/wp-content/uploads/2026/04/52667-Multi-Family_7-1-26.pdf</t>
  </si>
  <si>
    <t>Housing Authority of the County of Contra Costa (HACCC)</t>
  </si>
  <si>
    <t>Contra Costa County</t>
  </si>
  <si>
    <t>Elevator/High-Rise/Apartment/Walk-Up (Multi-Family)</t>
  </si>
  <si>
    <t>https://www.contracosta.ca.gov/DocumentCenter/View/34187/Utility-Allowance-2025</t>
  </si>
  <si>
    <t>Housing Authority of the City of San Buenaventura (Ventura)</t>
  </si>
  <si>
    <t>San Buenaventura (Ventura)</t>
  </si>
  <si>
    <t>2025-06-01</t>
  </si>
  <si>
    <t>Energy Efficient Multi-Family (Apartment)</t>
  </si>
  <si>
    <t>https://cms9files.revize.com/sanbuenaventura/2025-2026%20EE%20UA.pdf</t>
  </si>
  <si>
    <t>Stanislaus Regional Housing Authority (SRHA)</t>
  </si>
  <si>
    <t>Stanislaus County</t>
  </si>
  <si>
    <t>2023-06-01</t>
  </si>
  <si>
    <t>Apartment/Garden</t>
  </si>
  <si>
    <t>https://stanregionalha.org/wp-content/uploads/2024/01/STANISLAUS.pdf</t>
  </si>
  <si>
    <t>Berkeley Housing Authority (BHA)</t>
  </si>
  <si>
    <t>Berkeley</t>
  </si>
  <si>
    <t>Larger Apartment Bldgs (5+ Units)</t>
  </si>
  <si>
    <t>https://berkeleyhousingauthority.org/landlords/utility-allowances/</t>
  </si>
  <si>
    <t>Housing Authority of the County of Santa Cruz (HACSC)</t>
  </si>
  <si>
    <t>Santa Cruz County</t>
  </si>
  <si>
    <t>Apartments</t>
  </si>
  <si>
    <t>https://hacosantacruz.org/wp-content/uploads/2024/12/050705-SC-UA-2025-eff.-01.01.2025.pdf</t>
  </si>
  <si>
    <t>Housing Authority of the County of San Bernardino (HACSB)</t>
  </si>
  <si>
    <t>San Bernardino County</t>
  </si>
  <si>
    <t>2023-10-01</t>
  </si>
  <si>
    <t>Apartment</t>
  </si>
  <si>
    <t>https://hacsb.com/wp-content/uploads/2023/10/ATT1-BOC-080823-HCV-Utility-Allowance-Schedules-Combined-Oct-2023-FINAL.pdf</t>
  </si>
  <si>
    <t>Placer County Housing Authority (PCHA)</t>
  </si>
  <si>
    <t>Placer County (Band-1, under 1500 ft: Auburn/Lincoln/Rocklin)</t>
  </si>
  <si>
    <t>Apartment/Walk-Up/Row House/Townhouse (Band-1, &lt;1500 ft)</t>
  </si>
  <si>
    <t>https://www.placer.ca.gov/DocumentCenter/View/2934/Auburn-Lincoln-and-Rocklin-Utility-Allowance-PDF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</si>
</sst>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_(* #,##0.0_);_(* \(#,##0.0\);_(* &quot;-&quot;??_);_(@_)"/>
    <numFmt numFmtId="167" formatCode="&quot;$&quot;#,##0"/>
    <numFmt numFmtId="168" formatCode="_(&quot;$&quot;* #,##0_);_(&quot;$&quot;* \(#,##0\);_(&quot;$&quot;* &quot;-&quot;??_);_(@_)"/>
    <numFmt numFmtId="169" formatCode="0.0&quot;x&quot;"/>
    <numFmt numFmtId="170" formatCode="&quot;$&quot;0&quot;/u&quot;"/>
    <numFmt numFmtId="171" formatCode="\$#,##0"/>
    <numFmt numFmtId="172" formatCode="0.000%"/>
    <numFmt numFmtId="173" formatCode="m/yyyy"/>
    <numFmt numFmtId="174" formatCode="&quot;$&quot;0&quot;/SF&quot;"/>
    <numFmt numFmtId="175" formatCode="0%&quot; AMI&quot;"/>
    <numFmt numFmtId="176" formatCode="0.000"/>
    <numFmt numFmtId="177" formatCode="0.0%&quot; AMI&quot;"/>
    <numFmt numFmtId="178" formatCode="0.00&quot; ac&quot;"/>
    <numFmt numFmtId="179" formatCode="&quot;$&quot;#,##0&quot;/unit&quot;"/>
    <numFmt numFmtId="180" formatCode="0&quot; spaces&quot;"/>
    <numFmt numFmtId="181" formatCode="&quot;$&quot;#,##0&quot;/space&quot;"/>
    <numFmt numFmtId="182" formatCode="0.00&quot;/unit&quot;"/>
    <numFmt numFmtId="183" formatCode="_(* #,##0_);_(* \(#,##0\);_(* \-??_);_(@_)"/>
    <numFmt numFmtId="184" formatCode="_(* #,##0.000_);_(* \(#,##0.000\);_(* &quot;-&quot;??_);_(@_)"/>
    <numFmt numFmtId="185" formatCode="&quot;$&quot;#,##0.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9"/>
      <color theme="1"/>
      <name val="Calibri"/>
      <family val="2"/>
      <scheme val="minor"/>
    </font>
    <font>
      <sz val="11"/>
      <name val="Calibri"/>
      <family val="2"/>
    </font>
    <font>
      <sz val="11"/>
      <color rgb="FF3333FF"/>
      <name val="Calibri"/>
      <family val="2"/>
      <scheme val="minor"/>
    </font>
    <font>
      <i/>
      <sz val="11"/>
      <color rgb="FF0000FF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FF"/>
      <name val="Calibri"/>
      <family val="2"/>
      <scheme val="minor"/>
    </font>
    <font>
      <b/>
      <sz val="11"/>
      <color theme="1"/>
      <name val="Calibri"/>
      <family val="2"/>
      <charset val="1"/>
    </font>
    <font>
      <sz val="11"/>
      <color rgb="FF0000FF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347">
    <xf numFmtId="0" fontId="0" fillId="0" borderId="0" xfId="0"/>
    <xf numFmtId="0" fontId="2" fillId="0" borderId="0" xfId="0" applyFont="1"/>
    <xf numFmtId="164" fontId="0" fillId="0" borderId="0" xfId="1" applyNumberFormat="1" applyFont="1"/>
    <xf numFmtId="164" fontId="0" fillId="0" borderId="0" xfId="0" applyNumberFormat="1"/>
    <xf numFmtId="10" fontId="4" fillId="0" borderId="0" xfId="0" applyNumberFormat="1" applyFont="1"/>
    <xf numFmtId="0" fontId="2" fillId="0" borderId="1" xfId="0" applyFont="1" applyBorder="1"/>
    <xf numFmtId="0" fontId="0" fillId="0" borderId="4" xfId="0" applyBorder="1"/>
    <xf numFmtId="164" fontId="4" fillId="0" borderId="0" xfId="1" applyNumberFormat="1" applyFont="1" applyBorder="1"/>
    <xf numFmtId="164" fontId="0" fillId="0" borderId="5" xfId="1" applyNumberFormat="1" applyFont="1" applyBorder="1"/>
    <xf numFmtId="164" fontId="0" fillId="0" borderId="0" xfId="1" applyNumberFormat="1" applyFont="1" applyBorder="1"/>
    <xf numFmtId="164" fontId="4" fillId="0" borderId="5" xfId="1" applyNumberFormat="1" applyFont="1" applyBorder="1"/>
    <xf numFmtId="0" fontId="2" fillId="0" borderId="9" xfId="0" applyFon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2" xfId="0" applyNumberFormat="1" applyFont="1" applyBorder="1"/>
    <xf numFmtId="164" fontId="2" fillId="0" borderId="3" xfId="0" applyNumberFormat="1" applyFont="1" applyBorder="1"/>
    <xf numFmtId="164" fontId="0" fillId="0" borderId="5" xfId="0" applyNumberFormat="1" applyBorder="1"/>
    <xf numFmtId="0" fontId="2" fillId="0" borderId="10" xfId="0" applyFont="1" applyBorder="1"/>
    <xf numFmtId="164" fontId="2" fillId="0" borderId="11" xfId="0" applyNumberFormat="1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164" fontId="0" fillId="0" borderId="8" xfId="0" applyNumberFormat="1" applyBorder="1"/>
    <xf numFmtId="164" fontId="2" fillId="0" borderId="10" xfId="1" applyNumberFormat="1" applyFont="1" applyBorder="1"/>
    <xf numFmtId="164" fontId="2" fillId="0" borderId="11" xfId="1" applyNumberFormat="1" applyFont="1" applyBorder="1"/>
    <xf numFmtId="0" fontId="2" fillId="0" borderId="2" xfId="0" applyFont="1" applyBorder="1"/>
    <xf numFmtId="0" fontId="2" fillId="0" borderId="11" xfId="0" applyFont="1" applyBorder="1"/>
    <xf numFmtId="0" fontId="0" fillId="0" borderId="1" xfId="0" applyBorder="1"/>
    <xf numFmtId="164" fontId="0" fillId="0" borderId="3" xfId="1" applyNumberFormat="1" applyFont="1" applyBorder="1"/>
    <xf numFmtId="9" fontId="4" fillId="0" borderId="0" xfId="0" applyNumberFormat="1" applyFont="1"/>
    <xf numFmtId="0" fontId="2" fillId="0" borderId="12" xfId="0" applyFont="1" applyBorder="1"/>
    <xf numFmtId="164" fontId="2" fillId="0" borderId="12" xfId="0" applyNumberFormat="1" applyFont="1" applyBorder="1"/>
    <xf numFmtId="164" fontId="0" fillId="0" borderId="8" xfId="1" applyNumberFormat="1" applyFont="1" applyBorder="1"/>
    <xf numFmtId="0" fontId="4" fillId="0" borderId="0" xfId="0" applyFont="1"/>
    <xf numFmtId="165" fontId="4" fillId="0" borderId="0" xfId="0" applyNumberFormat="1" applyFont="1"/>
    <xf numFmtId="165" fontId="0" fillId="0" borderId="5" xfId="0" applyNumberFormat="1" applyBorder="1"/>
    <xf numFmtId="165" fontId="4" fillId="0" borderId="5" xfId="0" applyNumberFormat="1" applyFont="1" applyBorder="1"/>
    <xf numFmtId="10" fontId="4" fillId="0" borderId="5" xfId="0" applyNumberFormat="1" applyFont="1" applyBorder="1"/>
    <xf numFmtId="0" fontId="5" fillId="2" borderId="0" xfId="0" applyFont="1" applyFill="1"/>
    <xf numFmtId="0" fontId="5" fillId="2" borderId="0" xfId="0" applyFont="1" applyFill="1" applyAlignment="1">
      <alignment horizontal="centerContinuous"/>
    </xf>
    <xf numFmtId="164" fontId="0" fillId="0" borderId="0" xfId="1" applyNumberFormat="1" applyFont="1" applyBorder="1" applyAlignment="1"/>
    <xf numFmtId="0" fontId="2" fillId="0" borderId="0" xfId="0" applyFont="1" applyAlignment="1">
      <alignment horizontal="centerContinuous"/>
    </xf>
    <xf numFmtId="165" fontId="2" fillId="0" borderId="2" xfId="2" applyNumberFormat="1" applyFont="1" applyBorder="1" applyAlignment="1">
      <alignment horizontal="right"/>
    </xf>
    <xf numFmtId="0" fontId="2" fillId="3" borderId="0" xfId="0" applyFont="1" applyFill="1"/>
    <xf numFmtId="164" fontId="0" fillId="3" borderId="0" xfId="1" applyNumberFormat="1" applyFont="1" applyFill="1"/>
    <xf numFmtId="168" fontId="0" fillId="0" borderId="0" xfId="3" applyNumberFormat="1" applyFont="1"/>
    <xf numFmtId="168" fontId="2" fillId="0" borderId="2" xfId="3" applyNumberFormat="1" applyFont="1" applyBorder="1"/>
    <xf numFmtId="0" fontId="0" fillId="3" borderId="0" xfId="0" applyFill="1"/>
    <xf numFmtId="168" fontId="2" fillId="0" borderId="2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8" fontId="2" fillId="0" borderId="0" xfId="0" applyNumberFormat="1" applyFont="1"/>
    <xf numFmtId="164" fontId="2" fillId="0" borderId="0" xfId="0" applyNumberFormat="1" applyFont="1"/>
    <xf numFmtId="168" fontId="2" fillId="0" borderId="0" xfId="3" applyNumberFormat="1" applyFont="1"/>
    <xf numFmtId="0" fontId="0" fillId="0" borderId="2" xfId="0" applyBorder="1"/>
    <xf numFmtId="0" fontId="2" fillId="0" borderId="13" xfId="0" applyFont="1" applyBorder="1"/>
    <xf numFmtId="168" fontId="2" fillId="0" borderId="13" xfId="0" applyNumberFormat="1" applyFont="1" applyBorder="1"/>
    <xf numFmtId="10" fontId="0" fillId="0" borderId="0" xfId="2" applyNumberFormat="1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4" borderId="0" xfId="0" applyFont="1" applyFill="1"/>
    <xf numFmtId="0" fontId="6" fillId="4" borderId="0" xfId="0" applyFont="1" applyFill="1"/>
    <xf numFmtId="0" fontId="5" fillId="4" borderId="0" xfId="0" applyFont="1" applyFill="1" applyAlignment="1">
      <alignment horizontal="center"/>
    </xf>
    <xf numFmtId="164" fontId="2" fillId="0" borderId="10" xfId="0" applyNumberFormat="1" applyFont="1" applyBorder="1"/>
    <xf numFmtId="165" fontId="2" fillId="0" borderId="11" xfId="2" applyNumberFormat="1" applyFont="1" applyBorder="1"/>
    <xf numFmtId="164" fontId="0" fillId="0" borderId="2" xfId="0" applyNumberFormat="1" applyBorder="1"/>
    <xf numFmtId="164" fontId="0" fillId="0" borderId="7" xfId="0" applyNumberFormat="1" applyBorder="1"/>
    <xf numFmtId="165" fontId="2" fillId="0" borderId="11" xfId="0" applyNumberFormat="1" applyFont="1" applyBorder="1"/>
    <xf numFmtId="0" fontId="0" fillId="0" borderId="9" xfId="0" applyBorder="1"/>
    <xf numFmtId="164" fontId="0" fillId="0" borderId="10" xfId="0" applyNumberFormat="1" applyBorder="1"/>
    <xf numFmtId="164" fontId="1" fillId="0" borderId="11" xfId="1" applyNumberFormat="1" applyFont="1" applyBorder="1"/>
    <xf numFmtId="10" fontId="0" fillId="0" borderId="5" xfId="2" applyNumberFormat="1" applyFont="1" applyBorder="1"/>
    <xf numFmtId="165" fontId="4" fillId="0" borderId="8" xfId="0" applyNumberFormat="1" applyFont="1" applyBorder="1"/>
    <xf numFmtId="164" fontId="2" fillId="0" borderId="5" xfId="0" applyNumberFormat="1" applyFont="1" applyBorder="1"/>
    <xf numFmtId="0" fontId="2" fillId="0" borderId="4" xfId="0" applyFont="1" applyBorder="1"/>
    <xf numFmtId="1" fontId="0" fillId="0" borderId="0" xfId="0" applyNumberFormat="1"/>
    <xf numFmtId="169" fontId="0" fillId="0" borderId="5" xfId="0" applyNumberFormat="1" applyBorder="1"/>
    <xf numFmtId="43" fontId="0" fillId="0" borderId="0" xfId="0" applyNumberFormat="1"/>
    <xf numFmtId="10" fontId="2" fillId="0" borderId="10" xfId="2" applyNumberFormat="1" applyFont="1" applyBorder="1"/>
    <xf numFmtId="165" fontId="0" fillId="0" borderId="0" xfId="0" applyNumberFormat="1"/>
    <xf numFmtId="164" fontId="2" fillId="0" borderId="0" xfId="1" applyNumberFormat="1" applyFont="1"/>
    <xf numFmtId="164" fontId="2" fillId="0" borderId="7" xfId="1" applyNumberFormat="1" applyFont="1" applyBorder="1"/>
    <xf numFmtId="0" fontId="2" fillId="0" borderId="5" xfId="0" applyFont="1" applyBorder="1"/>
    <xf numFmtId="0" fontId="0" fillId="0" borderId="0" xfId="0" applyAlignment="1">
      <alignment horizontal="right"/>
    </xf>
    <xf numFmtId="0" fontId="2" fillId="0" borderId="6" xfId="0" applyFont="1" applyBorder="1"/>
    <xf numFmtId="165" fontId="2" fillId="0" borderId="8" xfId="2" applyNumberFormat="1" applyFont="1" applyBorder="1"/>
    <xf numFmtId="164" fontId="2" fillId="0" borderId="2" xfId="1" applyNumberFormat="1" applyFont="1" applyBorder="1"/>
    <xf numFmtId="164" fontId="0" fillId="0" borderId="7" xfId="1" applyNumberFormat="1" applyFont="1" applyBorder="1"/>
    <xf numFmtId="164" fontId="0" fillId="0" borderId="2" xfId="1" applyNumberFormat="1" applyFont="1" applyBorder="1"/>
    <xf numFmtId="164" fontId="1" fillId="0" borderId="0" xfId="1" applyNumberFormat="1" applyFont="1"/>
    <xf numFmtId="165" fontId="6" fillId="0" borderId="0" xfId="0" applyNumberFormat="1" applyFont="1"/>
    <xf numFmtId="164" fontId="0" fillId="0" borderId="4" xfId="1" applyNumberFormat="1" applyFont="1" applyBorder="1"/>
    <xf numFmtId="164" fontId="2" fillId="0" borderId="6" xfId="1" applyNumberFormat="1" applyFont="1" applyBorder="1"/>
    <xf numFmtId="164" fontId="2" fillId="0" borderId="8" xfId="1" applyNumberFormat="1" applyFont="1" applyBorder="1"/>
    <xf numFmtId="164" fontId="2" fillId="0" borderId="9" xfId="1" applyNumberFormat="1" applyFont="1" applyBorder="1"/>
    <xf numFmtId="164" fontId="0" fillId="0" borderId="10" xfId="1" applyNumberFormat="1" applyFont="1" applyBorder="1"/>
    <xf numFmtId="164" fontId="0" fillId="0" borderId="11" xfId="1" applyNumberFormat="1" applyFont="1" applyBorder="1"/>
    <xf numFmtId="165" fontId="4" fillId="0" borderId="5" xfId="2" applyNumberFormat="1" applyFont="1" applyBorder="1"/>
    <xf numFmtId="43" fontId="4" fillId="0" borderId="5" xfId="1" applyFont="1" applyBorder="1"/>
    <xf numFmtId="9" fontId="4" fillId="0" borderId="5" xfId="2" applyFont="1" applyBorder="1"/>
    <xf numFmtId="0" fontId="2" fillId="0" borderId="7" xfId="0" applyFont="1" applyBorder="1"/>
    <xf numFmtId="164" fontId="2" fillId="0" borderId="8" xfId="0" applyNumberFormat="1" applyFont="1" applyBorder="1"/>
    <xf numFmtId="0" fontId="0" fillId="5" borderId="4" xfId="0" applyFill="1" applyBorder="1"/>
    <xf numFmtId="164" fontId="0" fillId="5" borderId="5" xfId="0" applyNumberFormat="1" applyFill="1" applyBorder="1"/>
    <xf numFmtId="164" fontId="10" fillId="0" borderId="0" xfId="1" applyNumberFormat="1" applyFont="1" applyBorder="1"/>
    <xf numFmtId="43" fontId="0" fillId="0" borderId="5" xfId="0" applyNumberFormat="1" applyBorder="1"/>
    <xf numFmtId="0" fontId="0" fillId="0" borderId="4" xfId="0" applyBorder="1" applyAlignment="1">
      <alignment horizontal="left" indent="1"/>
    </xf>
    <xf numFmtId="168" fontId="10" fillId="0" borderId="0" xfId="3" applyNumberFormat="1" applyFont="1"/>
    <xf numFmtId="0" fontId="0" fillId="6" borderId="0" xfId="0" applyFill="1" applyAlignment="1">
      <alignment horizontal="right" vertical="center"/>
    </xf>
    <xf numFmtId="0" fontId="12" fillId="0" borderId="0" xfId="0" applyFont="1"/>
    <xf numFmtId="171" fontId="0" fillId="6" borderId="0" xfId="0" applyNumberFormat="1" applyFill="1" applyAlignment="1">
      <alignment horizontal="right" vertical="center"/>
    </xf>
    <xf numFmtId="172" fontId="0" fillId="0" borderId="0" xfId="0" applyNumberFormat="1"/>
    <xf numFmtId="0" fontId="0" fillId="0" borderId="0" xfId="0" applyAlignment="1">
      <alignment horizontal="center" vertical="center" wrapText="1"/>
    </xf>
    <xf numFmtId="0" fontId="12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171" fontId="0" fillId="0" borderId="14" xfId="0" applyNumberFormat="1" applyBorder="1"/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2" fillId="7" borderId="14" xfId="0" applyFont="1" applyFill="1" applyBorder="1" applyAlignment="1">
      <alignment horizontal="center" vertical="center" wrapText="1"/>
    </xf>
    <xf numFmtId="171" fontId="0" fillId="7" borderId="14" xfId="0" applyNumberFormat="1" applyFill="1" applyBorder="1"/>
    <xf numFmtId="0" fontId="12" fillId="8" borderId="14" xfId="0" applyFont="1" applyFill="1" applyBorder="1" applyAlignment="1">
      <alignment horizontal="center" vertical="center" wrapText="1"/>
    </xf>
    <xf numFmtId="171" fontId="0" fillId="8" borderId="14" xfId="0" applyNumberFormat="1" applyFill="1" applyBorder="1"/>
    <xf numFmtId="0" fontId="12" fillId="9" borderId="14" xfId="0" applyFont="1" applyFill="1" applyBorder="1" applyAlignment="1">
      <alignment horizontal="center" vertical="center" wrapText="1"/>
    </xf>
    <xf numFmtId="171" fontId="0" fillId="9" borderId="14" xfId="0" applyNumberFormat="1" applyFill="1" applyBorder="1"/>
    <xf numFmtId="0" fontId="12" fillId="10" borderId="14" xfId="0" applyFont="1" applyFill="1" applyBorder="1" applyAlignment="1">
      <alignment horizontal="center" vertical="center" wrapText="1"/>
    </xf>
    <xf numFmtId="171" fontId="0" fillId="10" borderId="14" xfId="0" applyNumberFormat="1" applyFill="1" applyBorder="1"/>
    <xf numFmtId="0" fontId="12" fillId="11" borderId="14" xfId="0" applyFont="1" applyFill="1" applyBorder="1" applyAlignment="1">
      <alignment horizontal="center" vertical="center" wrapText="1"/>
    </xf>
    <xf numFmtId="171" fontId="0" fillId="11" borderId="14" xfId="0" applyNumberFormat="1" applyFill="1" applyBorder="1"/>
    <xf numFmtId="0" fontId="12" fillId="12" borderId="14" xfId="0" applyFont="1" applyFill="1" applyBorder="1" applyAlignment="1">
      <alignment horizontal="center" vertical="center" wrapText="1"/>
    </xf>
    <xf numFmtId="171" fontId="0" fillId="12" borderId="14" xfId="0" applyNumberFormat="1" applyFill="1" applyBorder="1"/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171" fontId="0" fillId="0" borderId="0" xfId="0" applyNumberFormat="1"/>
    <xf numFmtId="0" fontId="2" fillId="6" borderId="2" xfId="0" applyFont="1" applyFill="1" applyBorder="1" applyAlignment="1">
      <alignment horizontal="right" vertical="center"/>
    </xf>
    <xf numFmtId="6" fontId="0" fillId="0" borderId="2" xfId="0" applyNumberFormat="1" applyBorder="1"/>
    <xf numFmtId="165" fontId="0" fillId="6" borderId="0" xfId="2" applyNumberFormat="1" applyFont="1" applyFill="1" applyAlignment="1">
      <alignment horizontal="right" vertical="center"/>
    </xf>
    <xf numFmtId="171" fontId="0" fillId="0" borderId="0" xfId="0" applyNumberFormat="1" applyAlignment="1">
      <alignment horizontal="right" vertical="center"/>
    </xf>
    <xf numFmtId="165" fontId="15" fillId="6" borderId="0" xfId="2" applyNumberFormat="1" applyFont="1" applyFill="1" applyAlignment="1">
      <alignment horizontal="right" vertical="center"/>
    </xf>
    <xf numFmtId="173" fontId="0" fillId="0" borderId="7" xfId="0" applyNumberFormat="1" applyBorder="1"/>
    <xf numFmtId="0" fontId="15" fillId="6" borderId="0" xfId="0" applyFont="1" applyFill="1" applyAlignment="1">
      <alignment horizontal="right" vertical="center"/>
    </xf>
    <xf numFmtId="14" fontId="0" fillId="6" borderId="0" xfId="0" applyNumberFormat="1" applyFill="1" applyAlignment="1">
      <alignment horizontal="right" vertical="center"/>
    </xf>
    <xf numFmtId="0" fontId="0" fillId="0" borderId="2" xfId="0" applyBorder="1" applyAlignment="1">
      <alignment horizontal="left" vertical="center"/>
    </xf>
    <xf numFmtId="171" fontId="0" fillId="0" borderId="2" xfId="0" applyNumberFormat="1" applyBorder="1"/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1" applyNumberFormat="1" applyFont="1" applyBorder="1" applyAlignment="1">
      <alignment horizontal="right"/>
    </xf>
    <xf numFmtId="0" fontId="2" fillId="0" borderId="9" xfId="0" applyFont="1" applyBorder="1" applyAlignment="1">
      <alignment horizontal="left"/>
    </xf>
    <xf numFmtId="164" fontId="2" fillId="0" borderId="10" xfId="1" applyNumberFormat="1" applyFont="1" applyBorder="1" applyAlignment="1">
      <alignment horizontal="right"/>
    </xf>
    <xf numFmtId="0" fontId="0" fillId="0" borderId="15" xfId="0" applyBorder="1"/>
    <xf numFmtId="0" fontId="0" fillId="0" borderId="16" xfId="0" applyBorder="1" applyAlignment="1">
      <alignment horizontal="right"/>
    </xf>
    <xf numFmtId="164" fontId="0" fillId="0" borderId="16" xfId="1" applyNumberFormat="1" applyFont="1" applyBorder="1"/>
    <xf numFmtId="0" fontId="0" fillId="0" borderId="18" xfId="0" applyBorder="1"/>
    <xf numFmtId="164" fontId="0" fillId="0" borderId="19" xfId="1" applyNumberFormat="1" applyFont="1" applyBorder="1"/>
    <xf numFmtId="10" fontId="4" fillId="10" borderId="14" xfId="0" applyNumberFormat="1" applyFont="1" applyFill="1" applyBorder="1"/>
    <xf numFmtId="9" fontId="4" fillId="10" borderId="21" xfId="0" applyNumberFormat="1" applyFont="1" applyFill="1" applyBorder="1"/>
    <xf numFmtId="9" fontId="0" fillId="10" borderId="22" xfId="0" applyNumberFormat="1" applyFill="1" applyBorder="1"/>
    <xf numFmtId="14" fontId="15" fillId="0" borderId="5" xfId="1" applyNumberFormat="1" applyFont="1" applyBorder="1"/>
    <xf numFmtId="164" fontId="15" fillId="0" borderId="5" xfId="1" applyNumberFormat="1" applyFont="1" applyBorder="1"/>
    <xf numFmtId="0" fontId="2" fillId="0" borderId="0" xfId="0" applyFont="1" applyAlignment="1">
      <alignment horizontal="center"/>
    </xf>
    <xf numFmtId="43" fontId="2" fillId="0" borderId="11" xfId="0" applyNumberFormat="1" applyFont="1" applyBorder="1"/>
    <xf numFmtId="0" fontId="9" fillId="0" borderId="0" xfId="0" applyFont="1"/>
    <xf numFmtId="0" fontId="16" fillId="0" borderId="0" xfId="0" applyFont="1"/>
    <xf numFmtId="0" fontId="0" fillId="0" borderId="0" xfId="0" applyAlignment="1">
      <alignment horizontal="centerContinuous"/>
    </xf>
    <xf numFmtId="0" fontId="0" fillId="13" borderId="0" xfId="0" applyFill="1" applyAlignment="1">
      <alignment horizontal="left"/>
    </xf>
    <xf numFmtId="0" fontId="11" fillId="13" borderId="0" xfId="0" applyFont="1" applyFill="1" applyAlignment="1">
      <alignment horizontal="left" vertical="center"/>
    </xf>
    <xf numFmtId="165" fontId="15" fillId="6" borderId="0" xfId="0" applyNumberFormat="1" applyFont="1" applyFill="1"/>
    <xf numFmtId="0" fontId="11" fillId="13" borderId="0" xfId="0" applyFont="1" applyFill="1" applyAlignment="1">
      <alignment horizontal="centerContinuous" vertical="center" wrapText="1"/>
    </xf>
    <xf numFmtId="0" fontId="5" fillId="13" borderId="0" xfId="0" applyFont="1" applyFill="1"/>
    <xf numFmtId="0" fontId="6" fillId="13" borderId="0" xfId="0" applyFont="1" applyFill="1"/>
    <xf numFmtId="0" fontId="2" fillId="0" borderId="7" xfId="0" applyFont="1" applyBorder="1" applyAlignment="1">
      <alignment horizontal="center"/>
    </xf>
    <xf numFmtId="9" fontId="9" fillId="0" borderId="5" xfId="2" applyFont="1" applyBorder="1"/>
    <xf numFmtId="9" fontId="9" fillId="0" borderId="11" xfId="2" applyFont="1" applyBorder="1"/>
    <xf numFmtId="0" fontId="2" fillId="3" borderId="0" xfId="0" applyFont="1" applyFill="1" applyAlignment="1">
      <alignment horizontal="centerContinuous"/>
    </xf>
    <xf numFmtId="0" fontId="2" fillId="14" borderId="0" xfId="0" applyFont="1" applyFill="1" applyAlignment="1">
      <alignment horizontal="centerContinuous"/>
    </xf>
    <xf numFmtId="0" fontId="2" fillId="0" borderId="0" xfId="0" applyFont="1" applyAlignment="1">
      <alignment wrapText="1"/>
    </xf>
    <xf numFmtId="0" fontId="4" fillId="0" borderId="0" xfId="0" applyFont="1" applyAlignment="1">
      <alignment horizontal="right"/>
    </xf>
    <xf numFmtId="167" fontId="17" fillId="0" borderId="0" xfId="0" applyNumberFormat="1" applyFont="1"/>
    <xf numFmtId="0" fontId="17" fillId="0" borderId="0" xfId="0" applyFont="1"/>
    <xf numFmtId="10" fontId="2" fillId="0" borderId="2" xfId="0" applyNumberFormat="1" applyFont="1" applyBorder="1"/>
    <xf numFmtId="9" fontId="4" fillId="0" borderId="0" xfId="0" applyNumberFormat="1" applyFont="1" applyAlignment="1">
      <alignment horizontal="right"/>
    </xf>
    <xf numFmtId="10" fontId="18" fillId="0" borderId="2" xfId="2" applyNumberFormat="1" applyFont="1" applyBorder="1"/>
    <xf numFmtId="9" fontId="0" fillId="0" borderId="0" xfId="2" applyFont="1"/>
    <xf numFmtId="164" fontId="10" fillId="0" borderId="0" xfId="1" applyNumberFormat="1" applyFont="1"/>
    <xf numFmtId="164" fontId="10" fillId="0" borderId="16" xfId="1" applyNumberFormat="1" applyFont="1" applyBorder="1"/>
    <xf numFmtId="164" fontId="10" fillId="0" borderId="19" xfId="1" applyNumberFormat="1" applyFont="1" applyBorder="1"/>
    <xf numFmtId="43" fontId="0" fillId="0" borderId="5" xfId="1" applyFont="1" applyBorder="1"/>
    <xf numFmtId="43" fontId="0" fillId="0" borderId="20" xfId="1" applyFont="1" applyBorder="1"/>
    <xf numFmtId="43" fontId="0" fillId="0" borderId="17" xfId="1" applyFont="1" applyBorder="1"/>
    <xf numFmtId="43" fontId="2" fillId="0" borderId="11" xfId="1" applyFont="1" applyBorder="1"/>
    <xf numFmtId="0" fontId="0" fillId="0" borderId="0" xfId="1" applyNumberFormat="1" applyFont="1" applyBorder="1"/>
    <xf numFmtId="0" fontId="2" fillId="0" borderId="9" xfId="1" applyNumberFormat="1" applyFont="1" applyFill="1" applyBorder="1"/>
    <xf numFmtId="0" fontId="0" fillId="0" borderId="10" xfId="1" applyNumberFormat="1" applyFont="1" applyBorder="1"/>
    <xf numFmtId="9" fontId="4" fillId="0" borderId="0" xfId="1" applyNumberFormat="1" applyFont="1" applyBorder="1"/>
    <xf numFmtId="9" fontId="1" fillId="0" borderId="0" xfId="2" applyFont="1" applyBorder="1"/>
    <xf numFmtId="9" fontId="4" fillId="0" borderId="0" xfId="2" applyFont="1" applyBorder="1"/>
    <xf numFmtId="9" fontId="2" fillId="0" borderId="10" xfId="2" applyFont="1" applyBorder="1"/>
    <xf numFmtId="175" fontId="0" fillId="0" borderId="4" xfId="0" applyNumberFormat="1" applyBorder="1" applyAlignment="1">
      <alignment horizontal="left"/>
    </xf>
    <xf numFmtId="0" fontId="2" fillId="0" borderId="10" xfId="1" applyNumberFormat="1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164" fontId="1" fillId="0" borderId="19" xfId="1" applyNumberFormat="1" applyFont="1" applyBorder="1"/>
    <xf numFmtId="175" fontId="4" fillId="0" borderId="4" xfId="0" applyNumberFormat="1" applyFont="1" applyBorder="1" applyAlignment="1">
      <alignment horizontal="left"/>
    </xf>
    <xf numFmtId="9" fontId="10" fillId="0" borderId="0" xfId="0" applyNumberFormat="1" applyFont="1"/>
    <xf numFmtId="9" fontId="10" fillId="0" borderId="19" xfId="0" applyNumberFormat="1" applyFont="1" applyBorder="1"/>
    <xf numFmtId="177" fontId="20" fillId="0" borderId="10" xfId="2" applyNumberFormat="1" applyFont="1" applyBorder="1"/>
    <xf numFmtId="164" fontId="10" fillId="0" borderId="5" xfId="1" applyNumberFormat="1" applyFont="1" applyBorder="1"/>
    <xf numFmtId="10" fontId="10" fillId="0" borderId="5" xfId="0" applyNumberFormat="1" applyFont="1" applyBorder="1"/>
    <xf numFmtId="176" fontId="0" fillId="0" borderId="4" xfId="0" applyNumberFormat="1" applyBorder="1"/>
    <xf numFmtId="164" fontId="2" fillId="0" borderId="10" xfId="1" applyNumberFormat="1" applyFont="1" applyBorder="1" applyAlignment="1">
      <alignment horizontal="center"/>
    </xf>
    <xf numFmtId="49" fontId="4" fillId="10" borderId="14" xfId="0" applyNumberFormat="1" applyFont="1" applyFill="1" applyBorder="1" applyAlignment="1">
      <alignment horizontal="center"/>
    </xf>
    <xf numFmtId="0" fontId="4" fillId="0" borderId="11" xfId="0" applyFont="1" applyBorder="1" applyAlignment="1">
      <alignment horizontal="right"/>
    </xf>
    <xf numFmtId="164" fontId="0" fillId="0" borderId="6" xfId="1" applyNumberFormat="1" applyFont="1" applyBorder="1"/>
    <xf numFmtId="164" fontId="4" fillId="0" borderId="0" xfId="1" applyNumberFormat="1" applyFont="1"/>
    <xf numFmtId="178" fontId="21" fillId="0" borderId="0" xfId="1" applyNumberFormat="1" applyFont="1" applyAlignment="1">
      <alignment horizontal="left"/>
    </xf>
    <xf numFmtId="165" fontId="4" fillId="0" borderId="11" xfId="2" applyNumberFormat="1" applyFont="1" applyBorder="1"/>
    <xf numFmtId="164" fontId="10" fillId="0" borderId="8" xfId="1" applyNumberFormat="1" applyFont="1" applyBorder="1"/>
    <xf numFmtId="164" fontId="4" fillId="0" borderId="0" xfId="0" applyNumberFormat="1" applyFont="1"/>
    <xf numFmtId="6" fontId="0" fillId="0" borderId="0" xfId="0" applyNumberFormat="1"/>
    <xf numFmtId="164" fontId="10" fillId="0" borderId="0" xfId="0" applyNumberFormat="1" applyFont="1"/>
    <xf numFmtId="166" fontId="4" fillId="0" borderId="5" xfId="1" applyNumberFormat="1" applyFont="1" applyBorder="1"/>
    <xf numFmtId="165" fontId="1" fillId="0" borderId="2" xfId="2" applyNumberFormat="1" applyFont="1" applyBorder="1"/>
    <xf numFmtId="165" fontId="0" fillId="0" borderId="2" xfId="2" applyNumberFormat="1" applyFont="1" applyBorder="1"/>
    <xf numFmtId="2" fontId="0" fillId="0" borderId="0" xfId="0" applyNumberFormat="1"/>
    <xf numFmtId="164" fontId="2" fillId="0" borderId="0" xfId="1" applyNumberFormat="1" applyFont="1" applyBorder="1"/>
    <xf numFmtId="164" fontId="1" fillId="0" borderId="0" xfId="1" applyNumberFormat="1" applyFont="1" applyBorder="1"/>
    <xf numFmtId="10" fontId="4" fillId="10" borderId="21" xfId="0" applyNumberFormat="1" applyFont="1" applyFill="1" applyBorder="1"/>
    <xf numFmtId="10" fontId="4" fillId="10" borderId="22" xfId="0" applyNumberFormat="1" applyFont="1" applyFill="1" applyBorder="1"/>
    <xf numFmtId="0" fontId="2" fillId="0" borderId="14" xfId="0" applyFont="1" applyBorder="1" applyAlignment="1">
      <alignment horizontal="center"/>
    </xf>
    <xf numFmtId="164" fontId="4" fillId="0" borderId="23" xfId="1" applyNumberFormat="1" applyFont="1" applyBorder="1"/>
    <xf numFmtId="164" fontId="2" fillId="0" borderId="14" xfId="0" applyNumberFormat="1" applyFont="1" applyBorder="1"/>
    <xf numFmtId="164" fontId="9" fillId="0" borderId="11" xfId="0" applyNumberFormat="1" applyFont="1" applyBorder="1" applyAlignment="1">
      <alignment horizontal="right"/>
    </xf>
    <xf numFmtId="0" fontId="9" fillId="0" borderId="11" xfId="0" applyFont="1" applyBorder="1" applyAlignment="1">
      <alignment horizontal="right"/>
    </xf>
    <xf numFmtId="165" fontId="2" fillId="0" borderId="0" xfId="0" applyNumberFormat="1" applyFont="1"/>
    <xf numFmtId="165" fontId="2" fillId="0" borderId="0" xfId="2" applyNumberFormat="1" applyFont="1" applyBorder="1"/>
    <xf numFmtId="164" fontId="4" fillId="0" borderId="5" xfId="0" applyNumberFormat="1" applyFont="1" applyBorder="1"/>
    <xf numFmtId="0" fontId="2" fillId="0" borderId="4" xfId="0" applyFont="1" applyBorder="1" applyAlignment="1">
      <alignment horizontal="left" indent="1"/>
    </xf>
    <xf numFmtId="0" fontId="0" fillId="0" borderId="4" xfId="0" applyBorder="1" applyAlignment="1">
      <alignment horizontal="left" indent="2"/>
    </xf>
    <xf numFmtId="170" fontId="4" fillId="0" borderId="0" xfId="0" applyNumberFormat="1" applyFont="1"/>
    <xf numFmtId="0" fontId="2" fillId="0" borderId="1" xfId="0" applyFont="1" applyBorder="1" applyAlignment="1">
      <alignment horizontal="left" indent="2"/>
    </xf>
    <xf numFmtId="164" fontId="18" fillId="0" borderId="3" xfId="0" applyNumberFormat="1" applyFont="1" applyBorder="1"/>
    <xf numFmtId="0" fontId="10" fillId="0" borderId="5" xfId="0" applyFont="1" applyBorder="1"/>
    <xf numFmtId="164" fontId="18" fillId="0" borderId="11" xfId="0" applyNumberFormat="1" applyFont="1" applyBorder="1"/>
    <xf numFmtId="10" fontId="4" fillId="0" borderId="7" xfId="0" applyNumberFormat="1" applyFont="1" applyBorder="1"/>
    <xf numFmtId="10" fontId="10" fillId="0" borderId="0" xfId="0" applyNumberFormat="1" applyFont="1"/>
    <xf numFmtId="9" fontId="2" fillId="0" borderId="10" xfId="2" applyFont="1" applyBorder="1" applyAlignment="1">
      <alignment horizontal="right"/>
    </xf>
    <xf numFmtId="9" fontId="4" fillId="0" borderId="0" xfId="2" applyFont="1" applyBorder="1" applyAlignment="1">
      <alignment horizontal="right"/>
    </xf>
    <xf numFmtId="164" fontId="15" fillId="0" borderId="8" xfId="1" applyNumberFormat="1" applyFont="1" applyBorder="1"/>
    <xf numFmtId="164" fontId="15" fillId="0" borderId="0" xfId="1" applyNumberFormat="1" applyFont="1"/>
    <xf numFmtId="164" fontId="0" fillId="0" borderId="4" xfId="1" applyNumberFormat="1" applyFont="1" applyFill="1" applyBorder="1"/>
    <xf numFmtId="2" fontId="4" fillId="0" borderId="0" xfId="0" applyNumberFormat="1" applyFont="1"/>
    <xf numFmtId="9" fontId="10" fillId="0" borderId="0" xfId="2" applyFont="1" applyBorder="1" applyAlignment="1">
      <alignment horizontal="right"/>
    </xf>
    <xf numFmtId="179" fontId="9" fillId="0" borderId="0" xfId="0" applyNumberFormat="1" applyFont="1" applyAlignment="1">
      <alignment horizontal="center"/>
    </xf>
    <xf numFmtId="9" fontId="0" fillId="0" borderId="0" xfId="0" applyNumberFormat="1"/>
    <xf numFmtId="180" fontId="9" fillId="0" borderId="0" xfId="0" applyNumberFormat="1" applyFont="1" applyAlignment="1">
      <alignment horizontal="left"/>
    </xf>
    <xf numFmtId="179" fontId="9" fillId="0" borderId="0" xfId="1" applyNumberFormat="1" applyFont="1"/>
    <xf numFmtId="0" fontId="16" fillId="0" borderId="0" xfId="0" applyFont="1" applyAlignment="1">
      <alignment horizontal="right"/>
    </xf>
    <xf numFmtId="0" fontId="9" fillId="0" borderId="4" xfId="0" applyFont="1" applyBorder="1" applyAlignment="1">
      <alignment horizontal="left" indent="1"/>
    </xf>
    <xf numFmtId="9" fontId="16" fillId="0" borderId="0" xfId="0" applyNumberFormat="1" applyFont="1"/>
    <xf numFmtId="164" fontId="9" fillId="0" borderId="5" xfId="0" applyNumberFormat="1" applyFont="1" applyBorder="1"/>
    <xf numFmtId="9" fontId="9" fillId="0" borderId="0" xfId="0" applyNumberFormat="1" applyFont="1"/>
    <xf numFmtId="0" fontId="0" fillId="0" borderId="23" xfId="0" applyBorder="1"/>
    <xf numFmtId="181" fontId="9" fillId="0" borderId="0" xfId="1" applyNumberFormat="1" applyFont="1"/>
    <xf numFmtId="182" fontId="9" fillId="0" borderId="0" xfId="0" applyNumberFormat="1" applyFont="1" applyAlignment="1">
      <alignment horizontal="left"/>
    </xf>
    <xf numFmtId="166" fontId="10" fillId="0" borderId="0" xfId="1" applyNumberFormat="1" applyFont="1"/>
    <xf numFmtId="0" fontId="2" fillId="0" borderId="0" xfId="0" applyFont="1" applyAlignment="1">
      <alignment horizontal="left"/>
    </xf>
    <xf numFmtId="183" fontId="1" fillId="0" borderId="0" xfId="1" applyNumberFormat="1"/>
    <xf numFmtId="164" fontId="4" fillId="0" borderId="19" xfId="1" applyNumberFormat="1" applyFont="1" applyBorder="1"/>
    <xf numFmtId="164" fontId="4" fillId="0" borderId="16" xfId="1" applyNumberFormat="1" applyFont="1" applyBorder="1"/>
    <xf numFmtId="14" fontId="0" fillId="0" borderId="0" xfId="0" applyNumberFormat="1"/>
    <xf numFmtId="174" fontId="9" fillId="0" borderId="0" xfId="0" applyNumberFormat="1" applyFont="1"/>
    <xf numFmtId="179" fontId="9" fillId="0" borderId="5" xfId="0" applyNumberFormat="1" applyFont="1" applyBorder="1" applyAlignment="1">
      <alignment horizontal="right"/>
    </xf>
    <xf numFmtId="164" fontId="2" fillId="0" borderId="1" xfId="1" applyNumberFormat="1" applyFont="1" applyBorder="1"/>
    <xf numFmtId="10" fontId="4" fillId="0" borderId="5" xfId="2" applyNumberFormat="1" applyFont="1" applyBorder="1"/>
    <xf numFmtId="164" fontId="0" fillId="0" borderId="9" xfId="1" applyNumberFormat="1" applyFont="1" applyBorder="1"/>
    <xf numFmtId="164" fontId="2" fillId="0" borderId="3" xfId="1" applyNumberFormat="1" applyFont="1" applyBorder="1"/>
    <xf numFmtId="10" fontId="0" fillId="0" borderId="8" xfId="2" applyNumberFormat="1" applyFont="1" applyBorder="1"/>
    <xf numFmtId="10" fontId="4" fillId="0" borderId="0" xfId="2" applyNumberFormat="1" applyFont="1" applyBorder="1"/>
    <xf numFmtId="10" fontId="0" fillId="0" borderId="0" xfId="2" applyNumberFormat="1" applyFont="1" applyBorder="1"/>
    <xf numFmtId="10" fontId="0" fillId="0" borderId="7" xfId="2" applyNumberFormat="1" applyFont="1" applyBorder="1"/>
    <xf numFmtId="0" fontId="5" fillId="4" borderId="5" xfId="0" applyFont="1" applyFill="1" applyBorder="1" applyAlignment="1">
      <alignment horizontal="center"/>
    </xf>
    <xf numFmtId="173" fontId="0" fillId="0" borderId="8" xfId="0" applyNumberFormat="1" applyBorder="1"/>
    <xf numFmtId="164" fontId="1" fillId="0" borderId="5" xfId="1" applyNumberFormat="1" applyFont="1" applyBorder="1"/>
    <xf numFmtId="164" fontId="0" fillId="0" borderId="3" xfId="0" applyNumberFormat="1" applyBorder="1"/>
    <xf numFmtId="164" fontId="2" fillId="0" borderId="24" xfId="0" applyNumberFormat="1" applyFont="1" applyBorder="1"/>
    <xf numFmtId="165" fontId="1" fillId="0" borderId="3" xfId="2" applyNumberFormat="1" applyFont="1" applyBorder="1"/>
    <xf numFmtId="165" fontId="0" fillId="0" borderId="3" xfId="2" applyNumberFormat="1" applyFont="1" applyBorder="1"/>
    <xf numFmtId="164" fontId="9" fillId="0" borderId="0" xfId="1" applyNumberFormat="1" applyFont="1" applyAlignment="1">
      <alignment horizontal="center"/>
    </xf>
    <xf numFmtId="10" fontId="4" fillId="0" borderId="0" xfId="2" applyNumberFormat="1" applyFont="1" applyBorder="1" applyAlignment="1">
      <alignment horizontal="center"/>
    </xf>
    <xf numFmtId="43" fontId="4" fillId="0" borderId="0" xfId="1" applyFont="1" applyBorder="1" applyAlignment="1">
      <alignment horizontal="center"/>
    </xf>
    <xf numFmtId="164" fontId="4" fillId="0" borderId="5" xfId="1" applyNumberFormat="1" applyFont="1" applyBorder="1" applyAlignment="1">
      <alignment horizontal="right"/>
    </xf>
    <xf numFmtId="164" fontId="2" fillId="0" borderId="25" xfId="1" applyNumberFormat="1" applyFont="1" applyBorder="1"/>
    <xf numFmtId="167" fontId="0" fillId="0" borderId="11" xfId="3" applyNumberFormat="1" applyFont="1" applyBorder="1"/>
    <xf numFmtId="164" fontId="26" fillId="0" borderId="11" xfId="1" applyNumberFormat="1" applyFont="1" applyBorder="1" applyAlignment="1">
      <alignment horizontal="right"/>
    </xf>
    <xf numFmtId="10" fontId="4" fillId="0" borderId="4" xfId="2" applyNumberFormat="1" applyFont="1" applyBorder="1"/>
    <xf numFmtId="10" fontId="0" fillId="0" borderId="4" xfId="2" applyNumberFormat="1" applyFont="1" applyBorder="1"/>
    <xf numFmtId="164" fontId="0" fillId="0" borderId="11" xfId="1" applyNumberFormat="1" applyFont="1" applyBorder="1" applyAlignment="1">
      <alignment horizontal="right"/>
    </xf>
    <xf numFmtId="164" fontId="4" fillId="0" borderId="11" xfId="1" applyNumberFormat="1" applyFont="1" applyBorder="1" applyAlignment="1">
      <alignment horizontal="right"/>
    </xf>
    <xf numFmtId="10" fontId="0" fillId="0" borderId="6" xfId="2" applyNumberFormat="1" applyFont="1" applyBorder="1"/>
    <xf numFmtId="164" fontId="0" fillId="0" borderId="1" xfId="1" applyNumberFormat="1" applyFont="1" applyBorder="1"/>
    <xf numFmtId="164" fontId="4" fillId="0" borderId="4" xfId="1" applyNumberFormat="1" applyFont="1" applyBorder="1"/>
    <xf numFmtId="43" fontId="4" fillId="0" borderId="4" xfId="1" applyFont="1" applyBorder="1"/>
    <xf numFmtId="43" fontId="4" fillId="0" borderId="0" xfId="1" applyFont="1" applyBorder="1"/>
    <xf numFmtId="164" fontId="4" fillId="0" borderId="4" xfId="1" applyNumberFormat="1" applyFont="1" applyBorder="1" applyAlignment="1">
      <alignment horizontal="right"/>
    </xf>
    <xf numFmtId="164" fontId="4" fillId="0" borderId="0" xfId="1" applyNumberFormat="1" applyFont="1" applyBorder="1" applyAlignment="1">
      <alignment horizontal="right"/>
    </xf>
    <xf numFmtId="164" fontId="0" fillId="0" borderId="9" xfId="1" applyNumberFormat="1" applyFont="1" applyBorder="1" applyAlignment="1">
      <alignment horizontal="right"/>
    </xf>
    <xf numFmtId="164" fontId="0" fillId="0" borderId="10" xfId="1" applyNumberFormat="1" applyFont="1" applyBorder="1" applyAlignment="1">
      <alignment horizontal="right"/>
    </xf>
    <xf numFmtId="0" fontId="12" fillId="15" borderId="14" xfId="0" applyFont="1" applyFill="1" applyBorder="1" applyAlignment="1">
      <alignment horizontal="center" vertical="center" wrapText="1"/>
    </xf>
    <xf numFmtId="171" fontId="0" fillId="15" borderId="14" xfId="0" applyNumberFormat="1" applyFill="1" applyBorder="1"/>
    <xf numFmtId="171" fontId="0" fillId="0" borderId="0" xfId="0" applyNumberFormat="1" applyAlignment="1">
      <alignment wrapText="1"/>
    </xf>
    <xf numFmtId="10" fontId="4" fillId="0" borderId="2" xfId="2" applyNumberFormat="1" applyFont="1" applyBorder="1"/>
    <xf numFmtId="10" fontId="4" fillId="0" borderId="3" xfId="2" applyNumberFormat="1" applyFont="1" applyBorder="1"/>
    <xf numFmtId="164" fontId="4" fillId="0" borderId="7" xfId="1" applyNumberFormat="1" applyFont="1" applyBorder="1"/>
    <xf numFmtId="164" fontId="4" fillId="0" borderId="8" xfId="1" applyNumberFormat="1" applyFont="1" applyBorder="1"/>
    <xf numFmtId="164" fontId="10" fillId="0" borderId="3" xfId="1" applyNumberFormat="1" applyFont="1" applyBorder="1"/>
    <xf numFmtId="43" fontId="10" fillId="0" borderId="5" xfId="1" applyFont="1" applyBorder="1"/>
    <xf numFmtId="164" fontId="10" fillId="0" borderId="5" xfId="1" applyNumberFormat="1" applyFont="1" applyBorder="1" applyAlignment="1">
      <alignment horizontal="right"/>
    </xf>
    <xf numFmtId="10" fontId="10" fillId="0" borderId="5" xfId="2" applyNumberFormat="1" applyFont="1" applyBorder="1"/>
    <xf numFmtId="10" fontId="4" fillId="0" borderId="7" xfId="2" applyNumberFormat="1" applyFont="1" applyBorder="1"/>
    <xf numFmtId="10" fontId="4" fillId="0" borderId="8" xfId="2" applyNumberFormat="1" applyFont="1" applyBorder="1"/>
    <xf numFmtId="10" fontId="0" fillId="0" borderId="3" xfId="2" applyNumberFormat="1" applyFont="1" applyBorder="1"/>
    <xf numFmtId="10" fontId="0" fillId="0" borderId="0" xfId="0" applyNumberFormat="1"/>
    <xf numFmtId="10" fontId="9" fillId="0" borderId="14" xfId="2" applyNumberFormat="1" applyFont="1" applyBorder="1"/>
    <xf numFmtId="184" fontId="10" fillId="0" borderId="0" xfId="1" applyNumberFormat="1" applyFont="1"/>
    <xf numFmtId="43" fontId="0" fillId="0" borderId="0" xfId="1" applyFont="1" applyBorder="1"/>
    <xf numFmtId="43" fontId="10" fillId="0" borderId="0" xfId="1" applyFont="1" applyBorder="1" applyAlignment="1">
      <alignment horizontal="center"/>
    </xf>
    <xf numFmtId="43" fontId="2" fillId="0" borderId="10" xfId="0" applyNumberFormat="1" applyFont="1" applyBorder="1"/>
    <xf numFmtId="0" fontId="26" fillId="0" borderId="21" xfId="0" applyFont="1" applyBorder="1" applyAlignment="1">
      <alignment horizontal="center"/>
    </xf>
    <xf numFmtId="164" fontId="9" fillId="0" borderId="0" xfId="1" applyNumberFormat="1" applyFont="1"/>
    <xf numFmtId="43" fontId="0" fillId="0" borderId="7" xfId="1" applyFont="1" applyBorder="1"/>
    <xf numFmtId="43" fontId="4" fillId="0" borderId="7" xfId="1" applyFont="1" applyFill="1" applyBorder="1" applyAlignment="1">
      <alignment horizontal="center"/>
    </xf>
    <xf numFmtId="43" fontId="4" fillId="0" borderId="0" xfId="1" applyFont="1" applyFill="1" applyBorder="1"/>
    <xf numFmtId="0" fontId="4" fillId="0" borderId="5" xfId="0" applyFont="1" applyBorder="1"/>
    <xf numFmtId="185" fontId="4" fillId="0" borderId="8" xfId="3" applyNumberFormat="1" applyFont="1" applyBorder="1"/>
    <xf numFmtId="10" fontId="4" fillId="10" borderId="11" xfId="0" applyNumberFormat="1" applyFont="1" applyFill="1" applyBorder="1"/>
    <xf numFmtId="167" fontId="4" fillId="0" borderId="5" xfId="0" applyNumberFormat="1" applyFont="1" applyBorder="1"/>
    <xf numFmtId="167" fontId="4" fillId="0" borderId="8" xfId="0" applyNumberFormat="1" applyFont="1" applyBorder="1"/>
    <xf numFmtId="0" fontId="0" fillId="0" borderId="11" xfId="0" applyBorder="1" applyAlignment="1">
      <alignment horizontal="right"/>
    </xf>
    <xf numFmtId="164" fontId="0" fillId="0" borderId="4" xfId="0" applyNumberFormat="1" applyBorder="1"/>
    <xf numFmtId="164" fontId="1" fillId="0" borderId="4" xfId="1" applyNumberFormat="1" applyFont="1" applyBorder="1"/>
    <xf numFmtId="164" fontId="0" fillId="0" borderId="1" xfId="0" applyNumberFormat="1" applyBorder="1"/>
    <xf numFmtId="0" fontId="20" fillId="0" borderId="0" xfId="0" applyFont="1" applyAlignment="1">
      <alignment horizontal="right"/>
    </xf>
    <xf numFmtId="1" fontId="20" fillId="0" borderId="0" xfId="1" applyNumberFormat="1" applyFont="1" applyAlignment="1">
      <alignment horizontal="left"/>
    </xf>
    <xf numFmtId="0" fontId="27" fillId="0" borderId="14" xfId="0" applyFont="1" applyBorder="1" applyAlignment="1">
      <alignment horizontal="center" vertical="top"/>
    </xf>
    <xf numFmtId="0" fontId="14" fillId="0" borderId="0" xfId="0" applyFont="1"/>
    <xf numFmtId="0" fontId="28" fillId="0" borderId="0" xfId="4" applyFont="1"/>
  </cellXfs>
  <cellStyles count="5">
    <cellStyle name="Comma" xfId="1" builtinId="3"/>
    <cellStyle name="Currency" xfId="3" builtinId="4"/>
    <cellStyle name="Hyperlink" xfId="4" builtinId="8"/>
    <cellStyle name="Normal" xfId="0" builtinId="0"/>
    <cellStyle name="Percent" xfId="2" builtinId="5"/>
  </cellStyles>
  <dxfs count="3">
    <dxf>
      <font>
        <color theme="2" tint="-9.9948118533890809E-2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BB1573FC-08C2-486F-8418-BBC1057943C1}"/>
  </tableStyles>
  <colors>
    <mruColors>
      <color rgb="FF0000FF"/>
      <color rgb="FF3333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068333333333333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Draws_Module!$D$27</c:f>
              <c:strCache>
                <c:ptCount val="1"/>
                <c:pt idx="0">
                  <c:v>% Used (normalized)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Draws_Module!$A$28:$A$87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Draws_Module!$D$28:$D$87</c:f>
              <c:numCache>
                <c:formatCode>0.0%</c:formatCode>
                <c:ptCount val="60"/>
                <c:pt idx="0">
                  <c:v>2.6715258773286801E-2</c:v>
                </c:pt>
                <c:pt idx="1">
                  <c:v>3.2508425427918396E-2</c:v>
                </c:pt>
                <c:pt idx="2">
                  <c:v>3.9039616688217892E-2</c:v>
                </c:pt>
                <c:pt idx="3">
                  <c:v>4.6147341288082788E-2</c:v>
                </c:pt>
                <c:pt idx="4">
                  <c:v>5.3540257533841347E-2</c:v>
                </c:pt>
                <c:pt idx="5">
                  <c:v>6.0788578566292349E-2</c:v>
                </c:pt>
                <c:pt idx="6">
                  <c:v>6.7346529807441533E-2</c:v>
                </c:pt>
                <c:pt idx="7">
                  <c:v>7.261508580010366E-2</c:v>
                </c:pt>
                <c:pt idx="8">
                  <c:v>7.6041126843107348E-2</c:v>
                </c:pt>
                <c:pt idx="9">
                  <c:v>7.7230817316702643E-2</c:v>
                </c:pt>
                <c:pt idx="10">
                  <c:v>7.604112684310721E-2</c:v>
                </c:pt>
                <c:pt idx="11">
                  <c:v>7.261508580010366E-2</c:v>
                </c:pt>
                <c:pt idx="12">
                  <c:v>6.7346529807441602E-2</c:v>
                </c:pt>
                <c:pt idx="13">
                  <c:v>6.0788578566292314E-2</c:v>
                </c:pt>
                <c:pt idx="14">
                  <c:v>5.3540257533841451E-2</c:v>
                </c:pt>
                <c:pt idx="15">
                  <c:v>4.6147341288082823E-2</c:v>
                </c:pt>
                <c:pt idx="16">
                  <c:v>3.9039616688217649E-2</c:v>
                </c:pt>
                <c:pt idx="17">
                  <c:v>3.250842542791841E-2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2A-404B-BB99-663DDCE54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1809663"/>
        <c:axId val="851810623"/>
      </c:lineChart>
      <c:catAx>
        <c:axId val="85180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810623"/>
        <c:crosses val="autoZero"/>
        <c:auto val="1"/>
        <c:lblAlgn val="ctr"/>
        <c:lblOffset val="100"/>
        <c:noMultiLvlLbl val="0"/>
      </c:catAx>
      <c:valAx>
        <c:axId val="851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1809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1181100</xdr:colOff>
      <xdr:row>29</xdr:row>
      <xdr:rowOff>114300</xdr:rowOff>
    </xdr:from>
    <xdr:to>
      <xdr:col>10</xdr:col>
      <xdr:colOff>295275</xdr:colOff>
      <xdr:row>46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C42B08-FE62-7080-7B9A-0C37363CE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shra.org/housing-choice-voucher-program/" TargetMode="External"/><Relationship Id="rId21" Type="http://schemas.openxmlformats.org/officeDocument/2006/relationships/hyperlink" Target="https://hacla.org/sites/default/files/Section%208/Utility%20Allowances/Utility%20Allowance%20Effective%202024-12-01.pdf" TargetMode="External"/><Relationship Id="rId42" Type="http://schemas.openxmlformats.org/officeDocument/2006/relationships/hyperlink" Target="https://www.sandiegocounty.gov/content/dam/sdc/sdhcd/new-docs/Rental_assistance/Utility_Allowance_Schedule_HUD_52667_03-2025.pdf" TargetMode="External"/><Relationship Id="rId63" Type="http://schemas.openxmlformats.org/officeDocument/2006/relationships/hyperlink" Target="https://www.oakha.org/propertyowners/paymentstandards/" TargetMode="External"/><Relationship Id="rId84" Type="http://schemas.openxmlformats.org/officeDocument/2006/relationships/hyperlink" Target="https://www.ochousing.org/sites/ocha/files/2025-10/2026%20Utility%20Allowance%20Schedule%20-%20Public%20Use.pdf" TargetMode="External"/><Relationship Id="rId138" Type="http://schemas.openxmlformats.org/officeDocument/2006/relationships/hyperlink" Target="https://www.shra.org/housing-choice-voucher-program/" TargetMode="External"/><Relationship Id="rId159" Type="http://schemas.openxmlformats.org/officeDocument/2006/relationships/hyperlink" Target="https://www.shra.org/housing-choice-voucher-program/" TargetMode="External"/><Relationship Id="rId170" Type="http://schemas.openxmlformats.org/officeDocument/2006/relationships/hyperlink" Target="https://sdhc.org/wp-content/uploads/2022/Utility-Allowance-Chart.pdf" TargetMode="External"/><Relationship Id="rId107" Type="http://schemas.openxmlformats.org/officeDocument/2006/relationships/hyperlink" Target="https://www.shra.org/housing-choice-voucher-program/" TargetMode="External"/><Relationship Id="rId11" Type="http://schemas.openxmlformats.org/officeDocument/2006/relationships/hyperlink" Target="https://hacla.org/sites/default/files/Section%208/Utility%20Allowances/Utility%20Allowance%20Effective%202024-12-01.pdf" TargetMode="External"/><Relationship Id="rId32" Type="http://schemas.openxmlformats.org/officeDocument/2006/relationships/hyperlink" Target="https://www.sandiegocounty.gov/content/dam/sdc/sdhcd/new-docs/Rental_assistance/Utility_Allowance_Schedule_HUD_52667_03-2025.pdf" TargetMode="External"/><Relationship Id="rId53" Type="http://schemas.openxmlformats.org/officeDocument/2006/relationships/hyperlink" Target="https://www.oakha.org/propertyowners/paymentstandards/" TargetMode="External"/><Relationship Id="rId74" Type="http://schemas.openxmlformats.org/officeDocument/2006/relationships/hyperlink" Target="https://www.oakha.org/propertyowners/paymentstandards/" TargetMode="External"/><Relationship Id="rId128" Type="http://schemas.openxmlformats.org/officeDocument/2006/relationships/hyperlink" Target="https://www.shra.org/housing-choice-voucher-program/" TargetMode="External"/><Relationship Id="rId149" Type="http://schemas.openxmlformats.org/officeDocument/2006/relationships/hyperlink" Target="https://www.shra.org/housing-choice-voucher-program/" TargetMode="External"/><Relationship Id="rId5" Type="http://schemas.openxmlformats.org/officeDocument/2006/relationships/hyperlink" Target="https://hacla.org/sites/default/files/Section%208/Utility%20Allowances/Utility%20Allowance%20Effective%202024-12-01.pdf" TargetMode="External"/><Relationship Id="rId95" Type="http://schemas.openxmlformats.org/officeDocument/2006/relationships/hyperlink" Target="https://www.ochousing.org/sites/ocha/files/2025-10/2026%20Utility%20Allowance%20Schedule%20-%20Public%20Use.pdf" TargetMode="External"/><Relationship Id="rId160" Type="http://schemas.openxmlformats.org/officeDocument/2006/relationships/hyperlink" Target="https://www.shra.org/housing-choice-voucher-program/" TargetMode="External"/><Relationship Id="rId181" Type="http://schemas.openxmlformats.org/officeDocument/2006/relationships/hyperlink" Target="https://sdhc.org/wp-content/uploads/2022/Utility-Allowance-Chart.pdf" TargetMode="External"/><Relationship Id="rId22" Type="http://schemas.openxmlformats.org/officeDocument/2006/relationships/hyperlink" Target="https://hacla.org/sites/default/files/Section%208/Utility%20Allowances/Utility%20Allowance%20Effective%202024-12-01.pdf" TargetMode="External"/><Relationship Id="rId43" Type="http://schemas.openxmlformats.org/officeDocument/2006/relationships/hyperlink" Target="https://www.sandiegocounty.gov/content/dam/sdc/sdhcd/new-docs/Rental_assistance/Utility_Allowance_Schedule_HUD_52667_03-2025.pdf" TargetMode="External"/><Relationship Id="rId64" Type="http://schemas.openxmlformats.org/officeDocument/2006/relationships/hyperlink" Target="https://www.oakha.org/propertyowners/paymentstandards/" TargetMode="External"/><Relationship Id="rId118" Type="http://schemas.openxmlformats.org/officeDocument/2006/relationships/hyperlink" Target="https://www.shra.org/housing-choice-voucher-program/" TargetMode="External"/><Relationship Id="rId139" Type="http://schemas.openxmlformats.org/officeDocument/2006/relationships/hyperlink" Target="https://www.shra.org/housing-choice-voucher-program/" TargetMode="External"/><Relationship Id="rId85" Type="http://schemas.openxmlformats.org/officeDocument/2006/relationships/hyperlink" Target="https://www.ochousing.org/sites/ocha/files/2025-10/2026%20Utility%20Allowance%20Schedule%20-%20Public%20Use.pdf" TargetMode="External"/><Relationship Id="rId150" Type="http://schemas.openxmlformats.org/officeDocument/2006/relationships/hyperlink" Target="https://www.shra.org/housing-choice-voucher-program/" TargetMode="External"/><Relationship Id="rId171" Type="http://schemas.openxmlformats.org/officeDocument/2006/relationships/hyperlink" Target="https://sdhc.org/wp-content/uploads/2022/Utility-Allowance-Chart.pdf" TargetMode="External"/><Relationship Id="rId12" Type="http://schemas.openxmlformats.org/officeDocument/2006/relationships/hyperlink" Target="https://hacla.org/sites/default/files/Section%208/Utility%20Allowances/Utility%20Allowance%20Effective%202024-12-01.pdf" TargetMode="External"/><Relationship Id="rId33" Type="http://schemas.openxmlformats.org/officeDocument/2006/relationships/hyperlink" Target="https://www.sandiegocounty.gov/content/dam/sdc/sdhcd/new-docs/Rental_assistance/Utility_Allowance_Schedule_HUD_52667_03-2025.pdf" TargetMode="External"/><Relationship Id="rId108" Type="http://schemas.openxmlformats.org/officeDocument/2006/relationships/hyperlink" Target="https://www.shra.org/housing-choice-voucher-program/" TargetMode="External"/><Relationship Id="rId129" Type="http://schemas.openxmlformats.org/officeDocument/2006/relationships/hyperlink" Target="https://www.shra.org/housing-choice-voucher-program/" TargetMode="External"/><Relationship Id="rId54" Type="http://schemas.openxmlformats.org/officeDocument/2006/relationships/hyperlink" Target="https://www.oakha.org/propertyowners/paymentstandards/" TargetMode="External"/><Relationship Id="rId75" Type="http://schemas.openxmlformats.org/officeDocument/2006/relationships/hyperlink" Target="https://www.oakha.org/propertyowners/paymentstandards/" TargetMode="External"/><Relationship Id="rId96" Type="http://schemas.openxmlformats.org/officeDocument/2006/relationships/hyperlink" Target="https://www.ochousing.org/sites/ocha/files/2025-10/2026%20Utility%20Allowance%20Schedule%20-%20Public%20Use.pdf" TargetMode="External"/><Relationship Id="rId140" Type="http://schemas.openxmlformats.org/officeDocument/2006/relationships/hyperlink" Target="https://www.shra.org/housing-choice-voucher-program/" TargetMode="External"/><Relationship Id="rId161" Type="http://schemas.openxmlformats.org/officeDocument/2006/relationships/hyperlink" Target="https://www.shra.org/housing-choice-voucher-program/" TargetMode="External"/><Relationship Id="rId182" Type="http://schemas.openxmlformats.org/officeDocument/2006/relationships/hyperlink" Target="https://sdhc.org/wp-content/uploads/2022/Utility-Allowance-Chart.pdf" TargetMode="External"/><Relationship Id="rId6" Type="http://schemas.openxmlformats.org/officeDocument/2006/relationships/hyperlink" Target="https://hacla.org/sites/default/files/Section%208/Utility%20Allowances/Utility%20Allowance%20Effective%202024-12-01.pdf" TargetMode="External"/><Relationship Id="rId23" Type="http://schemas.openxmlformats.org/officeDocument/2006/relationships/hyperlink" Target="https://hacla.org/sites/default/files/Section%208/Utility%20Allowances/Utility%20Allowance%20Effective%202024-12-01.pdf" TargetMode="External"/><Relationship Id="rId119" Type="http://schemas.openxmlformats.org/officeDocument/2006/relationships/hyperlink" Target="https://www.shra.org/housing-choice-voucher-program/" TargetMode="External"/><Relationship Id="rId44" Type="http://schemas.openxmlformats.org/officeDocument/2006/relationships/hyperlink" Target="https://www.sandiegocounty.gov/content/dam/sdc/sdhcd/new-docs/Rental_assistance/Utility_Allowance_Schedule_HUD_52667_03-2025.pdf" TargetMode="External"/><Relationship Id="rId65" Type="http://schemas.openxmlformats.org/officeDocument/2006/relationships/hyperlink" Target="https://www.oakha.org/propertyowners/paymentstandards/" TargetMode="External"/><Relationship Id="rId86" Type="http://schemas.openxmlformats.org/officeDocument/2006/relationships/hyperlink" Target="https://www.ochousing.org/sites/ocha/files/2025-10/2026%20Utility%20Allowance%20Schedule%20-%20Public%20Use.pdf" TargetMode="External"/><Relationship Id="rId130" Type="http://schemas.openxmlformats.org/officeDocument/2006/relationships/hyperlink" Target="https://www.shra.org/housing-choice-voucher-program/" TargetMode="External"/><Relationship Id="rId151" Type="http://schemas.openxmlformats.org/officeDocument/2006/relationships/hyperlink" Target="https://www.shra.org/housing-choice-voucher-program/" TargetMode="External"/><Relationship Id="rId172" Type="http://schemas.openxmlformats.org/officeDocument/2006/relationships/hyperlink" Target="https://sdhc.org/wp-content/uploads/2022/Utility-Allowance-Chart.pdf" TargetMode="External"/><Relationship Id="rId13" Type="http://schemas.openxmlformats.org/officeDocument/2006/relationships/hyperlink" Target="https://hacla.org/sites/default/files/Section%208/Utility%20Allowances/Utility%20Allowance%20Effective%202024-12-01.pdf" TargetMode="External"/><Relationship Id="rId18" Type="http://schemas.openxmlformats.org/officeDocument/2006/relationships/hyperlink" Target="https://hacla.org/sites/default/files/Section%208/Utility%20Allowances/Utility%20Allowance%20Effective%202024-12-01.pdf" TargetMode="External"/><Relationship Id="rId39" Type="http://schemas.openxmlformats.org/officeDocument/2006/relationships/hyperlink" Target="https://www.sandiegocounty.gov/content/dam/sdc/sdhcd/new-docs/Rental_assistance/Utility_Allowance_Schedule_HUD_52667_03-2025.pdf" TargetMode="External"/><Relationship Id="rId109" Type="http://schemas.openxmlformats.org/officeDocument/2006/relationships/hyperlink" Target="https://www.shra.org/housing-choice-voucher-program/" TargetMode="External"/><Relationship Id="rId34" Type="http://schemas.openxmlformats.org/officeDocument/2006/relationships/hyperlink" Target="https://www.sandiegocounty.gov/content/dam/sdc/sdhcd/new-docs/Rental_assistance/Utility_Allowance_Schedule_HUD_52667_03-2025.pdf" TargetMode="External"/><Relationship Id="rId50" Type="http://schemas.openxmlformats.org/officeDocument/2006/relationships/hyperlink" Target="https://www.sandiegocounty.gov/content/dam/sdc/sdhcd/new-docs/Rental_assistance/Utility_Allowance_Schedule_HUD_52667_03-2025.pdf" TargetMode="External"/><Relationship Id="rId55" Type="http://schemas.openxmlformats.org/officeDocument/2006/relationships/hyperlink" Target="https://www.oakha.org/propertyowners/paymentstandards/" TargetMode="External"/><Relationship Id="rId76" Type="http://schemas.openxmlformats.org/officeDocument/2006/relationships/hyperlink" Target="https://www.oakha.org/propertyowners/paymentstandards/" TargetMode="External"/><Relationship Id="rId97" Type="http://schemas.openxmlformats.org/officeDocument/2006/relationships/hyperlink" Target="https://www.ochousing.org/sites/ocha/files/2025-10/2026%20Utility%20Allowance%20Schedule%20-%20Public%20Use.pdf" TargetMode="External"/><Relationship Id="rId104" Type="http://schemas.openxmlformats.org/officeDocument/2006/relationships/hyperlink" Target="https://www.ochousing.org/sites/ocha/files/2025-10/2026%20Utility%20Allowance%20Schedule%20-%20Public%20Use.pdf" TargetMode="External"/><Relationship Id="rId120" Type="http://schemas.openxmlformats.org/officeDocument/2006/relationships/hyperlink" Target="https://www.shra.org/housing-choice-voucher-program/" TargetMode="External"/><Relationship Id="rId125" Type="http://schemas.openxmlformats.org/officeDocument/2006/relationships/hyperlink" Target="https://www.shra.org/housing-choice-voucher-program/" TargetMode="External"/><Relationship Id="rId141" Type="http://schemas.openxmlformats.org/officeDocument/2006/relationships/hyperlink" Target="https://www.shra.org/housing-choice-voucher-program/" TargetMode="External"/><Relationship Id="rId146" Type="http://schemas.openxmlformats.org/officeDocument/2006/relationships/hyperlink" Target="https://www.shra.org/housing-choice-voucher-program/" TargetMode="External"/><Relationship Id="rId167" Type="http://schemas.openxmlformats.org/officeDocument/2006/relationships/hyperlink" Target="https://sdhc.org/wp-content/uploads/2022/Utility-Allowance-Chart.pdf" TargetMode="External"/><Relationship Id="rId7" Type="http://schemas.openxmlformats.org/officeDocument/2006/relationships/hyperlink" Target="https://hacla.org/sites/default/files/Section%208/Utility%20Allowances/Utility%20Allowance%20Effective%202024-12-01.pdf" TargetMode="External"/><Relationship Id="rId71" Type="http://schemas.openxmlformats.org/officeDocument/2006/relationships/hyperlink" Target="https://www.oakha.org/propertyowners/paymentstandards/" TargetMode="External"/><Relationship Id="rId92" Type="http://schemas.openxmlformats.org/officeDocument/2006/relationships/hyperlink" Target="https://www.ochousing.org/sites/ocha/files/2025-10/2026%20Utility%20Allowance%20Schedule%20-%20Public%20Use.pdf" TargetMode="External"/><Relationship Id="rId162" Type="http://schemas.openxmlformats.org/officeDocument/2006/relationships/hyperlink" Target="https://www.shra.org/housing-choice-voucher-program/" TargetMode="External"/><Relationship Id="rId183" Type="http://schemas.openxmlformats.org/officeDocument/2006/relationships/hyperlink" Target="https://sdhc.org/wp-content/uploads/2022/Utility-Allowance-Chart.pdf" TargetMode="External"/><Relationship Id="rId2" Type="http://schemas.openxmlformats.org/officeDocument/2006/relationships/hyperlink" Target="https://hacla.org/sites/default/files/Section%208/Utility%20Allowances/Utility%20Allowance%20Effective%202024-12-01.pdf" TargetMode="External"/><Relationship Id="rId29" Type="http://schemas.openxmlformats.org/officeDocument/2006/relationships/hyperlink" Target="https://www.sandiegocounty.gov/content/dam/sdc/sdhcd/new-docs/Rental_assistance/Utility_Allowance_Schedule_HUD_52667_03-2025.pdf" TargetMode="External"/><Relationship Id="rId24" Type="http://schemas.openxmlformats.org/officeDocument/2006/relationships/hyperlink" Target="https://hacla.org/sites/default/files/Section%208/Utility%20Allowances/Utility%20Allowance%20Effective%202024-12-01.pdf" TargetMode="External"/><Relationship Id="rId40" Type="http://schemas.openxmlformats.org/officeDocument/2006/relationships/hyperlink" Target="https://www.sandiegocounty.gov/content/dam/sdc/sdhcd/new-docs/Rental_assistance/Utility_Allowance_Schedule_HUD_52667_03-2025.pdf" TargetMode="External"/><Relationship Id="rId45" Type="http://schemas.openxmlformats.org/officeDocument/2006/relationships/hyperlink" Target="https://www.sandiegocounty.gov/content/dam/sdc/sdhcd/new-docs/Rental_assistance/Utility_Allowance_Schedule_HUD_52667_03-2025.pdf" TargetMode="External"/><Relationship Id="rId66" Type="http://schemas.openxmlformats.org/officeDocument/2006/relationships/hyperlink" Target="https://www.oakha.org/propertyowners/paymentstandards/" TargetMode="External"/><Relationship Id="rId87" Type="http://schemas.openxmlformats.org/officeDocument/2006/relationships/hyperlink" Target="https://www.ochousing.org/sites/ocha/files/2025-10/2026%20Utility%20Allowance%20Schedule%20-%20Public%20Use.pdf" TargetMode="External"/><Relationship Id="rId110" Type="http://schemas.openxmlformats.org/officeDocument/2006/relationships/hyperlink" Target="https://www.shra.org/housing-choice-voucher-program/" TargetMode="External"/><Relationship Id="rId115" Type="http://schemas.openxmlformats.org/officeDocument/2006/relationships/hyperlink" Target="https://www.shra.org/housing-choice-voucher-program/" TargetMode="External"/><Relationship Id="rId131" Type="http://schemas.openxmlformats.org/officeDocument/2006/relationships/hyperlink" Target="https://www.shra.org/housing-choice-voucher-program/" TargetMode="External"/><Relationship Id="rId136" Type="http://schemas.openxmlformats.org/officeDocument/2006/relationships/hyperlink" Target="https://www.shra.org/housing-choice-voucher-program/" TargetMode="External"/><Relationship Id="rId157" Type="http://schemas.openxmlformats.org/officeDocument/2006/relationships/hyperlink" Target="https://www.shra.org/housing-choice-voucher-program/" TargetMode="External"/><Relationship Id="rId178" Type="http://schemas.openxmlformats.org/officeDocument/2006/relationships/hyperlink" Target="https://sdhc.org/wp-content/uploads/2022/Utility-Allowance-Chart.pdf" TargetMode="External"/><Relationship Id="rId61" Type="http://schemas.openxmlformats.org/officeDocument/2006/relationships/hyperlink" Target="https://www.oakha.org/propertyowners/paymentstandards/" TargetMode="External"/><Relationship Id="rId82" Type="http://schemas.openxmlformats.org/officeDocument/2006/relationships/hyperlink" Target="https://www.ochousing.org/sites/ocha/files/2025-10/2026%20Utility%20Allowance%20Schedule%20-%20Public%20Use.pdf" TargetMode="External"/><Relationship Id="rId152" Type="http://schemas.openxmlformats.org/officeDocument/2006/relationships/hyperlink" Target="https://www.shra.org/housing-choice-voucher-program/" TargetMode="External"/><Relationship Id="rId173" Type="http://schemas.openxmlformats.org/officeDocument/2006/relationships/hyperlink" Target="https://sdhc.org/wp-content/uploads/2022/Utility-Allowance-Chart.pdf" TargetMode="External"/><Relationship Id="rId19" Type="http://schemas.openxmlformats.org/officeDocument/2006/relationships/hyperlink" Target="https://hacla.org/sites/default/files/Section%208/Utility%20Allowances/Utility%20Allowance%20Effective%202024-12-01.pdf" TargetMode="External"/><Relationship Id="rId14" Type="http://schemas.openxmlformats.org/officeDocument/2006/relationships/hyperlink" Target="https://hacla.org/sites/default/files/Section%208/Utility%20Allowances/Utility%20Allowance%20Effective%202024-12-01.pdf" TargetMode="External"/><Relationship Id="rId30" Type="http://schemas.openxmlformats.org/officeDocument/2006/relationships/hyperlink" Target="https://www.sandiegocounty.gov/content/dam/sdc/sdhcd/new-docs/Rental_assistance/Utility_Allowance_Schedule_HUD_52667_03-2025.pdf" TargetMode="External"/><Relationship Id="rId35" Type="http://schemas.openxmlformats.org/officeDocument/2006/relationships/hyperlink" Target="https://www.sandiegocounty.gov/content/dam/sdc/sdhcd/new-docs/Rental_assistance/Utility_Allowance_Schedule_HUD_52667_03-2025.pdf" TargetMode="External"/><Relationship Id="rId56" Type="http://schemas.openxmlformats.org/officeDocument/2006/relationships/hyperlink" Target="https://www.oakha.org/propertyowners/paymentstandards/" TargetMode="External"/><Relationship Id="rId77" Type="http://schemas.openxmlformats.org/officeDocument/2006/relationships/hyperlink" Target="https://www.oakha.org/propertyowners/paymentstandards/" TargetMode="External"/><Relationship Id="rId100" Type="http://schemas.openxmlformats.org/officeDocument/2006/relationships/hyperlink" Target="https://www.ochousing.org/sites/ocha/files/2025-10/2026%20Utility%20Allowance%20Schedule%20-%20Public%20Use.pdf" TargetMode="External"/><Relationship Id="rId105" Type="http://schemas.openxmlformats.org/officeDocument/2006/relationships/hyperlink" Target="https://www.shra.org/housing-choice-voucher-program/" TargetMode="External"/><Relationship Id="rId126" Type="http://schemas.openxmlformats.org/officeDocument/2006/relationships/hyperlink" Target="https://www.shra.org/housing-choice-voucher-program/" TargetMode="External"/><Relationship Id="rId147" Type="http://schemas.openxmlformats.org/officeDocument/2006/relationships/hyperlink" Target="https://www.shra.org/housing-choice-voucher-program/" TargetMode="External"/><Relationship Id="rId168" Type="http://schemas.openxmlformats.org/officeDocument/2006/relationships/hyperlink" Target="https://sdhc.org/wp-content/uploads/2022/Utility-Allowance-Chart.pdf" TargetMode="External"/><Relationship Id="rId8" Type="http://schemas.openxmlformats.org/officeDocument/2006/relationships/hyperlink" Target="https://hacla.org/sites/default/files/Section%208/Utility%20Allowances/Utility%20Allowance%20Effective%202024-12-01.pdf" TargetMode="External"/><Relationship Id="rId51" Type="http://schemas.openxmlformats.org/officeDocument/2006/relationships/hyperlink" Target="https://www.sandiegocounty.gov/content/dam/sdc/sdhcd/new-docs/Rental_assistance/Utility_Allowance_Schedule_HUD_52667_03-2025.pdf" TargetMode="External"/><Relationship Id="rId72" Type="http://schemas.openxmlformats.org/officeDocument/2006/relationships/hyperlink" Target="https://www.oakha.org/propertyowners/paymentstandards/" TargetMode="External"/><Relationship Id="rId93" Type="http://schemas.openxmlformats.org/officeDocument/2006/relationships/hyperlink" Target="https://www.ochousing.org/sites/ocha/files/2025-10/2026%20Utility%20Allowance%20Schedule%20-%20Public%20Use.pdf" TargetMode="External"/><Relationship Id="rId98" Type="http://schemas.openxmlformats.org/officeDocument/2006/relationships/hyperlink" Target="https://www.ochousing.org/sites/ocha/files/2025-10/2026%20Utility%20Allowance%20Schedule%20-%20Public%20Use.pdf" TargetMode="External"/><Relationship Id="rId121" Type="http://schemas.openxmlformats.org/officeDocument/2006/relationships/hyperlink" Target="https://www.shra.org/housing-choice-voucher-program/" TargetMode="External"/><Relationship Id="rId142" Type="http://schemas.openxmlformats.org/officeDocument/2006/relationships/hyperlink" Target="https://www.shra.org/housing-choice-voucher-program/" TargetMode="External"/><Relationship Id="rId163" Type="http://schemas.openxmlformats.org/officeDocument/2006/relationships/hyperlink" Target="https://sdhc.org/wp-content/uploads/2022/Utility-Allowance-Chart.pdf" TargetMode="External"/><Relationship Id="rId184" Type="http://schemas.openxmlformats.org/officeDocument/2006/relationships/hyperlink" Target="https://sdhc.org/wp-content/uploads/2022/Utility-Allowance-Chart.pdf" TargetMode="External"/><Relationship Id="rId3" Type="http://schemas.openxmlformats.org/officeDocument/2006/relationships/hyperlink" Target="https://hacla.org/sites/default/files/Section%208/Utility%20Allowances/Utility%20Allowance%20Effective%202024-12-01.pdf" TargetMode="External"/><Relationship Id="rId25" Type="http://schemas.openxmlformats.org/officeDocument/2006/relationships/hyperlink" Target="https://hacla.org/sites/default/files/Section%208/Utility%20Allowances/Utility%20Allowance%20Effective%202024-12-01.pdf" TargetMode="External"/><Relationship Id="rId46" Type="http://schemas.openxmlformats.org/officeDocument/2006/relationships/hyperlink" Target="https://www.sandiegocounty.gov/content/dam/sdc/sdhcd/new-docs/Rental_assistance/Utility_Allowance_Schedule_HUD_52667_03-2025.pdf" TargetMode="External"/><Relationship Id="rId67" Type="http://schemas.openxmlformats.org/officeDocument/2006/relationships/hyperlink" Target="https://www.oakha.org/propertyowners/paymentstandards/" TargetMode="External"/><Relationship Id="rId116" Type="http://schemas.openxmlformats.org/officeDocument/2006/relationships/hyperlink" Target="https://www.shra.org/housing-choice-voucher-program/" TargetMode="External"/><Relationship Id="rId137" Type="http://schemas.openxmlformats.org/officeDocument/2006/relationships/hyperlink" Target="https://www.shra.org/housing-choice-voucher-program/" TargetMode="External"/><Relationship Id="rId158" Type="http://schemas.openxmlformats.org/officeDocument/2006/relationships/hyperlink" Target="https://www.shra.org/housing-choice-voucher-program/" TargetMode="External"/><Relationship Id="rId20" Type="http://schemas.openxmlformats.org/officeDocument/2006/relationships/hyperlink" Target="https://hacla.org/sites/default/files/Section%208/Utility%20Allowances/Utility%20Allowance%20Effective%202024-12-01.pdf" TargetMode="External"/><Relationship Id="rId41" Type="http://schemas.openxmlformats.org/officeDocument/2006/relationships/hyperlink" Target="https://www.sandiegocounty.gov/content/dam/sdc/sdhcd/new-docs/Rental_assistance/Utility_Allowance_Schedule_HUD_52667_03-2025.pdf" TargetMode="External"/><Relationship Id="rId62" Type="http://schemas.openxmlformats.org/officeDocument/2006/relationships/hyperlink" Target="https://www.oakha.org/propertyowners/paymentstandards/" TargetMode="External"/><Relationship Id="rId83" Type="http://schemas.openxmlformats.org/officeDocument/2006/relationships/hyperlink" Target="https://www.ochousing.org/sites/ocha/files/2025-10/2026%20Utility%20Allowance%20Schedule%20-%20Public%20Use.pdf" TargetMode="External"/><Relationship Id="rId88" Type="http://schemas.openxmlformats.org/officeDocument/2006/relationships/hyperlink" Target="https://www.ochousing.org/sites/ocha/files/2025-10/2026%20Utility%20Allowance%20Schedule%20-%20Public%20Use.pdf" TargetMode="External"/><Relationship Id="rId111" Type="http://schemas.openxmlformats.org/officeDocument/2006/relationships/hyperlink" Target="https://www.shra.org/housing-choice-voucher-program/" TargetMode="External"/><Relationship Id="rId132" Type="http://schemas.openxmlformats.org/officeDocument/2006/relationships/hyperlink" Target="https://www.shra.org/housing-choice-voucher-program/" TargetMode="External"/><Relationship Id="rId153" Type="http://schemas.openxmlformats.org/officeDocument/2006/relationships/hyperlink" Target="https://www.shra.org/housing-choice-voucher-program/" TargetMode="External"/><Relationship Id="rId174" Type="http://schemas.openxmlformats.org/officeDocument/2006/relationships/hyperlink" Target="https://sdhc.org/wp-content/uploads/2022/Utility-Allowance-Chart.pdf" TargetMode="External"/><Relationship Id="rId179" Type="http://schemas.openxmlformats.org/officeDocument/2006/relationships/hyperlink" Target="https://sdhc.org/wp-content/uploads/2022/Utility-Allowance-Chart.pdf" TargetMode="External"/><Relationship Id="rId15" Type="http://schemas.openxmlformats.org/officeDocument/2006/relationships/hyperlink" Target="https://hacla.org/sites/default/files/Section%208/Utility%20Allowances/Utility%20Allowance%20Effective%202024-12-01.pdf" TargetMode="External"/><Relationship Id="rId36" Type="http://schemas.openxmlformats.org/officeDocument/2006/relationships/hyperlink" Target="https://www.sandiegocounty.gov/content/dam/sdc/sdhcd/new-docs/Rental_assistance/Utility_Allowance_Schedule_HUD_52667_03-2025.pdf" TargetMode="External"/><Relationship Id="rId57" Type="http://schemas.openxmlformats.org/officeDocument/2006/relationships/hyperlink" Target="https://www.oakha.org/propertyowners/paymentstandards/" TargetMode="External"/><Relationship Id="rId106" Type="http://schemas.openxmlformats.org/officeDocument/2006/relationships/hyperlink" Target="https://www.shra.org/housing-choice-voucher-program/" TargetMode="External"/><Relationship Id="rId127" Type="http://schemas.openxmlformats.org/officeDocument/2006/relationships/hyperlink" Target="https://www.shra.org/housing-choice-voucher-program/" TargetMode="External"/><Relationship Id="rId10" Type="http://schemas.openxmlformats.org/officeDocument/2006/relationships/hyperlink" Target="https://hacla.org/sites/default/files/Section%208/Utility%20Allowances/Utility%20Allowance%20Effective%202024-12-01.pdf" TargetMode="External"/><Relationship Id="rId31" Type="http://schemas.openxmlformats.org/officeDocument/2006/relationships/hyperlink" Target="https://www.sandiegocounty.gov/content/dam/sdc/sdhcd/new-docs/Rental_assistance/Utility_Allowance_Schedule_HUD_52667_03-2025.pdf" TargetMode="External"/><Relationship Id="rId52" Type="http://schemas.openxmlformats.org/officeDocument/2006/relationships/hyperlink" Target="https://www.oakha.org/propertyowners/paymentstandards/" TargetMode="External"/><Relationship Id="rId73" Type="http://schemas.openxmlformats.org/officeDocument/2006/relationships/hyperlink" Target="https://www.oakha.org/propertyowners/paymentstandards/" TargetMode="External"/><Relationship Id="rId78" Type="http://schemas.openxmlformats.org/officeDocument/2006/relationships/hyperlink" Target="https://www.oakha.org/propertyowners/paymentstandards/" TargetMode="External"/><Relationship Id="rId94" Type="http://schemas.openxmlformats.org/officeDocument/2006/relationships/hyperlink" Target="https://www.ochousing.org/sites/ocha/files/2025-10/2026%20Utility%20Allowance%20Schedule%20-%20Public%20Use.pdf" TargetMode="External"/><Relationship Id="rId99" Type="http://schemas.openxmlformats.org/officeDocument/2006/relationships/hyperlink" Target="https://www.ochousing.org/sites/ocha/files/2025-10/2026%20Utility%20Allowance%20Schedule%20-%20Public%20Use.pdf" TargetMode="External"/><Relationship Id="rId101" Type="http://schemas.openxmlformats.org/officeDocument/2006/relationships/hyperlink" Target="https://www.ochousing.org/sites/ocha/files/2025-10/2026%20Utility%20Allowance%20Schedule%20-%20Public%20Use.pdf" TargetMode="External"/><Relationship Id="rId122" Type="http://schemas.openxmlformats.org/officeDocument/2006/relationships/hyperlink" Target="https://www.shra.org/housing-choice-voucher-program/" TargetMode="External"/><Relationship Id="rId143" Type="http://schemas.openxmlformats.org/officeDocument/2006/relationships/hyperlink" Target="https://www.shra.org/housing-choice-voucher-program/" TargetMode="External"/><Relationship Id="rId148" Type="http://schemas.openxmlformats.org/officeDocument/2006/relationships/hyperlink" Target="https://www.shra.org/housing-choice-voucher-program/" TargetMode="External"/><Relationship Id="rId164" Type="http://schemas.openxmlformats.org/officeDocument/2006/relationships/hyperlink" Target="https://sdhc.org/wp-content/uploads/2022/Utility-Allowance-Chart.pdf" TargetMode="External"/><Relationship Id="rId169" Type="http://schemas.openxmlformats.org/officeDocument/2006/relationships/hyperlink" Target="https://sdhc.org/wp-content/uploads/2022/Utility-Allowance-Chart.pdf" TargetMode="External"/><Relationship Id="rId185" Type="http://schemas.openxmlformats.org/officeDocument/2006/relationships/hyperlink" Target="https://sdhc.org/wp-content/uploads/2022/Utility-Allowance-Chart.pdf" TargetMode="External"/><Relationship Id="rId4" Type="http://schemas.openxmlformats.org/officeDocument/2006/relationships/hyperlink" Target="https://hacla.org/sites/default/files/Section%208/Utility%20Allowances/Utility%20Allowance%20Effective%202024-12-01.pdf" TargetMode="External"/><Relationship Id="rId9" Type="http://schemas.openxmlformats.org/officeDocument/2006/relationships/hyperlink" Target="https://hacla.org/sites/default/files/Section%208/Utility%20Allowances/Utility%20Allowance%20Effective%202024-12-01.pdf" TargetMode="External"/><Relationship Id="rId180" Type="http://schemas.openxmlformats.org/officeDocument/2006/relationships/hyperlink" Target="https://sdhc.org/wp-content/uploads/2022/Utility-Allowance-Chart.pdf" TargetMode="External"/><Relationship Id="rId26" Type="http://schemas.openxmlformats.org/officeDocument/2006/relationships/hyperlink" Target="https://hacla.org/sites/default/files/Section%208/Utility%20Allowances/Utility%20Allowance%20Effective%202024-12-01.pdf" TargetMode="External"/><Relationship Id="rId47" Type="http://schemas.openxmlformats.org/officeDocument/2006/relationships/hyperlink" Target="https://www.sandiegocounty.gov/content/dam/sdc/sdhcd/new-docs/Rental_assistance/Utility_Allowance_Schedule_HUD_52667_03-2025.pdf" TargetMode="External"/><Relationship Id="rId68" Type="http://schemas.openxmlformats.org/officeDocument/2006/relationships/hyperlink" Target="https://www.oakha.org/propertyowners/paymentstandards/" TargetMode="External"/><Relationship Id="rId89" Type="http://schemas.openxmlformats.org/officeDocument/2006/relationships/hyperlink" Target="https://www.ochousing.org/sites/ocha/files/2025-10/2026%20Utility%20Allowance%20Schedule%20-%20Public%20Use.pdf" TargetMode="External"/><Relationship Id="rId112" Type="http://schemas.openxmlformats.org/officeDocument/2006/relationships/hyperlink" Target="https://www.shra.org/housing-choice-voucher-program/" TargetMode="External"/><Relationship Id="rId133" Type="http://schemas.openxmlformats.org/officeDocument/2006/relationships/hyperlink" Target="https://www.shra.org/housing-choice-voucher-program/" TargetMode="External"/><Relationship Id="rId154" Type="http://schemas.openxmlformats.org/officeDocument/2006/relationships/hyperlink" Target="https://www.shra.org/housing-choice-voucher-program/" TargetMode="External"/><Relationship Id="rId175" Type="http://schemas.openxmlformats.org/officeDocument/2006/relationships/hyperlink" Target="https://sdhc.org/wp-content/uploads/2022/Utility-Allowance-Chart.pdf" TargetMode="External"/><Relationship Id="rId16" Type="http://schemas.openxmlformats.org/officeDocument/2006/relationships/hyperlink" Target="https://hacla.org/sites/default/files/Section%208/Utility%20Allowances/Utility%20Allowance%20Effective%202024-12-01.pdf" TargetMode="External"/><Relationship Id="rId37" Type="http://schemas.openxmlformats.org/officeDocument/2006/relationships/hyperlink" Target="https://www.sandiegocounty.gov/content/dam/sdc/sdhcd/new-docs/Rental_assistance/Utility_Allowance_Schedule_HUD_52667_03-2025.pdf" TargetMode="External"/><Relationship Id="rId58" Type="http://schemas.openxmlformats.org/officeDocument/2006/relationships/hyperlink" Target="https://www.oakha.org/propertyowners/paymentstandards/" TargetMode="External"/><Relationship Id="rId79" Type="http://schemas.openxmlformats.org/officeDocument/2006/relationships/hyperlink" Target="https://www.oakha.org/propertyowners/paymentstandards/" TargetMode="External"/><Relationship Id="rId102" Type="http://schemas.openxmlformats.org/officeDocument/2006/relationships/hyperlink" Target="https://www.ochousing.org/sites/ocha/files/2025-10/2026%20Utility%20Allowance%20Schedule%20-%20Public%20Use.pdf" TargetMode="External"/><Relationship Id="rId123" Type="http://schemas.openxmlformats.org/officeDocument/2006/relationships/hyperlink" Target="https://www.shra.org/housing-choice-voucher-program/" TargetMode="External"/><Relationship Id="rId144" Type="http://schemas.openxmlformats.org/officeDocument/2006/relationships/hyperlink" Target="https://www.shra.org/housing-choice-voucher-program/" TargetMode="External"/><Relationship Id="rId90" Type="http://schemas.openxmlformats.org/officeDocument/2006/relationships/hyperlink" Target="https://www.ochousing.org/sites/ocha/files/2025-10/2026%20Utility%20Allowance%20Schedule%20-%20Public%20Use.pdf" TargetMode="External"/><Relationship Id="rId165" Type="http://schemas.openxmlformats.org/officeDocument/2006/relationships/hyperlink" Target="https://sdhc.org/wp-content/uploads/2022/Utility-Allowance-Chart.pdf" TargetMode="External"/><Relationship Id="rId186" Type="http://schemas.openxmlformats.org/officeDocument/2006/relationships/hyperlink" Target="https://sdhc.org/wp-content/uploads/2022/Utility-Allowance-Chart.pdf" TargetMode="External"/><Relationship Id="rId27" Type="http://schemas.openxmlformats.org/officeDocument/2006/relationships/hyperlink" Target="https://www.sandiegocounty.gov/content/dam/sdc/sdhcd/new-docs/Rental_assistance/Utility_Allowance_Schedule_HUD_52667_03-2025.pdf" TargetMode="External"/><Relationship Id="rId48" Type="http://schemas.openxmlformats.org/officeDocument/2006/relationships/hyperlink" Target="https://www.sandiegocounty.gov/content/dam/sdc/sdhcd/new-docs/Rental_assistance/Utility_Allowance_Schedule_HUD_52667_03-2025.pdf" TargetMode="External"/><Relationship Id="rId69" Type="http://schemas.openxmlformats.org/officeDocument/2006/relationships/hyperlink" Target="https://www.oakha.org/propertyowners/paymentstandards/" TargetMode="External"/><Relationship Id="rId113" Type="http://schemas.openxmlformats.org/officeDocument/2006/relationships/hyperlink" Target="https://www.shra.org/housing-choice-voucher-program/" TargetMode="External"/><Relationship Id="rId134" Type="http://schemas.openxmlformats.org/officeDocument/2006/relationships/hyperlink" Target="https://www.shra.org/housing-choice-voucher-program/" TargetMode="External"/><Relationship Id="rId80" Type="http://schemas.openxmlformats.org/officeDocument/2006/relationships/hyperlink" Target="https://www.ochousing.org/sites/ocha/files/2025-10/2026%20Utility%20Allowance%20Schedule%20-%20Public%20Use.pdf" TargetMode="External"/><Relationship Id="rId155" Type="http://schemas.openxmlformats.org/officeDocument/2006/relationships/hyperlink" Target="https://www.shra.org/housing-choice-voucher-program/" TargetMode="External"/><Relationship Id="rId176" Type="http://schemas.openxmlformats.org/officeDocument/2006/relationships/hyperlink" Target="https://sdhc.org/wp-content/uploads/2022/Utility-Allowance-Chart.pdf" TargetMode="External"/><Relationship Id="rId17" Type="http://schemas.openxmlformats.org/officeDocument/2006/relationships/hyperlink" Target="https://hacla.org/sites/default/files/Section%208/Utility%20Allowances/Utility%20Allowance%20Effective%202024-12-01.pdf" TargetMode="External"/><Relationship Id="rId38" Type="http://schemas.openxmlformats.org/officeDocument/2006/relationships/hyperlink" Target="https://www.sandiegocounty.gov/content/dam/sdc/sdhcd/new-docs/Rental_assistance/Utility_Allowance_Schedule_HUD_52667_03-2025.pdf" TargetMode="External"/><Relationship Id="rId59" Type="http://schemas.openxmlformats.org/officeDocument/2006/relationships/hyperlink" Target="https://www.oakha.org/propertyowners/paymentstandards/" TargetMode="External"/><Relationship Id="rId103" Type="http://schemas.openxmlformats.org/officeDocument/2006/relationships/hyperlink" Target="https://www.ochousing.org/sites/ocha/files/2025-10/2026%20Utility%20Allowance%20Schedule%20-%20Public%20Use.pdf" TargetMode="External"/><Relationship Id="rId124" Type="http://schemas.openxmlformats.org/officeDocument/2006/relationships/hyperlink" Target="https://www.shra.org/housing-choice-voucher-program/" TargetMode="External"/><Relationship Id="rId70" Type="http://schemas.openxmlformats.org/officeDocument/2006/relationships/hyperlink" Target="https://www.oakha.org/propertyowners/paymentstandards/" TargetMode="External"/><Relationship Id="rId91" Type="http://schemas.openxmlformats.org/officeDocument/2006/relationships/hyperlink" Target="https://www.ochousing.org/sites/ocha/files/2025-10/2026%20Utility%20Allowance%20Schedule%20-%20Public%20Use.pdf" TargetMode="External"/><Relationship Id="rId145" Type="http://schemas.openxmlformats.org/officeDocument/2006/relationships/hyperlink" Target="https://www.shra.org/housing-choice-voucher-program/" TargetMode="External"/><Relationship Id="rId166" Type="http://schemas.openxmlformats.org/officeDocument/2006/relationships/hyperlink" Target="https://sdhc.org/wp-content/uploads/2022/Utility-Allowance-Chart.pdf" TargetMode="External"/><Relationship Id="rId187" Type="http://schemas.openxmlformats.org/officeDocument/2006/relationships/hyperlink" Target="https://sdhc.org/wp-content/uploads/2022/Utility-Allowance-Chart.pdf" TargetMode="External"/><Relationship Id="rId1" Type="http://schemas.openxmlformats.org/officeDocument/2006/relationships/hyperlink" Target="https://hacla.org/sites/default/files/Section%208/Utility%20Allowances/Utility%20Allowance%20Effective%202024-12-01.pdf" TargetMode="External"/><Relationship Id="rId28" Type="http://schemas.openxmlformats.org/officeDocument/2006/relationships/hyperlink" Target="https://www.sandiegocounty.gov/content/dam/sdc/sdhcd/new-docs/Rental_assistance/Utility_Allowance_Schedule_HUD_52667_03-2025.pdf" TargetMode="External"/><Relationship Id="rId49" Type="http://schemas.openxmlformats.org/officeDocument/2006/relationships/hyperlink" Target="https://www.sandiegocounty.gov/content/dam/sdc/sdhcd/new-docs/Rental_assistance/Utility_Allowance_Schedule_HUD_52667_03-2025.pdf" TargetMode="External"/><Relationship Id="rId114" Type="http://schemas.openxmlformats.org/officeDocument/2006/relationships/hyperlink" Target="https://www.shra.org/housing-choice-voucher-program/" TargetMode="External"/><Relationship Id="rId60" Type="http://schemas.openxmlformats.org/officeDocument/2006/relationships/hyperlink" Target="https://www.oakha.org/propertyowners/paymentstandards/" TargetMode="External"/><Relationship Id="rId81" Type="http://schemas.openxmlformats.org/officeDocument/2006/relationships/hyperlink" Target="https://www.ochousing.org/sites/ocha/files/2025-10/2026%20Utility%20Allowance%20Schedule%20-%20Public%20Use.pdf" TargetMode="External"/><Relationship Id="rId135" Type="http://schemas.openxmlformats.org/officeDocument/2006/relationships/hyperlink" Target="https://www.shra.org/housing-choice-voucher-program/" TargetMode="External"/><Relationship Id="rId156" Type="http://schemas.openxmlformats.org/officeDocument/2006/relationships/hyperlink" Target="https://www.shra.org/housing-choice-voucher-program/" TargetMode="External"/><Relationship Id="rId177" Type="http://schemas.openxmlformats.org/officeDocument/2006/relationships/hyperlink" Target="https://sdhc.org/wp-content/uploads/2022/Utility-Allowance-Chart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1C1C4-2A49-014B-8187-7819A9442261}">
  <dimension ref="B3:C13"/>
  <sheetViews>
    <sheetView workbookViewId="0">
      <selection activeCell="D13" sqref="D13"/>
    </sheetView>
  </sheetViews>
  <sheetFormatPr baseColWidth="10" defaultColWidth="10.83203125" defaultRowHeight="15" x14ac:dyDescent="0.2"/>
  <cols>
    <col min="2" max="2" width="15.83203125" customWidth="1"/>
    <col min="3" max="3" width="51.83203125" customWidth="1"/>
  </cols>
  <sheetData>
    <row r="3" spans="2:3" x14ac:dyDescent="0.2">
      <c r="B3" t="s">
        <v>280</v>
      </c>
      <c r="C3" t="s">
        <v>645</v>
      </c>
    </row>
    <row r="4" spans="2:3" x14ac:dyDescent="0.2">
      <c r="B4" s="270">
        <v>46175</v>
      </c>
      <c r="C4" t="s">
        <v>646</v>
      </c>
    </row>
    <row r="5" spans="2:3" x14ac:dyDescent="0.2">
      <c r="C5" t="s">
        <v>647</v>
      </c>
    </row>
    <row r="6" spans="2:3" x14ac:dyDescent="0.2">
      <c r="B6" s="270">
        <v>46178</v>
      </c>
      <c r="C6" t="s">
        <v>682</v>
      </c>
    </row>
    <row r="7" spans="2:3" x14ac:dyDescent="0.2">
      <c r="C7" t="s">
        <v>683</v>
      </c>
    </row>
    <row r="8" spans="2:3" x14ac:dyDescent="0.2">
      <c r="B8" s="270">
        <v>46182</v>
      </c>
      <c r="C8" t="s">
        <v>723</v>
      </c>
    </row>
    <row r="9" spans="2:3" x14ac:dyDescent="0.2">
      <c r="C9" t="s">
        <v>724</v>
      </c>
    </row>
    <row r="10" spans="2:3" x14ac:dyDescent="0.2">
      <c r="C10" t="s">
        <v>725</v>
      </c>
    </row>
    <row r="11" spans="2:3" x14ac:dyDescent="0.2">
      <c r="B11" s="270">
        <v>46195</v>
      </c>
      <c r="C11" t="s">
        <v>783</v>
      </c>
    </row>
    <row r="12" spans="2:3" x14ac:dyDescent="0.2">
      <c r="B12" s="270">
        <v>46196</v>
      </c>
      <c r="C12" t="s">
        <v>784</v>
      </c>
    </row>
    <row r="13" spans="2:3" x14ac:dyDescent="0.2">
      <c r="C13" t="s">
        <v>788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EDC5E-2B0B-4ED7-9E91-8C437EBD0AB9}">
  <dimension ref="B3:J76"/>
  <sheetViews>
    <sheetView topLeftCell="A13" workbookViewId="0">
      <selection activeCell="B70" sqref="B70"/>
    </sheetView>
  </sheetViews>
  <sheetFormatPr baseColWidth="10" defaultColWidth="8.83203125" defaultRowHeight="15" x14ac:dyDescent="0.2"/>
  <cols>
    <col min="2" max="2" width="24.33203125" customWidth="1"/>
    <col min="3" max="3" width="18.1640625" customWidth="1"/>
    <col min="5" max="5" width="22.6640625" customWidth="1"/>
    <col min="6" max="10" width="13.5" customWidth="1"/>
  </cols>
  <sheetData>
    <row r="3" spans="2:10" x14ac:dyDescent="0.2">
      <c r="B3" s="62" t="s">
        <v>628</v>
      </c>
      <c r="C3" s="62"/>
      <c r="E3" s="62" t="s">
        <v>629</v>
      </c>
      <c r="F3" s="64" t="s">
        <v>630</v>
      </c>
      <c r="G3" s="64" t="s">
        <v>631</v>
      </c>
      <c r="H3" s="64" t="s">
        <v>632</v>
      </c>
      <c r="I3" s="64" t="s">
        <v>633</v>
      </c>
      <c r="J3" s="64" t="s">
        <v>634</v>
      </c>
    </row>
    <row r="4" spans="2:10" x14ac:dyDescent="0.2">
      <c r="B4" t="s">
        <v>297</v>
      </c>
      <c r="C4" s="178" t="s">
        <v>343</v>
      </c>
    </row>
    <row r="5" spans="2:10" x14ac:dyDescent="0.2">
      <c r="B5" t="s">
        <v>411</v>
      </c>
      <c r="C5" s="178" t="s">
        <v>485</v>
      </c>
      <c r="E5" t="s">
        <v>596</v>
      </c>
      <c r="F5" s="178" t="s">
        <v>125</v>
      </c>
      <c r="G5" s="178" t="s">
        <v>125</v>
      </c>
      <c r="H5" s="178" t="s">
        <v>125</v>
      </c>
      <c r="I5" s="178" t="s">
        <v>125</v>
      </c>
      <c r="J5" s="178" t="s">
        <v>125</v>
      </c>
    </row>
    <row r="6" spans="2:10" x14ac:dyDescent="0.2">
      <c r="B6" t="s">
        <v>585</v>
      </c>
      <c r="C6" s="178" t="s">
        <v>586</v>
      </c>
      <c r="E6" t="s">
        <v>597</v>
      </c>
      <c r="F6" s="178" t="s">
        <v>100</v>
      </c>
      <c r="G6" s="178" t="s">
        <v>100</v>
      </c>
      <c r="H6" s="178" t="s">
        <v>100</v>
      </c>
      <c r="I6" s="178" t="s">
        <v>100</v>
      </c>
      <c r="J6" s="178" t="s">
        <v>100</v>
      </c>
    </row>
    <row r="7" spans="2:10" x14ac:dyDescent="0.2">
      <c r="B7" t="s">
        <v>592</v>
      </c>
      <c r="C7" s="178" t="s">
        <v>595</v>
      </c>
      <c r="E7" t="s">
        <v>618</v>
      </c>
      <c r="F7" s="178" t="s">
        <v>100</v>
      </c>
      <c r="G7" s="178" t="s">
        <v>100</v>
      </c>
      <c r="H7" s="178" t="s">
        <v>100</v>
      </c>
      <c r="I7" s="178" t="s">
        <v>100</v>
      </c>
      <c r="J7" s="178" t="s">
        <v>100</v>
      </c>
    </row>
    <row r="8" spans="2:10" x14ac:dyDescent="0.2">
      <c r="B8" t="s">
        <v>594</v>
      </c>
      <c r="C8" s="178" t="s">
        <v>100</v>
      </c>
      <c r="E8" t="s">
        <v>160</v>
      </c>
      <c r="F8" s="185" t="e">
        <f>+F9/D13</f>
        <v>#DIV/0!</v>
      </c>
      <c r="G8" s="185" t="e">
        <f>+G9/E13</f>
        <v>#VALUE!</v>
      </c>
      <c r="H8" s="185" t="e">
        <f>+H9/F13</f>
        <v>#DIV/0!</v>
      </c>
      <c r="I8" s="185" t="e">
        <f>+I9/G13</f>
        <v>#DIV/0!</v>
      </c>
      <c r="J8" s="185" t="e">
        <f>+J9/H13</f>
        <v>#DIV/0!</v>
      </c>
    </row>
    <row r="9" spans="2:10" x14ac:dyDescent="0.2">
      <c r="B9" t="s">
        <v>593</v>
      </c>
      <c r="C9" s="178" t="s">
        <v>100</v>
      </c>
      <c r="E9" t="s">
        <v>17</v>
      </c>
      <c r="F9" s="185" t="e">
        <f>+MAX(ROUNDDOWN(F12/L8,0),1)</f>
        <v>#DIV/0!</v>
      </c>
      <c r="G9" s="185" t="e">
        <f>+MAX(ROUNDDOWN(G12/M8,0),1)</f>
        <v>#VALUE!</v>
      </c>
      <c r="H9" s="185" t="e">
        <f>+MAX(ROUNDDOWN(H12/N8,0),1)</f>
        <v>#DIV/0!</v>
      </c>
      <c r="I9" s="185" t="e">
        <f>+MAX(ROUNDDOWN(I12/O8,0),1)</f>
        <v>#DIV/0!</v>
      </c>
      <c r="J9" s="185" t="e">
        <f>+MAX(ROUNDDOWN(J12/P8,0),1)</f>
        <v>#DIV/0!</v>
      </c>
    </row>
    <row r="10" spans="2:10" x14ac:dyDescent="0.2">
      <c r="B10" t="s">
        <v>559</v>
      </c>
      <c r="C10" s="214">
        <v>27007</v>
      </c>
      <c r="E10" t="s">
        <v>625</v>
      </c>
      <c r="F10" s="214">
        <v>5</v>
      </c>
      <c r="G10" s="214">
        <v>5</v>
      </c>
      <c r="H10" s="214">
        <v>5</v>
      </c>
      <c r="I10" s="214">
        <v>5</v>
      </c>
      <c r="J10" s="214">
        <v>5</v>
      </c>
    </row>
    <row r="11" spans="2:10" x14ac:dyDescent="0.2">
      <c r="E11" t="s">
        <v>410</v>
      </c>
      <c r="F11" s="265">
        <f>3.5/5*F10</f>
        <v>3.5</v>
      </c>
      <c r="G11" s="265">
        <f>3.5/5*G10</f>
        <v>3.5</v>
      </c>
      <c r="H11" s="265">
        <f>3.5/5*H10</f>
        <v>3.5</v>
      </c>
      <c r="I11" s="265">
        <f>3.5/5*I10</f>
        <v>3.5</v>
      </c>
      <c r="J11" s="265">
        <f>3.5/5*J10</f>
        <v>3.5</v>
      </c>
    </row>
    <row r="12" spans="2:10" x14ac:dyDescent="0.2">
      <c r="E12" t="s">
        <v>409</v>
      </c>
      <c r="F12" s="2">
        <f>+D13*43560*F11*0.8</f>
        <v>0</v>
      </c>
      <c r="G12" s="2" t="e">
        <f>+E13*43560*G11*0.8</f>
        <v>#VALUE!</v>
      </c>
      <c r="H12" s="2">
        <f>+F13*43560*H11*0.8</f>
        <v>0</v>
      </c>
      <c r="I12" s="2">
        <f>+G13*43560*I11*0.8</f>
        <v>0</v>
      </c>
      <c r="J12" s="2">
        <f>+H13*43560*J11*0.8</f>
        <v>0</v>
      </c>
    </row>
    <row r="13" spans="2:10" x14ac:dyDescent="0.2">
      <c r="E13" t="s">
        <v>576</v>
      </c>
      <c r="F13" s="35">
        <v>0</v>
      </c>
      <c r="G13" s="35">
        <v>0</v>
      </c>
      <c r="H13" s="35">
        <v>0</v>
      </c>
      <c r="I13" s="35">
        <v>0</v>
      </c>
      <c r="J13" s="35">
        <v>0</v>
      </c>
    </row>
    <row r="14" spans="2:10" x14ac:dyDescent="0.2">
      <c r="E14" t="s">
        <v>66</v>
      </c>
      <c r="F14" s="36">
        <v>2.5000000000000001E-2</v>
      </c>
      <c r="G14" s="36">
        <v>2.5000000000000001E-2</v>
      </c>
      <c r="H14" s="36">
        <v>2.5000000000000001E-2</v>
      </c>
      <c r="I14" s="36">
        <v>2.5000000000000001E-2</v>
      </c>
      <c r="J14" s="36">
        <v>2.5000000000000001E-2</v>
      </c>
    </row>
    <row r="15" spans="2:10" x14ac:dyDescent="0.2">
      <c r="E15" t="s">
        <v>602</v>
      </c>
      <c r="F15" s="36">
        <v>3.5000000000000003E-2</v>
      </c>
      <c r="G15" s="36">
        <v>3.5000000000000003E-2</v>
      </c>
      <c r="H15" s="36">
        <v>3.5000000000000003E-2</v>
      </c>
      <c r="I15" s="36">
        <v>3.5000000000000003E-2</v>
      </c>
      <c r="J15" s="36">
        <v>3.5000000000000003E-2</v>
      </c>
    </row>
    <row r="16" spans="2:10" x14ac:dyDescent="0.2">
      <c r="E16" t="s">
        <v>142</v>
      </c>
      <c r="F16" s="36">
        <v>0.27500000000000002</v>
      </c>
      <c r="G16" s="36">
        <v>0.27500000000000002</v>
      </c>
      <c r="H16" s="36">
        <v>0.27500000000000002</v>
      </c>
      <c r="I16" s="36">
        <v>0.27500000000000002</v>
      </c>
      <c r="J16" s="36">
        <v>0.27500000000000002</v>
      </c>
    </row>
    <row r="18" spans="5:5" x14ac:dyDescent="0.2">
      <c r="E18" s="1" t="s">
        <v>635</v>
      </c>
    </row>
    <row r="19" spans="5:5" x14ac:dyDescent="0.2">
      <c r="E19" s="147" t="s">
        <v>157</v>
      </c>
    </row>
    <row r="20" spans="5:5" x14ac:dyDescent="0.2">
      <c r="E20" s="147" t="s">
        <v>58</v>
      </c>
    </row>
    <row r="21" spans="5:5" x14ac:dyDescent="0.2">
      <c r="E21" s="147" t="s">
        <v>158</v>
      </c>
    </row>
    <row r="22" spans="5:5" x14ac:dyDescent="0.2">
      <c r="E22" s="147" t="s">
        <v>287</v>
      </c>
    </row>
    <row r="24" spans="5:5" x14ac:dyDescent="0.2">
      <c r="E24" s="266" t="s">
        <v>636</v>
      </c>
    </row>
    <row r="25" spans="5:5" x14ac:dyDescent="0.2">
      <c r="E25" s="199">
        <v>0.3</v>
      </c>
    </row>
    <row r="26" spans="5:5" x14ac:dyDescent="0.2">
      <c r="E26" s="199">
        <v>0.5</v>
      </c>
    </row>
    <row r="27" spans="5:5" x14ac:dyDescent="0.2">
      <c r="E27" s="199">
        <v>0.6</v>
      </c>
    </row>
    <row r="28" spans="5:5" x14ac:dyDescent="0.2">
      <c r="E28" s="203">
        <v>0.7</v>
      </c>
    </row>
    <row r="30" spans="5:5" x14ac:dyDescent="0.2">
      <c r="E30" s="1" t="s">
        <v>637</v>
      </c>
    </row>
    <row r="31" spans="5:5" x14ac:dyDescent="0.2">
      <c r="E31" t="s">
        <v>1</v>
      </c>
    </row>
    <row r="32" spans="5:5" x14ac:dyDescent="0.2">
      <c r="E32" t="s">
        <v>149</v>
      </c>
    </row>
    <row r="33" spans="5:5" x14ac:dyDescent="0.2">
      <c r="E33" t="s">
        <v>2</v>
      </c>
    </row>
    <row r="34" spans="5:5" x14ac:dyDescent="0.2">
      <c r="E34" t="s">
        <v>3</v>
      </c>
    </row>
    <row r="35" spans="5:5" x14ac:dyDescent="0.2">
      <c r="E35" t="s">
        <v>4</v>
      </c>
    </row>
    <row r="36" spans="5:5" x14ac:dyDescent="0.2">
      <c r="E36" t="s">
        <v>5</v>
      </c>
    </row>
    <row r="37" spans="5:5" x14ac:dyDescent="0.2">
      <c r="E37" t="s">
        <v>620</v>
      </c>
    </row>
    <row r="38" spans="5:5" x14ac:dyDescent="0.2">
      <c r="E38" t="s">
        <v>621</v>
      </c>
    </row>
    <row r="39" spans="5:5" x14ac:dyDescent="0.2">
      <c r="E39" t="s">
        <v>619</v>
      </c>
    </row>
    <row r="40" spans="5:5" x14ac:dyDescent="0.2">
      <c r="E40" t="s">
        <v>563</v>
      </c>
    </row>
    <row r="41" spans="5:5" x14ac:dyDescent="0.2">
      <c r="E41" t="s">
        <v>564</v>
      </c>
    </row>
    <row r="42" spans="5:5" x14ac:dyDescent="0.2">
      <c r="E42" t="s">
        <v>565</v>
      </c>
    </row>
    <row r="43" spans="5:5" x14ac:dyDescent="0.2">
      <c r="E43" t="s">
        <v>7</v>
      </c>
    </row>
    <row r="44" spans="5:5" x14ac:dyDescent="0.2">
      <c r="E44" t="s">
        <v>8</v>
      </c>
    </row>
    <row r="45" spans="5:5" x14ac:dyDescent="0.2">
      <c r="E45" t="s">
        <v>52</v>
      </c>
    </row>
    <row r="46" spans="5:5" x14ac:dyDescent="0.2">
      <c r="E46" t="s">
        <v>9</v>
      </c>
    </row>
    <row r="47" spans="5:5" x14ac:dyDescent="0.2">
      <c r="E47" t="s">
        <v>10</v>
      </c>
    </row>
    <row r="48" spans="5:5" x14ac:dyDescent="0.2">
      <c r="E48" t="s">
        <v>615</v>
      </c>
    </row>
    <row r="49" spans="5:5" x14ac:dyDescent="0.2">
      <c r="E49" t="s">
        <v>285</v>
      </c>
    </row>
    <row r="50" spans="5:5" x14ac:dyDescent="0.2">
      <c r="E50" t="s">
        <v>286</v>
      </c>
    </row>
    <row r="51" spans="5:5" x14ac:dyDescent="0.2">
      <c r="E51" t="s">
        <v>165</v>
      </c>
    </row>
    <row r="53" spans="5:5" x14ac:dyDescent="0.2">
      <c r="E53" s="1" t="s">
        <v>639</v>
      </c>
    </row>
    <row r="54" spans="5:5" x14ac:dyDescent="0.2">
      <c r="E54" t="s">
        <v>640</v>
      </c>
    </row>
    <row r="55" spans="5:5" x14ac:dyDescent="0.2">
      <c r="E55" t="s">
        <v>641</v>
      </c>
    </row>
    <row r="57" spans="5:5" x14ac:dyDescent="0.2">
      <c r="E57" s="1" t="s">
        <v>638</v>
      </c>
    </row>
    <row r="58" spans="5:5" x14ac:dyDescent="0.2">
      <c r="E58" t="s">
        <v>169</v>
      </c>
    </row>
    <row r="60" spans="5:5" x14ac:dyDescent="0.2">
      <c r="E60" s="1" t="s">
        <v>41</v>
      </c>
    </row>
    <row r="61" spans="5:5" x14ac:dyDescent="0.2">
      <c r="E61" t="s">
        <v>169</v>
      </c>
    </row>
    <row r="62" spans="5:5" x14ac:dyDescent="0.2">
      <c r="E62" t="s">
        <v>170</v>
      </c>
    </row>
    <row r="63" spans="5:5" x14ac:dyDescent="0.2">
      <c r="E63" t="s">
        <v>601</v>
      </c>
    </row>
    <row r="65" spans="5:5" x14ac:dyDescent="0.2">
      <c r="E65" s="1" t="s">
        <v>167</v>
      </c>
    </row>
    <row r="66" spans="5:5" x14ac:dyDescent="0.2">
      <c r="E66" t="s">
        <v>169</v>
      </c>
    </row>
    <row r="67" spans="5:5" x14ac:dyDescent="0.2">
      <c r="E67" t="s">
        <v>170</v>
      </c>
    </row>
    <row r="68" spans="5:5" x14ac:dyDescent="0.2">
      <c r="E68" t="s">
        <v>601</v>
      </c>
    </row>
    <row r="69" spans="5:5" x14ac:dyDescent="0.2">
      <c r="E69" t="s">
        <v>171</v>
      </c>
    </row>
    <row r="71" spans="5:5" x14ac:dyDescent="0.2">
      <c r="E71" s="1" t="s">
        <v>279</v>
      </c>
    </row>
    <row r="72" spans="5:5" x14ac:dyDescent="0.2">
      <c r="E72" t="s">
        <v>588</v>
      </c>
    </row>
    <row r="73" spans="5:5" x14ac:dyDescent="0.2">
      <c r="E73" t="s">
        <v>587</v>
      </c>
    </row>
    <row r="74" spans="5:5" x14ac:dyDescent="0.2">
      <c r="E74" t="s">
        <v>273</v>
      </c>
    </row>
    <row r="75" spans="5:5" x14ac:dyDescent="0.2">
      <c r="E75" t="s">
        <v>561</v>
      </c>
    </row>
    <row r="76" spans="5:5" x14ac:dyDescent="0.2">
      <c r="E76" t="s">
        <v>562</v>
      </c>
    </row>
  </sheetData>
  <phoneticPr fontId="3" type="noConversion"/>
  <dataValidations disablePrompts="1" count="6">
    <dataValidation type="list" allowBlank="1" showInputMessage="1" showErrorMessage="1" sqref="F5:J5" xr:uid="{8F350A6D-A979-43D1-BD1B-5730C961BB45}">
      <formula1>"Type I,Type III,Other"</formula1>
    </dataValidation>
    <dataValidation type="list" allowBlank="1" showInputMessage="1" showErrorMessage="1" sqref="C8:C9 F6:J7" xr:uid="{9FDDD9D7-ED0A-45EC-95D2-558E82F3C0E7}">
      <formula1>"Yes,No"</formula1>
    </dataValidation>
    <dataValidation type="list" allowBlank="1" showInputMessage="1" showErrorMessage="1" sqref="C7" xr:uid="{3F4BEC2B-3C17-483A-8679-E8F7EAEF070C}">
      <formula1>"Low,Medium,High,Highest"</formula1>
    </dataValidation>
    <dataValidation type="list" allowBlank="1" showInputMessage="1" showErrorMessage="1" sqref="C6" xr:uid="{48303B9E-CB96-4C57-98F7-38B345231A7B}">
      <formula1>"QCT,DDA,None"</formula1>
    </dataValidation>
    <dataValidation type="list" allowBlank="1" showInputMessage="1" showErrorMessage="1" sqref="C5" xr:uid="{3CE6C6AE-CB58-447D-A147-EEDF519A6300}">
      <formula1>$AG$29:$AG$40</formula1>
    </dataValidation>
    <dataValidation type="list" allowBlank="1" showInputMessage="1" showErrorMessage="1" sqref="E28" xr:uid="{29CC2D4F-29F4-4E41-AF31-21416AE426D4}">
      <formula1>"70%,80%"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BB2E0A0-4582-4024-853B-1D0717BD0716}">
          <x14:formula1>
            <xm:f>'Market Inputs'!$B$4:$B$61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81552-3271-4666-8B12-DD9DD23BE58B}">
  <sheetPr codeName="Sheet1">
    <pageSetUpPr fitToPage="1"/>
  </sheetPr>
  <dimension ref="A2:AU138"/>
  <sheetViews>
    <sheetView showGridLines="0" tabSelected="1" zoomScaleNormal="85" workbookViewId="0">
      <selection activeCell="K38" sqref="K38"/>
    </sheetView>
  </sheetViews>
  <sheetFormatPr baseColWidth="10" defaultColWidth="8.83203125" defaultRowHeight="15" x14ac:dyDescent="0.2"/>
  <cols>
    <col min="1" max="1" width="7.6640625" customWidth="1"/>
    <col min="2" max="2" width="26" customWidth="1"/>
    <col min="3" max="3" width="16.33203125" customWidth="1"/>
    <col min="4" max="4" width="14.6640625" customWidth="1"/>
    <col min="5" max="5" width="12.83203125" customWidth="1"/>
    <col min="6" max="6" width="4.5" customWidth="1"/>
    <col min="7" max="7" width="24.6640625" customWidth="1"/>
    <col min="8" max="8" width="13.5" customWidth="1"/>
    <col min="9" max="9" width="14.1640625" customWidth="1"/>
    <col min="10" max="10" width="11.33203125" customWidth="1"/>
    <col min="11" max="11" width="11.5" customWidth="1"/>
    <col min="12" max="12" width="12.5" customWidth="1"/>
    <col min="13" max="13" width="12.1640625" bestFit="1" customWidth="1"/>
    <col min="14" max="14" width="12" bestFit="1" customWidth="1"/>
    <col min="15" max="15" width="11.6640625" bestFit="1" customWidth="1"/>
    <col min="16" max="16" width="13" customWidth="1"/>
    <col min="17" max="17" width="12" customWidth="1"/>
    <col min="18" max="18" width="11.6640625" style="2" customWidth="1"/>
    <col min="19" max="19" width="12.33203125" style="2" bestFit="1" customWidth="1"/>
    <col min="20" max="20" width="12.1640625" style="2" customWidth="1"/>
    <col min="21" max="21" width="14" style="2" customWidth="1"/>
    <col min="22" max="22" width="12" style="2" customWidth="1"/>
    <col min="23" max="27" width="11.6640625" style="2" customWidth="1"/>
    <col min="28" max="28" width="14.5" style="2" customWidth="1"/>
    <col min="29" max="29" width="11.6640625" style="2" customWidth="1"/>
    <col min="30" max="30" width="13.33203125" style="2" bestFit="1" customWidth="1"/>
    <col min="31" max="31" width="11.6640625" style="2" customWidth="1"/>
    <col min="32" max="32" width="11.6640625" customWidth="1"/>
    <col min="33" max="33" width="22.1640625" customWidth="1"/>
    <col min="34" max="36" width="11.6640625" customWidth="1"/>
  </cols>
  <sheetData>
    <row r="2" spans="2:43" x14ac:dyDescent="0.2">
      <c r="B2" s="62" t="s">
        <v>730</v>
      </c>
      <c r="C2" s="63"/>
      <c r="G2" s="11" t="s">
        <v>292</v>
      </c>
      <c r="H2" s="12" t="s">
        <v>17</v>
      </c>
      <c r="I2" s="12" t="s">
        <v>288</v>
      </c>
      <c r="J2" s="12" t="s">
        <v>291</v>
      </c>
      <c r="K2" s="12" t="s">
        <v>649</v>
      </c>
      <c r="L2" s="12" t="s">
        <v>289</v>
      </c>
      <c r="M2" s="13" t="s">
        <v>650</v>
      </c>
      <c r="N2" s="161"/>
      <c r="Q2" s="11" t="s">
        <v>279</v>
      </c>
      <c r="R2" s="22"/>
      <c r="S2" s="98"/>
      <c r="U2" s="96" t="s">
        <v>665</v>
      </c>
      <c r="V2" s="97"/>
      <c r="W2" s="98"/>
      <c r="Y2" s="96" t="s">
        <v>566</v>
      </c>
      <c r="Z2" s="97"/>
      <c r="AA2" s="98"/>
    </row>
    <row r="3" spans="2:43" x14ac:dyDescent="0.2">
      <c r="B3" t="s">
        <v>297</v>
      </c>
      <c r="C3" s="178" t="s">
        <v>323</v>
      </c>
      <c r="G3" s="147" t="s">
        <v>157</v>
      </c>
      <c r="H3" s="148">
        <f>+ROUNDDOWN($C$14*I3,0)</f>
        <v>0</v>
      </c>
      <c r="I3" s="247">
        <v>0</v>
      </c>
      <c r="J3" s="179">
        <f>+INDEX('Market Inputs'!$D$4:$H$61,MATCH(Pro_Forma!$C$3,'Market Inputs'!$B$4:$B$61,0),MATCH(Pro_Forma!G3,'Market Inputs'!$D$3:$H$3,0))</f>
        <v>2915</v>
      </c>
      <c r="K3" s="9" t="str">
        <f>IFERROR(SUMPRODUCT(N10:N13,I10:I13)/SUM(I10:I13),"")</f>
        <v/>
      </c>
      <c r="L3" s="7">
        <v>402</v>
      </c>
      <c r="M3" s="107" t="str">
        <f>IFERROR(K3/L3,"")</f>
        <v/>
      </c>
      <c r="N3" s="9"/>
      <c r="Q3" s="6" t="s">
        <v>281</v>
      </c>
      <c r="R3"/>
      <c r="S3" s="159">
        <v>46387</v>
      </c>
      <c r="U3" s="93" t="s">
        <v>656</v>
      </c>
      <c r="V3" s="289" t="s">
        <v>669</v>
      </c>
      <c r="W3" s="274">
        <v>3.9E-2</v>
      </c>
      <c r="Y3" s="93" t="s">
        <v>54</v>
      </c>
      <c r="Z3" s="9"/>
      <c r="AA3" s="8">
        <f>+D79</f>
        <v>0</v>
      </c>
      <c r="AD3" s="82" t="s">
        <v>290</v>
      </c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2:43" x14ac:dyDescent="0.2">
      <c r="B4" t="s">
        <v>411</v>
      </c>
      <c r="C4" s="178" t="s">
        <v>323</v>
      </c>
      <c r="G4" s="147" t="s">
        <v>58</v>
      </c>
      <c r="H4" s="148">
        <f>+MAX(C14-H3-H5-H6,2,I26)</f>
        <v>48</v>
      </c>
      <c r="I4" s="252">
        <f>1-I3-I5-I6</f>
        <v>0.5</v>
      </c>
      <c r="J4" s="179">
        <f>+INDEX('Market Inputs'!$D$4:$H$61,MATCH(Pro_Forma!$C$3,'Market Inputs'!$B$4:$B$61,0),MATCH(Pro_Forma!G4,'Market Inputs'!$D$3:$H$3,0))</f>
        <v>3123</v>
      </c>
      <c r="K4" s="9">
        <f>IFERROR(SUMPRODUCT(N14:N17,$I$14:$I$17)/SUM($I$14:$I$17),"")</f>
        <v>1681.195744680851</v>
      </c>
      <c r="L4" s="7">
        <v>497</v>
      </c>
      <c r="M4" s="107">
        <f>IFERROR(K4/L4,"")</f>
        <v>3.382687615052014</v>
      </c>
      <c r="N4" s="9"/>
      <c r="Q4" s="6" t="s">
        <v>588</v>
      </c>
      <c r="R4" s="9"/>
      <c r="S4" s="10">
        <v>6</v>
      </c>
      <c r="U4" s="93" t="s">
        <v>655</v>
      </c>
      <c r="V4" s="278"/>
      <c r="W4" s="274">
        <v>0.02</v>
      </c>
      <c r="Y4" s="93" t="s">
        <v>679</v>
      </c>
      <c r="Z4" s="9"/>
      <c r="AA4" s="101">
        <v>0.5</v>
      </c>
      <c r="AD4"/>
      <c r="AE4" s="2">
        <f t="shared" ref="AE4:AQ4" si="0">+AE5/$H$28</f>
        <v>0.13093289689034371</v>
      </c>
      <c r="AF4" s="2">
        <f t="shared" si="0"/>
        <v>0.16366612111292964</v>
      </c>
      <c r="AG4" s="2">
        <f t="shared" si="0"/>
        <v>0.19639934533551553</v>
      </c>
      <c r="AH4" s="2">
        <f t="shared" si="0"/>
        <v>0.22913256955810146</v>
      </c>
      <c r="AI4" s="2">
        <f t="shared" si="0"/>
        <v>0.26186579378068742</v>
      </c>
      <c r="AJ4" s="2">
        <f t="shared" si="0"/>
        <v>0.29459901800327332</v>
      </c>
      <c r="AK4" s="2">
        <f t="shared" si="0"/>
        <v>0.32733224222585927</v>
      </c>
      <c r="AL4" s="2">
        <f t="shared" si="0"/>
        <v>0.36006546644844517</v>
      </c>
      <c r="AM4" s="2">
        <f t="shared" si="0"/>
        <v>0.39279869067103107</v>
      </c>
      <c r="AN4" s="2">
        <f t="shared" si="0"/>
        <v>0.42553191489361702</v>
      </c>
      <c r="AO4" s="2">
        <f t="shared" si="0"/>
        <v>0.45826513911620292</v>
      </c>
      <c r="AP4" s="2">
        <f t="shared" si="0"/>
        <v>0.49099836333878888</v>
      </c>
      <c r="AQ4" s="2">
        <f t="shared" si="0"/>
        <v>0.52373158756137483</v>
      </c>
    </row>
    <row r="5" spans="2:43" x14ac:dyDescent="0.2">
      <c r="B5" t="s">
        <v>585</v>
      </c>
      <c r="C5" s="178" t="s">
        <v>729</v>
      </c>
      <c r="F5" s="51"/>
      <c r="G5" s="147" t="s">
        <v>158</v>
      </c>
      <c r="H5" s="148">
        <f>+ROUNDDOWN($C$14*I5,0)</f>
        <v>24</v>
      </c>
      <c r="I5" s="247">
        <f>+IF($C$11="Yes",25%,0%)</f>
        <v>0.25</v>
      </c>
      <c r="J5" s="179">
        <f>+INDEX('Market Inputs'!$D$4:$H$61,MATCH(Pro_Forma!$C$3,'Market Inputs'!$B$4:$B$61,0),MATCH(Pro_Forma!G5,'Market Inputs'!$D$3:$H$3,0))</f>
        <v>3747</v>
      </c>
      <c r="K5" s="9">
        <f>IFERROR(SUMPRODUCT(N18:N21,$I$18:$I$21)/SUM($I$18:$I$21),"")</f>
        <v>2254.875</v>
      </c>
      <c r="L5" s="7">
        <v>650</v>
      </c>
      <c r="M5" s="107">
        <f>IFERROR(K5/L5,"")</f>
        <v>3.4690384615384615</v>
      </c>
      <c r="N5" s="9"/>
      <c r="Q5" s="6" t="s">
        <v>587</v>
      </c>
      <c r="R5"/>
      <c r="S5" s="160">
        <v>6</v>
      </c>
      <c r="U5" s="93" t="s">
        <v>657</v>
      </c>
      <c r="V5" s="279"/>
      <c r="W5" s="73">
        <f>+W4+W3</f>
        <v>5.8999999999999997E-2</v>
      </c>
      <c r="Y5" s="93" t="s">
        <v>680</v>
      </c>
      <c r="Z5" s="9"/>
      <c r="AA5" s="291" t="s">
        <v>681</v>
      </c>
      <c r="AD5" s="92">
        <f ca="1">D66</f>
        <v>2788115.2980081141</v>
      </c>
      <c r="AE5" s="83">
        <v>80</v>
      </c>
      <c r="AF5" s="83">
        <f>+AE5+20</f>
        <v>100</v>
      </c>
      <c r="AG5" s="83">
        <f t="shared" ref="AG5:AQ5" si="1">+AF5+20</f>
        <v>120</v>
      </c>
      <c r="AH5" s="83">
        <f t="shared" si="1"/>
        <v>140</v>
      </c>
      <c r="AI5" s="83">
        <f t="shared" si="1"/>
        <v>160</v>
      </c>
      <c r="AJ5" s="83">
        <f t="shared" si="1"/>
        <v>180</v>
      </c>
      <c r="AK5" s="83">
        <f t="shared" si="1"/>
        <v>200</v>
      </c>
      <c r="AL5" s="83">
        <f t="shared" si="1"/>
        <v>220</v>
      </c>
      <c r="AM5" s="83">
        <f t="shared" si="1"/>
        <v>240</v>
      </c>
      <c r="AN5" s="83">
        <f t="shared" si="1"/>
        <v>260</v>
      </c>
      <c r="AO5" s="83">
        <f t="shared" si="1"/>
        <v>280</v>
      </c>
      <c r="AP5" s="83">
        <f t="shared" si="1"/>
        <v>300</v>
      </c>
      <c r="AQ5" s="83">
        <f t="shared" si="1"/>
        <v>320</v>
      </c>
    </row>
    <row r="6" spans="2:43" x14ac:dyDescent="0.2">
      <c r="B6" t="s">
        <v>592</v>
      </c>
      <c r="C6" s="178" t="s">
        <v>787</v>
      </c>
      <c r="G6" s="147" t="s">
        <v>287</v>
      </c>
      <c r="H6" s="148">
        <f>+ROUNDDOWN($C$14*I6,0)</f>
        <v>24</v>
      </c>
      <c r="I6" s="247">
        <f>+IF($C$11="Yes",25%,0%)</f>
        <v>0.25</v>
      </c>
      <c r="J6" s="179">
        <f>+INDEX('Market Inputs'!$D$4:$H$61,MATCH(Pro_Forma!$C$3,'Market Inputs'!$B$4:$B$61,0),MATCH(Pro_Forma!G6,'Market Inputs'!$D$3:$H$3,0))</f>
        <v>4331</v>
      </c>
      <c r="K6" s="9">
        <f>IFERROR(SUMPRODUCT(N22:N25,$I$22:$I$25)/SUM($I$22:$I$25),"")</f>
        <v>2605.875</v>
      </c>
      <c r="L6" s="7">
        <v>800</v>
      </c>
      <c r="M6" s="107">
        <f>IFERROR(K6/L6,"")</f>
        <v>3.25734375</v>
      </c>
      <c r="Q6" s="6" t="s">
        <v>273</v>
      </c>
      <c r="R6"/>
      <c r="S6" s="160">
        <f>+IF(A36="Modular",18,24)</f>
        <v>18</v>
      </c>
      <c r="U6" s="275" t="s">
        <v>659</v>
      </c>
      <c r="V6" s="97"/>
      <c r="W6" s="98">
        <f ca="1">+D62</f>
        <v>10173590.377082365</v>
      </c>
      <c r="Y6" s="93" t="s">
        <v>169</v>
      </c>
      <c r="Z6" s="9"/>
      <c r="AA6" s="274">
        <v>0.03</v>
      </c>
      <c r="AD6" s="84">
        <v>40</v>
      </c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2:43" x14ac:dyDescent="0.2">
      <c r="B7" t="s">
        <v>594</v>
      </c>
      <c r="C7" s="178" t="s">
        <v>100</v>
      </c>
      <c r="G7" s="149" t="s">
        <v>11</v>
      </c>
      <c r="H7" s="150">
        <f>+SUM(H3:H6)</f>
        <v>96</v>
      </c>
      <c r="I7" s="246">
        <f>+H7/$C$14</f>
        <v>1</v>
      </c>
      <c r="J7" s="22"/>
      <c r="K7" s="65">
        <f>+N28</f>
        <v>2061.0447916666667</v>
      </c>
      <c r="L7" s="65">
        <f>+SUMPRODUCT(L3:L6,I3:I6)</f>
        <v>611</v>
      </c>
      <c r="M7" s="162">
        <f>+K7/L7</f>
        <v>3.3732320649208947</v>
      </c>
      <c r="N7" s="54"/>
      <c r="Q7" s="108" t="s">
        <v>561</v>
      </c>
      <c r="R7" s="9"/>
      <c r="S7" s="10">
        <v>30</v>
      </c>
      <c r="U7" s="93" t="s">
        <v>654</v>
      </c>
      <c r="V7" s="278"/>
      <c r="W7" s="274">
        <v>0.02</v>
      </c>
      <c r="Y7" s="93" t="s">
        <v>705</v>
      </c>
      <c r="Z7" s="9"/>
      <c r="AA7" s="291" t="s">
        <v>100</v>
      </c>
      <c r="AD7" s="84">
        <f>+AD6+20</f>
        <v>60</v>
      </c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2:43" x14ac:dyDescent="0.2">
      <c r="B8" t="s">
        <v>593</v>
      </c>
      <c r="C8" s="178" t="s">
        <v>100</v>
      </c>
      <c r="E8" s="79"/>
      <c r="I8" s="21"/>
      <c r="Q8" s="108" t="s">
        <v>562</v>
      </c>
      <c r="R8" s="9"/>
      <c r="S8" s="10">
        <v>3</v>
      </c>
      <c r="U8" s="93" t="s">
        <v>658</v>
      </c>
      <c r="V8" s="279"/>
      <c r="W8" s="73">
        <f>+W7+W3</f>
        <v>5.8999999999999997E-2</v>
      </c>
      <c r="Y8" s="93" t="s">
        <v>706</v>
      </c>
      <c r="Z8" s="9"/>
      <c r="AA8" s="8">
        <f>+D68*C79/12*S6</f>
        <v>0</v>
      </c>
      <c r="AD8" s="84">
        <f t="shared" ref="AD8:AD16" si="2">+AD7+20</f>
        <v>80</v>
      </c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2:43" x14ac:dyDescent="0.2">
      <c r="B9" t="s">
        <v>596</v>
      </c>
      <c r="C9" s="178" t="str">
        <f>+IF(C15&gt;5,"Type I", IF(A36="Modular","Other","Type III"))</f>
        <v>Other</v>
      </c>
      <c r="G9" s="11" t="s">
        <v>62</v>
      </c>
      <c r="H9" s="12" t="s">
        <v>161</v>
      </c>
      <c r="I9" s="12" t="s">
        <v>17</v>
      </c>
      <c r="J9" s="12" t="s">
        <v>59</v>
      </c>
      <c r="K9" s="12" t="s">
        <v>648</v>
      </c>
      <c r="L9" s="12" t="s">
        <v>61</v>
      </c>
      <c r="M9" s="12" t="s">
        <v>643</v>
      </c>
      <c r="N9" s="12" t="s">
        <v>644</v>
      </c>
      <c r="O9" s="13" t="s">
        <v>524</v>
      </c>
      <c r="Q9" s="20" t="s">
        <v>274</v>
      </c>
      <c r="R9" s="21"/>
      <c r="S9" s="217">
        <f>MAX(ROUNDUP(C14/S7,0)+S8,8)</f>
        <v>8</v>
      </c>
      <c r="U9" s="275" t="s">
        <v>661</v>
      </c>
      <c r="V9" s="97"/>
      <c r="W9" s="98">
        <f ca="1">+D63</f>
        <v>20322043.768502869</v>
      </c>
      <c r="Y9" s="213" t="s">
        <v>707</v>
      </c>
      <c r="Z9" s="89"/>
      <c r="AA9" s="34">
        <f>+D68*C79/12*S9</f>
        <v>0</v>
      </c>
      <c r="AD9" s="84">
        <f t="shared" si="2"/>
        <v>100</v>
      </c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2:43" x14ac:dyDescent="0.2">
      <c r="B10" t="s">
        <v>597</v>
      </c>
      <c r="C10" s="178" t="s">
        <v>100</v>
      </c>
      <c r="G10" s="6" t="s">
        <v>157</v>
      </c>
      <c r="H10" s="185">
        <f>+L3</f>
        <v>402</v>
      </c>
      <c r="I10" s="91">
        <f>+ROUNDUP($H$3*R35,0)</f>
        <v>0</v>
      </c>
      <c r="J10" s="204">
        <v>0.3</v>
      </c>
      <c r="K10" s="9">
        <f>+J10*$J$3</f>
        <v>874.5</v>
      </c>
      <c r="L10" s="106">
        <f>+AI64</f>
        <v>60</v>
      </c>
      <c r="M10" s="9">
        <f t="shared" ref="M10:M13" si="3">+K10-L10</f>
        <v>814.5</v>
      </c>
      <c r="N10" s="7">
        <f>+M10</f>
        <v>814.5</v>
      </c>
      <c r="O10" s="188">
        <f>+N10/H10</f>
        <v>2.0261194029850746</v>
      </c>
      <c r="Q10" s="163"/>
      <c r="R10" s="163"/>
      <c r="S10" s="164"/>
      <c r="U10" s="273" t="s">
        <v>666</v>
      </c>
      <c r="V10" s="88"/>
      <c r="W10" s="276">
        <f ca="1">+W9+W6</f>
        <v>30495634.145585231</v>
      </c>
      <c r="AD10" s="84">
        <f t="shared" si="2"/>
        <v>120</v>
      </c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2:43" x14ac:dyDescent="0.2">
      <c r="B11" t="s">
        <v>786</v>
      </c>
      <c r="C11" s="178" t="s">
        <v>98</v>
      </c>
      <c r="G11" s="6" t="s">
        <v>157</v>
      </c>
      <c r="H11" s="185">
        <f>+H10</f>
        <v>402</v>
      </c>
      <c r="I11" s="91">
        <f>+IF(SUM(R35:R36)&lt;=0.2,ROUNDUP($H$3*R36,0),ROUNDDOWN(H3*R36,0))</f>
        <v>0</v>
      </c>
      <c r="J11" s="204">
        <v>0.5</v>
      </c>
      <c r="K11" s="9">
        <f>+J11*$J$3</f>
        <v>1457.5</v>
      </c>
      <c r="L11" s="106">
        <f>+L10</f>
        <v>60</v>
      </c>
      <c r="M11" s="9">
        <f t="shared" si="3"/>
        <v>1397.5</v>
      </c>
      <c r="N11" s="7">
        <f t="shared" ref="N11:N26" si="4">+M11</f>
        <v>1397.5</v>
      </c>
      <c r="O11" s="188">
        <f t="shared" ref="O11:O28" si="5">+N11/H11</f>
        <v>3.4763681592039801</v>
      </c>
      <c r="Q11" s="11" t="s">
        <v>148</v>
      </c>
      <c r="R11" s="22"/>
      <c r="S11" s="212" t="str">
        <f>IF($D$59="Ground Lessor","On","Off")</f>
        <v>Off</v>
      </c>
      <c r="U11" s="213" t="s">
        <v>663</v>
      </c>
      <c r="V11" s="280"/>
      <c r="W11" s="277">
        <f ca="1">+(W5*W6+W8*W9)/W10</f>
        <v>5.8999999999999997E-2</v>
      </c>
      <c r="X11" s="93"/>
      <c r="AD11" s="84">
        <f t="shared" si="2"/>
        <v>140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2:43" x14ac:dyDescent="0.2">
      <c r="B12" t="s">
        <v>559</v>
      </c>
      <c r="C12" s="214">
        <v>20000</v>
      </c>
      <c r="D12" s="215">
        <f>C12/43560</f>
        <v>0.4591368227731864</v>
      </c>
      <c r="E12" s="215"/>
      <c r="G12" s="6" t="s">
        <v>157</v>
      </c>
      <c r="H12" s="185">
        <f t="shared" ref="H12:H13" si="6">+H11</f>
        <v>402</v>
      </c>
      <c r="I12" s="91">
        <f>+H3-I10-I11-I13</f>
        <v>0</v>
      </c>
      <c r="J12" s="204">
        <v>0.6</v>
      </c>
      <c r="K12" s="9">
        <f>+J12*$J$3</f>
        <v>1749</v>
      </c>
      <c r="L12" s="106">
        <f t="shared" ref="L12:L13" si="7">+L11</f>
        <v>60</v>
      </c>
      <c r="M12" s="9">
        <f t="shared" si="3"/>
        <v>1689</v>
      </c>
      <c r="N12" s="7">
        <f t="shared" si="4"/>
        <v>1689</v>
      </c>
      <c r="O12" s="188">
        <f t="shared" si="5"/>
        <v>4.2014925373134329</v>
      </c>
      <c r="Q12" s="6" t="s">
        <v>527</v>
      </c>
      <c r="R12" s="9"/>
      <c r="S12" s="221">
        <v>2.5</v>
      </c>
      <c r="T12" s="93"/>
      <c r="U12" s="90"/>
      <c r="V12" s="90"/>
      <c r="W12" s="97"/>
      <c r="AD12" s="84">
        <f t="shared" si="2"/>
        <v>160</v>
      </c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2:43" x14ac:dyDescent="0.2">
      <c r="B13" t="s">
        <v>160</v>
      </c>
      <c r="C13" s="185">
        <f>+C14/D12</f>
        <v>209.08799999999999</v>
      </c>
      <c r="G13" s="6" t="s">
        <v>157</v>
      </c>
      <c r="H13" s="185">
        <f t="shared" si="6"/>
        <v>402</v>
      </c>
      <c r="I13" s="91">
        <f>+MAX(0,MIN(S38-I25-I21-I17,H3-I10-I11))</f>
        <v>0</v>
      </c>
      <c r="J13" s="204">
        <f>+P38</f>
        <v>0.7</v>
      </c>
      <c r="K13" s="9">
        <f>+J13*$J$3*(1-$S$40)</f>
        <v>2040.4999999999998</v>
      </c>
      <c r="L13" s="106">
        <f t="shared" si="7"/>
        <v>60</v>
      </c>
      <c r="M13" s="9">
        <f t="shared" si="3"/>
        <v>1980.4999999999998</v>
      </c>
      <c r="N13" s="7">
        <f t="shared" si="4"/>
        <v>1980.4999999999998</v>
      </c>
      <c r="O13" s="188">
        <f t="shared" si="5"/>
        <v>4.9266169154228852</v>
      </c>
      <c r="Q13" s="6" t="s">
        <v>528</v>
      </c>
      <c r="R13"/>
      <c r="S13" s="8">
        <f>+H36/S12</f>
        <v>657796.43359999987</v>
      </c>
      <c r="U13" s="96" t="s">
        <v>653</v>
      </c>
      <c r="V13" s="97"/>
      <c r="W13" s="298" t="str">
        <f>+IF(D59="B-Bond","Freddie","Fannie")</f>
        <v>Fannie</v>
      </c>
      <c r="X13" s="306" t="s">
        <v>688</v>
      </c>
      <c r="Y13" s="307" t="s">
        <v>689</v>
      </c>
      <c r="Z13" s="297" t="s">
        <v>690</v>
      </c>
      <c r="AD13" s="84">
        <f t="shared" si="2"/>
        <v>180</v>
      </c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2:43" x14ac:dyDescent="0.2">
      <c r="B14" t="s">
        <v>17</v>
      </c>
      <c r="C14" s="185">
        <f>+MAX(ROUNDDOWN(C17/L7,0),1)</f>
        <v>96</v>
      </c>
      <c r="G14" s="154" t="s">
        <v>58</v>
      </c>
      <c r="H14" s="187">
        <f>+L4</f>
        <v>497</v>
      </c>
      <c r="I14" s="202">
        <f>+ROUNDUP($H$4*R35,0)</f>
        <v>5</v>
      </c>
      <c r="J14" s="205">
        <v>0.3</v>
      </c>
      <c r="K14" s="155">
        <f>+J14*$J$4</f>
        <v>936.9</v>
      </c>
      <c r="L14" s="187">
        <f>+AJ64</f>
        <v>73</v>
      </c>
      <c r="M14" s="155">
        <f>+K14-L14</f>
        <v>863.9</v>
      </c>
      <c r="N14" s="268">
        <f t="shared" si="4"/>
        <v>863.9</v>
      </c>
      <c r="O14" s="189">
        <f t="shared" si="5"/>
        <v>1.7382293762575451</v>
      </c>
      <c r="Q14" s="6" t="s">
        <v>69</v>
      </c>
      <c r="R14"/>
      <c r="S14" s="208">
        <f>+S20</f>
        <v>5.5E-2</v>
      </c>
      <c r="U14" s="93" t="s">
        <v>34</v>
      </c>
      <c r="V14" s="9"/>
      <c r="W14" s="8">
        <f>+H39</f>
        <v>1615691.0839999998</v>
      </c>
      <c r="X14" s="93"/>
      <c r="Y14" s="9"/>
      <c r="Z14" s="8"/>
      <c r="AD14" s="84">
        <f t="shared" si="2"/>
        <v>200</v>
      </c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2:43" x14ac:dyDescent="0.2">
      <c r="B15" t="s">
        <v>625</v>
      </c>
      <c r="C15" s="214">
        <v>5</v>
      </c>
      <c r="G15" s="6" t="s">
        <v>58</v>
      </c>
      <c r="H15" s="185">
        <f>+H14</f>
        <v>497</v>
      </c>
      <c r="I15" s="91">
        <f>+IF(SUM(R35:R36)&lt;=0.2,ROUNDUP($H$4*R36,0),ROUNDDOWN(H4*R36,0))</f>
        <v>5</v>
      </c>
      <c r="J15" s="204">
        <v>0.5</v>
      </c>
      <c r="K15" s="9">
        <f>+J15*$J$4</f>
        <v>1561.5</v>
      </c>
      <c r="L15" s="106">
        <f>+L14</f>
        <v>73</v>
      </c>
      <c r="M15" s="9">
        <f>+K15-L15</f>
        <v>1488.5</v>
      </c>
      <c r="N15" s="7">
        <f t="shared" si="4"/>
        <v>1488.5</v>
      </c>
      <c r="O15" s="188">
        <f t="shared" si="5"/>
        <v>2.9949698189134808</v>
      </c>
      <c r="Q15" s="6" t="s">
        <v>70</v>
      </c>
      <c r="R15"/>
      <c r="S15" s="207">
        <f>+S13/S14</f>
        <v>11959935.156363634</v>
      </c>
      <c r="U15" s="93" t="s">
        <v>601</v>
      </c>
      <c r="V15" s="7"/>
      <c r="W15" s="207">
        <f>+_xlfn.XLOOKUP($W$13,$X$13:$Z$13,$X15:$Z15)</f>
        <v>40</v>
      </c>
      <c r="X15" s="301">
        <v>40</v>
      </c>
      <c r="Y15" s="7">
        <v>40</v>
      </c>
      <c r="Z15" s="10">
        <v>40</v>
      </c>
      <c r="AD15" s="84">
        <f t="shared" si="2"/>
        <v>220</v>
      </c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2:43" x14ac:dyDescent="0.2">
      <c r="B16" t="s">
        <v>410</v>
      </c>
      <c r="C16" s="324">
        <f>3.7/5*C15</f>
        <v>3.7</v>
      </c>
      <c r="G16" s="6" t="s">
        <v>58</v>
      </c>
      <c r="H16" s="185">
        <f t="shared" ref="H16:H17" si="8">+H15</f>
        <v>497</v>
      </c>
      <c r="I16" s="91">
        <f>+H4-I14-I15-I17-I26</f>
        <v>35</v>
      </c>
      <c r="J16" s="204">
        <v>0.6</v>
      </c>
      <c r="K16" s="9">
        <f>+J16*$J$4</f>
        <v>1873.8</v>
      </c>
      <c r="L16" s="106">
        <f>+L15</f>
        <v>73</v>
      </c>
      <c r="M16" s="9">
        <f>+K16-L16</f>
        <v>1800.8</v>
      </c>
      <c r="N16" s="7">
        <f t="shared" si="4"/>
        <v>1800.8</v>
      </c>
      <c r="O16" s="188">
        <f t="shared" si="5"/>
        <v>3.6233400402414486</v>
      </c>
      <c r="Q16" s="6" t="s">
        <v>150</v>
      </c>
      <c r="R16" s="271">
        <f>+S16/D12/43560</f>
        <v>150</v>
      </c>
      <c r="S16" s="236">
        <v>3000000</v>
      </c>
      <c r="U16" s="93" t="s">
        <v>170</v>
      </c>
      <c r="V16" s="9"/>
      <c r="W16" s="316">
        <f>+_xlfn.XLOOKUP($W$13,$X$13:$Z$13,$X16:$Z16)</f>
        <v>1.1499999999999999</v>
      </c>
      <c r="X16" s="302">
        <v>1.1499999999999999</v>
      </c>
      <c r="Y16" s="303">
        <v>1.1499999999999999</v>
      </c>
      <c r="Z16" s="100">
        <v>1.1499999999999999</v>
      </c>
      <c r="AD16" s="84">
        <f t="shared" si="2"/>
        <v>240</v>
      </c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2:47" x14ac:dyDescent="0.2">
      <c r="B17" t="s">
        <v>409</v>
      </c>
      <c r="C17" s="2">
        <f>+D12*43560*C16*0.8</f>
        <v>59200</v>
      </c>
      <c r="G17" s="6" t="s">
        <v>58</v>
      </c>
      <c r="H17" s="185">
        <f t="shared" si="8"/>
        <v>497</v>
      </c>
      <c r="I17" s="91">
        <f>+MAX(0,MIN(H4-I14-I15-I26,S38-I25-I21))</f>
        <v>2</v>
      </c>
      <c r="J17" s="204">
        <f>+P38</f>
        <v>0.7</v>
      </c>
      <c r="K17" s="9">
        <f>+J17*$J$4*(1-$S$40)</f>
        <v>2186.1</v>
      </c>
      <c r="L17" s="106">
        <f>+L16</f>
        <v>73</v>
      </c>
      <c r="M17" s="9">
        <f>+K17-L17</f>
        <v>2113.1</v>
      </c>
      <c r="N17" s="7">
        <f t="shared" si="4"/>
        <v>2113.1</v>
      </c>
      <c r="O17" s="188">
        <f t="shared" si="5"/>
        <v>4.251710261569416</v>
      </c>
      <c r="Q17" s="6"/>
      <c r="R17" s="9"/>
      <c r="S17" s="272">
        <f>+S16/I28</f>
        <v>31250</v>
      </c>
      <c r="U17" s="93" t="s">
        <v>719</v>
      </c>
      <c r="V17" s="9"/>
      <c r="W17" s="317" t="str">
        <f>+_xlfn.XLOOKUP($W$13,$X$13:$Z$13,$X17:$Z17)</f>
        <v>MMD</v>
      </c>
      <c r="X17" s="304" t="s">
        <v>691</v>
      </c>
      <c r="Y17" s="305" t="s">
        <v>670</v>
      </c>
      <c r="Z17" s="291" t="s">
        <v>670</v>
      </c>
      <c r="AD17" s="84">
        <f>+AD16+20</f>
        <v>260</v>
      </c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2:47" x14ac:dyDescent="0.2">
      <c r="B18" t="s">
        <v>576</v>
      </c>
      <c r="C18" s="35">
        <v>0</v>
      </c>
      <c r="D18" s="255">
        <f>ROUNDDOWN(MIN(C17/0.75*1.1/C15*C18,C12*0.9*C18)/400,0)</f>
        <v>0</v>
      </c>
      <c r="E18" s="264">
        <f>+D18/I28</f>
        <v>0</v>
      </c>
      <c r="G18" s="154" t="s">
        <v>158</v>
      </c>
      <c r="H18" s="187">
        <f>+L5</f>
        <v>650</v>
      </c>
      <c r="I18" s="202">
        <f>+ROUNDUP($H$5*R35,0)</f>
        <v>3</v>
      </c>
      <c r="J18" s="205">
        <v>0.3</v>
      </c>
      <c r="K18" s="155">
        <f>+J18*$J$5</f>
        <v>1124.0999999999999</v>
      </c>
      <c r="L18" s="187">
        <f>+AK64</f>
        <v>87</v>
      </c>
      <c r="M18" s="155">
        <f t="shared" ref="M18:M25" si="9">+K18-L18</f>
        <v>1037.0999999999999</v>
      </c>
      <c r="N18" s="268">
        <f t="shared" si="4"/>
        <v>1037.0999999999999</v>
      </c>
      <c r="O18" s="189">
        <f t="shared" si="5"/>
        <v>1.5955384615384614</v>
      </c>
      <c r="Q18" s="76" t="s">
        <v>151</v>
      </c>
      <c r="R18"/>
      <c r="S18" s="75">
        <f>+IF(S11="On",S15-S16,0)</f>
        <v>0</v>
      </c>
      <c r="U18" s="93" t="s">
        <v>656</v>
      </c>
      <c r="V18" s="290"/>
      <c r="W18" s="318">
        <f>+_xlfn.XLOOKUP($W$13,$X$13:$Z$13,$X18:$Z18)</f>
        <v>3.85E-2</v>
      </c>
      <c r="X18" s="295">
        <v>3.85E-2</v>
      </c>
      <c r="Y18" s="278">
        <v>4.4999999999999998E-2</v>
      </c>
      <c r="Z18" s="274">
        <v>4.4999999999999998E-2</v>
      </c>
      <c r="AD18" s="84">
        <f>+AD17+20</f>
        <v>280</v>
      </c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2:47" x14ac:dyDescent="0.2">
      <c r="B19" t="s">
        <v>66</v>
      </c>
      <c r="C19" s="36">
        <v>2.5000000000000001E-2</v>
      </c>
      <c r="G19" s="6" t="s">
        <v>158</v>
      </c>
      <c r="H19" s="185">
        <f>+H18</f>
        <v>650</v>
      </c>
      <c r="I19" s="91">
        <f>+IF(SUM(R35:R36)&lt;=0.2,ROUNDUP($H$5*R36,0),ROUNDDOWN(H5*R36,0))</f>
        <v>3</v>
      </c>
      <c r="J19" s="204">
        <v>0.5</v>
      </c>
      <c r="K19" s="9">
        <f>+J19*$J$5</f>
        <v>1873.5</v>
      </c>
      <c r="L19" s="106">
        <f>+L18</f>
        <v>87</v>
      </c>
      <c r="M19" s="9">
        <f t="shared" si="9"/>
        <v>1786.5</v>
      </c>
      <c r="N19" s="7">
        <f t="shared" si="4"/>
        <v>1786.5</v>
      </c>
      <c r="O19" s="188">
        <f t="shared" si="5"/>
        <v>2.7484615384615383</v>
      </c>
      <c r="Q19" s="6" t="s">
        <v>153</v>
      </c>
      <c r="R19"/>
      <c r="S19" s="39">
        <v>0.05</v>
      </c>
      <c r="U19" s="93" t="s">
        <v>655</v>
      </c>
      <c r="V19" s="278"/>
      <c r="W19" s="318">
        <f>+_xlfn.XLOOKUP($W$13,$X$13:$Z$13,$X19:$Z19)</f>
        <v>1.66E-2</v>
      </c>
      <c r="X19" s="295">
        <v>1.66E-2</v>
      </c>
      <c r="Y19" s="278">
        <v>1.67E-2</v>
      </c>
      <c r="Z19" s="274">
        <v>1.9E-2</v>
      </c>
      <c r="AD19" s="84">
        <f>+AD18+20</f>
        <v>300</v>
      </c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2:47" x14ac:dyDescent="0.2">
      <c r="B20" t="s">
        <v>602</v>
      </c>
      <c r="C20" s="36">
        <v>3.5000000000000003E-2</v>
      </c>
      <c r="G20" s="6" t="s">
        <v>158</v>
      </c>
      <c r="H20" s="185">
        <f t="shared" ref="H20:H21" si="10">+H19</f>
        <v>650</v>
      </c>
      <c r="I20" s="91">
        <f>+H5-I18-I19-I21</f>
        <v>0</v>
      </c>
      <c r="J20" s="204">
        <v>0.6</v>
      </c>
      <c r="K20" s="9">
        <f>+J20*$J$5</f>
        <v>2248.1999999999998</v>
      </c>
      <c r="L20" s="106">
        <f>+L19</f>
        <v>87</v>
      </c>
      <c r="M20" s="9">
        <f t="shared" si="9"/>
        <v>2161.1999999999998</v>
      </c>
      <c r="N20" s="7">
        <f t="shared" si="4"/>
        <v>2161.1999999999998</v>
      </c>
      <c r="O20" s="188">
        <f t="shared" si="5"/>
        <v>3.3249230769230764</v>
      </c>
      <c r="Q20" s="6" t="s">
        <v>152</v>
      </c>
      <c r="R20"/>
      <c r="S20" s="73">
        <f>+S19+0.5%</f>
        <v>5.5E-2</v>
      </c>
      <c r="U20" s="93" t="s">
        <v>657</v>
      </c>
      <c r="V20" s="279"/>
      <c r="W20" s="318">
        <f>+W19+W18</f>
        <v>5.5099999999999996E-2</v>
      </c>
      <c r="X20" s="296">
        <f>+X19+X18</f>
        <v>5.5099999999999996E-2</v>
      </c>
      <c r="Y20" s="279">
        <f>+Y19+Y18</f>
        <v>6.1699999999999998E-2</v>
      </c>
      <c r="Z20" s="73">
        <f>+Z19+Z18</f>
        <v>6.4000000000000001E-2</v>
      </c>
      <c r="AD20" s="84">
        <f>+AD19+20</f>
        <v>320</v>
      </c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2:47" x14ac:dyDescent="0.2">
      <c r="B21" t="s">
        <v>142</v>
      </c>
      <c r="C21" s="36">
        <v>0.27500000000000002</v>
      </c>
      <c r="G21" s="6" t="s">
        <v>158</v>
      </c>
      <c r="H21" s="185">
        <f t="shared" si="10"/>
        <v>650</v>
      </c>
      <c r="I21" s="91">
        <f>+MAX(0,MIN(H5-I18-I19,S38-I25))</f>
        <v>18</v>
      </c>
      <c r="J21" s="204">
        <f>+P38</f>
        <v>0.7</v>
      </c>
      <c r="K21" s="9">
        <f>+J21*$J$5*(1-$S$40)</f>
        <v>2622.8999999999996</v>
      </c>
      <c r="L21" s="106">
        <f>+L20</f>
        <v>87</v>
      </c>
      <c r="M21" s="9">
        <f t="shared" si="9"/>
        <v>2535.8999999999996</v>
      </c>
      <c r="N21" s="7">
        <f t="shared" si="4"/>
        <v>2535.8999999999996</v>
      </c>
      <c r="O21" s="188">
        <f t="shared" si="5"/>
        <v>3.901384615384615</v>
      </c>
      <c r="Q21" s="76" t="s">
        <v>155</v>
      </c>
      <c r="R21"/>
      <c r="S21" s="75">
        <f>+IF(S11="On",S20*S15,0)</f>
        <v>0</v>
      </c>
      <c r="U21" s="275" t="s">
        <v>659</v>
      </c>
      <c r="V21" s="97"/>
      <c r="W21" s="98">
        <f ca="1">IF(S26="Yes",D60-D76,D60)</f>
        <v>10173590.377082365</v>
      </c>
      <c r="X21" s="93"/>
      <c r="Y21" s="9"/>
      <c r="Z21" s="8"/>
      <c r="AD21" s="84">
        <f>+AD20+20</f>
        <v>340</v>
      </c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2:47" x14ac:dyDescent="0.2">
      <c r="G22" s="154" t="s">
        <v>287</v>
      </c>
      <c r="H22" s="187">
        <f>+L6</f>
        <v>800</v>
      </c>
      <c r="I22" s="202">
        <f>+ROUNDUP(R35*$H$6,0)</f>
        <v>3</v>
      </c>
      <c r="J22" s="205">
        <v>0.3</v>
      </c>
      <c r="K22" s="155">
        <f>+J22*$J$6</f>
        <v>1299.3</v>
      </c>
      <c r="L22" s="187">
        <f>+AL64</f>
        <v>101</v>
      </c>
      <c r="M22" s="155">
        <f t="shared" si="9"/>
        <v>1198.3</v>
      </c>
      <c r="N22" s="268">
        <f t="shared" si="4"/>
        <v>1198.3</v>
      </c>
      <c r="O22" s="189">
        <f t="shared" si="5"/>
        <v>1.4978749999999998</v>
      </c>
      <c r="Q22" s="20" t="s">
        <v>154</v>
      </c>
      <c r="R22" s="21"/>
      <c r="S22" s="74">
        <v>0.02</v>
      </c>
      <c r="U22" s="93" t="s">
        <v>654</v>
      </c>
      <c r="V22" s="278"/>
      <c r="W22" s="318">
        <f>+_xlfn.XLOOKUP($W$13,$X$13:$Z$13,$X22:$Z22)</f>
        <v>2.5600000000000001E-2</v>
      </c>
      <c r="X22" s="295">
        <v>2.5600000000000001E-2</v>
      </c>
      <c r="Y22" s="278">
        <v>1.9699999999999999E-2</v>
      </c>
      <c r="Z22" s="274">
        <v>2.6499999999999999E-2</v>
      </c>
      <c r="AF22" s="2"/>
      <c r="AG22" s="2"/>
      <c r="AH22" s="2"/>
      <c r="AI22" s="2"/>
      <c r="AJ22" s="2"/>
      <c r="AK22" s="2"/>
      <c r="AL22" s="2"/>
    </row>
    <row r="23" spans="2:47" x14ac:dyDescent="0.2">
      <c r="B23" s="11" t="s">
        <v>126</v>
      </c>
      <c r="C23" s="28"/>
      <c r="G23" s="6" t="s">
        <v>287</v>
      </c>
      <c r="H23" s="185">
        <f>+H22</f>
        <v>800</v>
      </c>
      <c r="I23" s="91">
        <f>+IF(SUM(R35:R36)&lt;=0.2,ROUNDUP($H$6*R36,0),ROUNDDOWN(H6*R36,0))</f>
        <v>3</v>
      </c>
      <c r="J23" s="204">
        <v>0.5</v>
      </c>
      <c r="K23" s="9">
        <f>+J23*$J$6</f>
        <v>2165.5</v>
      </c>
      <c r="L23" s="106">
        <f>+L22</f>
        <v>101</v>
      </c>
      <c r="M23" s="9">
        <f t="shared" si="9"/>
        <v>2064.5</v>
      </c>
      <c r="N23" s="7">
        <f t="shared" si="4"/>
        <v>2064.5</v>
      </c>
      <c r="O23" s="188">
        <f t="shared" si="5"/>
        <v>2.5806249999999999</v>
      </c>
      <c r="R23"/>
      <c r="S23"/>
      <c r="U23" s="93" t="s">
        <v>658</v>
      </c>
      <c r="V23" s="279"/>
      <c r="W23" s="73">
        <f>+W22+W18</f>
        <v>6.4100000000000004E-2</v>
      </c>
      <c r="X23" s="299">
        <f>+X22+X18</f>
        <v>6.4100000000000004E-2</v>
      </c>
      <c r="Y23" s="280">
        <f>+Y22+Y18</f>
        <v>6.4699999999999994E-2</v>
      </c>
      <c r="Z23" s="277">
        <f>+Z22+Z18</f>
        <v>7.1499999999999994E-2</v>
      </c>
    </row>
    <row r="24" spans="2:47" x14ac:dyDescent="0.2">
      <c r="B24" s="104" t="s">
        <v>600</v>
      </c>
      <c r="C24" s="105">
        <f ca="1">+D66</f>
        <v>2788115.2980081141</v>
      </c>
      <c r="G24" s="6" t="s">
        <v>287</v>
      </c>
      <c r="H24" s="185">
        <f t="shared" ref="H24:H25" si="11">+H23</f>
        <v>800</v>
      </c>
      <c r="I24" s="91">
        <f>+H6-I22-I23-I25</f>
        <v>0</v>
      </c>
      <c r="J24" s="204">
        <v>0.6</v>
      </c>
      <c r="K24" s="9">
        <f>+J24*$J$6</f>
        <v>2598.6</v>
      </c>
      <c r="L24" s="106">
        <f>+L23</f>
        <v>101</v>
      </c>
      <c r="M24" s="9">
        <f t="shared" si="9"/>
        <v>2497.6</v>
      </c>
      <c r="N24" s="7">
        <f t="shared" si="4"/>
        <v>2497.6</v>
      </c>
      <c r="O24" s="188">
        <f t="shared" si="5"/>
        <v>3.1219999999999999</v>
      </c>
      <c r="Q24" s="96" t="s">
        <v>168</v>
      </c>
      <c r="R24" s="97"/>
      <c r="S24" s="98"/>
      <c r="U24" s="275" t="s">
        <v>661</v>
      </c>
      <c r="V24" s="97"/>
      <c r="W24" s="98">
        <f ca="1">-PV(W23/12*365.25/360,W15*12,(W14/W16/12+PMT(W20*365.25/360/12,W15*12,W21)))</f>
        <v>10923563.82299298</v>
      </c>
    </row>
    <row r="25" spans="2:47" x14ac:dyDescent="0.2">
      <c r="B25" s="6" t="s">
        <v>129</v>
      </c>
      <c r="C25" s="37">
        <f ca="1">+H102</f>
        <v>0.12204024195671082</v>
      </c>
      <c r="G25" s="6" t="s">
        <v>287</v>
      </c>
      <c r="H25" s="185">
        <f t="shared" si="11"/>
        <v>800</v>
      </c>
      <c r="I25" s="91">
        <f>+MAX(MIN(H6-I22-I23,S38),0)</f>
        <v>18</v>
      </c>
      <c r="J25" s="204">
        <f>+P38</f>
        <v>0.7</v>
      </c>
      <c r="K25" s="9">
        <f>+J25*$J$6*(1-$S$40)</f>
        <v>3031.7</v>
      </c>
      <c r="L25" s="106">
        <f>+L24</f>
        <v>101</v>
      </c>
      <c r="M25" s="9">
        <f t="shared" si="9"/>
        <v>2930.7</v>
      </c>
      <c r="N25" s="7">
        <f t="shared" si="4"/>
        <v>2930.7</v>
      </c>
      <c r="O25" s="188">
        <f t="shared" si="5"/>
        <v>3.6633749999999998</v>
      </c>
      <c r="Q25" s="93" t="s">
        <v>176</v>
      </c>
      <c r="R25" s="9"/>
      <c r="S25" s="10">
        <f>IF($D$59="B-Bond",1,0)</f>
        <v>0</v>
      </c>
      <c r="U25" s="273" t="s">
        <v>662</v>
      </c>
      <c r="V25" s="88"/>
      <c r="W25" s="276">
        <f ca="1">+W24+W21</f>
        <v>21097154.200075343</v>
      </c>
    </row>
    <row r="26" spans="2:47" x14ac:dyDescent="0.2">
      <c r="B26" s="6" t="s">
        <v>127</v>
      </c>
      <c r="C26" s="78">
        <f ca="1">+SUMIF(H94:AA94,"&gt;0")/-SUMIF(H94:AA94,"&lt;0")</f>
        <v>7.5581413722547861</v>
      </c>
      <c r="G26" s="151" t="s">
        <v>63</v>
      </c>
      <c r="H26" s="186">
        <f>+H14</f>
        <v>497</v>
      </c>
      <c r="I26" s="153">
        <f>MIN(4, MAX(0, ROUNDUP(MAX(0, C14-160)/80, 0) + SIGN(C14-15)))</f>
        <v>1</v>
      </c>
      <c r="J26" s="152" t="s">
        <v>64</v>
      </c>
      <c r="K26" s="153">
        <f>+K17</f>
        <v>2186.1</v>
      </c>
      <c r="L26" s="186">
        <v>0</v>
      </c>
      <c r="M26" s="153">
        <f>+K26-L26</f>
        <v>2186.1</v>
      </c>
      <c r="N26" s="269">
        <f t="shared" si="4"/>
        <v>2186.1</v>
      </c>
      <c r="O26" s="190">
        <f t="shared" si="5"/>
        <v>4.3985915492957748</v>
      </c>
      <c r="Q26" s="93" t="s">
        <v>660</v>
      </c>
      <c r="R26" s="9"/>
      <c r="S26" s="291" t="s">
        <v>98</v>
      </c>
      <c r="U26" s="93" t="s">
        <v>663</v>
      </c>
      <c r="V26" s="279"/>
      <c r="W26" s="73">
        <f ca="1">+(W20*W21+W23*W24)/W25</f>
        <v>5.9759968518720216E-2</v>
      </c>
      <c r="X26" s="184"/>
    </row>
    <row r="27" spans="2:47" x14ac:dyDescent="0.2">
      <c r="B27" s="6" t="s">
        <v>128</v>
      </c>
      <c r="C27" s="16">
        <f ca="1">+SUM(H94:AA94)</f>
        <v>18284854.286483496</v>
      </c>
      <c r="G27" s="11" t="s">
        <v>613</v>
      </c>
      <c r="H27" s="25">
        <f>+SUMPRODUCT(I9:I25,H9:H25)/I27</f>
        <v>612.20000000000005</v>
      </c>
      <c r="I27" s="25">
        <f>+SUM(I10:I25)</f>
        <v>95</v>
      </c>
      <c r="J27" s="80">
        <f>+SUMPRODUCT(I10:I25,J10:J25)/SUM(I10:I25)</f>
        <v>0.59368421052631581</v>
      </c>
      <c r="K27" s="25">
        <f>+SUMPRODUCT(K10:K25,$I$10:$I$25)/SUM($I$10:$I$25)</f>
        <v>2143.338947368421</v>
      </c>
      <c r="L27" s="25">
        <f>+SUMPRODUCT(L10:L25,I10:I25)/SUM(I10:I25)</f>
        <v>83.610526315789471</v>
      </c>
      <c r="M27" s="25">
        <f>+SUMPRODUCT(M10:M25,$I$10:$I$25)/SUM($I$10:$I$25)</f>
        <v>2059.7284210526318</v>
      </c>
      <c r="N27" s="25">
        <f>+SUMPRODUCT(N10:N25,$I$10:$I$25)/SUM($I$10:$I$25)</f>
        <v>2059.7284210526318</v>
      </c>
      <c r="O27" s="191">
        <f t="shared" si="5"/>
        <v>3.3644698155057688</v>
      </c>
      <c r="Q27" s="93" t="s">
        <v>169</v>
      </c>
      <c r="R27" s="9"/>
      <c r="S27" s="99">
        <v>0.08</v>
      </c>
      <c r="U27" s="300" t="s">
        <v>697</v>
      </c>
      <c r="V27" s="90"/>
      <c r="W27" s="315">
        <f ca="1">+_xlfn.XLOOKUP($W$13,$X$13:$Z$13,$X27:$Z27)*W$25</f>
        <v>158228.65650056506</v>
      </c>
      <c r="X27" s="311">
        <v>7.4999999999999997E-3</v>
      </c>
      <c r="Y27" s="311">
        <v>7.4999999999999997E-3</v>
      </c>
      <c r="Z27" s="312">
        <v>7.4999999999999997E-3</v>
      </c>
      <c r="AB27" s="82" t="s">
        <v>695</v>
      </c>
    </row>
    <row r="28" spans="2:47" x14ac:dyDescent="0.2">
      <c r="B28" s="6" t="s">
        <v>163</v>
      </c>
      <c r="C28" s="37">
        <f ca="1">+H103</f>
        <v>0.23944807648658753</v>
      </c>
      <c r="E28" s="79"/>
      <c r="G28" s="11" t="s">
        <v>614</v>
      </c>
      <c r="H28" s="25">
        <f>+SUMPRODUCT(I10:I26,H10:H26)/I28</f>
        <v>611</v>
      </c>
      <c r="I28" s="25">
        <f>+SUM(I10:I26)</f>
        <v>96</v>
      </c>
      <c r="J28" s="80">
        <f>+SUMPRODUCT(I10:I25,J10:J25)/SUM(I10:I25)</f>
        <v>0.59368421052631581</v>
      </c>
      <c r="K28" s="25">
        <f>+SUMPRODUCT(K10:K26,$I$10:$I$26)/SUM($I$10:$I$26)</f>
        <v>2143.7843750000002</v>
      </c>
      <c r="L28" s="25">
        <f>+SUMPRODUCT(L10:L25,I10:I25)/SUM(I10:I25)</f>
        <v>83.610526315789471</v>
      </c>
      <c r="M28" s="25">
        <f>+SUMPRODUCT(M10:M26,$I$10:$I$26)/SUM($I$10:$I$26)</f>
        <v>2061.0447916666667</v>
      </c>
      <c r="N28" s="25">
        <f>+SUMPRODUCT(N10:N26,$I$10:$I$26)/SUM($I$10:$I$26)</f>
        <v>2061.0447916666667</v>
      </c>
      <c r="O28" s="191">
        <f t="shared" si="5"/>
        <v>3.3732320649208947</v>
      </c>
      <c r="Q28" s="93" t="s">
        <v>170</v>
      </c>
      <c r="R28" s="9"/>
      <c r="S28" s="100">
        <v>1</v>
      </c>
      <c r="U28" s="93" t="s">
        <v>712</v>
      </c>
      <c r="V28" s="9"/>
      <c r="W28" s="207">
        <f>+_xlfn.XLOOKUP($W$13,$X$13:$Z$13,$X28:$Z28)</f>
        <v>10000</v>
      </c>
      <c r="X28" s="7">
        <v>10000</v>
      </c>
      <c r="Y28" s="7">
        <v>10000</v>
      </c>
      <c r="Z28" s="10">
        <v>10000</v>
      </c>
      <c r="AB28" s="300" t="s">
        <v>694</v>
      </c>
      <c r="AC28" s="90"/>
      <c r="AD28" s="30">
        <f ca="1">+(S6+S9)*(W41*W38+W42*W39)/12</f>
        <v>2382569.7424126067</v>
      </c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2:47" x14ac:dyDescent="0.2">
      <c r="B29" s="6" t="s">
        <v>575</v>
      </c>
      <c r="C29" s="16">
        <f ca="1">+SUM(H95:AA95)</f>
        <v>23097318.546707582</v>
      </c>
      <c r="Q29" s="250" t="s">
        <v>601</v>
      </c>
      <c r="R29"/>
      <c r="S29" s="8">
        <v>40</v>
      </c>
      <c r="U29" s="93" t="s">
        <v>709</v>
      </c>
      <c r="V29" s="9"/>
      <c r="W29" s="207">
        <f ca="1">+_xlfn.XLOOKUP($W$13,$X$13:$Z$13,$X29:$Z29)*W$25</f>
        <v>21097.154200075343</v>
      </c>
      <c r="X29" s="278">
        <v>1E-3</v>
      </c>
      <c r="Y29" s="278">
        <v>1E-3</v>
      </c>
      <c r="Z29" s="10">
        <v>0</v>
      </c>
      <c r="AB29" s="93" t="s">
        <v>693</v>
      </c>
      <c r="AC29" s="9"/>
      <c r="AD29" s="8">
        <f ca="1">-(S6+S9)*W40/12*SUM(W41:W42)</f>
        <v>-1915269.9821301827</v>
      </c>
      <c r="AE29" s="82"/>
      <c r="AH29" t="str" cm="1">
        <f t="array" ref="AH29:AH50">+_xlfn.UNIQUE(UA!B2:B1500)</f>
        <v>Los Angeles</v>
      </c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2:47" x14ac:dyDescent="0.2">
      <c r="B30" s="11" t="s">
        <v>133</v>
      </c>
      <c r="C30" s="66">
        <f ca="1">+Tiebreak!C8</f>
        <v>2.3679946498235256</v>
      </c>
      <c r="D30" s="342" t="s">
        <v>789</v>
      </c>
      <c r="E30" s="343">
        <f>+IF(C11="Yes", 112,111)</f>
        <v>112</v>
      </c>
      <c r="G30" s="11" t="s">
        <v>132</v>
      </c>
      <c r="H30" s="23"/>
      <c r="K30" s="11" t="s">
        <v>67</v>
      </c>
      <c r="L30" s="22"/>
      <c r="M30" s="28"/>
      <c r="Q30" s="93" t="s">
        <v>171</v>
      </c>
      <c r="R30" s="9"/>
      <c r="S30" s="101">
        <v>0.75</v>
      </c>
      <c r="U30" s="93" t="s">
        <v>710</v>
      </c>
      <c r="V30" s="9"/>
      <c r="W30" s="207">
        <f>+_xlfn.XLOOKUP($W$13,$X$13:$Z$13,$X30:$Z30)</f>
        <v>25000</v>
      </c>
      <c r="X30" s="7">
        <v>25000</v>
      </c>
      <c r="Y30" s="7">
        <v>25000</v>
      </c>
      <c r="Z30" s="10">
        <v>30000</v>
      </c>
      <c r="AB30" s="213" t="s">
        <v>785</v>
      </c>
      <c r="AC30" s="89"/>
      <c r="AD30" s="34">
        <f ca="1">+SUM(AD28:AD29)</f>
        <v>467299.76028242405</v>
      </c>
      <c r="AH30" t="str">
        <v>San Diego County</v>
      </c>
    </row>
    <row r="31" spans="2:47" x14ac:dyDescent="0.2">
      <c r="C31" s="3"/>
      <c r="G31" s="6" t="s">
        <v>60</v>
      </c>
      <c r="H31" s="8">
        <f>+N28*I28*12</f>
        <v>2374323.5999999996</v>
      </c>
      <c r="K31" s="6" t="s">
        <v>68</v>
      </c>
      <c r="M31" s="8">
        <f>+Z53*(1+$C$19)</f>
        <v>2249544.0426920666</v>
      </c>
      <c r="Q31" s="93" t="s">
        <v>174</v>
      </c>
      <c r="R31" s="9"/>
      <c r="S31" s="8">
        <f>+L67*S30</f>
        <v>131191.73647826083</v>
      </c>
      <c r="U31" s="93" t="s">
        <v>711</v>
      </c>
      <c r="V31" s="9"/>
      <c r="W31" s="207">
        <f ca="1">+_xlfn.XLOOKUP($W$13,$X$13:$Z$13,$X31:$Z31)*W$25*2</f>
        <v>63291.462600226034</v>
      </c>
      <c r="X31" s="278">
        <v>1.5E-3</v>
      </c>
      <c r="Y31" s="278">
        <v>1.5E-3</v>
      </c>
      <c r="Z31" s="10">
        <v>0</v>
      </c>
      <c r="AB31" s="93" t="s">
        <v>696</v>
      </c>
      <c r="AC31" s="9"/>
      <c r="AD31" s="8">
        <f ca="1">+(S6)*(W41*W38+W42*W39)/12</f>
        <v>1649471.3601318046</v>
      </c>
      <c r="AH31" t="str">
        <v>Oakland</v>
      </c>
    </row>
    <row r="32" spans="2:47" x14ac:dyDescent="0.2">
      <c r="B32" s="11" t="s">
        <v>0</v>
      </c>
      <c r="C32" s="12" t="s">
        <v>13</v>
      </c>
      <c r="D32" s="13" t="s">
        <v>12</v>
      </c>
      <c r="E32" s="229" t="s">
        <v>574</v>
      </c>
      <c r="G32" s="6" t="s">
        <v>45</v>
      </c>
      <c r="H32" s="8">
        <f>+O113</f>
        <v>16509.12</v>
      </c>
      <c r="K32" s="6" t="s">
        <v>146</v>
      </c>
      <c r="M32" s="16">
        <f>+Z64*(1+S22)</f>
        <v>0</v>
      </c>
      <c r="Q32" s="94" t="s">
        <v>173</v>
      </c>
      <c r="R32" s="83"/>
      <c r="S32" s="95">
        <f>-+PV(S27/12,S29*12,S31/12/S28)</f>
        <v>1572337.2506600146</v>
      </c>
      <c r="U32" s="93" t="s">
        <v>713</v>
      </c>
      <c r="V32" s="9"/>
      <c r="W32" s="207">
        <f ca="1">+_xlfn.XLOOKUP($W$13,$X$13:$Z$13,$X32:$Z32)*W$25</f>
        <v>0</v>
      </c>
      <c r="X32" s="278">
        <v>0</v>
      </c>
      <c r="Y32" s="278">
        <v>6.0000000000000001E-3</v>
      </c>
      <c r="Z32" s="274">
        <v>6.0000000000000001E-3</v>
      </c>
      <c r="AB32" s="93" t="s">
        <v>781</v>
      </c>
      <c r="AC32" s="9"/>
      <c r="AD32" s="8">
        <f ca="1">-(S6)*W40/12*SUM(W41:W42)</f>
        <v>-1325956.141474742</v>
      </c>
      <c r="AH32" t="str">
        <v>Orange County</v>
      </c>
    </row>
    <row r="33" spans="1:34" x14ac:dyDescent="0.2">
      <c r="B33" s="6" t="s">
        <v>1</v>
      </c>
      <c r="C33" s="106">
        <f>+IF(S11="Off",S16,0)</f>
        <v>3000000</v>
      </c>
      <c r="D33" s="8">
        <f>+C33/$C$14</f>
        <v>31250</v>
      </c>
      <c r="E33" s="230"/>
      <c r="G33" s="6" t="s">
        <v>43</v>
      </c>
      <c r="H33" s="8">
        <f>+I33*SUM(H31:H32)*-1</f>
        <v>-119541.636</v>
      </c>
      <c r="I33" s="335">
        <v>0.05</v>
      </c>
      <c r="K33" s="6" t="s">
        <v>147</v>
      </c>
      <c r="M33" s="16">
        <f>+SUM(M31:M32)</f>
        <v>2249544.0426920666</v>
      </c>
      <c r="U33" s="93" t="s">
        <v>715</v>
      </c>
      <c r="V33" s="9"/>
      <c r="W33" s="207">
        <f t="shared" ref="W33:W35" si="12">+_xlfn.XLOOKUP($W$13,$X$13:$Z$13,$X33:$Z33)</f>
        <v>165000</v>
      </c>
      <c r="X33" s="7">
        <v>165000</v>
      </c>
      <c r="Y33" s="7">
        <v>165000</v>
      </c>
      <c r="Z33" s="10">
        <v>165000</v>
      </c>
      <c r="AB33" s="213" t="s">
        <v>782</v>
      </c>
      <c r="AC33" s="89"/>
      <c r="AD33" s="34">
        <f ca="1">+SUM(AD31:AD32)</f>
        <v>323515.21865706262</v>
      </c>
      <c r="AH33" t="str">
        <v>Sacramento (City/County)</v>
      </c>
    </row>
    <row r="34" spans="1:34" x14ac:dyDescent="0.2">
      <c r="A34" s="19"/>
      <c r="B34" t="s">
        <v>768</v>
      </c>
      <c r="C34" s="7">
        <v>0</v>
      </c>
      <c r="D34" s="8">
        <f>+C34/$C$14</f>
        <v>0</v>
      </c>
      <c r="E34" s="262"/>
      <c r="G34" s="5" t="s">
        <v>65</v>
      </c>
      <c r="H34" s="15">
        <f>+SUM(H31:H33)</f>
        <v>2271291.0839999998</v>
      </c>
      <c r="K34" s="6" t="s">
        <v>69</v>
      </c>
      <c r="M34" s="39">
        <v>0.06</v>
      </c>
      <c r="P34" s="193" t="s">
        <v>525</v>
      </c>
      <c r="Q34" s="194"/>
      <c r="R34" s="200" t="s">
        <v>296</v>
      </c>
      <c r="S34" s="201" t="s">
        <v>560</v>
      </c>
      <c r="U34" s="93" t="s">
        <v>714</v>
      </c>
      <c r="V34" s="9"/>
      <c r="W34" s="207">
        <f t="shared" si="12"/>
        <v>25000</v>
      </c>
      <c r="X34" s="7">
        <v>25000</v>
      </c>
      <c r="Y34" s="7">
        <v>15000</v>
      </c>
      <c r="Z34" s="10">
        <v>15000</v>
      </c>
      <c r="AH34" t="str">
        <v>San Diego</v>
      </c>
    </row>
    <row r="35" spans="1:34" x14ac:dyDescent="0.2">
      <c r="B35" s="6" t="s">
        <v>149</v>
      </c>
      <c r="C35" s="3">
        <f>+SUM(Draws_Module!H92:H151)</f>
        <v>0</v>
      </c>
      <c r="D35" s="8">
        <f>+C35/$C$14</f>
        <v>0</v>
      </c>
      <c r="E35" s="230"/>
      <c r="G35" s="29" t="s">
        <v>18</v>
      </c>
      <c r="H35" s="30">
        <f>-J106</f>
        <v>-626800</v>
      </c>
      <c r="I35" s="253">
        <f>-H35/$I$28</f>
        <v>6529.166666666667</v>
      </c>
      <c r="K35" s="11" t="s">
        <v>70</v>
      </c>
      <c r="L35" s="22"/>
      <c r="M35" s="26">
        <f>+M33/M34</f>
        <v>37492400.711534448</v>
      </c>
      <c r="P35" s="199">
        <v>0.3</v>
      </c>
      <c r="Q35" s="192"/>
      <c r="R35" s="195">
        <v>0.1</v>
      </c>
      <c r="S35" s="8">
        <f>+I10+I14+I18+I22</f>
        <v>11</v>
      </c>
      <c r="U35" s="213" t="s">
        <v>716</v>
      </c>
      <c r="V35" s="89"/>
      <c r="W35" s="217">
        <f t="shared" si="12"/>
        <v>40000</v>
      </c>
      <c r="X35" s="313">
        <v>40000</v>
      </c>
      <c r="Y35" s="313">
        <v>40000</v>
      </c>
      <c r="Z35" s="314">
        <v>40000</v>
      </c>
      <c r="AH35" t="str">
        <v>Los Angeles County</v>
      </c>
    </row>
    <row r="36" spans="1:34" x14ac:dyDescent="0.2">
      <c r="A36" s="211" t="s">
        <v>598</v>
      </c>
      <c r="B36" s="6" t="s">
        <v>2</v>
      </c>
      <c r="C36" s="106">
        <f>+D36*$I$28</f>
        <v>23251199.999999996</v>
      </c>
      <c r="D36" s="207">
        <f>_xlfn.LET(_xlpm.indx,_xlfn.XLOOKUP(C3,'Market Inputs'!B4:B61,'Market Inputs'!Q4:Q61),IF(A36="Stick",(109121.62984
 + 133.465688*H28
 - 837121.841943/H28
 + 98.690983*LN(C17)
 + 81813683.215014/C17)*_xlpm.indx*IF(C10="Yes",1.3,1),IF(C15&lt;=5,SUMPRODUCT(AD44:AD47,H3:H6),SUMPRODUCT(AE44:AE47,H3:H6))/H7+AD48*H28*_xlpm.indx*IF(C10="Yes",1.3,1))+C18*MIN(C17/0.75/5*1.1,C12*0.9)*AD50/C14*_xlpm.indx*IF(C10="Yes",1.3,1))</f>
        <v>242199.99999999997</v>
      </c>
      <c r="E36" s="230"/>
      <c r="G36" s="11" t="s">
        <v>34</v>
      </c>
      <c r="H36" s="18">
        <f>+SUM(H34:H35)</f>
        <v>1644491.0839999998</v>
      </c>
      <c r="K36" s="6" t="s">
        <v>71</v>
      </c>
      <c r="M36" s="38">
        <v>0.03</v>
      </c>
      <c r="P36" s="199">
        <v>0.5</v>
      </c>
      <c r="Q36" s="192"/>
      <c r="R36" s="195">
        <v>0.1</v>
      </c>
      <c r="S36" s="8">
        <f>+I11+I15+I19+I23</f>
        <v>11</v>
      </c>
      <c r="U36" s="96" t="s">
        <v>717</v>
      </c>
      <c r="V36" s="25"/>
      <c r="W36" s="26">
        <f ca="1">+SUM(W27:W35)</f>
        <v>507617.27330086642</v>
      </c>
      <c r="AH36" t="str">
        <v>Santa Ana</v>
      </c>
    </row>
    <row r="37" spans="1:34" x14ac:dyDescent="0.2">
      <c r="B37" s="6" t="s">
        <v>3</v>
      </c>
      <c r="C37" s="7">
        <v>35000</v>
      </c>
      <c r="D37" s="8">
        <f>+C37/$C$14</f>
        <v>364.58333333333331</v>
      </c>
      <c r="E37" s="230"/>
      <c r="G37" s="6" t="s">
        <v>156</v>
      </c>
      <c r="H37" s="16">
        <f>+L64</f>
        <v>0</v>
      </c>
      <c r="K37" s="11" t="s">
        <v>72</v>
      </c>
      <c r="L37" s="22"/>
      <c r="M37" s="26">
        <f>+M35*(1-M36)</f>
        <v>36367628.690188415</v>
      </c>
      <c r="P37" s="199">
        <v>0.6</v>
      </c>
      <c r="Q37" s="192"/>
      <c r="R37" s="196">
        <f>+MAX(1-R35-R36-R38,0)</f>
        <v>0.4</v>
      </c>
      <c r="S37" s="8">
        <f>+S39-S38-S35-S36</f>
        <v>35</v>
      </c>
      <c r="T37" s="93"/>
      <c r="U37" s="25" t="s">
        <v>722</v>
      </c>
      <c r="V37" s="97"/>
      <c r="W37" s="97"/>
      <c r="AH37" t="str">
        <v>Riverside County</v>
      </c>
    </row>
    <row r="38" spans="1:34" x14ac:dyDescent="0.2">
      <c r="B38" s="6" t="s">
        <v>4</v>
      </c>
      <c r="C38" s="106">
        <f>+D38*$I$28</f>
        <v>768000</v>
      </c>
      <c r="D38" s="10">
        <v>8000</v>
      </c>
      <c r="E38" s="230"/>
      <c r="G38" s="6" t="s">
        <v>772</v>
      </c>
      <c r="H38" s="16">
        <f>-J137</f>
        <v>-28800</v>
      </c>
      <c r="K38" s="6"/>
      <c r="M38" s="19"/>
      <c r="P38" s="203">
        <v>0.7</v>
      </c>
      <c r="Q38" s="192"/>
      <c r="R38" s="197">
        <v>0.4</v>
      </c>
      <c r="S38" s="8">
        <f>+MIN(ROUND(R38*($H$7-$I$26),0),S39-S35)</f>
        <v>38</v>
      </c>
      <c r="U38" s="300" t="s">
        <v>657</v>
      </c>
      <c r="V38" s="90"/>
      <c r="W38" s="321">
        <f>+_xlfn.XLOOKUP($W$13,$X$13:$Z$13,$X38:$Z38)</f>
        <v>4.65E-2</v>
      </c>
      <c r="X38" s="311">
        <f>+X18+0.8%</f>
        <v>4.65E-2</v>
      </c>
      <c r="Y38" s="311">
        <v>0.03</v>
      </c>
      <c r="Z38" s="312">
        <v>0.03</v>
      </c>
      <c r="AH38" t="str">
        <v>San Francisco</v>
      </c>
    </row>
    <row r="39" spans="1:34" x14ac:dyDescent="0.2">
      <c r="B39" s="6" t="s">
        <v>5</v>
      </c>
      <c r="C39" s="106">
        <f>+D39*$I$28</f>
        <v>864000</v>
      </c>
      <c r="D39" s="10">
        <v>9000</v>
      </c>
      <c r="E39" s="230"/>
      <c r="G39" s="11" t="s">
        <v>147</v>
      </c>
      <c r="H39" s="18">
        <f>+H36+H37+H38</f>
        <v>1615691.0839999998</v>
      </c>
      <c r="K39" s="6" t="s">
        <v>73</v>
      </c>
      <c r="M39" s="8">
        <f ca="1">+D75+CUMPRINC(C75/12*365.25/360,W15*12,D75,1,16*12,0)+AA89</f>
        <v>17736898.604813471</v>
      </c>
      <c r="P39" s="11" t="s">
        <v>11</v>
      </c>
      <c r="Q39" s="206">
        <f>+SUMPRODUCT(P35:P38,S35:S38)/SUM(S35:S38)</f>
        <v>0.59368421052631581</v>
      </c>
      <c r="R39" s="198">
        <f>+SUM(R35:R38)</f>
        <v>1</v>
      </c>
      <c r="S39" s="26">
        <f>+H7-I26</f>
        <v>95</v>
      </c>
      <c r="U39" s="93" t="s">
        <v>658</v>
      </c>
      <c r="V39" s="9"/>
      <c r="W39" s="73">
        <f>+_xlfn.XLOOKUP($W$13,$X$13:$Z$13,$X39:$Z39)</f>
        <v>5.7359999999999994E-2</v>
      </c>
      <c r="X39" s="278">
        <f>5.036%+0.7%</f>
        <v>5.7359999999999994E-2</v>
      </c>
      <c r="Y39" s="197">
        <v>0</v>
      </c>
      <c r="Z39" s="101">
        <v>0</v>
      </c>
      <c r="AH39" t="str">
        <v>Santa Clara County</v>
      </c>
    </row>
    <row r="40" spans="1:34" x14ac:dyDescent="0.2">
      <c r="B40" s="6" t="s">
        <v>620</v>
      </c>
      <c r="C40" s="106">
        <f>0.0175*C36</f>
        <v>406896</v>
      </c>
      <c r="D40" s="207">
        <f>+C40/$C$14</f>
        <v>4238.5</v>
      </c>
      <c r="E40" s="230"/>
      <c r="G40" s="6" t="s">
        <v>69</v>
      </c>
      <c r="H40" s="39">
        <v>0.06</v>
      </c>
      <c r="K40" s="11" t="s">
        <v>74</v>
      </c>
      <c r="L40" s="22"/>
      <c r="M40" s="18">
        <f ca="1">+M37-M39</f>
        <v>18630730.085374944</v>
      </c>
      <c r="N40" s="3"/>
      <c r="P40" s="70" t="str">
        <f>+TEXT(P38,"0%")&amp;" AMI Rent Discount"</f>
        <v>70% AMI Rent Discount</v>
      </c>
      <c r="Q40" s="97"/>
      <c r="R40" s="97"/>
      <c r="S40" s="216">
        <v>0</v>
      </c>
      <c r="U40" s="93" t="s">
        <v>692</v>
      </c>
      <c r="V40" s="9"/>
      <c r="W40" s="73">
        <f>+_xlfn.XLOOKUP($W$13,$X$13:$Z$13,$X40:$Z40)</f>
        <v>4.19E-2</v>
      </c>
      <c r="X40" s="319">
        <v>4.19E-2</v>
      </c>
      <c r="Y40" s="319">
        <v>4.19E-2</v>
      </c>
      <c r="Z40" s="320">
        <v>4.19E-2</v>
      </c>
      <c r="AH40" t="str">
        <v>Long Beach</v>
      </c>
    </row>
    <row r="41" spans="1:34" x14ac:dyDescent="0.2">
      <c r="B41" s="6" t="s">
        <v>621</v>
      </c>
      <c r="C41" s="3">
        <f>+MIN(750*C14,200000)</f>
        <v>72000</v>
      </c>
      <c r="D41" s="207">
        <f>+C41/$C$14</f>
        <v>750</v>
      </c>
      <c r="E41" s="262"/>
      <c r="G41" s="11" t="s">
        <v>131</v>
      </c>
      <c r="H41" s="26">
        <f>+H39/H40</f>
        <v>26928184.733333331</v>
      </c>
      <c r="K41" s="6" t="s">
        <v>75</v>
      </c>
      <c r="M41" s="8">
        <f ca="1">+$M$40*N41</f>
        <v>1863073.0085374946</v>
      </c>
      <c r="N41" s="157">
        <v>0.1</v>
      </c>
      <c r="Q41" s="2"/>
      <c r="U41" s="300" t="s">
        <v>721</v>
      </c>
      <c r="V41" s="90"/>
      <c r="W41" s="30">
        <f ca="1">+W21</f>
        <v>10173590.377082365</v>
      </c>
      <c r="AH41" t="str">
        <v>Fresno (City/County)</v>
      </c>
    </row>
    <row r="42" spans="1:34" x14ac:dyDescent="0.2">
      <c r="B42" s="6" t="s">
        <v>619</v>
      </c>
      <c r="C42" s="106">
        <f>+D42*$I$28</f>
        <v>144000</v>
      </c>
      <c r="D42" s="10">
        <v>1500</v>
      </c>
      <c r="E42" s="262"/>
      <c r="K42" s="20" t="s">
        <v>76</v>
      </c>
      <c r="L42" s="21"/>
      <c r="M42" s="34">
        <f ca="1">+$M$40*N42</f>
        <v>16767657.07683745</v>
      </c>
      <c r="N42" s="158">
        <f>1-N41</f>
        <v>0.9</v>
      </c>
      <c r="Q42" s="2"/>
      <c r="U42" s="213" t="s">
        <v>720</v>
      </c>
      <c r="V42" s="89"/>
      <c r="W42" s="34">
        <f ca="1">+IF(W13=$X$13,W24,0)</f>
        <v>10923563.82299298</v>
      </c>
      <c r="AH42" t="str">
        <v>Alameda County</v>
      </c>
    </row>
    <row r="43" spans="1:34" x14ac:dyDescent="0.2">
      <c r="B43" s="6" t="s">
        <v>718</v>
      </c>
      <c r="C43" s="106">
        <f ca="1">IF(D62&gt;20000000,37500+0.0005*(D62-20000000),0.001875*D62)+70000+2500+6000</f>
        <v>97575.481957029435</v>
      </c>
      <c r="D43" s="207">
        <f t="shared" ref="D43:D54" ca="1" si="13">+C43/$C$14</f>
        <v>1016.4112703857232</v>
      </c>
      <c r="E43" s="230"/>
      <c r="H43" s="132"/>
      <c r="I43" s="132"/>
      <c r="J43" s="132"/>
      <c r="K43" s="132"/>
      <c r="AA43" s="288" t="s">
        <v>668</v>
      </c>
      <c r="AC43" s="96" t="s">
        <v>558</v>
      </c>
      <c r="AD43" s="201" t="s">
        <v>626</v>
      </c>
      <c r="AE43" s="201" t="s">
        <v>627</v>
      </c>
      <c r="AH43" t="str">
        <v>Contra Costa County</v>
      </c>
    </row>
    <row r="44" spans="1:34" x14ac:dyDescent="0.2">
      <c r="B44" s="6" t="s">
        <v>726</v>
      </c>
      <c r="C44" s="220">
        <f>50000+D109+35000</f>
        <v>140000</v>
      </c>
      <c r="D44" s="207">
        <f t="shared" si="13"/>
        <v>1458.3333333333333</v>
      </c>
      <c r="E44" s="230"/>
      <c r="G44" s="62" t="s">
        <v>14</v>
      </c>
      <c r="H44" s="64" t="s">
        <v>267</v>
      </c>
      <c r="I44" s="64" t="s">
        <v>577</v>
      </c>
      <c r="J44" s="64" t="s">
        <v>266</v>
      </c>
      <c r="K44" s="64" t="s">
        <v>274</v>
      </c>
      <c r="L44" s="64" t="s">
        <v>19</v>
      </c>
      <c r="M44" s="64" t="s">
        <v>20</v>
      </c>
      <c r="N44" s="64" t="s">
        <v>21</v>
      </c>
      <c r="O44" s="64" t="s">
        <v>22</v>
      </c>
      <c r="P44" s="64" t="s">
        <v>23</v>
      </c>
      <c r="Q44" s="64" t="s">
        <v>24</v>
      </c>
      <c r="R44" s="64" t="s">
        <v>25</v>
      </c>
      <c r="S44" s="64" t="s">
        <v>26</v>
      </c>
      <c r="T44" s="64" t="s">
        <v>27</v>
      </c>
      <c r="U44" s="64" t="s">
        <v>28</v>
      </c>
      <c r="V44" s="64" t="s">
        <v>29</v>
      </c>
      <c r="W44" s="64" t="s">
        <v>30</v>
      </c>
      <c r="X44" s="64" t="s">
        <v>31</v>
      </c>
      <c r="Y44" s="64" t="s">
        <v>32</v>
      </c>
      <c r="Z44" s="281" t="s">
        <v>33</v>
      </c>
      <c r="AA44" s="64" t="s">
        <v>667</v>
      </c>
      <c r="AC44" s="93" t="s">
        <v>157</v>
      </c>
      <c r="AD44" s="160">
        <v>80000</v>
      </c>
      <c r="AE44" s="160">
        <f>+AD44*1.15</f>
        <v>92000</v>
      </c>
      <c r="AH44" t="str">
        <v>San Buenaventura (Ventura)</v>
      </c>
    </row>
    <row r="45" spans="1:34" x14ac:dyDescent="0.2">
      <c r="B45" s="6" t="s">
        <v>565</v>
      </c>
      <c r="C45" s="220">
        <f ca="1">+D116</f>
        <v>95644.852773777588</v>
      </c>
      <c r="D45" s="207">
        <f t="shared" ca="1" si="13"/>
        <v>996.30054972684991</v>
      </c>
      <c r="E45" s="230"/>
      <c r="G45" t="s">
        <v>278</v>
      </c>
      <c r="H45">
        <v>0</v>
      </c>
      <c r="I45" s="3">
        <f>+S4+H45</f>
        <v>6</v>
      </c>
      <c r="J45" s="3">
        <f>+S5+I45</f>
        <v>12</v>
      </c>
      <c r="K45" s="3">
        <f>+S6+S9+J45</f>
        <v>38</v>
      </c>
      <c r="L45" s="3">
        <f>+K45+12</f>
        <v>50</v>
      </c>
      <c r="M45" s="3">
        <f t="shared" ref="M45:AA45" si="14">+L45+12</f>
        <v>62</v>
      </c>
      <c r="N45" s="3">
        <f t="shared" si="14"/>
        <v>74</v>
      </c>
      <c r="O45" s="3">
        <f>+N45+12</f>
        <v>86</v>
      </c>
      <c r="P45" s="3">
        <f t="shared" si="14"/>
        <v>98</v>
      </c>
      <c r="Q45" s="3">
        <f t="shared" si="14"/>
        <v>110</v>
      </c>
      <c r="R45" s="3">
        <f t="shared" si="14"/>
        <v>122</v>
      </c>
      <c r="S45" s="3">
        <f t="shared" si="14"/>
        <v>134</v>
      </c>
      <c r="T45" s="3">
        <f t="shared" si="14"/>
        <v>146</v>
      </c>
      <c r="U45" s="3">
        <f>+T45+12</f>
        <v>158</v>
      </c>
      <c r="V45" s="3">
        <f t="shared" si="14"/>
        <v>170</v>
      </c>
      <c r="W45" s="3">
        <f>+V45+12</f>
        <v>182</v>
      </c>
      <c r="X45" s="3">
        <f t="shared" si="14"/>
        <v>194</v>
      </c>
      <c r="Y45" s="3">
        <f t="shared" si="14"/>
        <v>206</v>
      </c>
      <c r="Z45" s="16">
        <f t="shared" si="14"/>
        <v>218</v>
      </c>
      <c r="AA45" s="3">
        <f t="shared" si="14"/>
        <v>230</v>
      </c>
      <c r="AC45" s="93" t="s">
        <v>58</v>
      </c>
      <c r="AD45" s="160">
        <v>90000</v>
      </c>
      <c r="AE45" s="160">
        <f>+AD45*1.15</f>
        <v>103499.99999999999</v>
      </c>
      <c r="AH45" t="str">
        <v>Stanislaus County</v>
      </c>
    </row>
    <row r="46" spans="1:34" x14ac:dyDescent="0.2">
      <c r="A46" s="156">
        <v>1.0999999999999999E-2</v>
      </c>
      <c r="B46" s="6" t="s">
        <v>7</v>
      </c>
      <c r="C46" s="106">
        <f>A46/12*(S16*(S5+S6)+C36*(S6)/2)</f>
        <v>257822.4</v>
      </c>
      <c r="D46" s="207">
        <f t="shared" si="13"/>
        <v>2685.65</v>
      </c>
      <c r="E46" s="230"/>
      <c r="G46" s="21" t="s">
        <v>280</v>
      </c>
      <c r="H46" s="141">
        <f>+S3</f>
        <v>46387</v>
      </c>
      <c r="I46" s="141">
        <f t="shared" ref="I46:Z46" si="15">+EOMONTH($H$46,I45)</f>
        <v>46568</v>
      </c>
      <c r="J46" s="141">
        <f t="shared" si="15"/>
        <v>46752</v>
      </c>
      <c r="K46" s="141">
        <f t="shared" si="15"/>
        <v>47542</v>
      </c>
      <c r="L46" s="141">
        <f t="shared" si="15"/>
        <v>47907</v>
      </c>
      <c r="M46" s="141">
        <f t="shared" si="15"/>
        <v>48273</v>
      </c>
      <c r="N46" s="141">
        <f t="shared" si="15"/>
        <v>48638</v>
      </c>
      <c r="O46" s="141">
        <f t="shared" si="15"/>
        <v>49003</v>
      </c>
      <c r="P46" s="141">
        <f t="shared" si="15"/>
        <v>49368</v>
      </c>
      <c r="Q46" s="141">
        <f t="shared" si="15"/>
        <v>49734</v>
      </c>
      <c r="R46" s="141">
        <f t="shared" si="15"/>
        <v>50099</v>
      </c>
      <c r="S46" s="141">
        <f t="shared" si="15"/>
        <v>50464</v>
      </c>
      <c r="T46" s="141">
        <f t="shared" si="15"/>
        <v>50829</v>
      </c>
      <c r="U46" s="141">
        <f t="shared" si="15"/>
        <v>51195</v>
      </c>
      <c r="V46" s="141">
        <f t="shared" si="15"/>
        <v>51560</v>
      </c>
      <c r="W46" s="141">
        <f t="shared" si="15"/>
        <v>51925</v>
      </c>
      <c r="X46" s="141">
        <f t="shared" si="15"/>
        <v>52290</v>
      </c>
      <c r="Y46" s="141">
        <f t="shared" si="15"/>
        <v>52656</v>
      </c>
      <c r="Z46" s="282">
        <f t="shared" si="15"/>
        <v>53021</v>
      </c>
      <c r="AA46" s="141">
        <f t="shared" ref="AA46" si="16">+EOMONTH($H$46,AA45)</f>
        <v>53386</v>
      </c>
      <c r="AC46" s="93" t="s">
        <v>158</v>
      </c>
      <c r="AD46" s="160">
        <v>130000</v>
      </c>
      <c r="AE46" s="160">
        <f t="shared" ref="AE46:AE47" si="17">+AD46*1.15</f>
        <v>149500</v>
      </c>
      <c r="AH46" t="str">
        <v>Berkeley</v>
      </c>
    </row>
    <row r="47" spans="1:34" x14ac:dyDescent="0.2">
      <c r="B47" s="6" t="s">
        <v>8</v>
      </c>
      <c r="C47" s="106">
        <f ca="1">+C56*15%/(1+15%)</f>
        <v>4402855.9885705486</v>
      </c>
      <c r="D47" s="207">
        <f t="shared" ca="1" si="13"/>
        <v>45863.08321427655</v>
      </c>
      <c r="E47" s="230"/>
      <c r="G47" t="s">
        <v>16</v>
      </c>
      <c r="J47" s="3">
        <v>0</v>
      </c>
      <c r="K47" s="3">
        <v>0</v>
      </c>
      <c r="L47" s="3">
        <f>+H31</f>
        <v>2374323.5999999996</v>
      </c>
      <c r="M47" s="3">
        <f t="shared" ref="M47:AA47" si="18">+L47*(1+$C$19)</f>
        <v>2433681.6899999995</v>
      </c>
      <c r="N47" s="3">
        <f t="shared" si="18"/>
        <v>2494523.7322499994</v>
      </c>
      <c r="O47" s="3">
        <f t="shared" si="18"/>
        <v>2556886.8255562494</v>
      </c>
      <c r="P47" s="3">
        <f t="shared" si="18"/>
        <v>2620808.9961951552</v>
      </c>
      <c r="Q47" s="2">
        <f t="shared" si="18"/>
        <v>2686329.2211000337</v>
      </c>
      <c r="R47" s="2">
        <f t="shared" si="18"/>
        <v>2753487.4516275343</v>
      </c>
      <c r="S47" s="2">
        <f t="shared" si="18"/>
        <v>2822324.6379182227</v>
      </c>
      <c r="T47" s="2">
        <f t="shared" si="18"/>
        <v>2892882.753866178</v>
      </c>
      <c r="U47" s="2">
        <f>+T47*(1+$C$19)</f>
        <v>2965204.8227128321</v>
      </c>
      <c r="V47" s="2">
        <f t="shared" si="18"/>
        <v>3039334.9432806526</v>
      </c>
      <c r="W47" s="2">
        <f>+V47*(1+$C$19)</f>
        <v>3115318.3168626688</v>
      </c>
      <c r="X47" s="2">
        <f t="shared" si="18"/>
        <v>3193201.2747842353</v>
      </c>
      <c r="Y47" s="2">
        <f t="shared" si="18"/>
        <v>3273031.3066538409</v>
      </c>
      <c r="Z47" s="8">
        <f t="shared" si="18"/>
        <v>3354857.0893201865</v>
      </c>
      <c r="AA47" s="2">
        <f t="shared" si="18"/>
        <v>3438728.516553191</v>
      </c>
      <c r="AC47" s="213" t="s">
        <v>287</v>
      </c>
      <c r="AD47" s="248">
        <v>170000</v>
      </c>
      <c r="AE47" s="248">
        <f t="shared" si="17"/>
        <v>195499.99999999997</v>
      </c>
      <c r="AH47" t="str">
        <v>Santa Cruz County</v>
      </c>
    </row>
    <row r="48" spans="1:34" x14ac:dyDescent="0.2">
      <c r="B48" s="6" t="s">
        <v>52</v>
      </c>
      <c r="C48" s="106">
        <f>-(L52+L56)/4</f>
        <v>507937.192173913</v>
      </c>
      <c r="D48" s="207">
        <f t="shared" si="13"/>
        <v>5291.0124184782608</v>
      </c>
      <c r="E48" s="230"/>
      <c r="G48" t="s">
        <v>45</v>
      </c>
      <c r="J48" s="3"/>
      <c r="K48" s="3"/>
      <c r="L48" s="3">
        <f>+H32</f>
        <v>16509.12</v>
      </c>
      <c r="M48" s="3">
        <f t="shared" ref="M48:AA48" si="19">+L48*(1+$C$19)</f>
        <v>16921.847999999998</v>
      </c>
      <c r="N48" s="3">
        <f t="shared" si="19"/>
        <v>17344.894199999995</v>
      </c>
      <c r="O48" s="3">
        <f t="shared" si="19"/>
        <v>17778.516554999995</v>
      </c>
      <c r="P48" s="3">
        <f t="shared" si="19"/>
        <v>18222.979468874993</v>
      </c>
      <c r="Q48" s="2">
        <f t="shared" si="19"/>
        <v>18678.553955596868</v>
      </c>
      <c r="R48" s="2">
        <f t="shared" si="19"/>
        <v>19145.51780448679</v>
      </c>
      <c r="S48" s="2">
        <f t="shared" si="19"/>
        <v>19624.155749598958</v>
      </c>
      <c r="T48" s="2">
        <f t="shared" si="19"/>
        <v>20114.75964333893</v>
      </c>
      <c r="U48" s="2">
        <f>+T48*(1+$C$19)</f>
        <v>20617.628634422403</v>
      </c>
      <c r="V48" s="2">
        <f t="shared" si="19"/>
        <v>21133.06935028296</v>
      </c>
      <c r="W48" s="2">
        <f>+V48*(1+$C$19)</f>
        <v>21661.396084040032</v>
      </c>
      <c r="X48" s="2">
        <f t="shared" si="19"/>
        <v>22202.930986141033</v>
      </c>
      <c r="Y48" s="2">
        <f t="shared" si="19"/>
        <v>22758.004260794558</v>
      </c>
      <c r="Z48" s="8">
        <f t="shared" si="19"/>
        <v>23326.954367314418</v>
      </c>
      <c r="AA48" s="2">
        <f t="shared" si="19"/>
        <v>23910.128226497276</v>
      </c>
      <c r="AC48" t="s">
        <v>599</v>
      </c>
      <c r="AD48" s="249">
        <v>200</v>
      </c>
      <c r="AH48" t="str">
        <v>San Bernardino County</v>
      </c>
    </row>
    <row r="49" spans="1:38" x14ac:dyDescent="0.2">
      <c r="A49" s="227">
        <v>0.05</v>
      </c>
      <c r="B49" s="6" t="s">
        <v>9</v>
      </c>
      <c r="C49" s="9">
        <f>+A49*C36</f>
        <v>1162559.9999999998</v>
      </c>
      <c r="D49" s="8">
        <f t="shared" si="13"/>
        <v>12109.999999999998</v>
      </c>
      <c r="E49" s="230"/>
      <c r="G49" t="s">
        <v>43</v>
      </c>
      <c r="J49" s="3"/>
      <c r="K49" s="3"/>
      <c r="L49" s="3">
        <f>+H33</f>
        <v>-119541.636</v>
      </c>
      <c r="M49" s="3">
        <f t="shared" ref="M49:Z49" si="20">-$I$33*SUM(M47:M48)</f>
        <v>-122530.17689999999</v>
      </c>
      <c r="N49" s="3">
        <f t="shared" si="20"/>
        <v>-125593.43132249998</v>
      </c>
      <c r="O49" s="3">
        <f t="shared" si="20"/>
        <v>-128733.26710556248</v>
      </c>
      <c r="P49" s="3">
        <f t="shared" si="20"/>
        <v>-131951.59878320151</v>
      </c>
      <c r="Q49" s="2">
        <f t="shared" si="20"/>
        <v>-135250.38875278152</v>
      </c>
      <c r="R49" s="2">
        <f t="shared" si="20"/>
        <v>-138631.64847160105</v>
      </c>
      <c r="S49" s="2">
        <f t="shared" si="20"/>
        <v>-142097.4396833911</v>
      </c>
      <c r="T49" s="2">
        <f t="shared" si="20"/>
        <v>-145649.87567547587</v>
      </c>
      <c r="U49" s="2">
        <f t="shared" si="20"/>
        <v>-149291.12256736273</v>
      </c>
      <c r="V49" s="2">
        <f t="shared" si="20"/>
        <v>-153023.4006315468</v>
      </c>
      <c r="W49" s="2">
        <f t="shared" si="20"/>
        <v>-156848.98564733544</v>
      </c>
      <c r="X49" s="2">
        <f t="shared" si="20"/>
        <v>-160770.21028851881</v>
      </c>
      <c r="Y49" s="2">
        <f t="shared" si="20"/>
        <v>-164789.4655457318</v>
      </c>
      <c r="Z49" s="8">
        <f t="shared" si="20"/>
        <v>-168909.20218437506</v>
      </c>
      <c r="AA49" s="2">
        <f t="shared" ref="AA49" si="21">-$I$33*SUM(AA47:AA48)</f>
        <v>-173131.93223898442</v>
      </c>
      <c r="AD49" s="256">
        <f>+AD48*H28</f>
        <v>122200</v>
      </c>
      <c r="AH49" t="str">
        <v>Placer County (Band-1, under 1500 ft: Auburn/Lincoln/Rocklin)</v>
      </c>
    </row>
    <row r="50" spans="1:38" x14ac:dyDescent="0.2">
      <c r="A50" s="228">
        <v>0.1</v>
      </c>
      <c r="B50" s="6" t="s">
        <v>10</v>
      </c>
      <c r="C50" s="9">
        <f ca="1">+A50*SUM(C37:C46)</f>
        <v>288093.87347308075</v>
      </c>
      <c r="D50" s="8">
        <f t="shared" ca="1" si="13"/>
        <v>3000.9778486779246</v>
      </c>
      <c r="E50" s="230"/>
      <c r="G50" s="27" t="s">
        <v>44</v>
      </c>
      <c r="H50" s="27"/>
      <c r="I50" s="27"/>
      <c r="J50" s="14"/>
      <c r="K50" s="14"/>
      <c r="L50" s="14">
        <f t="shared" ref="L50:Z50" si="22">+SUM(L47:L49)</f>
        <v>2271291.0839999998</v>
      </c>
      <c r="M50" s="14">
        <f t="shared" si="22"/>
        <v>2328073.3610999999</v>
      </c>
      <c r="N50" s="14">
        <f t="shared" si="22"/>
        <v>2386275.1951274993</v>
      </c>
      <c r="O50" s="14">
        <f t="shared" si="22"/>
        <v>2445932.0750056868</v>
      </c>
      <c r="P50" s="14">
        <f t="shared" si="22"/>
        <v>2507080.3768808288</v>
      </c>
      <c r="Q50" s="88">
        <f t="shared" si="22"/>
        <v>2569757.3863028493</v>
      </c>
      <c r="R50" s="88">
        <f t="shared" si="22"/>
        <v>2634001.3209604202</v>
      </c>
      <c r="S50" s="88">
        <f t="shared" si="22"/>
        <v>2699851.3539844304</v>
      </c>
      <c r="T50" s="88">
        <f t="shared" si="22"/>
        <v>2767347.6378340414</v>
      </c>
      <c r="U50" s="88">
        <f t="shared" si="22"/>
        <v>2836531.3287798921</v>
      </c>
      <c r="V50" s="88">
        <f t="shared" si="22"/>
        <v>2907444.6119993888</v>
      </c>
      <c r="W50" s="88">
        <f t="shared" si="22"/>
        <v>2980130.7272993731</v>
      </c>
      <c r="X50" s="88">
        <f t="shared" si="22"/>
        <v>3054633.9954818571</v>
      </c>
      <c r="Y50" s="88">
        <f t="shared" si="22"/>
        <v>3130999.8453689041</v>
      </c>
      <c r="Z50" s="276">
        <f t="shared" si="22"/>
        <v>3209274.8415031261</v>
      </c>
      <c r="AA50" s="88">
        <f t="shared" ref="AA50" si="23">+SUM(AA47:AA49)</f>
        <v>3289506.7125407038</v>
      </c>
      <c r="AC50" s="2" t="s">
        <v>622</v>
      </c>
      <c r="AD50" s="249">
        <v>110</v>
      </c>
      <c r="AH50">
        <v>0</v>
      </c>
    </row>
    <row r="51" spans="1:38" x14ac:dyDescent="0.2">
      <c r="B51" s="6" t="s">
        <v>164</v>
      </c>
      <c r="C51" s="9">
        <f ca="1">+W36</f>
        <v>507617.27330086642</v>
      </c>
      <c r="D51" s="8">
        <f t="shared" ca="1" si="13"/>
        <v>5287.6799302173586</v>
      </c>
      <c r="E51" s="230"/>
      <c r="Q51" s="2"/>
      <c r="Z51" s="8"/>
      <c r="AD51" s="256">
        <f>+MIN(C17/0.75*1.1/5*C18,C12*0.9*C18)*AD50/I28</f>
        <v>0</v>
      </c>
    </row>
    <row r="52" spans="1:38" x14ac:dyDescent="0.2">
      <c r="B52" s="6" t="s">
        <v>708</v>
      </c>
      <c r="C52" s="9">
        <f ca="1">Draws_Module!I22+AA8+AD33</f>
        <v>1554269.1602514291</v>
      </c>
      <c r="D52" s="8">
        <f t="shared" ca="1" si="13"/>
        <v>16190.303752619053</v>
      </c>
      <c r="E52" s="230"/>
      <c r="G52" t="s">
        <v>18</v>
      </c>
      <c r="J52" s="3"/>
      <c r="K52" s="3"/>
      <c r="L52" s="3">
        <f>+H35</f>
        <v>-626800</v>
      </c>
      <c r="M52" s="3">
        <f t="shared" ref="M52:AA52" si="24">+L52*(1+$C$20)</f>
        <v>-648738</v>
      </c>
      <c r="N52" s="3">
        <f t="shared" si="24"/>
        <v>-671443.83</v>
      </c>
      <c r="O52" s="3">
        <f t="shared" si="24"/>
        <v>-694944.36404999986</v>
      </c>
      <c r="P52" s="3">
        <f t="shared" si="24"/>
        <v>-719267.41679174977</v>
      </c>
      <c r="Q52" s="3">
        <f t="shared" si="24"/>
        <v>-744441.77637946093</v>
      </c>
      <c r="R52" s="3">
        <f t="shared" si="24"/>
        <v>-770497.23855274206</v>
      </c>
      <c r="S52" s="3">
        <f t="shared" si="24"/>
        <v>-797464.64190208795</v>
      </c>
      <c r="T52" s="3">
        <f t="shared" si="24"/>
        <v>-825375.90436866099</v>
      </c>
      <c r="U52" s="3">
        <f>+T52*(1+$C$20)</f>
        <v>-854264.06102156406</v>
      </c>
      <c r="V52" s="3">
        <f t="shared" si="24"/>
        <v>-884163.30315731873</v>
      </c>
      <c r="W52" s="3">
        <f>+V52*(1+$C$20)</f>
        <v>-915109.01876782486</v>
      </c>
      <c r="X52" s="3">
        <f t="shared" si="24"/>
        <v>-947137.83442469861</v>
      </c>
      <c r="Y52" s="3">
        <f t="shared" si="24"/>
        <v>-980287.65862956294</v>
      </c>
      <c r="Z52" s="16">
        <f t="shared" si="24"/>
        <v>-1014597.7266815975</v>
      </c>
      <c r="AA52" s="3">
        <f t="shared" si="24"/>
        <v>-1050108.6471154534</v>
      </c>
      <c r="AD52" s="263" t="e">
        <f>+MIN(C17/0.75*1.1/5*C18,C12*0.9*C18)*AD50/D18</f>
        <v>#DIV/0!</v>
      </c>
      <c r="AG52" s="2" t="s">
        <v>407</v>
      </c>
    </row>
    <row r="53" spans="1:38" x14ac:dyDescent="0.2">
      <c r="B53" s="6" t="s">
        <v>707</v>
      </c>
      <c r="C53" s="9">
        <f ca="1">+Draws_Module!I23+AA9+AD30-AD33</f>
        <v>1293290.7126802949</v>
      </c>
      <c r="D53" s="8">
        <f t="shared" ca="1" si="13"/>
        <v>13471.778257086406</v>
      </c>
      <c r="E53" s="230"/>
      <c r="G53" s="27" t="s">
        <v>34</v>
      </c>
      <c r="H53" s="27"/>
      <c r="I53" s="27"/>
      <c r="J53" s="14">
        <f t="shared" ref="J53" si="25">+J50+J52</f>
        <v>0</v>
      </c>
      <c r="K53" s="14">
        <f t="shared" ref="K53:Z53" si="26">+K50+K52</f>
        <v>0</v>
      </c>
      <c r="L53" s="14">
        <f t="shared" si="26"/>
        <v>1644491.0839999998</v>
      </c>
      <c r="M53" s="14">
        <f t="shared" si="26"/>
        <v>1679335.3610999999</v>
      </c>
      <c r="N53" s="14">
        <f t="shared" si="26"/>
        <v>1714831.3651274992</v>
      </c>
      <c r="O53" s="14">
        <f t="shared" si="26"/>
        <v>1750987.7109556869</v>
      </c>
      <c r="P53" s="14">
        <f t="shared" si="26"/>
        <v>1787812.9600890791</v>
      </c>
      <c r="Q53" s="88">
        <f t="shared" si="26"/>
        <v>1825315.6099233883</v>
      </c>
      <c r="R53" s="88">
        <f t="shared" si="26"/>
        <v>1863504.082407678</v>
      </c>
      <c r="S53" s="88">
        <f t="shared" si="26"/>
        <v>1902386.7120823425</v>
      </c>
      <c r="T53" s="88">
        <f t="shared" si="26"/>
        <v>1941971.7334653805</v>
      </c>
      <c r="U53" s="88">
        <f t="shared" si="26"/>
        <v>1982267.267758328</v>
      </c>
      <c r="V53" s="88">
        <f t="shared" si="26"/>
        <v>2023281.3088420699</v>
      </c>
      <c r="W53" s="88">
        <f t="shared" si="26"/>
        <v>2065021.7085315483</v>
      </c>
      <c r="X53" s="88">
        <f t="shared" si="26"/>
        <v>2107496.1610571584</v>
      </c>
      <c r="Y53" s="88">
        <f t="shared" si="26"/>
        <v>2150712.1867393414</v>
      </c>
      <c r="Z53" s="276">
        <f t="shared" si="26"/>
        <v>2194677.1148215286</v>
      </c>
      <c r="AA53" s="88">
        <f t="shared" ref="AA53" si="27">+AA50+AA52</f>
        <v>2239398.0654252507</v>
      </c>
      <c r="AG53" s="2" t="s">
        <v>408</v>
      </c>
    </row>
    <row r="54" spans="1:38" x14ac:dyDescent="0.2">
      <c r="B54" s="6" t="s">
        <v>727</v>
      </c>
      <c r="C54" s="9">
        <f ca="1">1%*SUM(D62:D64)+150000</f>
        <v>454956.34145585232</v>
      </c>
      <c r="D54" s="8">
        <f t="shared" ca="1" si="13"/>
        <v>4739.1285568317953</v>
      </c>
      <c r="E54" s="230"/>
      <c r="Q54" s="2"/>
      <c r="Z54" s="8"/>
    </row>
    <row r="55" spans="1:38" x14ac:dyDescent="0.2">
      <c r="B55" s="5" t="s">
        <v>11</v>
      </c>
      <c r="C55" s="14">
        <f ca="1">+SUM(C33:C54)</f>
        <v>39303719.276636787</v>
      </c>
      <c r="D55" s="15">
        <f ca="1">+SUM(D33:D54)</f>
        <v>409413.74246496655</v>
      </c>
      <c r="E55" s="231">
        <f>+SUM(E33:E54)</f>
        <v>0</v>
      </c>
      <c r="G55" s="21"/>
      <c r="H55" s="21"/>
      <c r="I55" s="21"/>
      <c r="J55" s="68"/>
      <c r="K55" s="68"/>
      <c r="L55" s="68"/>
      <c r="M55" s="68"/>
      <c r="N55" s="68"/>
      <c r="O55" s="68"/>
      <c r="P55" s="68"/>
      <c r="Q55" s="89"/>
      <c r="R55" s="89"/>
      <c r="S55" s="89"/>
      <c r="T55" s="89"/>
      <c r="U55" s="89"/>
      <c r="V55" s="89"/>
      <c r="W55" s="89"/>
      <c r="X55" s="89"/>
      <c r="Y55" s="89"/>
      <c r="Z55" s="34"/>
      <c r="AA55" s="89"/>
      <c r="AG55" s="11" t="s">
        <v>526</v>
      </c>
      <c r="AH55" s="25"/>
      <c r="AI55" s="210" t="s">
        <v>157</v>
      </c>
      <c r="AJ55" s="210" t="s">
        <v>58</v>
      </c>
      <c r="AK55" s="210" t="s">
        <v>158</v>
      </c>
      <c r="AL55" s="201" t="s">
        <v>287</v>
      </c>
    </row>
    <row r="56" spans="1:38" x14ac:dyDescent="0.2">
      <c r="B56" s="11" t="s">
        <v>42</v>
      </c>
      <c r="C56" s="65">
        <f ca="1">+C55-C33-C53-C48-Draws_Module!I11-C51-C45-C42-C34</f>
        <v>33755229.245707937</v>
      </c>
      <c r="D56" s="26">
        <f ca="1">+C56/$C$14</f>
        <v>351616.97130945767</v>
      </c>
      <c r="E56" s="225"/>
      <c r="G56" t="s">
        <v>46</v>
      </c>
      <c r="L56" s="2">
        <f>-$W$14/$W$16</f>
        <v>-1404948.768695652</v>
      </c>
      <c r="M56" s="2">
        <f>+L56</f>
        <v>-1404948.768695652</v>
      </c>
      <c r="N56" s="2">
        <f t="shared" ref="N56:AA56" si="28">+M56</f>
        <v>-1404948.768695652</v>
      </c>
      <c r="O56" s="2">
        <f t="shared" si="28"/>
        <v>-1404948.768695652</v>
      </c>
      <c r="P56" s="2">
        <f t="shared" si="28"/>
        <v>-1404948.768695652</v>
      </c>
      <c r="Q56" s="2">
        <f t="shared" si="28"/>
        <v>-1404948.768695652</v>
      </c>
      <c r="R56" s="2">
        <f t="shared" si="28"/>
        <v>-1404948.768695652</v>
      </c>
      <c r="S56" s="2">
        <f t="shared" si="28"/>
        <v>-1404948.768695652</v>
      </c>
      <c r="T56" s="2">
        <f t="shared" si="28"/>
        <v>-1404948.768695652</v>
      </c>
      <c r="U56" s="2">
        <f t="shared" si="28"/>
        <v>-1404948.768695652</v>
      </c>
      <c r="V56" s="2">
        <f t="shared" si="28"/>
        <v>-1404948.768695652</v>
      </c>
      <c r="W56" s="2">
        <f t="shared" si="28"/>
        <v>-1404948.768695652</v>
      </c>
      <c r="X56" s="2">
        <f t="shared" si="28"/>
        <v>-1404948.768695652</v>
      </c>
      <c r="Y56" s="2">
        <f t="shared" si="28"/>
        <v>-1404948.768695652</v>
      </c>
      <c r="Z56" s="98">
        <f t="shared" si="28"/>
        <v>-1404948.768695652</v>
      </c>
      <c r="AA56" s="2">
        <f t="shared" si="28"/>
        <v>-1404948.768695652</v>
      </c>
      <c r="AG56" s="209" t="s">
        <v>433</v>
      </c>
      <c r="AH56" s="9"/>
      <c r="AI56" s="9" cm="1">
        <f t="array" ref="AI56">IFERROR(
  INDEX(UA!$I$2:$P$1500,
        MATCH(1,
              (UA!$B$2:$B$1500=$C$4)*
              (UA!$E$2:$E$1500="Multifamily")*
              (UA!$H$2:$H$1500=$AG56),0),
        MATCH(SUBSTITUTE(AI$55,"B","BR"),UA!$I$1:$P$1,0)
  ),
"")</f>
        <v>8</v>
      </c>
      <c r="AJ56" s="9" cm="1">
        <f t="array" ref="AJ56">IFERROR(
  INDEX(UA!$I$2:$P$1500,
        MATCH(1,
              (UA!$B$2:$B$1500=$C$4)*
              (UA!$E$2:$E$1500="Multifamily")*
              (UA!$H$2:$H$1500=$AG56),0),
        MATCH(SUBSTITUTE(AJ$55,"B","BR"),UA!$I$1:$P$1,0)
  ),
"")</f>
        <v>11</v>
      </c>
      <c r="AK56" s="9" cm="1">
        <f t="array" ref="AK56">IFERROR(
  INDEX(UA!$I$2:$P$1500,
        MATCH(1,
              (UA!$B$2:$B$1500=$C$4)*
              (UA!$E$2:$E$1500="Multifamily")*
              (UA!$H$2:$H$1500=$AG56),0),
        MATCH(SUBSTITUTE(AK$55,"B","BR"),UA!$I$1:$P$1,0)
  ),
"")</f>
        <v>14</v>
      </c>
      <c r="AL56" s="8" cm="1">
        <f t="array" ref="AL56">IFERROR(
  INDEX(UA!$I$2:$P$1500,
        MATCH(1,
              (UA!$B$2:$B$1500=$C$4)*
              (UA!$E$2:$E$1500="Multifamily")*
              (UA!$H$2:$H$1500=$AG56),0),
        MATCH(SUBSTITUTE(AL$55,"B","BR"),UA!$I$1:$P$1,0)
  ),
"")</f>
        <v>17</v>
      </c>
    </row>
    <row r="57" spans="1:38" x14ac:dyDescent="0.2">
      <c r="B57" s="70" t="s">
        <v>141</v>
      </c>
      <c r="C57" s="71">
        <f ca="1">+C55-C53-C48-C35-C51-C34</f>
        <v>36994874.098481715</v>
      </c>
      <c r="D57" s="72">
        <f ca="1">+C57/$C$14</f>
        <v>385363.27185918455</v>
      </c>
      <c r="E57" s="226"/>
      <c r="G57" s="27" t="s">
        <v>48</v>
      </c>
      <c r="H57" s="27"/>
      <c r="I57" s="27"/>
      <c r="J57" s="14">
        <f t="shared" ref="J57" si="29">+J56+J53</f>
        <v>0</v>
      </c>
      <c r="K57" s="14">
        <f t="shared" ref="K57:Z57" si="30">+K56+K53</f>
        <v>0</v>
      </c>
      <c r="L57" s="14">
        <f t="shared" si="30"/>
        <v>239542.31530434778</v>
      </c>
      <c r="M57" s="14">
        <f t="shared" si="30"/>
        <v>274386.59240434784</v>
      </c>
      <c r="N57" s="14">
        <f t="shared" si="30"/>
        <v>309882.5964318472</v>
      </c>
      <c r="O57" s="14">
        <f t="shared" si="30"/>
        <v>346038.94226003485</v>
      </c>
      <c r="P57" s="14">
        <f t="shared" si="30"/>
        <v>382864.19139342709</v>
      </c>
      <c r="Q57" s="88">
        <f t="shared" si="30"/>
        <v>420366.84122773632</v>
      </c>
      <c r="R57" s="88">
        <f t="shared" si="30"/>
        <v>458555.31371202599</v>
      </c>
      <c r="S57" s="88">
        <f t="shared" si="30"/>
        <v>497437.94338669046</v>
      </c>
      <c r="T57" s="88">
        <f t="shared" si="30"/>
        <v>537022.96476972848</v>
      </c>
      <c r="U57" s="88">
        <f t="shared" si="30"/>
        <v>577318.49906267598</v>
      </c>
      <c r="V57" s="88">
        <f t="shared" si="30"/>
        <v>618332.54014641792</v>
      </c>
      <c r="W57" s="88">
        <f t="shared" si="30"/>
        <v>660072.93983589625</v>
      </c>
      <c r="X57" s="88">
        <f t="shared" si="30"/>
        <v>702547.39236150635</v>
      </c>
      <c r="Y57" s="88">
        <f t="shared" si="30"/>
        <v>745763.41804368934</v>
      </c>
      <c r="Z57" s="276">
        <f t="shared" si="30"/>
        <v>789728.34612587653</v>
      </c>
      <c r="AA57" s="88">
        <f t="shared" ref="AA57" si="31">+AA56+AA53</f>
        <v>834449.29672959866</v>
      </c>
      <c r="AG57" s="6" t="s">
        <v>439</v>
      </c>
      <c r="AH57" s="9"/>
      <c r="AI57" s="9" cm="1">
        <f t="array" ref="AI57">IFERROR(
  INDEX(UA!$I$2:$P$1500,
        MATCH(1,
              (UA!$B$2:$B$1500=$C$4)*
              (UA!$E$2:$E$1500="Multifamily")*
              (UA!$H$2:$H$1500=$AG57),0),
        MATCH(SUBSTITUTE(AI$55,"B","BR"),UA!$I$1:$P$1,0)
  ),
"")</f>
        <v>3</v>
      </c>
      <c r="AJ57" s="9" cm="1">
        <f t="array" ref="AJ57">IFERROR(
  INDEX(UA!$I$2:$P$1500,
        MATCH(1,
              (UA!$B$2:$B$1500=$C$4)*
              (UA!$E$2:$E$1500="Multifamily")*
              (UA!$H$2:$H$1500=$AG57),0),
        MATCH(SUBSTITUTE(AJ$55,"B","BR"),UA!$I$1:$P$1,0)
  ),
"")</f>
        <v>4</v>
      </c>
      <c r="AK57" s="9" cm="1">
        <f t="array" ref="AK57">IFERROR(
  INDEX(UA!$I$2:$P$1500,
        MATCH(1,
              (UA!$B$2:$B$1500=$C$4)*
              (UA!$E$2:$E$1500="Multifamily")*
              (UA!$H$2:$H$1500=$AG57),0),
        MATCH(SUBSTITUTE(AK$55,"B","BR"),UA!$I$1:$P$1,0)
  ),
"")</f>
        <v>6</v>
      </c>
      <c r="AL57" s="8" cm="1">
        <f t="array" ref="AL57">IFERROR(
  INDEX(UA!$I$2:$P$1500,
        MATCH(1,
              (UA!$B$2:$B$1500=$C$4)*
              (UA!$E$2:$E$1500="Multifamily")*
              (UA!$H$2:$H$1500=$AG57),0),
        MATCH(SUBSTITUTE(AL$55,"B","BR"),UA!$I$1:$P$1,0)
  ),
"")</f>
        <v>7</v>
      </c>
    </row>
    <row r="58" spans="1:38" x14ac:dyDescent="0.2">
      <c r="Q58" s="2"/>
      <c r="Z58" s="8"/>
      <c r="AD58" s="2" t="s">
        <v>677</v>
      </c>
      <c r="AE58" s="2" t="s">
        <v>678</v>
      </c>
      <c r="AG58" s="6" t="s">
        <v>458</v>
      </c>
      <c r="AH58" s="9"/>
      <c r="AI58" s="9" cm="1">
        <f t="array" ref="AI58">IFERROR(
  INDEX(UA!$I$2:$P$1500,
        MATCH(1,
              (UA!$B$2:$B$1500=$C$4)*
              (UA!$E$2:$E$1500="Multifamily")*
              (UA!$H$2:$H$1500=$AG58),0),
        MATCH(SUBSTITUTE(AI$55,"B","BR"),UA!$I$1:$P$1,0)
  ),
"")</f>
        <v>17</v>
      </c>
      <c r="AJ58" s="9" cm="1">
        <f t="array" ref="AJ58">IFERROR(
  INDEX(UA!$I$2:$P$1500,
        MATCH(1,
              (UA!$B$2:$B$1500=$C$4)*
              (UA!$E$2:$E$1500="Multifamily")*
              (UA!$H$2:$H$1500=$AG58),0),
        MATCH(SUBSTITUTE(AJ$55,"B","BR"),UA!$I$1:$P$1,0)
  ),
"")</f>
        <v>24</v>
      </c>
      <c r="AK58" s="9" cm="1">
        <f t="array" ref="AK58">IFERROR(
  INDEX(UA!$I$2:$P$1500,
        MATCH(1,
              (UA!$B$2:$B$1500=$C$4)*
              (UA!$E$2:$E$1500="Multifamily")*
              (UA!$H$2:$H$1500=$AG58),0),
        MATCH(SUBSTITUTE(AK$55,"B","BR"),UA!$I$1:$P$1,0)
  ),
"")</f>
        <v>30</v>
      </c>
      <c r="AL58" s="8" cm="1">
        <f t="array" ref="AL58">IFERROR(
  INDEX(UA!$I$2:$P$1500,
        MATCH(1,
              (UA!$B$2:$B$1500=$C$4)*
              (UA!$E$2:$E$1500="Multifamily")*
              (UA!$H$2:$H$1500=$AG58),0),
        MATCH(SUBSTITUTE(AL$55,"B","BR"),UA!$I$1:$P$1,0)
  ),
"")</f>
        <v>37</v>
      </c>
    </row>
    <row r="59" spans="1:38" x14ac:dyDescent="0.2">
      <c r="B59" s="96" t="s">
        <v>687</v>
      </c>
      <c r="C59" s="97"/>
      <c r="D59" s="294" t="s">
        <v>304</v>
      </c>
      <c r="G59" t="s">
        <v>49</v>
      </c>
      <c r="L59" s="2">
        <f>-N122</f>
        <v>-7500</v>
      </c>
      <c r="M59" s="3">
        <f t="shared" ref="M59:AA59" si="32">+L59*(1+$C$19)</f>
        <v>-7687.4999999999991</v>
      </c>
      <c r="N59" s="3">
        <f t="shared" si="32"/>
        <v>-7879.6874999999982</v>
      </c>
      <c r="O59" s="3">
        <f t="shared" si="32"/>
        <v>-8076.6796874999973</v>
      </c>
      <c r="P59" s="3">
        <f t="shared" si="32"/>
        <v>-8278.5966796874964</v>
      </c>
      <c r="Q59" s="2">
        <f t="shared" si="32"/>
        <v>-8485.5615966796831</v>
      </c>
      <c r="R59" s="2">
        <f t="shared" si="32"/>
        <v>-8697.7006365966736</v>
      </c>
      <c r="S59" s="2">
        <f t="shared" si="32"/>
        <v>-8915.1431525115895</v>
      </c>
      <c r="T59" s="2">
        <f t="shared" si="32"/>
        <v>-9138.0217313243793</v>
      </c>
      <c r="U59" s="2">
        <f>+T59*(1+$C$19)</f>
        <v>-9366.4722746074876</v>
      </c>
      <c r="V59" s="2">
        <f t="shared" si="32"/>
        <v>-9600.6340814726736</v>
      </c>
      <c r="W59" s="2">
        <f>+V59*(1+$C$19)</f>
        <v>-9840.6499335094904</v>
      </c>
      <c r="X59" s="2">
        <f t="shared" si="32"/>
        <v>-10086.666181847228</v>
      </c>
      <c r="Y59" s="2">
        <f t="shared" si="32"/>
        <v>-10338.832836393407</v>
      </c>
      <c r="Z59" s="8">
        <f t="shared" si="32"/>
        <v>-10597.30365730324</v>
      </c>
      <c r="AA59" s="2">
        <f t="shared" si="32"/>
        <v>-10862.23624873582</v>
      </c>
      <c r="AD59" s="2">
        <v>110000</v>
      </c>
      <c r="AE59" s="2">
        <f>0.945*AD59</f>
        <v>103950</v>
      </c>
      <c r="AF59" s="7">
        <v>497</v>
      </c>
      <c r="AG59" s="6" t="s">
        <v>521</v>
      </c>
      <c r="AH59" s="9"/>
      <c r="AI59" s="9" cm="1">
        <f t="array" ref="AI59">IFERROR(
  INDEX(UA!$I$2:$P$1500,
        MATCH(1,
              (UA!$B$2:$B$1500=$C$4)*
              (UA!$E$2:$E$1500="Multifamily")*
              (UA!$H$2:$H$1500=$AG59),0),
        MATCH(SUBSTITUTE(AI$55,"B","BR"),UA!$I$1:$P$1,0)
  ),
"")</f>
        <v>3</v>
      </c>
      <c r="AJ59" s="9" cm="1">
        <f t="array" ref="AJ59">IFERROR(
  INDEX(UA!$I$2:$P$1500,
        MATCH(1,
              (UA!$B$2:$B$1500=$C$4)*
              (UA!$E$2:$E$1500="Multifamily")*
              (UA!$H$2:$H$1500=$AG59),0),
        MATCH(SUBSTITUTE(AJ$55,"B","BR"),UA!$I$1:$P$1,0)
  ),
"")</f>
        <v>3</v>
      </c>
      <c r="AK59" s="9" cm="1">
        <f t="array" ref="AK59">IFERROR(
  INDEX(UA!$I$2:$P$1500,
        MATCH(1,
              (UA!$B$2:$B$1500=$C$4)*
              (UA!$E$2:$E$1500="Multifamily")*
              (UA!$H$2:$H$1500=$AG59),0),
        MATCH(SUBSTITUTE(AK$55,"B","BR"),UA!$I$1:$P$1,0)
  ),
"")</f>
        <v>3</v>
      </c>
      <c r="AL59" s="8" cm="1">
        <f t="array" ref="AL59">IFERROR(
  INDEX(UA!$I$2:$P$1500,
        MATCH(1,
              (UA!$B$2:$B$1500=$C$4)*
              (UA!$E$2:$E$1500="Multifamily")*
              (UA!$H$2:$H$1500=$AG59),0),
        MATCH(SUBSTITUTE(AL$55,"B","BR"),UA!$I$1:$P$1,0)
  ),
"")</f>
        <v>3</v>
      </c>
    </row>
    <row r="60" spans="1:38" x14ac:dyDescent="0.2">
      <c r="B60" s="70" t="s">
        <v>728</v>
      </c>
      <c r="C60" s="22"/>
      <c r="D60" s="293">
        <f ca="1">+C21*C57</f>
        <v>10173590.377082473</v>
      </c>
      <c r="E60" s="323">
        <f ca="1">D60/C57</f>
        <v>0.27500000000000002</v>
      </c>
      <c r="G60" t="s">
        <v>50</v>
      </c>
      <c r="L60" s="2">
        <f>-N121</f>
        <v>0</v>
      </c>
      <c r="M60" s="3">
        <f t="shared" ref="M60:AA60" si="33">+L60*(1+$C$19)</f>
        <v>0</v>
      </c>
      <c r="N60" s="3">
        <f t="shared" si="33"/>
        <v>0</v>
      </c>
      <c r="O60" s="3">
        <f t="shared" si="33"/>
        <v>0</v>
      </c>
      <c r="P60" s="3">
        <f t="shared" si="33"/>
        <v>0</v>
      </c>
      <c r="Q60" s="2">
        <f t="shared" si="33"/>
        <v>0</v>
      </c>
      <c r="R60" s="2">
        <f t="shared" si="33"/>
        <v>0</v>
      </c>
      <c r="S60" s="2">
        <f t="shared" si="33"/>
        <v>0</v>
      </c>
      <c r="T60" s="2">
        <f t="shared" si="33"/>
        <v>0</v>
      </c>
      <c r="U60" s="2">
        <f>+T60*(1+$C$19)</f>
        <v>0</v>
      </c>
      <c r="V60" s="2">
        <f t="shared" si="33"/>
        <v>0</v>
      </c>
      <c r="W60" s="2">
        <f>+V60*(1+$C$19)</f>
        <v>0</v>
      </c>
      <c r="X60" s="2">
        <f t="shared" si="33"/>
        <v>0</v>
      </c>
      <c r="Y60" s="2">
        <f t="shared" si="33"/>
        <v>0</v>
      </c>
      <c r="Z60" s="8">
        <f t="shared" si="33"/>
        <v>0</v>
      </c>
      <c r="AA60" s="2">
        <f t="shared" si="33"/>
        <v>0</v>
      </c>
      <c r="AD60" s="2">
        <v>155000</v>
      </c>
      <c r="AE60" s="2">
        <f t="shared" ref="AE60:AE61" si="34">0.945*AD60</f>
        <v>146475</v>
      </c>
      <c r="AF60" s="7">
        <v>804</v>
      </c>
      <c r="AG60" s="6" t="s">
        <v>466</v>
      </c>
      <c r="AH60" s="9"/>
      <c r="AI60" s="9" cm="1">
        <f t="array" ref="AI60">IFERROR(
  INDEX(UA!$I$2:$P$1500,
        MATCH(1,
              (UA!$B$2:$B$1500=$C$4)*
              (UA!$E$2:$E$1500="Multifamily")*
              (UA!$H$2:$H$1500=$AG60),0),
        MATCH(SUBSTITUTE(AI$55,"B","BR"),UA!$I$1:$P$1,0)
  ),
"")</f>
        <v>7</v>
      </c>
      <c r="AJ60" s="9" cm="1">
        <f t="array" ref="AJ60">IFERROR(
  INDEX(UA!$I$2:$P$1500,
        MATCH(1,
              (UA!$B$2:$B$1500=$C$4)*
              (UA!$E$2:$E$1500="Multifamily")*
              (UA!$H$2:$H$1500=$AG60),0),
        MATCH(SUBSTITUTE(AJ$55,"B","BR"),UA!$I$1:$P$1,0)
  ),
"")</f>
        <v>9</v>
      </c>
      <c r="AK60" s="9" cm="1">
        <f t="array" ref="AK60">IFERROR(
  INDEX(UA!$I$2:$P$1500,
        MATCH(1,
              (UA!$B$2:$B$1500=$C$4)*
              (UA!$E$2:$E$1500="Multifamily")*
              (UA!$H$2:$H$1500=$AG60),0),
        MATCH(SUBSTITUTE(AK$55,"B","BR"),UA!$I$1:$P$1,0)
  ),
"")</f>
        <v>12</v>
      </c>
      <c r="AL60" s="8" cm="1">
        <f t="array" ref="AL60">IFERROR(
  INDEX(UA!$I$2:$P$1500,
        MATCH(1,
              (UA!$B$2:$B$1500=$C$4)*
              (UA!$E$2:$E$1500="Multifamily")*
              (UA!$H$2:$H$1500=$AG60),0),
        MATCH(SUBSTITUTE(AL$55,"B","BR"),UA!$I$1:$P$1,0)
  ),
"")</f>
        <v>15</v>
      </c>
    </row>
    <row r="61" spans="1:38" x14ac:dyDescent="0.2">
      <c r="B61" s="11" t="s">
        <v>15</v>
      </c>
      <c r="C61" s="12" t="s">
        <v>53</v>
      </c>
      <c r="D61" s="12" t="s">
        <v>54</v>
      </c>
      <c r="E61" s="232" t="s">
        <v>296</v>
      </c>
      <c r="G61" t="s">
        <v>51</v>
      </c>
      <c r="L61" s="2">
        <f>-N120</f>
        <v>-28320</v>
      </c>
      <c r="M61" s="3">
        <f t="shared" ref="M61:AA61" si="35">+L61*(1+$C$19)</f>
        <v>-29027.999999999996</v>
      </c>
      <c r="N61" s="3">
        <f t="shared" si="35"/>
        <v>-29753.699999999993</v>
      </c>
      <c r="O61" s="3">
        <f t="shared" si="35"/>
        <v>-30497.542499999992</v>
      </c>
      <c r="P61" s="3">
        <f t="shared" si="35"/>
        <v>-31259.981062499988</v>
      </c>
      <c r="Q61" s="2">
        <f t="shared" si="35"/>
        <v>-32041.480589062485</v>
      </c>
      <c r="R61" s="2">
        <f t="shared" si="35"/>
        <v>-32842.517603789041</v>
      </c>
      <c r="S61" s="2">
        <f t="shared" si="35"/>
        <v>-33663.580543883763</v>
      </c>
      <c r="T61" s="2">
        <f t="shared" si="35"/>
        <v>-34505.170057480856</v>
      </c>
      <c r="U61" s="2">
        <f>+T61*(1+$C$19)</f>
        <v>-35367.799308917878</v>
      </c>
      <c r="V61" s="2">
        <f t="shared" si="35"/>
        <v>-36251.994291640825</v>
      </c>
      <c r="W61" s="2">
        <f>+V61*(1+$C$19)</f>
        <v>-37158.29414893184</v>
      </c>
      <c r="X61" s="2">
        <f t="shared" si="35"/>
        <v>-38087.251502655134</v>
      </c>
      <c r="Y61" s="2">
        <f t="shared" si="35"/>
        <v>-39039.432790221508</v>
      </c>
      <c r="Z61" s="8">
        <f t="shared" si="35"/>
        <v>-40015.418609977045</v>
      </c>
      <c r="AA61" s="2">
        <f t="shared" si="35"/>
        <v>-41015.804075226464</v>
      </c>
      <c r="AD61" s="2">
        <v>200000</v>
      </c>
      <c r="AE61" s="2">
        <f t="shared" si="34"/>
        <v>189000</v>
      </c>
      <c r="AF61" s="7">
        <v>994</v>
      </c>
      <c r="AG61" s="6" t="s">
        <v>460</v>
      </c>
      <c r="AH61" s="9"/>
      <c r="AI61" s="9" cm="1">
        <f t="array" ref="AI61">IFERROR(
  INDEX(UA!$I$2:$P$1500,
        MATCH(1,
              (UA!$B$2:$B$1500=$C$4)*
              (UA!$E$2:$E$1500="Multifamily")*
              (UA!$H$2:$H$1500=$AG61),0),
        MATCH(SUBSTITUTE(AI$55,"B","BR"),UA!$I$1:$P$1,0)
  ),
"")</f>
        <v>12</v>
      </c>
      <c r="AJ61" s="9" cm="1">
        <f t="array" ref="AJ61">IFERROR(
  INDEX(UA!$I$2:$P$1500,
        MATCH(1,
              (UA!$B$2:$B$1500=$C$4)*
              (UA!$E$2:$E$1500="Multifamily")*
              (UA!$H$2:$H$1500=$AG61),0),
        MATCH(SUBSTITUTE(AJ$55,"B","BR"),UA!$I$1:$P$1,0)
  ),
"")</f>
        <v>12</v>
      </c>
      <c r="AK61" s="9" cm="1">
        <f t="array" ref="AK61">IFERROR(
  INDEX(UA!$I$2:$P$1500,
        MATCH(1,
              (UA!$B$2:$B$1500=$C$4)*
              (UA!$E$2:$E$1500="Multifamily")*
              (UA!$H$2:$H$1500=$AG61),0),
        MATCH(SUBSTITUTE(AK$55,"B","BR"),UA!$I$1:$P$1,0)
  ),
"")</f>
        <v>12</v>
      </c>
      <c r="AL61" s="8" cm="1">
        <f t="array" ref="AL61">IFERROR(
  INDEX(UA!$I$2:$P$1500,
        MATCH(1,
              (UA!$B$2:$B$1500=$C$4)*
              (UA!$E$2:$E$1500="Multifamily")*
              (UA!$H$2:$H$1500=$AG61),0),
        MATCH(SUBSTITUTE(AL$55,"B","BR"),UA!$I$1:$P$1,0)
  ),
"")</f>
        <v>12</v>
      </c>
    </row>
    <row r="62" spans="1:38" x14ac:dyDescent="0.2">
      <c r="B62" s="6" t="s">
        <v>651</v>
      </c>
      <c r="C62" s="245">
        <f>+W5</f>
        <v>5.8999999999999997E-2</v>
      </c>
      <c r="D62" s="137">
        <f ca="1">+D60+(S26="Yes")*-D64</f>
        <v>10173590.377082473</v>
      </c>
      <c r="E62" s="173">
        <f ca="1">+D62/$D$72</f>
        <v>0.25884548750910558</v>
      </c>
      <c r="G62" s="27" t="s">
        <v>47</v>
      </c>
      <c r="H62" s="27"/>
      <c r="I62" s="27"/>
      <c r="J62" s="14">
        <f t="shared" ref="J62" si="36">+J57-SUM(J59:J61)</f>
        <v>0</v>
      </c>
      <c r="K62" s="14">
        <f>+K57-SUM(K59:K61)</f>
        <v>0</v>
      </c>
      <c r="L62" s="14">
        <f>+L57+SUM(L59:L61)</f>
        <v>203722.31530434778</v>
      </c>
      <c r="M62" s="14">
        <f t="shared" ref="M62:Z62" si="37">+M57+SUM(M59:M61)</f>
        <v>237671.09240434784</v>
      </c>
      <c r="N62" s="14">
        <f t="shared" si="37"/>
        <v>272249.20893184718</v>
      </c>
      <c r="O62" s="14">
        <f t="shared" si="37"/>
        <v>307464.72007253487</v>
      </c>
      <c r="P62" s="14">
        <f t="shared" si="37"/>
        <v>343325.6136512396</v>
      </c>
      <c r="Q62" s="14">
        <f t="shared" si="37"/>
        <v>379839.79904199415</v>
      </c>
      <c r="R62" s="14">
        <f t="shared" si="37"/>
        <v>417015.09547164029</v>
      </c>
      <c r="S62" s="14">
        <f t="shared" si="37"/>
        <v>454859.21969029511</v>
      </c>
      <c r="T62" s="14">
        <f t="shared" si="37"/>
        <v>493379.77298092324</v>
      </c>
      <c r="U62" s="14">
        <f t="shared" si="37"/>
        <v>532584.22747915064</v>
      </c>
      <c r="V62" s="14">
        <f t="shared" si="37"/>
        <v>572479.91177330445</v>
      </c>
      <c r="W62" s="14">
        <f t="shared" si="37"/>
        <v>613073.99575345498</v>
      </c>
      <c r="X62" s="14">
        <f t="shared" si="37"/>
        <v>654373.47467700404</v>
      </c>
      <c r="Y62" s="14">
        <f t="shared" si="37"/>
        <v>696385.15241707442</v>
      </c>
      <c r="Z62" s="15">
        <f t="shared" si="37"/>
        <v>739115.6238585962</v>
      </c>
      <c r="AA62" s="14">
        <f t="shared" ref="AA62" si="38">+AA57+SUM(AA59:AA61)</f>
        <v>782571.25640563644</v>
      </c>
      <c r="AG62" s="6" t="s">
        <v>462</v>
      </c>
      <c r="AH62" s="9"/>
      <c r="AI62" s="9" cm="1">
        <f t="array" ref="AI62">IFERROR(
  INDEX(UA!$I$2:$P$1500,
        MATCH(1,
              (UA!$B$2:$B$1500=$C$4)*
              (UA!$E$2:$E$1500="Multifamily")*
              (UA!$H$2:$H$1500=$AG62),0),
        MATCH(SUBSTITUTE(AI$55,"B","BR"),UA!$I$1:$P$1,0)
  ),
"")</f>
        <v>10</v>
      </c>
      <c r="AJ62" s="9" cm="1">
        <f t="array" ref="AJ62">IFERROR(
  INDEX(UA!$I$2:$P$1500,
        MATCH(1,
              (UA!$B$2:$B$1500=$C$4)*
              (UA!$E$2:$E$1500="Multifamily")*
              (UA!$H$2:$H$1500=$AG62),0),
        MATCH(SUBSTITUTE(AJ$55,"B","BR"),UA!$I$1:$P$1,0)
  ),
"")</f>
        <v>10</v>
      </c>
      <c r="AK62" s="9" cm="1">
        <f t="array" ref="AK62">IFERROR(
  INDEX(UA!$I$2:$P$1500,
        MATCH(1,
              (UA!$B$2:$B$1500=$C$4)*
              (UA!$E$2:$E$1500="Multifamily")*
              (UA!$H$2:$H$1500=$AG62),0),
        MATCH(SUBSTITUTE(AK$55,"B","BR"),UA!$I$1:$P$1,0)
  ),
"")</f>
        <v>10</v>
      </c>
      <c r="AL62" s="8" cm="1">
        <f t="array" ref="AL62">IFERROR(
  INDEX(UA!$I$2:$P$1500,
        MATCH(1,
              (UA!$B$2:$B$1500=$C$4)*
              (UA!$E$2:$E$1500="Multifamily")*
              (UA!$H$2:$H$1500=$AG62),0),
        MATCH(SUBSTITUTE(AL$55,"B","BR"),UA!$I$1:$P$1,0)
  ),
"")</f>
        <v>10</v>
      </c>
    </row>
    <row r="63" spans="1:38" x14ac:dyDescent="0.2">
      <c r="B63" s="6" t="s">
        <v>652</v>
      </c>
      <c r="C63" s="245">
        <f>+W8</f>
        <v>5.8999999999999997E-2</v>
      </c>
      <c r="D63" s="9">
        <f ca="1">D75+D80+D79-D62-D69-D70-D68</f>
        <v>20322043.768501762</v>
      </c>
      <c r="E63" s="173">
        <f ca="1">+D63/$D$72</f>
        <v>0.51705141758889361</v>
      </c>
      <c r="Q63" s="2"/>
      <c r="Z63" s="8"/>
      <c r="AG63" s="93" t="s">
        <v>455</v>
      </c>
      <c r="AH63" s="9"/>
      <c r="AI63" s="9" cm="1">
        <f t="array" ref="AI63">IFERROR(
  INDEX(UA!$I$2:$P$1500,
        MATCH(1,
              (UA!$B$2:$B$1500=$C$4)*
              (UA!$E$2:$E$1500="Multifamily")*
              (UA!$H$2:$H$1500=$AG63),0),
        MATCH(SUBSTITUTE(AI$55,"B","BR"),UA!$I$1:$P$1,0)
  ),
"")</f>
        <v>0</v>
      </c>
      <c r="AJ63" s="9" cm="1">
        <f t="array" ref="AJ63">IFERROR(
  INDEX(UA!$I$2:$P$1500,
        MATCH(1,
              (UA!$B$2:$B$1500=$C$4)*
              (UA!$E$2:$E$1500="Multifamily")*
              (UA!$H$2:$H$1500=$AG63),0),
        MATCH(SUBSTITUTE(AJ$55,"B","BR"),UA!$I$1:$P$1,0)
  ),
"")</f>
        <v>0</v>
      </c>
      <c r="AK63" s="9" cm="1">
        <f t="array" ref="AK63">IFERROR(
  INDEX(UA!$I$2:$P$1500,
        MATCH(1,
              (UA!$B$2:$B$1500=$C$4)*
              (UA!$E$2:$E$1500="Multifamily")*
              (UA!$H$2:$H$1500=$AG63),0),
        MATCH(SUBSTITUTE(AK$55,"B","BR"),UA!$I$1:$P$1,0)
  ),
"")</f>
        <v>0</v>
      </c>
      <c r="AL63" s="8" cm="1">
        <f t="array" ref="AL63">IFERROR(
  INDEX(UA!$I$2:$P$1500,
        MATCH(1,
              (UA!$B$2:$B$1500=$C$4)*
              (UA!$E$2:$E$1500="Multifamily")*
              (UA!$H$2:$H$1500=$AG63),0),
        MATCH(SUBSTITUTE(AL$55,"B","BR"),UA!$I$1:$P$1,0)
  ),
"")</f>
        <v>0</v>
      </c>
    </row>
    <row r="64" spans="1:38" x14ac:dyDescent="0.2">
      <c r="B64" s="6" t="s">
        <v>167</v>
      </c>
      <c r="C64" s="245">
        <f>+S27</f>
        <v>0.08</v>
      </c>
      <c r="D64" s="3">
        <f ca="1">D76</f>
        <v>0</v>
      </c>
      <c r="E64" s="173">
        <f ca="1">+D64/$D$82</f>
        <v>0</v>
      </c>
      <c r="G64" t="s">
        <v>156</v>
      </c>
      <c r="J64" s="3">
        <v>0</v>
      </c>
      <c r="K64" s="3">
        <v>0</v>
      </c>
      <c r="L64" s="3">
        <f>-SUMIFS(Draws_Module!$B$218:$B$721,Draws_Module!$A$218:$A$721,"&lt;="&amp;(Pro_Forma!L45-Pro_Forma!$S$5-$S$4),Draws_Module!$A$218:$A$721,"&gt;"&amp;(Pro_Forma!K45-Pro_Forma!$S$5-$S$4))</f>
        <v>0</v>
      </c>
      <c r="M64" s="3">
        <f>-SUMIFS(Draws_Module!$B$218:$B$721,Draws_Module!$A$218:$A$721,"&lt;="&amp;(Pro_Forma!M45-Pro_Forma!$S$5-$S$4),Draws_Module!$A$218:$A$721,"&gt;"&amp;(Pro_Forma!L45-Pro_Forma!$S$5-$S$4))</f>
        <v>0</v>
      </c>
      <c r="N64" s="3">
        <f>-SUMIFS(Draws_Module!$B$218:$B$721,Draws_Module!$A$218:$A$721,"&lt;="&amp;(Pro_Forma!N45-Pro_Forma!$S$5-$S$4),Draws_Module!$A$218:$A$721,"&gt;"&amp;(Pro_Forma!M45-Pro_Forma!$S$5-$S$4))</f>
        <v>0</v>
      </c>
      <c r="O64" s="3">
        <f>-SUMIFS(Draws_Module!$B$218:$B$721,Draws_Module!$A$218:$A$721,"&lt;="&amp;(Pro_Forma!O45-Pro_Forma!$S$5-$S$4),Draws_Module!$A$218:$A$721,"&gt;"&amp;(Pro_Forma!N45-Pro_Forma!$S$5-$S$4))</f>
        <v>0</v>
      </c>
      <c r="P64" s="3">
        <f>-SUMIFS(Draws_Module!$B$218:$B$721,Draws_Module!$A$218:$A$721,"&lt;="&amp;(Pro_Forma!P45-Pro_Forma!$S$5-$S$4),Draws_Module!$A$218:$A$721,"&gt;"&amp;(Pro_Forma!O45-Pro_Forma!$S$5-$S$4))</f>
        <v>0</v>
      </c>
      <c r="Q64" s="3">
        <f>-SUMIFS(Draws_Module!$B$218:$B$721,Draws_Module!$A$218:$A$721,"&lt;="&amp;(Pro_Forma!Q45-Pro_Forma!$S$5-$S$4),Draws_Module!$A$218:$A$721,"&gt;"&amp;(Pro_Forma!P45-Pro_Forma!$S$5-$S$4))</f>
        <v>0</v>
      </c>
      <c r="R64" s="3">
        <f>-SUMIFS(Draws_Module!$B$218:$B$721,Draws_Module!$A$218:$A$721,"&lt;="&amp;(Pro_Forma!R45-Pro_Forma!$S$5-$S$4),Draws_Module!$A$218:$A$721,"&gt;"&amp;(Pro_Forma!Q45-Pro_Forma!$S$5-$S$4))</f>
        <v>0</v>
      </c>
      <c r="S64" s="3">
        <f>-SUMIFS(Draws_Module!$B$218:$B$721,Draws_Module!$A$218:$A$721,"&lt;="&amp;(Pro_Forma!S45-Pro_Forma!$S$5-$S$4),Draws_Module!$A$218:$A$721,"&gt;"&amp;(Pro_Forma!R45-Pro_Forma!$S$5-$S$4))</f>
        <v>0</v>
      </c>
      <c r="T64" s="3">
        <f>-SUMIFS(Draws_Module!$B$218:$B$721,Draws_Module!$A$218:$A$721,"&lt;="&amp;(Pro_Forma!T45-Pro_Forma!$S$5-$S$4),Draws_Module!$A$218:$A$721,"&gt;"&amp;(Pro_Forma!S45-Pro_Forma!$S$5-$S$4))</f>
        <v>0</v>
      </c>
      <c r="U64" s="3">
        <f>-SUMIFS(Draws_Module!$B$218:$B$721,Draws_Module!$A$218:$A$721,"&lt;="&amp;(Pro_Forma!U45-Pro_Forma!$S$5-$S$4),Draws_Module!$A$218:$A$721,"&gt;"&amp;(Pro_Forma!T45-Pro_Forma!$S$5-$S$4))</f>
        <v>0</v>
      </c>
      <c r="V64" s="3">
        <f>-SUMIFS(Draws_Module!$B$218:$B$721,Draws_Module!$A$218:$A$721,"&lt;="&amp;(Pro_Forma!V45-Pro_Forma!$S$5-$S$4),Draws_Module!$A$218:$A$721,"&gt;"&amp;(Pro_Forma!U45-Pro_Forma!$S$5-$S$4))</f>
        <v>0</v>
      </c>
      <c r="W64" s="3">
        <f>-SUMIFS(Draws_Module!$B$218:$B$721,Draws_Module!$A$218:$A$721,"&lt;="&amp;(Pro_Forma!W45-Pro_Forma!$S$5-$S$4),Draws_Module!$A$218:$A$721,"&gt;"&amp;(Pro_Forma!V45-Pro_Forma!$S$5-$S$4))</f>
        <v>0</v>
      </c>
      <c r="X64" s="3">
        <f>-SUMIFS(Draws_Module!$B$218:$B$721,Draws_Module!$A$218:$A$721,"&lt;="&amp;(Pro_Forma!X45-Pro_Forma!$S$5-$S$4),Draws_Module!$A$218:$A$721,"&gt;"&amp;(Pro_Forma!W45-Pro_Forma!$S$5-$S$4))</f>
        <v>0</v>
      </c>
      <c r="Y64" s="3">
        <f>-SUMIFS(Draws_Module!$B$218:$B$721,Draws_Module!$A$218:$A$721,"&lt;="&amp;(Pro_Forma!Y45-Pro_Forma!$S$5-$S$4),Draws_Module!$A$218:$A$721,"&gt;"&amp;(Pro_Forma!X45-Pro_Forma!$S$5-$S$4))</f>
        <v>0</v>
      </c>
      <c r="Z64" s="16">
        <f>-SUMIFS(Draws_Module!$B$218:$B$721,Draws_Module!$A$218:$A$721,"&lt;="&amp;(Pro_Forma!Z45-Pro_Forma!$S$5-$S$4),Draws_Module!$A$218:$A$721,"&gt;"&amp;(Pro_Forma!Y45-Pro_Forma!$S$5-$S$4))</f>
        <v>0</v>
      </c>
      <c r="AA64" s="3">
        <f>-SUMIFS(Draws_Module!$B$218:$B$721,Draws_Module!$A$218:$A$721,"&lt;="&amp;(Pro_Forma!AA45-Pro_Forma!$S$5-$S$4),Draws_Module!$A$218:$A$721,"&gt;"&amp;(Pro_Forma!Z45-Pro_Forma!$S$5-$S$4))</f>
        <v>0</v>
      </c>
      <c r="AB64" s="9"/>
      <c r="AG64" s="96" t="s">
        <v>11</v>
      </c>
      <c r="AH64" s="25"/>
      <c r="AI64" s="25">
        <f>+SUM(AI56:AI63)</f>
        <v>60</v>
      </c>
      <c r="AJ64" s="25">
        <f t="shared" ref="AJ64:AL64" si="39">+SUM(AJ56:AJ63)</f>
        <v>73</v>
      </c>
      <c r="AK64" s="25">
        <f t="shared" si="39"/>
        <v>87</v>
      </c>
      <c r="AL64" s="26">
        <f t="shared" si="39"/>
        <v>101</v>
      </c>
    </row>
    <row r="65" spans="2:28" x14ac:dyDescent="0.2">
      <c r="B65" s="6" t="s">
        <v>78</v>
      </c>
      <c r="D65" s="7">
        <v>0</v>
      </c>
      <c r="E65" s="173">
        <f ca="1">+D65/$D$72</f>
        <v>0</v>
      </c>
      <c r="G65" t="s">
        <v>757</v>
      </c>
      <c r="L65" s="3">
        <f>+H38</f>
        <v>-28800</v>
      </c>
      <c r="M65" s="3">
        <f t="shared" ref="M65" si="40">+L65*(1+$C$20)</f>
        <v>-29807.999999999996</v>
      </c>
      <c r="N65" s="3">
        <f t="shared" ref="N65" si="41">+M65*(1+$C$20)</f>
        <v>-30851.279999999995</v>
      </c>
      <c r="O65" s="3">
        <f t="shared" ref="O65" si="42">+N65*(1+$C$20)</f>
        <v>-31931.074799999991</v>
      </c>
      <c r="P65" s="3">
        <f t="shared" ref="P65" si="43">+O65*(1+$C$20)</f>
        <v>-33048.662417999985</v>
      </c>
      <c r="Q65" s="3">
        <f t="shared" ref="Q65" si="44">+P65*(1+$C$20)</f>
        <v>-34205.36560262998</v>
      </c>
      <c r="R65" s="3">
        <f t="shared" ref="R65" si="45">+Q65*(1+$C$20)</f>
        <v>-35402.553398722026</v>
      </c>
      <c r="S65" s="3">
        <f t="shared" ref="S65" si="46">+R65*(1+$C$20)</f>
        <v>-36641.642767677295</v>
      </c>
      <c r="T65" s="3">
        <f t="shared" ref="T65" si="47">+S65*(1+$C$20)</f>
        <v>-37924.100264545996</v>
      </c>
      <c r="U65" s="3">
        <f t="shared" ref="U65" si="48">+T65*(1+$C$20)</f>
        <v>-39251.443773805106</v>
      </c>
      <c r="V65" s="3">
        <f t="shared" ref="V65" si="49">+U65*(1+$C$20)</f>
        <v>-40625.244305888278</v>
      </c>
      <c r="W65" s="3">
        <f t="shared" ref="W65" si="50">+V65*(1+$C$20)</f>
        <v>-42047.127856594365</v>
      </c>
      <c r="X65" s="3">
        <f t="shared" ref="X65" si="51">+W65*(1+$C$20)</f>
        <v>-43518.777331575162</v>
      </c>
      <c r="Y65" s="3">
        <f t="shared" ref="Y65" si="52">+X65*(1+$C$20)</f>
        <v>-45041.934538180292</v>
      </c>
      <c r="Z65" s="16">
        <f t="shared" ref="Z65:AA65" si="53">+Y65*(1+$C$20)</f>
        <v>-46618.402247016602</v>
      </c>
      <c r="AA65" s="339">
        <f t="shared" si="53"/>
        <v>-48250.046325662181</v>
      </c>
      <c r="AB65" s="9"/>
    </row>
    <row r="66" spans="2:28" x14ac:dyDescent="0.2">
      <c r="B66" s="6" t="s">
        <v>684</v>
      </c>
      <c r="D66" s="3">
        <f ca="1" xml:space="preserve"> C55 - (D62 + D63 + D65 + D67 + D69 + D71 + D70+D64+D68)</f>
        <v>2788115.2980075926</v>
      </c>
      <c r="E66" s="173">
        <f ca="1">+D66/$D$72</f>
        <v>7.0937696210974552E-2</v>
      </c>
      <c r="G66" t="s">
        <v>623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226">
        <v>0</v>
      </c>
      <c r="R66" s="226">
        <v>0</v>
      </c>
      <c r="S66" s="226">
        <v>0</v>
      </c>
      <c r="T66" s="226">
        <v>0</v>
      </c>
      <c r="U66" s="226">
        <v>0</v>
      </c>
      <c r="V66" s="226">
        <v>0</v>
      </c>
      <c r="W66" s="226">
        <v>0</v>
      </c>
      <c r="X66" s="226">
        <v>0</v>
      </c>
      <c r="Y66" s="226">
        <v>0</v>
      </c>
      <c r="Z66" s="283">
        <v>0</v>
      </c>
      <c r="AA66" s="340">
        <f ca="1">+M40</f>
        <v>18630730.085374944</v>
      </c>
    </row>
    <row r="67" spans="2:28" x14ac:dyDescent="0.2">
      <c r="B67" s="6" t="s">
        <v>143</v>
      </c>
      <c r="C67" s="4"/>
      <c r="D67" s="106">
        <f>+S18</f>
        <v>0</v>
      </c>
      <c r="E67" s="173">
        <f ca="1">+D67/$D$72</f>
        <v>0</v>
      </c>
      <c r="G67" s="56" t="s">
        <v>144</v>
      </c>
      <c r="H67" s="56" t="s">
        <v>145</v>
      </c>
      <c r="I67" s="56"/>
      <c r="J67" s="67">
        <f t="shared" ref="J67:K67" si="54">+J64+J62+J66+J65</f>
        <v>0</v>
      </c>
      <c r="K67" s="67">
        <f t="shared" si="54"/>
        <v>0</v>
      </c>
      <c r="L67" s="67">
        <f>+L64+L62+L66+L65</f>
        <v>174922.31530434778</v>
      </c>
      <c r="M67" s="67">
        <f t="shared" ref="M67:AA67" si="55">+M64+M62+M66+M65</f>
        <v>207863.09240434784</v>
      </c>
      <c r="N67" s="67">
        <f t="shared" si="55"/>
        <v>241397.92893184719</v>
      </c>
      <c r="O67" s="67">
        <f t="shared" si="55"/>
        <v>275533.64527253486</v>
      </c>
      <c r="P67" s="67">
        <f t="shared" si="55"/>
        <v>310276.95123323961</v>
      </c>
      <c r="Q67" s="67">
        <f t="shared" si="55"/>
        <v>345634.43343936419</v>
      </c>
      <c r="R67" s="67">
        <f t="shared" si="55"/>
        <v>381612.54207291827</v>
      </c>
      <c r="S67" s="67">
        <f t="shared" si="55"/>
        <v>418217.57692261779</v>
      </c>
      <c r="T67" s="67">
        <f t="shared" si="55"/>
        <v>455455.67271637724</v>
      </c>
      <c r="U67" s="67">
        <f t="shared" si="55"/>
        <v>493332.78370534553</v>
      </c>
      <c r="V67" s="67">
        <f t="shared" si="55"/>
        <v>531854.66746741615</v>
      </c>
      <c r="W67" s="67">
        <f t="shared" si="55"/>
        <v>571026.86789686058</v>
      </c>
      <c r="X67" s="67">
        <f t="shared" si="55"/>
        <v>610854.69734542887</v>
      </c>
      <c r="Y67" s="67">
        <f t="shared" si="55"/>
        <v>651343.21787889418</v>
      </c>
      <c r="Z67" s="284">
        <f t="shared" si="55"/>
        <v>692497.22161157965</v>
      </c>
      <c r="AA67" s="341">
        <f t="shared" ca="1" si="55"/>
        <v>19365051.295454919</v>
      </c>
    </row>
    <row r="68" spans="2:28" x14ac:dyDescent="0.2">
      <c r="B68" s="6" t="s">
        <v>566</v>
      </c>
      <c r="C68" s="322">
        <f>+AA6</f>
        <v>0.03</v>
      </c>
      <c r="D68" s="3">
        <f>+D79*(AA7="Yes")</f>
        <v>0</v>
      </c>
      <c r="E68" s="19"/>
      <c r="Q68" s="2"/>
      <c r="Z68" s="8"/>
      <c r="AA68" s="93"/>
    </row>
    <row r="69" spans="2:28" x14ac:dyDescent="0.2">
      <c r="B69" s="6" t="s">
        <v>38</v>
      </c>
      <c r="D69" s="9">
        <f ca="1">+D94*0.1</f>
        <v>1351559.3789981299</v>
      </c>
      <c r="E69" s="173">
        <f ca="1">+D69/$D$72</f>
        <v>3.438756951944448E-2</v>
      </c>
      <c r="G69" s="1" t="s">
        <v>167</v>
      </c>
      <c r="Q69" s="2"/>
      <c r="Z69" s="8"/>
    </row>
    <row r="70" spans="2:28" x14ac:dyDescent="0.2">
      <c r="B70" s="6" t="s">
        <v>254</v>
      </c>
      <c r="D70" s="3">
        <f ca="1">+C51+Draws_Module!C24+C48</f>
        <v>2765554.4654747089</v>
      </c>
      <c r="E70" s="173">
        <f ca="1">+D70/$D$72</f>
        <v>7.0363683548862604E-2</v>
      </c>
      <c r="G70" s="56" t="s">
        <v>135</v>
      </c>
      <c r="H70" s="56"/>
      <c r="I70" s="56"/>
      <c r="J70" s="56"/>
      <c r="K70" s="56"/>
      <c r="L70" s="67">
        <f ca="1">+D76</f>
        <v>0</v>
      </c>
      <c r="M70" s="67">
        <f t="shared" ref="M70:AA70" ca="1" si="56">+L74</f>
        <v>0</v>
      </c>
      <c r="N70" s="67">
        <f t="shared" ca="1" si="56"/>
        <v>0</v>
      </c>
      <c r="O70" s="67">
        <f t="shared" ca="1" si="56"/>
        <v>0</v>
      </c>
      <c r="P70" s="67">
        <f t="shared" ca="1" si="56"/>
        <v>0</v>
      </c>
      <c r="Q70" s="67">
        <f t="shared" ca="1" si="56"/>
        <v>0</v>
      </c>
      <c r="R70" s="67">
        <f t="shared" ca="1" si="56"/>
        <v>0</v>
      </c>
      <c r="S70" s="67">
        <f t="shared" ca="1" si="56"/>
        <v>0</v>
      </c>
      <c r="T70" s="67">
        <f t="shared" ca="1" si="56"/>
        <v>0</v>
      </c>
      <c r="U70" s="67">
        <f t="shared" ca="1" si="56"/>
        <v>0</v>
      </c>
      <c r="V70" s="67">
        <f t="shared" ca="1" si="56"/>
        <v>0</v>
      </c>
      <c r="W70" s="67">
        <f t="shared" ca="1" si="56"/>
        <v>0</v>
      </c>
      <c r="X70" s="67">
        <f t="shared" ca="1" si="56"/>
        <v>0</v>
      </c>
      <c r="Y70" s="67">
        <f t="shared" ca="1" si="56"/>
        <v>0</v>
      </c>
      <c r="Z70" s="284">
        <f t="shared" ca="1" si="56"/>
        <v>0</v>
      </c>
      <c r="AA70" s="67">
        <f t="shared" ca="1" si="56"/>
        <v>0</v>
      </c>
    </row>
    <row r="71" spans="2:28" x14ac:dyDescent="0.2">
      <c r="B71" s="6" t="s">
        <v>591</v>
      </c>
      <c r="D71" s="3">
        <f ca="1">+D131</f>
        <v>1902855.9885709928</v>
      </c>
      <c r="E71" s="173">
        <f ca="1">+D71/$D$72</f>
        <v>4.8414145622651776E-2</v>
      </c>
      <c r="G71" t="s">
        <v>676</v>
      </c>
      <c r="L71" s="3">
        <f t="shared" ref="L71:AA71" ca="1" si="57">+$S$27*L70</f>
        <v>0</v>
      </c>
      <c r="M71" s="3">
        <f t="shared" ca="1" si="57"/>
        <v>0</v>
      </c>
      <c r="N71" s="3">
        <f t="shared" ca="1" si="57"/>
        <v>0</v>
      </c>
      <c r="O71" s="3">
        <f t="shared" ca="1" si="57"/>
        <v>0</v>
      </c>
      <c r="P71" s="3">
        <f t="shared" ca="1" si="57"/>
        <v>0</v>
      </c>
      <c r="Q71" s="3">
        <f t="shared" ca="1" si="57"/>
        <v>0</v>
      </c>
      <c r="R71" s="3">
        <f t="shared" ca="1" si="57"/>
        <v>0</v>
      </c>
      <c r="S71" s="3">
        <f t="shared" ca="1" si="57"/>
        <v>0</v>
      </c>
      <c r="T71" s="3">
        <f t="shared" ca="1" si="57"/>
        <v>0</v>
      </c>
      <c r="U71" s="3">
        <f t="shared" ca="1" si="57"/>
        <v>0</v>
      </c>
      <c r="V71" s="3">
        <f t="shared" ca="1" si="57"/>
        <v>0</v>
      </c>
      <c r="W71" s="3">
        <f t="shared" ca="1" si="57"/>
        <v>0</v>
      </c>
      <c r="X71" s="3">
        <f t="shared" ca="1" si="57"/>
        <v>0</v>
      </c>
      <c r="Y71" s="3">
        <f t="shared" ca="1" si="57"/>
        <v>0</v>
      </c>
      <c r="Z71" s="16">
        <f t="shared" ca="1" si="57"/>
        <v>0</v>
      </c>
      <c r="AA71" s="3">
        <f t="shared" ca="1" si="57"/>
        <v>0</v>
      </c>
    </row>
    <row r="72" spans="2:28" x14ac:dyDescent="0.2">
      <c r="B72" s="11" t="s">
        <v>11</v>
      </c>
      <c r="C72" s="17"/>
      <c r="D72" s="65">
        <f ca="1">+SUM(D62:D71)</f>
        <v>39303719.276635662</v>
      </c>
      <c r="E72" s="174">
        <f ca="1">+D72/$D$72</f>
        <v>1</v>
      </c>
      <c r="G72" t="s">
        <v>674</v>
      </c>
      <c r="L72" s="9">
        <f t="shared" ref="L72:AA72" ca="1" si="58">-MAX(0,MIN(SUM(L70:L71)-$D$76,L67))</f>
        <v>0</v>
      </c>
      <c r="M72" s="9">
        <f t="shared" ca="1" si="58"/>
        <v>0</v>
      </c>
      <c r="N72" s="9">
        <f t="shared" ca="1" si="58"/>
        <v>0</v>
      </c>
      <c r="O72" s="9">
        <f t="shared" ca="1" si="58"/>
        <v>0</v>
      </c>
      <c r="P72" s="9">
        <f t="shared" ca="1" si="58"/>
        <v>0</v>
      </c>
      <c r="Q72" s="9">
        <f t="shared" ca="1" si="58"/>
        <v>0</v>
      </c>
      <c r="R72" s="9">
        <f t="shared" ca="1" si="58"/>
        <v>0</v>
      </c>
      <c r="S72" s="9">
        <f t="shared" ca="1" si="58"/>
        <v>0</v>
      </c>
      <c r="T72" s="9">
        <f t="shared" ca="1" si="58"/>
        <v>0</v>
      </c>
      <c r="U72" s="9">
        <f t="shared" ca="1" si="58"/>
        <v>0</v>
      </c>
      <c r="V72" s="9">
        <f t="shared" ca="1" si="58"/>
        <v>0</v>
      </c>
      <c r="W72" s="9">
        <f t="shared" ca="1" si="58"/>
        <v>0</v>
      </c>
      <c r="X72" s="9">
        <f t="shared" ca="1" si="58"/>
        <v>0</v>
      </c>
      <c r="Y72" s="9">
        <f t="shared" ca="1" si="58"/>
        <v>0</v>
      </c>
      <c r="Z72" s="8">
        <f t="shared" ca="1" si="58"/>
        <v>0</v>
      </c>
      <c r="AA72" s="9">
        <f t="shared" ca="1" si="58"/>
        <v>0</v>
      </c>
    </row>
    <row r="73" spans="2:28" x14ac:dyDescent="0.2">
      <c r="C73" s="79"/>
      <c r="D73" s="219"/>
      <c r="E73" s="163"/>
      <c r="G73" t="s">
        <v>675</v>
      </c>
      <c r="Z73" s="8"/>
      <c r="AA73" s="2">
        <f ca="1">-MAX(0,MIN(D76,AA67))</f>
        <v>0</v>
      </c>
    </row>
    <row r="74" spans="2:28" x14ac:dyDescent="0.2">
      <c r="B74" s="11" t="s">
        <v>40</v>
      </c>
      <c r="C74" s="12" t="s">
        <v>53</v>
      </c>
      <c r="D74" s="12" t="s">
        <v>54</v>
      </c>
      <c r="E74" s="233" t="s">
        <v>296</v>
      </c>
      <c r="G74" s="21" t="s">
        <v>137</v>
      </c>
      <c r="H74" s="21"/>
      <c r="I74" s="21"/>
      <c r="J74" s="21"/>
      <c r="K74" s="21"/>
      <c r="L74" s="68">
        <f ca="1">+SUM(L70:L73)</f>
        <v>0</v>
      </c>
      <c r="M74" s="68">
        <f t="shared" ref="M74:AA74" ca="1" si="59">+SUM(M70:M73)</f>
        <v>0</v>
      </c>
      <c r="N74" s="68">
        <f t="shared" ca="1" si="59"/>
        <v>0</v>
      </c>
      <c r="O74" s="68">
        <f t="shared" ca="1" si="59"/>
        <v>0</v>
      </c>
      <c r="P74" s="68">
        <f t="shared" ca="1" si="59"/>
        <v>0</v>
      </c>
      <c r="Q74" s="68">
        <f t="shared" ca="1" si="59"/>
        <v>0</v>
      </c>
      <c r="R74" s="68">
        <f t="shared" ca="1" si="59"/>
        <v>0</v>
      </c>
      <c r="S74" s="68">
        <f t="shared" ca="1" si="59"/>
        <v>0</v>
      </c>
      <c r="T74" s="68">
        <f t="shared" ca="1" si="59"/>
        <v>0</v>
      </c>
      <c r="U74" s="68">
        <f t="shared" ca="1" si="59"/>
        <v>0</v>
      </c>
      <c r="V74" s="68">
        <f t="shared" ca="1" si="59"/>
        <v>0</v>
      </c>
      <c r="W74" s="68">
        <f t="shared" ca="1" si="59"/>
        <v>0</v>
      </c>
      <c r="X74" s="68">
        <f t="shared" ca="1" si="59"/>
        <v>0</v>
      </c>
      <c r="Y74" s="68">
        <f t="shared" ca="1" si="59"/>
        <v>0</v>
      </c>
      <c r="Z74" s="24">
        <f t="shared" ca="1" si="59"/>
        <v>0</v>
      </c>
      <c r="AA74" s="68">
        <f t="shared" ca="1" si="59"/>
        <v>0</v>
      </c>
    </row>
    <row r="75" spans="2:28" x14ac:dyDescent="0.2">
      <c r="B75" s="6" t="s">
        <v>664</v>
      </c>
      <c r="C75" s="245">
        <f ca="1">RATE(W15*12,PMT(W20/12*365.25/360,W15*12,W21)+PMT(W23/12*365.25/360,W15*12,W24),W25)*12/(365.25/360)</f>
        <v>5.9806487055373156E-2</v>
      </c>
      <c r="D75" s="67">
        <f ca="1">+W25</f>
        <v>21097154.200075343</v>
      </c>
      <c r="E75" s="173">
        <f t="shared" ref="E75:E82" ca="1" si="60">+D75/$D$82</f>
        <v>0.53677246297181958</v>
      </c>
      <c r="G75" t="s">
        <v>144</v>
      </c>
      <c r="L75" s="3">
        <f ca="1">+L72+L67+L73</f>
        <v>174922.31530434778</v>
      </c>
      <c r="M75" s="3">
        <f t="shared" ref="M75:AA75" ca="1" si="61">+M72+M67+M73</f>
        <v>207863.09240434784</v>
      </c>
      <c r="N75" s="3">
        <f t="shared" ca="1" si="61"/>
        <v>241397.92893184719</v>
      </c>
      <c r="O75" s="3">
        <f t="shared" ca="1" si="61"/>
        <v>275533.64527253486</v>
      </c>
      <c r="P75" s="3">
        <f t="shared" ca="1" si="61"/>
        <v>310276.95123323961</v>
      </c>
      <c r="Q75" s="3">
        <f t="shared" ca="1" si="61"/>
        <v>345634.43343936419</v>
      </c>
      <c r="R75" s="3">
        <f t="shared" ca="1" si="61"/>
        <v>381612.54207291827</v>
      </c>
      <c r="S75" s="3">
        <f t="shared" ca="1" si="61"/>
        <v>418217.57692261779</v>
      </c>
      <c r="T75" s="3">
        <f t="shared" ca="1" si="61"/>
        <v>455455.67271637724</v>
      </c>
      <c r="U75" s="3">
        <f t="shared" ca="1" si="61"/>
        <v>493332.78370534553</v>
      </c>
      <c r="V75" s="3">
        <f t="shared" ca="1" si="61"/>
        <v>531854.66746741615</v>
      </c>
      <c r="W75" s="3">
        <f t="shared" ca="1" si="61"/>
        <v>571026.86789686058</v>
      </c>
      <c r="X75" s="3">
        <f t="shared" ca="1" si="61"/>
        <v>610854.69734542887</v>
      </c>
      <c r="Y75" s="3">
        <f t="shared" ca="1" si="61"/>
        <v>651343.21787889418</v>
      </c>
      <c r="Z75" s="16">
        <f t="shared" ca="1" si="61"/>
        <v>692497.22161157965</v>
      </c>
      <c r="AA75" s="3">
        <f t="shared" ca="1" si="61"/>
        <v>19365051.295454919</v>
      </c>
    </row>
    <row r="76" spans="2:28" x14ac:dyDescent="0.2">
      <c r="B76" s="6" t="s">
        <v>167</v>
      </c>
      <c r="C76" s="245">
        <f>+S27</f>
        <v>0.08</v>
      </c>
      <c r="D76" s="3">
        <f ca="1" xml:space="preserve"> MIN( S32, MAX(0, D133) ) * S25</f>
        <v>0</v>
      </c>
      <c r="E76" s="173">
        <f t="shared" ca="1" si="60"/>
        <v>0</v>
      </c>
      <c r="Q76" s="2"/>
      <c r="Z76" s="8"/>
    </row>
    <row r="77" spans="2:28" x14ac:dyDescent="0.2">
      <c r="B77" s="6" t="s">
        <v>684</v>
      </c>
      <c r="D77" s="3">
        <f ca="1">+D135</f>
        <v>2788115.2980081141</v>
      </c>
      <c r="E77" s="173">
        <f t="shared" ca="1" si="60"/>
        <v>7.0937696210983725E-2</v>
      </c>
      <c r="G77" s="1" t="s">
        <v>134</v>
      </c>
      <c r="Q77" s="2"/>
      <c r="Z77" s="8"/>
    </row>
    <row r="78" spans="2:28" x14ac:dyDescent="0.2">
      <c r="B78" s="6" t="s">
        <v>143</v>
      </c>
      <c r="C78" s="245">
        <f>+S20</f>
        <v>5.5E-2</v>
      </c>
      <c r="D78" s="3">
        <f>+D67</f>
        <v>0</v>
      </c>
      <c r="E78" s="173">
        <f t="shared" ca="1" si="60"/>
        <v>0</v>
      </c>
      <c r="G78" s="56" t="s">
        <v>135</v>
      </c>
      <c r="H78" s="56"/>
      <c r="I78" s="56"/>
      <c r="J78" s="56"/>
      <c r="K78" s="56"/>
      <c r="L78" s="67">
        <f ca="1">+D81</f>
        <v>1902855.9885658398</v>
      </c>
      <c r="M78" s="67">
        <f t="shared" ref="M78:AA78" ca="1" si="62">+L81</f>
        <v>1804047.9128081773</v>
      </c>
      <c r="N78" s="67">
        <f t="shared" ca="1" si="62"/>
        <v>1668346.7369195502</v>
      </c>
      <c r="O78" s="67">
        <f ca="1">+N81</f>
        <v>1493682.677456171</v>
      </c>
      <c r="P78" s="67">
        <f t="shared" ca="1" si="62"/>
        <v>1277896.339249067</v>
      </c>
      <c r="Q78" s="90">
        <f t="shared" ca="1" si="62"/>
        <v>1018735.2416191685</v>
      </c>
      <c r="R78" s="90">
        <f t="shared" ca="1" si="62"/>
        <v>713850.21787240193</v>
      </c>
      <c r="S78" s="90">
        <f t="shared" ca="1" si="62"/>
        <v>360791.68442665564</v>
      </c>
      <c r="T78" s="90">
        <f t="shared" ca="1" si="62"/>
        <v>0</v>
      </c>
      <c r="U78" s="90">
        <f ca="1">+T81</f>
        <v>0</v>
      </c>
      <c r="V78" s="90">
        <f t="shared" ca="1" si="62"/>
        <v>0</v>
      </c>
      <c r="W78" s="90">
        <f ca="1">+V81</f>
        <v>0</v>
      </c>
      <c r="X78" s="90">
        <f t="shared" ca="1" si="62"/>
        <v>0</v>
      </c>
      <c r="Y78" s="90">
        <f t="shared" ca="1" si="62"/>
        <v>0</v>
      </c>
      <c r="Z78" s="30">
        <f t="shared" ca="1" si="62"/>
        <v>0</v>
      </c>
      <c r="AA78" s="90">
        <f t="shared" ca="1" si="62"/>
        <v>0</v>
      </c>
    </row>
    <row r="79" spans="2:28" x14ac:dyDescent="0.2">
      <c r="B79" s="6" t="s">
        <v>566</v>
      </c>
      <c r="C79" s="245">
        <f>+AA6</f>
        <v>0.03</v>
      </c>
      <c r="D79" s="218">
        <f>IF($D$59="Soft Debt",MAX(0,$C$55-$D$75-$D$76-$D$78-($C$89*$D$88*10)-$D$131),0)</f>
        <v>0</v>
      </c>
      <c r="E79" s="173">
        <f t="shared" ca="1" si="60"/>
        <v>0</v>
      </c>
      <c r="G79" t="s">
        <v>589</v>
      </c>
      <c r="L79" s="3">
        <f t="shared" ref="L79:AA79" ca="1" si="63">+L78*$C$81</f>
        <v>76114.239542633601</v>
      </c>
      <c r="M79" s="3">
        <f t="shared" ca="1" si="63"/>
        <v>72161.916512327094</v>
      </c>
      <c r="N79" s="3">
        <f t="shared" ca="1" si="63"/>
        <v>66733.869476782012</v>
      </c>
      <c r="O79" s="3">
        <f t="shared" ca="1" si="63"/>
        <v>59747.307098246842</v>
      </c>
      <c r="P79" s="3">
        <f t="shared" ca="1" si="63"/>
        <v>51115.853569962681</v>
      </c>
      <c r="Q79" s="3">
        <f t="shared" ca="1" si="63"/>
        <v>40749.409664766739</v>
      </c>
      <c r="R79" s="3">
        <f t="shared" ca="1" si="63"/>
        <v>28554.008714896077</v>
      </c>
      <c r="S79" s="3">
        <f t="shared" ca="1" si="63"/>
        <v>14431.667377066226</v>
      </c>
      <c r="T79" s="3">
        <f t="shared" ca="1" si="63"/>
        <v>0</v>
      </c>
      <c r="U79" s="3">
        <f t="shared" ca="1" si="63"/>
        <v>0</v>
      </c>
      <c r="V79" s="3">
        <f t="shared" ca="1" si="63"/>
        <v>0</v>
      </c>
      <c r="W79" s="3">
        <f t="shared" ca="1" si="63"/>
        <v>0</v>
      </c>
      <c r="X79" s="3">
        <f t="shared" ca="1" si="63"/>
        <v>0</v>
      </c>
      <c r="Y79" s="3">
        <f t="shared" ca="1" si="63"/>
        <v>0</v>
      </c>
      <c r="Z79" s="16">
        <f t="shared" ca="1" si="63"/>
        <v>0</v>
      </c>
      <c r="AA79" s="3">
        <f t="shared" ca="1" si="63"/>
        <v>0</v>
      </c>
    </row>
    <row r="80" spans="2:28" x14ac:dyDescent="0.2">
      <c r="B80" s="6" t="s">
        <v>38</v>
      </c>
      <c r="D80" s="3">
        <f ca="1">+D94</f>
        <v>13515593.789981298</v>
      </c>
      <c r="E80" s="173">
        <f t="shared" ca="1" si="60"/>
        <v>0.34387569519442496</v>
      </c>
      <c r="G80" t="s">
        <v>136</v>
      </c>
      <c r="L80" s="3">
        <f ca="1">-MAX(0,MIN(L75,L78+L79))</f>
        <v>-174922.31530434778</v>
      </c>
      <c r="M80" s="3">
        <f t="shared" ref="M80:AA80" ca="1" si="64">-MAX(0,MIN(M75,M78+M79))</f>
        <v>-207863.09240434784</v>
      </c>
      <c r="N80" s="3">
        <f t="shared" ca="1" si="64"/>
        <v>-241397.92893184719</v>
      </c>
      <c r="O80" s="3">
        <f t="shared" ca="1" si="64"/>
        <v>-275533.64527253486</v>
      </c>
      <c r="P80" s="3">
        <f t="shared" ca="1" si="64"/>
        <v>-310276.95123323961</v>
      </c>
      <c r="Q80" s="3">
        <f t="shared" ca="1" si="64"/>
        <v>-345634.43343936419</v>
      </c>
      <c r="R80" s="3">
        <f t="shared" ca="1" si="64"/>
        <v>-381612.54207291827</v>
      </c>
      <c r="S80" s="3">
        <f t="shared" ca="1" si="64"/>
        <v>-375223.35180372186</v>
      </c>
      <c r="T80" s="3">
        <f t="shared" ca="1" si="64"/>
        <v>0</v>
      </c>
      <c r="U80" s="3">
        <f t="shared" ca="1" si="64"/>
        <v>0</v>
      </c>
      <c r="V80" s="3">
        <f t="shared" ca="1" si="64"/>
        <v>0</v>
      </c>
      <c r="W80" s="3">
        <f t="shared" ca="1" si="64"/>
        <v>0</v>
      </c>
      <c r="X80" s="3">
        <f t="shared" ca="1" si="64"/>
        <v>0</v>
      </c>
      <c r="Y80" s="3">
        <f t="shared" ca="1" si="64"/>
        <v>0</v>
      </c>
      <c r="Z80" s="16">
        <f t="shared" ca="1" si="64"/>
        <v>0</v>
      </c>
      <c r="AA80" s="3">
        <f t="shared" ca="1" si="64"/>
        <v>0</v>
      </c>
    </row>
    <row r="81" spans="2:27" x14ac:dyDescent="0.2">
      <c r="B81" s="20" t="s">
        <v>591</v>
      </c>
      <c r="C81" s="244">
        <v>0.04</v>
      </c>
      <c r="D81" s="68">
        <f ca="1">+D136</f>
        <v>1902855.9885702357</v>
      </c>
      <c r="E81" s="173">
        <f t="shared" ca="1" si="60"/>
        <v>4.8414145622629724E-2</v>
      </c>
      <c r="G81" s="21" t="s">
        <v>137</v>
      </c>
      <c r="H81" s="21"/>
      <c r="I81" s="21"/>
      <c r="J81" s="21"/>
      <c r="K81" s="21"/>
      <c r="L81" s="68">
        <f t="shared" ref="L81:Z81" ca="1" si="65">+SUM(L78:L80)</f>
        <v>1804047.9128041256</v>
      </c>
      <c r="M81" s="68">
        <f t="shared" ca="1" si="65"/>
        <v>1668346.7369161565</v>
      </c>
      <c r="N81" s="68">
        <f t="shared" ca="1" si="65"/>
        <v>1493682.6774644849</v>
      </c>
      <c r="O81" s="68">
        <f t="shared" ca="1" si="65"/>
        <v>1277896.3392818831</v>
      </c>
      <c r="P81" s="68">
        <f t="shared" ca="1" si="65"/>
        <v>1018735.2415857902</v>
      </c>
      <c r="Q81" s="89">
        <f t="shared" ca="1" si="65"/>
        <v>713850.21784457099</v>
      </c>
      <c r="R81" s="89">
        <f t="shared" ca="1" si="65"/>
        <v>360791.68451437971</v>
      </c>
      <c r="S81" s="89">
        <f t="shared" ca="1" si="65"/>
        <v>0</v>
      </c>
      <c r="T81" s="89">
        <f t="shared" ca="1" si="65"/>
        <v>0</v>
      </c>
      <c r="U81" s="89">
        <f t="shared" ca="1" si="65"/>
        <v>0</v>
      </c>
      <c r="V81" s="89">
        <f t="shared" ca="1" si="65"/>
        <v>0</v>
      </c>
      <c r="W81" s="89">
        <f t="shared" ca="1" si="65"/>
        <v>0</v>
      </c>
      <c r="X81" s="89">
        <f t="shared" ca="1" si="65"/>
        <v>0</v>
      </c>
      <c r="Y81" s="89">
        <f t="shared" ca="1" si="65"/>
        <v>0</v>
      </c>
      <c r="Z81" s="34">
        <f t="shared" ca="1" si="65"/>
        <v>0</v>
      </c>
      <c r="AA81" s="89">
        <f t="shared" ref="AA81" ca="1" si="66">+SUM(AA78:AA80)</f>
        <v>0</v>
      </c>
    </row>
    <row r="82" spans="2:27" x14ac:dyDescent="0.2">
      <c r="B82" s="11" t="s">
        <v>11</v>
      </c>
      <c r="C82" s="17"/>
      <c r="D82" s="65">
        <f ca="1">+SUM(D75:D81)</f>
        <v>39303719.276634991</v>
      </c>
      <c r="E82" s="174">
        <f t="shared" ca="1" si="60"/>
        <v>1</v>
      </c>
      <c r="G82" t="s">
        <v>144</v>
      </c>
      <c r="L82" s="3">
        <f ca="1">+L80+L75</f>
        <v>0</v>
      </c>
      <c r="M82" s="3">
        <f t="shared" ref="M82:AA82" ca="1" si="67">+M80+M75</f>
        <v>0</v>
      </c>
      <c r="N82" s="3">
        <f t="shared" ca="1" si="67"/>
        <v>0</v>
      </c>
      <c r="O82" s="3">
        <f t="shared" ca="1" si="67"/>
        <v>0</v>
      </c>
      <c r="P82" s="3">
        <f t="shared" ca="1" si="67"/>
        <v>0</v>
      </c>
      <c r="Q82" s="3">
        <f t="shared" ca="1" si="67"/>
        <v>0</v>
      </c>
      <c r="R82" s="3">
        <f t="shared" ca="1" si="67"/>
        <v>0</v>
      </c>
      <c r="S82" s="3">
        <f t="shared" ca="1" si="67"/>
        <v>42994.225118895934</v>
      </c>
      <c r="T82" s="3">
        <f t="shared" ca="1" si="67"/>
        <v>455455.67271637724</v>
      </c>
      <c r="U82" s="3">
        <f t="shared" ca="1" si="67"/>
        <v>493332.78370534553</v>
      </c>
      <c r="V82" s="3">
        <f t="shared" ca="1" si="67"/>
        <v>531854.66746741615</v>
      </c>
      <c r="W82" s="3">
        <f t="shared" ca="1" si="67"/>
        <v>571026.86789686058</v>
      </c>
      <c r="X82" s="3">
        <f t="shared" ca="1" si="67"/>
        <v>610854.69734542887</v>
      </c>
      <c r="Y82" s="3">
        <f t="shared" ca="1" si="67"/>
        <v>651343.21787889418</v>
      </c>
      <c r="Z82" s="16">
        <f t="shared" ca="1" si="67"/>
        <v>692497.22161157965</v>
      </c>
      <c r="AA82" s="3">
        <f t="shared" ca="1" si="67"/>
        <v>19365051.295454919</v>
      </c>
    </row>
    <row r="83" spans="2:27" x14ac:dyDescent="0.2">
      <c r="Q83" s="2"/>
      <c r="Z83" s="8"/>
    </row>
    <row r="84" spans="2:27" x14ac:dyDescent="0.2">
      <c r="B84" s="11" t="s">
        <v>610</v>
      </c>
      <c r="C84" s="22"/>
      <c r="D84" s="23"/>
      <c r="G84" s="102" t="s">
        <v>566</v>
      </c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89"/>
      <c r="S84" s="89"/>
      <c r="T84" s="89"/>
      <c r="U84" s="89"/>
      <c r="V84" s="89"/>
      <c r="W84" s="89"/>
      <c r="X84" s="89"/>
      <c r="Y84" s="89"/>
      <c r="Z84" s="34"/>
      <c r="AA84" s="89"/>
    </row>
    <row r="85" spans="2:27" x14ac:dyDescent="0.2">
      <c r="B85" s="76" t="s">
        <v>603</v>
      </c>
      <c r="D85" s="19"/>
      <c r="E85" s="3"/>
      <c r="G85" s="56" t="s">
        <v>135</v>
      </c>
      <c r="H85" s="56"/>
      <c r="I85" s="56"/>
      <c r="J85" s="56"/>
      <c r="K85" s="56"/>
      <c r="L85" s="67">
        <f>+D79</f>
        <v>0</v>
      </c>
      <c r="M85" s="67">
        <f t="shared" ref="M85:AA85" ca="1" si="68">+L89</f>
        <v>0</v>
      </c>
      <c r="N85" s="67">
        <f t="shared" ca="1" si="68"/>
        <v>0</v>
      </c>
      <c r="O85" s="67">
        <f t="shared" ca="1" si="68"/>
        <v>0</v>
      </c>
      <c r="P85" s="67">
        <f t="shared" ca="1" si="68"/>
        <v>0</v>
      </c>
      <c r="Q85" s="67">
        <f t="shared" ca="1" si="68"/>
        <v>0</v>
      </c>
      <c r="R85" s="67">
        <f t="shared" ca="1" si="68"/>
        <v>0</v>
      </c>
      <c r="S85" s="67">
        <f t="shared" ca="1" si="68"/>
        <v>0</v>
      </c>
      <c r="T85" s="67">
        <f t="shared" ca="1" si="68"/>
        <v>0</v>
      </c>
      <c r="U85" s="67">
        <f t="shared" ca="1" si="68"/>
        <v>0</v>
      </c>
      <c r="V85" s="67">
        <f t="shared" ca="1" si="68"/>
        <v>0</v>
      </c>
      <c r="W85" s="67">
        <f t="shared" ca="1" si="68"/>
        <v>0</v>
      </c>
      <c r="X85" s="67">
        <f t="shared" ca="1" si="68"/>
        <v>0</v>
      </c>
      <c r="Y85" s="67">
        <f t="shared" ca="1" si="68"/>
        <v>0</v>
      </c>
      <c r="Z85" s="284">
        <f t="shared" ca="1" si="68"/>
        <v>0</v>
      </c>
      <c r="AA85" s="67">
        <f t="shared" ca="1" si="68"/>
        <v>0</v>
      </c>
    </row>
    <row r="86" spans="2:27" x14ac:dyDescent="0.2">
      <c r="B86" s="6" t="s">
        <v>42</v>
      </c>
      <c r="D86" s="16">
        <f ca="1">+C56</f>
        <v>33755229.245707937</v>
      </c>
      <c r="E86" s="3"/>
      <c r="G86" t="s">
        <v>175</v>
      </c>
      <c r="L86" s="3">
        <f t="shared" ref="L86:AA86" si="69">+IF($AA$5="Simple", $C$79*MIN($D$79,L85),$C$79*L85)</f>
        <v>0</v>
      </c>
      <c r="M86" s="3">
        <f t="shared" ca="1" si="69"/>
        <v>0</v>
      </c>
      <c r="N86" s="3">
        <f t="shared" ca="1" si="69"/>
        <v>0</v>
      </c>
      <c r="O86" s="3">
        <f t="shared" ca="1" si="69"/>
        <v>0</v>
      </c>
      <c r="P86" s="3">
        <f t="shared" ca="1" si="69"/>
        <v>0</v>
      </c>
      <c r="Q86" s="3">
        <f t="shared" ca="1" si="69"/>
        <v>0</v>
      </c>
      <c r="R86" s="3">
        <f t="shared" ca="1" si="69"/>
        <v>0</v>
      </c>
      <c r="S86" s="3">
        <f t="shared" ca="1" si="69"/>
        <v>0</v>
      </c>
      <c r="T86" s="3">
        <f t="shared" ca="1" si="69"/>
        <v>0</v>
      </c>
      <c r="U86" s="3">
        <f t="shared" ca="1" si="69"/>
        <v>0</v>
      </c>
      <c r="V86" s="3">
        <f t="shared" ca="1" si="69"/>
        <v>0</v>
      </c>
      <c r="W86" s="3">
        <f t="shared" ca="1" si="69"/>
        <v>0</v>
      </c>
      <c r="X86" s="3">
        <f t="shared" ca="1" si="69"/>
        <v>0</v>
      </c>
      <c r="Y86" s="3">
        <f t="shared" ca="1" si="69"/>
        <v>0</v>
      </c>
      <c r="Z86" s="16">
        <f t="shared" ca="1" si="69"/>
        <v>0</v>
      </c>
      <c r="AA86" s="3">
        <f t="shared" ca="1" si="69"/>
        <v>0</v>
      </c>
    </row>
    <row r="87" spans="2:27" x14ac:dyDescent="0.2">
      <c r="B87" s="6" t="s">
        <v>611</v>
      </c>
      <c r="C87" s="204">
        <f>+IF(C5="None",100%,130%)</f>
        <v>1.3</v>
      </c>
      <c r="D87" s="16">
        <f ca="1">+C87*D86</f>
        <v>43881798.019420318</v>
      </c>
      <c r="E87" s="3"/>
      <c r="G87" t="s">
        <v>674</v>
      </c>
      <c r="L87" s="3">
        <f ca="1">-MAX(0,MIN(SUM($L$86:L86)+SUM($K$87:K87),$AA$4*L82))</f>
        <v>0</v>
      </c>
      <c r="M87" s="3">
        <f ca="1">-MAX(0,MIN(SUM($L$86:M86)+SUM($K$87:L87),$AA$4*M82))</f>
        <v>0</v>
      </c>
      <c r="N87" s="3">
        <f ca="1">-MAX(0,MIN(SUM($L$86:N86)+SUM($K$87:M87),$AA$4*N82))</f>
        <v>0</v>
      </c>
      <c r="O87" s="3">
        <f ca="1">-MAX(0,MIN(SUM($L$86:O86)+SUM($K$87:N87),$AA$4*O82))</f>
        <v>0</v>
      </c>
      <c r="P87" s="3">
        <f ca="1">-MAX(0,MIN(SUM($L$86:P86)+SUM($K$87:O87),$AA$4*P82))</f>
        <v>0</v>
      </c>
      <c r="Q87" s="3">
        <f ca="1">-MAX(0,MIN(SUM($L$86:Q86)+SUM($K$87:P87),$AA$4*Q82))</f>
        <v>0</v>
      </c>
      <c r="R87" s="3">
        <f ca="1">-MAX(0,MIN(SUM($L$86:R86)+SUM($K$87:Q87),$AA$4*R82))</f>
        <v>0</v>
      </c>
      <c r="S87" s="3">
        <f ca="1">-MAX(0,MIN(SUM($L$86:S86)+SUM($K$87:R87),$AA$4*S82))</f>
        <v>0</v>
      </c>
      <c r="T87" s="3">
        <f ca="1">-MAX(0,MIN(SUM($L$86:T86)+SUM($K$87:S87),$AA$4*T82))</f>
        <v>0</v>
      </c>
      <c r="U87" s="3">
        <f ca="1">-MAX(0,MIN(SUM($L$86:U86)+SUM($K$87:T87),$AA$4*U82))</f>
        <v>0</v>
      </c>
      <c r="V87" s="3">
        <f ca="1">-MAX(0,MIN(SUM($L$86:V86)+SUM($K$87:U87),$AA$4*V82))</f>
        <v>0</v>
      </c>
      <c r="W87" s="3">
        <f ca="1">-MAX(0,MIN(SUM($L$86:W86)+SUM($K$87:V87),$AA$4*W82))</f>
        <v>0</v>
      </c>
      <c r="X87" s="3">
        <f ca="1">-MAX(0,MIN(SUM($L$86:X86)+SUM($K$87:W87),$AA$4*X82))</f>
        <v>0</v>
      </c>
      <c r="Y87" s="3">
        <f ca="1">-MAX(0,MIN(SUM($L$86:Y86)+SUM($K$87:X87),$AA$4*Y82))</f>
        <v>0</v>
      </c>
      <c r="Z87" s="16">
        <f ca="1">-MAX(0,MIN(SUM($L$86:Z86)+SUM($K$87:Y87),$AA$4*Z82))</f>
        <v>0</v>
      </c>
      <c r="AA87" s="3">
        <f ca="1">-MAX(0,MIN(SUM($L$86:AA86)+SUM($K$87:Z87),$AA$4*AA82))</f>
        <v>0</v>
      </c>
    </row>
    <row r="88" spans="2:27" x14ac:dyDescent="0.2">
      <c r="B88" s="6" t="s">
        <v>79</v>
      </c>
      <c r="C88" s="4">
        <v>0.04</v>
      </c>
      <c r="D88" s="16">
        <f ca="1">+C88*D87</f>
        <v>1755271.9207768128</v>
      </c>
      <c r="G88" t="s">
        <v>675</v>
      </c>
      <c r="L88" s="9">
        <f t="shared" ref="L88:AA88" ca="1" si="70">+-MAX(0,MIN(L82*$AA$4+L87,SUM(L85:L87)))</f>
        <v>0</v>
      </c>
      <c r="M88" s="9">
        <f t="shared" ca="1" si="70"/>
        <v>0</v>
      </c>
      <c r="N88" s="9">
        <f t="shared" ca="1" si="70"/>
        <v>0</v>
      </c>
      <c r="O88" s="9">
        <f t="shared" ca="1" si="70"/>
        <v>0</v>
      </c>
      <c r="P88" s="9">
        <f t="shared" ca="1" si="70"/>
        <v>0</v>
      </c>
      <c r="Q88" s="9">
        <f t="shared" ca="1" si="70"/>
        <v>0</v>
      </c>
      <c r="R88" s="9">
        <f t="shared" ca="1" si="70"/>
        <v>0</v>
      </c>
      <c r="S88" s="9">
        <f t="shared" ca="1" si="70"/>
        <v>0</v>
      </c>
      <c r="T88" s="9">
        <f t="shared" ca="1" si="70"/>
        <v>0</v>
      </c>
      <c r="U88" s="9">
        <f t="shared" ca="1" si="70"/>
        <v>0</v>
      </c>
      <c r="V88" s="9">
        <f t="shared" ca="1" si="70"/>
        <v>0</v>
      </c>
      <c r="W88" s="9">
        <f t="shared" ca="1" si="70"/>
        <v>0</v>
      </c>
      <c r="X88" s="9">
        <f t="shared" ca="1" si="70"/>
        <v>0</v>
      </c>
      <c r="Y88" s="9">
        <f t="shared" ca="1" si="70"/>
        <v>0</v>
      </c>
      <c r="Z88" s="8">
        <f t="shared" ca="1" si="70"/>
        <v>0</v>
      </c>
      <c r="AA88" s="9">
        <f t="shared" ca="1" si="70"/>
        <v>0</v>
      </c>
    </row>
    <row r="89" spans="2:27" x14ac:dyDescent="0.2">
      <c r="B89" s="6" t="s">
        <v>609</v>
      </c>
      <c r="C89" s="251">
        <v>0.77</v>
      </c>
      <c r="D89" s="8">
        <f ca="1">+C89*D88*10</f>
        <v>13515593.789981458</v>
      </c>
      <c r="G89" s="21" t="s">
        <v>137</v>
      </c>
      <c r="H89" s="21"/>
      <c r="I89" s="21"/>
      <c r="J89" s="21"/>
      <c r="K89" s="21"/>
      <c r="L89" s="68">
        <f t="shared" ref="L89:AA89" ca="1" si="71">+SUM(L85:L88)</f>
        <v>0</v>
      </c>
      <c r="M89" s="68">
        <f t="shared" ca="1" si="71"/>
        <v>0</v>
      </c>
      <c r="N89" s="68">
        <f t="shared" ca="1" si="71"/>
        <v>0</v>
      </c>
      <c r="O89" s="68">
        <f t="shared" ca="1" si="71"/>
        <v>0</v>
      </c>
      <c r="P89" s="68">
        <f t="shared" ca="1" si="71"/>
        <v>0</v>
      </c>
      <c r="Q89" s="68">
        <f t="shared" ca="1" si="71"/>
        <v>0</v>
      </c>
      <c r="R89" s="68">
        <f t="shared" ca="1" si="71"/>
        <v>0</v>
      </c>
      <c r="S89" s="68">
        <f t="shared" ca="1" si="71"/>
        <v>0</v>
      </c>
      <c r="T89" s="68">
        <f t="shared" ca="1" si="71"/>
        <v>0</v>
      </c>
      <c r="U89" s="68">
        <f t="shared" ca="1" si="71"/>
        <v>0</v>
      </c>
      <c r="V89" s="68">
        <f t="shared" ca="1" si="71"/>
        <v>0</v>
      </c>
      <c r="W89" s="68">
        <f t="shared" ca="1" si="71"/>
        <v>0</v>
      </c>
      <c r="X89" s="68">
        <f t="shared" ca="1" si="71"/>
        <v>0</v>
      </c>
      <c r="Y89" s="68">
        <f t="shared" ca="1" si="71"/>
        <v>0</v>
      </c>
      <c r="Z89" s="24">
        <f t="shared" ca="1" si="71"/>
        <v>0</v>
      </c>
      <c r="AA89" s="68">
        <f t="shared" ca="1" si="71"/>
        <v>0</v>
      </c>
    </row>
    <row r="90" spans="2:27" x14ac:dyDescent="0.2">
      <c r="B90" s="76" t="s">
        <v>604</v>
      </c>
      <c r="D90" s="19"/>
      <c r="Z90" s="8"/>
    </row>
    <row r="91" spans="2:27" x14ac:dyDescent="0.2">
      <c r="B91" s="6" t="s">
        <v>605</v>
      </c>
      <c r="D91" s="8">
        <f ca="1">0.3*D86</f>
        <v>10126568.77371238</v>
      </c>
      <c r="G91" s="27" t="s">
        <v>624</v>
      </c>
      <c r="H91" s="27"/>
      <c r="I91" s="27"/>
      <c r="J91" s="27"/>
      <c r="K91" s="27"/>
      <c r="L91" s="14">
        <f ca="1">+L82+L88+L87</f>
        <v>0</v>
      </c>
      <c r="M91" s="14">
        <f t="shared" ref="M91:AA91" ca="1" si="72">+M82+M88+M87</f>
        <v>0</v>
      </c>
      <c r="N91" s="14">
        <f t="shared" ca="1" si="72"/>
        <v>0</v>
      </c>
      <c r="O91" s="14">
        <f t="shared" ca="1" si="72"/>
        <v>0</v>
      </c>
      <c r="P91" s="14">
        <f t="shared" ca="1" si="72"/>
        <v>0</v>
      </c>
      <c r="Q91" s="14">
        <f t="shared" ca="1" si="72"/>
        <v>0</v>
      </c>
      <c r="R91" s="14">
        <f t="shared" ca="1" si="72"/>
        <v>0</v>
      </c>
      <c r="S91" s="14">
        <f t="shared" ca="1" si="72"/>
        <v>42994.225118895934</v>
      </c>
      <c r="T91" s="14">
        <f t="shared" ca="1" si="72"/>
        <v>455455.67271637724</v>
      </c>
      <c r="U91" s="14">
        <f t="shared" ca="1" si="72"/>
        <v>493332.78370534553</v>
      </c>
      <c r="V91" s="14">
        <f t="shared" ca="1" si="72"/>
        <v>531854.66746741615</v>
      </c>
      <c r="W91" s="14">
        <f t="shared" ca="1" si="72"/>
        <v>571026.86789686058</v>
      </c>
      <c r="X91" s="14">
        <f t="shared" ca="1" si="72"/>
        <v>610854.69734542887</v>
      </c>
      <c r="Y91" s="14">
        <f t="shared" ca="1" si="72"/>
        <v>651343.21787889418</v>
      </c>
      <c r="Z91" s="15">
        <f t="shared" ca="1" si="72"/>
        <v>692497.22161157965</v>
      </c>
      <c r="AA91" s="14">
        <f t="shared" ca="1" si="72"/>
        <v>19365051.295454919</v>
      </c>
    </row>
    <row r="92" spans="2:27" x14ac:dyDescent="0.2">
      <c r="B92" s="6" t="s">
        <v>606</v>
      </c>
      <c r="D92" s="10">
        <f>IF($C$93=0,0,D93/$C$93)</f>
        <v>0</v>
      </c>
      <c r="Z92" s="34"/>
    </row>
    <row r="93" spans="2:27" x14ac:dyDescent="0.2">
      <c r="B93" s="6" t="s">
        <v>607</v>
      </c>
      <c r="C93" s="251">
        <v>0.88</v>
      </c>
      <c r="D93" s="8">
        <f>IF($D$59="State Credits",MIN(MAX(0,$C$55-$D$75-$D$78-($C$89*$D$88*10)-$D$76-$D$131),$C$93*$D$91),0)</f>
        <v>0</v>
      </c>
      <c r="G93" s="17" t="s">
        <v>138</v>
      </c>
      <c r="H93" s="17"/>
      <c r="I93" s="17"/>
      <c r="J93" s="25">
        <f ca="1">+D98</f>
        <v>749999.99999996985</v>
      </c>
      <c r="K93" s="65">
        <f ca="1">+D99</f>
        <v>1749999.9999999297</v>
      </c>
      <c r="L93" s="65">
        <f t="shared" ref="L93:AA93" ca="1" si="73">-L80</f>
        <v>174922.31530434778</v>
      </c>
      <c r="M93" s="65">
        <f t="shared" ca="1" si="73"/>
        <v>207863.09240434784</v>
      </c>
      <c r="N93" s="65">
        <f t="shared" ca="1" si="73"/>
        <v>241397.92893184719</v>
      </c>
      <c r="O93" s="65">
        <f t="shared" ca="1" si="73"/>
        <v>275533.64527253486</v>
      </c>
      <c r="P93" s="65">
        <f t="shared" ca="1" si="73"/>
        <v>310276.95123323961</v>
      </c>
      <c r="Q93" s="25">
        <f t="shared" ca="1" si="73"/>
        <v>345634.43343936419</v>
      </c>
      <c r="R93" s="25">
        <f t="shared" ca="1" si="73"/>
        <v>381612.54207291827</v>
      </c>
      <c r="S93" s="25">
        <f t="shared" ca="1" si="73"/>
        <v>375223.35180372186</v>
      </c>
      <c r="T93" s="25">
        <f t="shared" ca="1" si="73"/>
        <v>0</v>
      </c>
      <c r="U93" s="25">
        <f t="shared" ca="1" si="73"/>
        <v>0</v>
      </c>
      <c r="V93" s="25">
        <f t="shared" ca="1" si="73"/>
        <v>0</v>
      </c>
      <c r="W93" s="25">
        <f t="shared" ca="1" si="73"/>
        <v>0</v>
      </c>
      <c r="X93" s="25">
        <f t="shared" ca="1" si="73"/>
        <v>0</v>
      </c>
      <c r="Y93" s="25">
        <f t="shared" ca="1" si="73"/>
        <v>0</v>
      </c>
      <c r="Z93" s="26">
        <f t="shared" ca="1" si="73"/>
        <v>0</v>
      </c>
      <c r="AA93" s="25">
        <f t="shared" ca="1" si="73"/>
        <v>0</v>
      </c>
    </row>
    <row r="94" spans="2:27" ht="16" thickBot="1" x14ac:dyDescent="0.25">
      <c r="B94" s="11" t="s">
        <v>608</v>
      </c>
      <c r="C94" s="17"/>
      <c r="D94" s="18">
        <f ca="1">+C89*D88*10+D93</f>
        <v>13515593.789981458</v>
      </c>
      <c r="G94" s="32" t="s">
        <v>139</v>
      </c>
      <c r="H94" s="33">
        <f>-D110</f>
        <v>-290000</v>
      </c>
      <c r="I94" s="33">
        <f ca="1">-D117</f>
        <v>-655644.85277377756</v>
      </c>
      <c r="J94" s="33">
        <f ca="1">MIN(-D66-D65)-H94-I94</f>
        <v>-1842470.4452338149</v>
      </c>
      <c r="K94" s="33">
        <f t="shared" ref="K94:Y94" si="74">+(K91)*$N$42</f>
        <v>0</v>
      </c>
      <c r="L94" s="33">
        <f t="shared" ca="1" si="74"/>
        <v>0</v>
      </c>
      <c r="M94" s="33">
        <f t="shared" ca="1" si="74"/>
        <v>0</v>
      </c>
      <c r="N94" s="33">
        <f t="shared" ca="1" si="74"/>
        <v>0</v>
      </c>
      <c r="O94" s="33">
        <f t="shared" ca="1" si="74"/>
        <v>0</v>
      </c>
      <c r="P94" s="33">
        <f t="shared" ca="1" si="74"/>
        <v>0</v>
      </c>
      <c r="Q94" s="33">
        <f t="shared" ca="1" si="74"/>
        <v>0</v>
      </c>
      <c r="R94" s="33">
        <f t="shared" ca="1" si="74"/>
        <v>0</v>
      </c>
      <c r="S94" s="33">
        <f t="shared" ca="1" si="74"/>
        <v>38694.802607006342</v>
      </c>
      <c r="T94" s="33">
        <f t="shared" ca="1" si="74"/>
        <v>409910.10544473951</v>
      </c>
      <c r="U94" s="33">
        <f t="shared" ca="1" si="74"/>
        <v>443999.50533481099</v>
      </c>
      <c r="V94" s="33">
        <f t="shared" ca="1" si="74"/>
        <v>478669.20072067453</v>
      </c>
      <c r="W94" s="33">
        <f t="shared" ca="1" si="74"/>
        <v>513924.18110717455</v>
      </c>
      <c r="X94" s="33">
        <f t="shared" ca="1" si="74"/>
        <v>549769.22761088598</v>
      </c>
      <c r="Y94" s="33">
        <f t="shared" ca="1" si="74"/>
        <v>586208.89609100483</v>
      </c>
      <c r="Z94" s="285">
        <f ca="1">+(Z91)*$N$42</f>
        <v>623247.49945042166</v>
      </c>
      <c r="AA94" s="33">
        <f ca="1">+(AA91)*$N$42</f>
        <v>17428546.165909428</v>
      </c>
    </row>
    <row r="95" spans="2:27" x14ac:dyDescent="0.2">
      <c r="E95" s="54"/>
      <c r="G95" s="1" t="s">
        <v>162</v>
      </c>
      <c r="H95" s="82">
        <f t="shared" ref="H95:Z95" si="75">+SUM(H93:H94)</f>
        <v>-290000</v>
      </c>
      <c r="I95" s="82">
        <f t="shared" ca="1" si="75"/>
        <v>-655644.85277377756</v>
      </c>
      <c r="J95" s="82">
        <f t="shared" ca="1" si="75"/>
        <v>-1092470.4452338452</v>
      </c>
      <c r="K95" s="82">
        <f t="shared" ca="1" si="75"/>
        <v>1749999.9999999297</v>
      </c>
      <c r="L95" s="82">
        <f t="shared" ca="1" si="75"/>
        <v>174922.31530434778</v>
      </c>
      <c r="M95" s="82">
        <f t="shared" ca="1" si="75"/>
        <v>207863.09240434784</v>
      </c>
      <c r="N95" s="82">
        <f t="shared" ca="1" si="75"/>
        <v>241397.92893184719</v>
      </c>
      <c r="O95" s="82">
        <f t="shared" ca="1" si="75"/>
        <v>275533.64527253486</v>
      </c>
      <c r="P95" s="82">
        <f t="shared" ca="1" si="75"/>
        <v>310276.95123323961</v>
      </c>
      <c r="Q95" s="82">
        <f t="shared" ca="1" si="75"/>
        <v>345634.43343936419</v>
      </c>
      <c r="R95" s="82">
        <f t="shared" ca="1" si="75"/>
        <v>381612.54207291827</v>
      </c>
      <c r="S95" s="82">
        <f t="shared" ca="1" si="75"/>
        <v>413918.1544107282</v>
      </c>
      <c r="T95" s="82">
        <f t="shared" ca="1" si="75"/>
        <v>409910.10544473951</v>
      </c>
      <c r="U95" s="82">
        <f t="shared" ca="1" si="75"/>
        <v>443999.50533481099</v>
      </c>
      <c r="V95" s="82">
        <f t="shared" ca="1" si="75"/>
        <v>478669.20072067453</v>
      </c>
      <c r="W95" s="82">
        <f t="shared" ca="1" si="75"/>
        <v>513924.18110717455</v>
      </c>
      <c r="X95" s="82">
        <f t="shared" ca="1" si="75"/>
        <v>549769.22761088598</v>
      </c>
      <c r="Y95" s="82">
        <f t="shared" ca="1" si="75"/>
        <v>586208.89609100483</v>
      </c>
      <c r="Z95" s="292">
        <f t="shared" ca="1" si="75"/>
        <v>623247.49945042166</v>
      </c>
      <c r="AA95" s="82">
        <f t="shared" ref="AA95" ca="1" si="76">+SUM(AA93:AA94)</f>
        <v>17428546.165909428</v>
      </c>
    </row>
    <row r="96" spans="2:27" x14ac:dyDescent="0.2">
      <c r="B96" s="11" t="s">
        <v>181</v>
      </c>
      <c r="C96" s="22"/>
      <c r="D96" s="23"/>
      <c r="G96" s="27" t="s">
        <v>671</v>
      </c>
      <c r="H96" s="27"/>
      <c r="I96" s="27"/>
      <c r="J96" s="14">
        <f ca="1">-MAX(D66,1)</f>
        <v>-2788115.2980075926</v>
      </c>
      <c r="K96" s="14">
        <f>+K94</f>
        <v>0</v>
      </c>
      <c r="L96" s="14">
        <f t="shared" ref="L96:AA96" ca="1" si="77">+L94</f>
        <v>0</v>
      </c>
      <c r="M96" s="14">
        <f t="shared" ca="1" si="77"/>
        <v>0</v>
      </c>
      <c r="N96" s="14">
        <f t="shared" ca="1" si="77"/>
        <v>0</v>
      </c>
      <c r="O96" s="14">
        <f t="shared" ca="1" si="77"/>
        <v>0</v>
      </c>
      <c r="P96" s="14">
        <f t="shared" ca="1" si="77"/>
        <v>0</v>
      </c>
      <c r="Q96" s="14">
        <f t="shared" ca="1" si="77"/>
        <v>0</v>
      </c>
      <c r="R96" s="14">
        <f t="shared" ca="1" si="77"/>
        <v>0</v>
      </c>
      <c r="S96" s="14">
        <f t="shared" ca="1" si="77"/>
        <v>38694.802607006342</v>
      </c>
      <c r="T96" s="14">
        <f t="shared" ca="1" si="77"/>
        <v>409910.10544473951</v>
      </c>
      <c r="U96" s="14">
        <f t="shared" ca="1" si="77"/>
        <v>443999.50533481099</v>
      </c>
      <c r="V96" s="14">
        <f t="shared" ca="1" si="77"/>
        <v>478669.20072067453</v>
      </c>
      <c r="W96" s="14">
        <f t="shared" ca="1" si="77"/>
        <v>513924.18110717455</v>
      </c>
      <c r="X96" s="14">
        <f t="shared" ca="1" si="77"/>
        <v>549769.22761088598</v>
      </c>
      <c r="Y96" s="14">
        <f t="shared" ca="1" si="77"/>
        <v>586208.89609100483</v>
      </c>
      <c r="Z96" s="15">
        <f t="shared" ca="1" si="77"/>
        <v>623247.49945042166</v>
      </c>
      <c r="AA96" s="14">
        <f t="shared" ca="1" si="77"/>
        <v>17428546.165909428</v>
      </c>
    </row>
    <row r="97" spans="2:27" x14ac:dyDescent="0.2">
      <c r="B97" s="6" t="s">
        <v>77</v>
      </c>
      <c r="C97" s="257" t="s">
        <v>567</v>
      </c>
      <c r="D97" s="16">
        <f ca="1">+C47-D71</f>
        <v>2499999.9999995558</v>
      </c>
      <c r="E97" s="3"/>
      <c r="Z97" s="34"/>
    </row>
    <row r="98" spans="2:27" x14ac:dyDescent="0.2">
      <c r="B98" s="258" t="s">
        <v>616</v>
      </c>
      <c r="C98" s="259">
        <v>0.3</v>
      </c>
      <c r="D98" s="260">
        <f ca="1">+C98*D97</f>
        <v>749999.9999998667</v>
      </c>
      <c r="G98" s="27" t="s">
        <v>568</v>
      </c>
      <c r="H98" s="56"/>
      <c r="I98" s="56"/>
      <c r="J98" s="56"/>
      <c r="K98" s="56"/>
      <c r="L98" s="222">
        <f t="shared" ref="L98:AA98" ca="1" si="78">IFERROR(MAX(L94/$D$77,0),"")</f>
        <v>0</v>
      </c>
      <c r="M98" s="222">
        <f t="shared" ca="1" si="78"/>
        <v>0</v>
      </c>
      <c r="N98" s="222">
        <f t="shared" ca="1" si="78"/>
        <v>0</v>
      </c>
      <c r="O98" s="222">
        <f t="shared" ca="1" si="78"/>
        <v>0</v>
      </c>
      <c r="P98" s="222">
        <f t="shared" ca="1" si="78"/>
        <v>0</v>
      </c>
      <c r="Q98" s="222">
        <f t="shared" ca="1" si="78"/>
        <v>0</v>
      </c>
      <c r="R98" s="222">
        <f t="shared" ca="1" si="78"/>
        <v>0</v>
      </c>
      <c r="S98" s="222">
        <f t="shared" ca="1" si="78"/>
        <v>1.3878480073851569E-2</v>
      </c>
      <c r="T98" s="222">
        <f t="shared" ca="1" si="78"/>
        <v>0.14702050009825188</v>
      </c>
      <c r="U98" s="222">
        <f t="shared" ca="1" si="78"/>
        <v>0.15924718237155155</v>
      </c>
      <c r="V98" s="222">
        <f t="shared" ca="1" si="78"/>
        <v>0.17168199645927321</v>
      </c>
      <c r="W98" s="222">
        <f t="shared" ca="1" si="78"/>
        <v>0.18432673192329327</v>
      </c>
      <c r="X98" s="222">
        <f t="shared" ca="1" si="78"/>
        <v>0.19718310358386262</v>
      </c>
      <c r="Y98" s="222">
        <f t="shared" ca="1" si="78"/>
        <v>0.2102527454692438</v>
      </c>
      <c r="Z98" s="286">
        <f t="shared" ca="1" si="78"/>
        <v>0.22353720446772135</v>
      </c>
      <c r="AA98" s="222">
        <f t="shared" ca="1" si="78"/>
        <v>6.2510134277304577</v>
      </c>
    </row>
    <row r="99" spans="2:27" x14ac:dyDescent="0.2">
      <c r="B99" s="258" t="s">
        <v>617</v>
      </c>
      <c r="C99" s="261">
        <f>1-C98</f>
        <v>0.7</v>
      </c>
      <c r="D99" s="260">
        <f ca="1">+D97-D98</f>
        <v>1749999.9999996889</v>
      </c>
      <c r="G99" s="27" t="s">
        <v>569</v>
      </c>
      <c r="H99" s="56"/>
      <c r="I99" s="56"/>
      <c r="J99" s="56"/>
      <c r="K99" s="56"/>
      <c r="L99" s="222">
        <f t="shared" ref="L99:AA99" ca="1" si="79">IFERROR(MAX(L95/$D$77,0),"")</f>
        <v>6.2738551533114792E-2</v>
      </c>
      <c r="M99" s="222">
        <f t="shared" ca="1" si="79"/>
        <v>7.4553262755256006E-2</v>
      </c>
      <c r="N99" s="222">
        <f t="shared" ca="1" si="79"/>
        <v>8.6581042435478456E-2</v>
      </c>
      <c r="O99" s="222">
        <f t="shared" ca="1" si="79"/>
        <v>9.8824336808948199E-2</v>
      </c>
      <c r="P99" s="222">
        <f t="shared" ca="1" si="79"/>
        <v>0.11128555245003954</v>
      </c>
      <c r="Q99" s="222">
        <f t="shared" ca="1" si="79"/>
        <v>0.12396705175223292</v>
      </c>
      <c r="R99" s="222">
        <f t="shared" ca="1" si="79"/>
        <v>0.13687114817150853</v>
      </c>
      <c r="S99" s="222">
        <f t="shared" ca="1" si="79"/>
        <v>0.14845804788146305</v>
      </c>
      <c r="T99" s="222">
        <f t="shared" ca="1" si="79"/>
        <v>0.14702050009825188</v>
      </c>
      <c r="U99" s="222">
        <f t="shared" ca="1" si="79"/>
        <v>0.15924718237155155</v>
      </c>
      <c r="V99" s="222">
        <f t="shared" ca="1" si="79"/>
        <v>0.17168199645927321</v>
      </c>
      <c r="W99" s="222">
        <f t="shared" ca="1" si="79"/>
        <v>0.18432673192329327</v>
      </c>
      <c r="X99" s="222">
        <f t="shared" ca="1" si="79"/>
        <v>0.19718310358386262</v>
      </c>
      <c r="Y99" s="222">
        <f t="shared" ca="1" si="79"/>
        <v>0.2102527454692438</v>
      </c>
      <c r="Z99" s="286">
        <f t="shared" ca="1" si="79"/>
        <v>0.22353720446772135</v>
      </c>
      <c r="AA99" s="222">
        <f t="shared" ca="1" si="79"/>
        <v>6.2510134277304577</v>
      </c>
    </row>
    <row r="100" spans="2:27" x14ac:dyDescent="0.2">
      <c r="B100" s="20" t="s">
        <v>134</v>
      </c>
      <c r="C100" s="21"/>
      <c r="D100" s="24">
        <f ca="1">+D71</f>
        <v>1902855.9885709928</v>
      </c>
      <c r="E100" s="3"/>
      <c r="G100" s="27" t="s">
        <v>570</v>
      </c>
      <c r="H100" s="56"/>
      <c r="I100" s="56"/>
      <c r="J100" s="56"/>
      <c r="K100" s="56"/>
      <c r="L100" s="223">
        <f t="shared" ref="L100:AA100" ca="1" si="80">+L53/$C$55</f>
        <v>4.1840597130906404E-2</v>
      </c>
      <c r="M100" s="223">
        <f t="shared" ca="1" si="80"/>
        <v>4.2727136057534462E-2</v>
      </c>
      <c r="N100" s="223">
        <f t="shared" ca="1" si="80"/>
        <v>4.3630256797270638E-2</v>
      </c>
      <c r="O100" s="223">
        <f t="shared" ca="1" si="80"/>
        <v>4.4550178537340668E-2</v>
      </c>
      <c r="P100" s="223">
        <f t="shared" ca="1" si="80"/>
        <v>4.5487119107117287E-2</v>
      </c>
      <c r="Q100" s="223">
        <f t="shared" ca="1" si="80"/>
        <v>4.6441294704860317E-2</v>
      </c>
      <c r="R100" s="223">
        <f t="shared" ca="1" si="80"/>
        <v>4.7412919609249198E-2</v>
      </c>
      <c r="S100" s="223">
        <f t="shared" ca="1" si="80"/>
        <v>4.8402205875034666E-2</v>
      </c>
      <c r="T100" s="223">
        <f t="shared" ca="1" si="80"/>
        <v>4.9409363012109186E-2</v>
      </c>
      <c r="U100" s="223">
        <f t="shared" ca="1" si="80"/>
        <v>5.0434597647267501E-2</v>
      </c>
      <c r="V100" s="223">
        <f t="shared" ca="1" si="80"/>
        <v>5.1478113167899714E-2</v>
      </c>
      <c r="W100" s="223">
        <f t="shared" ca="1" si="80"/>
        <v>5.2540109346828512E-2</v>
      </c>
      <c r="X100" s="223">
        <f t="shared" ca="1" si="80"/>
        <v>5.3620781947471115E-2</v>
      </c>
      <c r="Y100" s="223">
        <f t="shared" ca="1" si="80"/>
        <v>5.4720322308473845E-2</v>
      </c>
      <c r="Z100" s="287">
        <f t="shared" ca="1" si="80"/>
        <v>5.5838916906932649E-2</v>
      </c>
      <c r="AA100" s="223">
        <f t="shared" ca="1" si="80"/>
        <v>5.6976746899279083E-2</v>
      </c>
    </row>
    <row r="101" spans="2:27" x14ac:dyDescent="0.2">
      <c r="B101" s="86" t="s">
        <v>11</v>
      </c>
      <c r="C101" s="102"/>
      <c r="D101" s="103">
        <f ca="1">+C47</f>
        <v>4402855.9885705486</v>
      </c>
      <c r="E101" s="54"/>
      <c r="L101" s="79"/>
    </row>
    <row r="102" spans="2:27" x14ac:dyDescent="0.2">
      <c r="G102" s="11" t="s">
        <v>140</v>
      </c>
      <c r="H102" s="69">
        <f ca="1">+XIRR(H94:AA94,H46:AA46)</f>
        <v>0.12204024195671082</v>
      </c>
      <c r="I102" s="234"/>
    </row>
    <row r="103" spans="2:27" x14ac:dyDescent="0.2">
      <c r="B103" s="11" t="s">
        <v>580</v>
      </c>
      <c r="C103" s="17"/>
      <c r="D103" s="12" t="s">
        <v>54</v>
      </c>
      <c r="E103" s="13" t="s">
        <v>12</v>
      </c>
      <c r="G103" s="86" t="s">
        <v>163</v>
      </c>
      <c r="H103" s="87">
        <f ca="1">+XIRR(H95:AA95,H46:AA46)</f>
        <v>0.23944807648658753</v>
      </c>
      <c r="I103" s="235"/>
    </row>
    <row r="104" spans="2:27" x14ac:dyDescent="0.2">
      <c r="B104" s="237" t="s">
        <v>578</v>
      </c>
      <c r="E104" s="19"/>
      <c r="G104" s="11" t="s">
        <v>672</v>
      </c>
      <c r="H104" s="66">
        <f ca="1">+XIRR(J96:AA96,J46:AA46)</f>
        <v>0.12377223372459412</v>
      </c>
    </row>
    <row r="105" spans="2:27" x14ac:dyDescent="0.2">
      <c r="B105" s="238" t="s">
        <v>182</v>
      </c>
      <c r="C105" s="31">
        <v>0.05</v>
      </c>
      <c r="D105" s="9">
        <f>+C105*S16</f>
        <v>150000</v>
      </c>
      <c r="E105" s="207">
        <f t="shared" ref="E105:E110" si="81">+D105/$C$14</f>
        <v>1562.5</v>
      </c>
    </row>
    <row r="106" spans="2:27" x14ac:dyDescent="0.2">
      <c r="B106" s="238" t="s">
        <v>529</v>
      </c>
      <c r="C106" s="239"/>
      <c r="D106" s="7">
        <v>30000</v>
      </c>
      <c r="E106" s="207">
        <f t="shared" si="81"/>
        <v>312.5</v>
      </c>
      <c r="G106" s="5" t="s">
        <v>754</v>
      </c>
      <c r="H106" s="328" t="s">
        <v>770</v>
      </c>
      <c r="I106" s="231">
        <f>+J106/$I$28</f>
        <v>6529.166666666667</v>
      </c>
      <c r="J106" s="231">
        <f>IF(H106="Plug",_xlfn.XLOOKUP(C3,'Market Inputs'!B4:B61,'Market Inputs'!O4:O61)*I28,J136)</f>
        <v>626800</v>
      </c>
      <c r="L106" s="11" t="s">
        <v>45</v>
      </c>
      <c r="M106" s="12" t="s">
        <v>750</v>
      </c>
      <c r="N106" s="12" t="s">
        <v>751</v>
      </c>
      <c r="O106" s="13" t="s">
        <v>11</v>
      </c>
    </row>
    <row r="107" spans="2:27" x14ac:dyDescent="0.2">
      <c r="B107" s="238" t="s">
        <v>530</v>
      </c>
      <c r="D107" s="7">
        <v>20000</v>
      </c>
      <c r="E107" s="207">
        <f t="shared" si="81"/>
        <v>208.33333333333334</v>
      </c>
      <c r="G107" s="11" t="s">
        <v>755</v>
      </c>
      <c r="H107" s="12" t="s">
        <v>750</v>
      </c>
      <c r="I107" s="12" t="s">
        <v>751</v>
      </c>
      <c r="J107" s="13" t="s">
        <v>11</v>
      </c>
      <c r="L107" s="6" t="s">
        <v>777</v>
      </c>
      <c r="M107" s="325">
        <f>+N107/12</f>
        <v>8.3333333333333339</v>
      </c>
      <c r="N107" s="303">
        <v>100</v>
      </c>
      <c r="O107" s="8">
        <f>+N107*$I$28</f>
        <v>9600</v>
      </c>
    </row>
    <row r="108" spans="2:27" x14ac:dyDescent="0.2">
      <c r="B108" s="238" t="s">
        <v>184</v>
      </c>
      <c r="D108" s="7">
        <v>35000</v>
      </c>
      <c r="E108" s="207">
        <f t="shared" si="81"/>
        <v>364.58333333333331</v>
      </c>
      <c r="G108" s="6" t="s">
        <v>731</v>
      </c>
      <c r="H108" s="325">
        <f t="shared" ref="H108:H115" si="82">+I108/12</f>
        <v>5.208333333333333</v>
      </c>
      <c r="I108" s="326">
        <f>+J108/$I$28</f>
        <v>62.5</v>
      </c>
      <c r="J108" s="236">
        <f>500*12</f>
        <v>6000</v>
      </c>
      <c r="L108" s="6" t="s">
        <v>765</v>
      </c>
      <c r="M108" s="325">
        <f t="shared" ref="M108:M111" si="83">+N108/12</f>
        <v>1</v>
      </c>
      <c r="N108" s="303">
        <v>12</v>
      </c>
      <c r="O108" s="8">
        <f>+N108*$I$28</f>
        <v>1152</v>
      </c>
    </row>
    <row r="109" spans="2:27" x14ac:dyDescent="0.2">
      <c r="B109" s="238" t="s">
        <v>583</v>
      </c>
      <c r="D109" s="7">
        <v>55000</v>
      </c>
      <c r="E109" s="207">
        <f t="shared" si="81"/>
        <v>572.91666666666663</v>
      </c>
      <c r="G109" s="6" t="s">
        <v>732</v>
      </c>
      <c r="H109" s="325">
        <f t="shared" si="82"/>
        <v>5.833333333333333</v>
      </c>
      <c r="I109" s="290">
        <v>70</v>
      </c>
      <c r="J109" s="16">
        <f t="shared" ref="J109:J115" si="84">+I109*$I$28</f>
        <v>6720</v>
      </c>
      <c r="L109" s="6" t="s">
        <v>766</v>
      </c>
      <c r="M109" s="325">
        <f t="shared" si="83"/>
        <v>0.33333333333333331</v>
      </c>
      <c r="N109" s="303">
        <v>4</v>
      </c>
      <c r="O109" s="8">
        <f>+N109*$I$28</f>
        <v>384</v>
      </c>
    </row>
    <row r="110" spans="2:27" x14ac:dyDescent="0.2">
      <c r="B110" s="240" t="s">
        <v>579</v>
      </c>
      <c r="C110" s="56"/>
      <c r="D110" s="14">
        <f>+SUM(D105:D109)</f>
        <v>290000</v>
      </c>
      <c r="E110" s="241">
        <f t="shared" si="81"/>
        <v>3020.8333333333335</v>
      </c>
      <c r="G110" s="6" t="s">
        <v>733</v>
      </c>
      <c r="H110" s="325">
        <f t="shared" si="82"/>
        <v>12.5</v>
      </c>
      <c r="I110" s="290">
        <v>150</v>
      </c>
      <c r="J110" s="16">
        <f t="shared" si="84"/>
        <v>14400</v>
      </c>
      <c r="L110" s="6" t="s">
        <v>767</v>
      </c>
      <c r="M110" s="325">
        <f t="shared" si="83"/>
        <v>1.8333333333333333</v>
      </c>
      <c r="N110" s="332">
        <v>22</v>
      </c>
      <c r="O110" s="8">
        <f>+N110*$I$28</f>
        <v>2112</v>
      </c>
    </row>
    <row r="111" spans="2:27" x14ac:dyDescent="0.2">
      <c r="B111" s="237" t="s">
        <v>582</v>
      </c>
      <c r="E111" s="242"/>
      <c r="G111" s="6" t="s">
        <v>734</v>
      </c>
      <c r="H111" s="325">
        <f t="shared" si="82"/>
        <v>5.833333333333333</v>
      </c>
      <c r="I111" s="290">
        <v>70</v>
      </c>
      <c r="J111" s="16">
        <f t="shared" si="84"/>
        <v>6720</v>
      </c>
      <c r="L111" s="6" t="s">
        <v>780</v>
      </c>
      <c r="M111" s="325">
        <f t="shared" si="83"/>
        <v>2.8308333333333331</v>
      </c>
      <c r="N111" s="332">
        <f>+IF(C4="Los Angeles",I129/2,0)</f>
        <v>33.97</v>
      </c>
      <c r="O111" s="8">
        <f>+N111*$I$28</f>
        <v>3261.12</v>
      </c>
    </row>
    <row r="112" spans="2:27" x14ac:dyDescent="0.2">
      <c r="B112" s="238" t="s">
        <v>673</v>
      </c>
      <c r="C112" s="31">
        <v>0</v>
      </c>
      <c r="D112" s="9">
        <f>+C112*S16</f>
        <v>0</v>
      </c>
      <c r="E112" s="207">
        <f t="shared" ref="E112:E118" si="85">+D112/$C$14</f>
        <v>0</v>
      </c>
      <c r="G112" s="6" t="s">
        <v>752</v>
      </c>
      <c r="H112" s="325">
        <f t="shared" si="82"/>
        <v>33.333333333333336</v>
      </c>
      <c r="I112" s="290">
        <v>400</v>
      </c>
      <c r="J112" s="16">
        <f t="shared" si="84"/>
        <v>38400</v>
      </c>
      <c r="L112" s="20" t="s">
        <v>764</v>
      </c>
      <c r="M112" s="325">
        <f>+N112/12</f>
        <v>0</v>
      </c>
      <c r="N112" s="332">
        <f>+O112/I28</f>
        <v>0</v>
      </c>
      <c r="O112" s="8">
        <f>+N116*N117*12</f>
        <v>0</v>
      </c>
    </row>
    <row r="113" spans="2:15" x14ac:dyDescent="0.2">
      <c r="B113" s="238" t="s">
        <v>584</v>
      </c>
      <c r="D113" s="7">
        <v>50000</v>
      </c>
      <c r="E113" s="207">
        <f t="shared" si="85"/>
        <v>520.83333333333337</v>
      </c>
      <c r="G113" s="6" t="s">
        <v>735</v>
      </c>
      <c r="H113" s="325">
        <f t="shared" si="82"/>
        <v>25</v>
      </c>
      <c r="I113" s="290">
        <v>300</v>
      </c>
      <c r="J113" s="16">
        <f t="shared" si="84"/>
        <v>28800</v>
      </c>
      <c r="L113" s="86" t="s">
        <v>11</v>
      </c>
      <c r="M113" s="327">
        <f>+SUM(M107:M112)</f>
        <v>14.330833333333334</v>
      </c>
      <c r="N113" s="327">
        <f>+SUM(N107:N112)</f>
        <v>171.97</v>
      </c>
      <c r="O113" s="26">
        <f>+N113*$I$28</f>
        <v>16509.12</v>
      </c>
    </row>
    <row r="114" spans="2:15" x14ac:dyDescent="0.2">
      <c r="B114" s="238" t="s">
        <v>529</v>
      </c>
      <c r="C114" s="239">
        <v>5000</v>
      </c>
      <c r="D114" s="9">
        <f>+C114*I28-D106</f>
        <v>450000</v>
      </c>
      <c r="E114" s="207">
        <f t="shared" si="85"/>
        <v>4687.5</v>
      </c>
      <c r="G114" s="6" t="s">
        <v>736</v>
      </c>
      <c r="H114" s="325">
        <f t="shared" si="82"/>
        <v>20</v>
      </c>
      <c r="I114" s="290">
        <v>240</v>
      </c>
      <c r="J114" s="16">
        <f t="shared" si="84"/>
        <v>23040</v>
      </c>
    </row>
    <row r="115" spans="2:15" x14ac:dyDescent="0.2">
      <c r="B115" s="238" t="s">
        <v>530</v>
      </c>
      <c r="D115" s="7">
        <v>60000</v>
      </c>
      <c r="E115" s="207">
        <f t="shared" si="85"/>
        <v>625</v>
      </c>
      <c r="G115" s="6" t="s">
        <v>737</v>
      </c>
      <c r="H115" s="325">
        <f t="shared" si="82"/>
        <v>47.5</v>
      </c>
      <c r="I115" s="290">
        <v>570</v>
      </c>
      <c r="J115" s="16">
        <f t="shared" si="84"/>
        <v>54720</v>
      </c>
      <c r="L115" s="11" t="s">
        <v>764</v>
      </c>
      <c r="M115" s="22"/>
      <c r="N115" s="23"/>
    </row>
    <row r="116" spans="2:15" x14ac:dyDescent="0.2">
      <c r="B116" s="238" t="s">
        <v>557</v>
      </c>
      <c r="D116" s="9">
        <f ca="1">+MIN(4%*D88,100000)+0.25%*D62</f>
        <v>95644.852773778694</v>
      </c>
      <c r="E116" s="207">
        <f t="shared" ca="1" si="85"/>
        <v>996.30054972686139</v>
      </c>
      <c r="G116" s="6" t="s">
        <v>743</v>
      </c>
      <c r="H116" s="325">
        <f>+I116/12</f>
        <v>35.833333333333336</v>
      </c>
      <c r="I116" s="290">
        <v>430</v>
      </c>
      <c r="J116" s="16">
        <f>+I116*$I$28</f>
        <v>41280</v>
      </c>
      <c r="L116" s="6" t="s">
        <v>779</v>
      </c>
      <c r="N116" s="333">
        <v>0</v>
      </c>
    </row>
    <row r="117" spans="2:15" x14ac:dyDescent="0.2">
      <c r="B117" s="240" t="s">
        <v>579</v>
      </c>
      <c r="C117" s="27"/>
      <c r="D117" s="14">
        <f ca="1">+SUM(D112:D116)</f>
        <v>655644.85277377872</v>
      </c>
      <c r="E117" s="241">
        <f t="shared" ca="1" si="85"/>
        <v>6829.6338830601953</v>
      </c>
      <c r="G117" s="6" t="s">
        <v>771</v>
      </c>
      <c r="H117" s="303">
        <v>66</v>
      </c>
      <c r="I117" s="326">
        <f>+H117*12</f>
        <v>792</v>
      </c>
      <c r="J117" s="16">
        <f>+I117*$I$28</f>
        <v>76032</v>
      </c>
      <c r="K117" s="59"/>
      <c r="L117" s="20" t="s">
        <v>769</v>
      </c>
      <c r="M117" s="21"/>
      <c r="N117" s="334">
        <v>50</v>
      </c>
    </row>
    <row r="118" spans="2:15" x14ac:dyDescent="0.2">
      <c r="B118" s="11" t="s">
        <v>581</v>
      </c>
      <c r="C118" s="17"/>
      <c r="D118" s="65">
        <f ca="1">+D117+D110</f>
        <v>945644.85277377872</v>
      </c>
      <c r="E118" s="243">
        <f t="shared" ca="1" si="85"/>
        <v>9850.4672163935284</v>
      </c>
      <c r="G118" s="6" t="s">
        <v>749</v>
      </c>
      <c r="H118" s="325">
        <f t="shared" ref="H118:H130" si="86">+I118/12</f>
        <v>52.083333333333336</v>
      </c>
      <c r="I118" s="326">
        <f>+J118/$I$28</f>
        <v>625</v>
      </c>
      <c r="J118" s="236">
        <f>75000/120*I28</f>
        <v>60000</v>
      </c>
    </row>
    <row r="119" spans="2:15" x14ac:dyDescent="0.2">
      <c r="G119" s="6" t="s">
        <v>738</v>
      </c>
      <c r="H119" s="325">
        <f t="shared" si="86"/>
        <v>38.888888888888893</v>
      </c>
      <c r="I119" s="326">
        <f>+J119/$I$28</f>
        <v>466.66666666666669</v>
      </c>
      <c r="J119" s="236">
        <f>56000/120*I28</f>
        <v>44800</v>
      </c>
      <c r="L119" s="11" t="s">
        <v>775</v>
      </c>
      <c r="M119" s="22"/>
      <c r="N119" s="338" t="s">
        <v>778</v>
      </c>
    </row>
    <row r="120" spans="2:15" x14ac:dyDescent="0.2">
      <c r="B120" s="11" t="s">
        <v>192</v>
      </c>
      <c r="C120" s="22"/>
      <c r="D120" s="23"/>
      <c r="G120" s="6" t="s">
        <v>739</v>
      </c>
      <c r="H120" s="325">
        <f t="shared" si="86"/>
        <v>22.771874999999998</v>
      </c>
      <c r="I120" s="326">
        <f>+J120/$I$28</f>
        <v>273.26249999999999</v>
      </c>
      <c r="J120" s="16">
        <f>+N26*12</f>
        <v>26233.199999999997</v>
      </c>
      <c r="L120" s="6" t="s">
        <v>774</v>
      </c>
      <c r="N120" s="336">
        <f>295*I28</f>
        <v>28320</v>
      </c>
    </row>
    <row r="121" spans="2:15" x14ac:dyDescent="0.2">
      <c r="B121" s="6" t="s">
        <v>193</v>
      </c>
      <c r="D121" s="16">
        <f ca="1">MIN(0.15*C56,C47)</f>
        <v>4402855.9885705486</v>
      </c>
      <c r="E121" s="3"/>
      <c r="G121" s="6" t="s">
        <v>740</v>
      </c>
      <c r="H121" s="325">
        <f t="shared" si="86"/>
        <v>27.291666666666668</v>
      </c>
      <c r="I121" s="290">
        <f>0.3*SUM(I118:I119)</f>
        <v>327.5</v>
      </c>
      <c r="J121" s="16">
        <f t="shared" ref="J121:J126" si="87">+I121*$I$28</f>
        <v>31440</v>
      </c>
      <c r="L121" s="6" t="s">
        <v>776</v>
      </c>
      <c r="N121" s="336">
        <v>0</v>
      </c>
    </row>
    <row r="122" spans="2:15" x14ac:dyDescent="0.2">
      <c r="B122" s="6" t="s">
        <v>194</v>
      </c>
      <c r="D122" s="107">
        <v>0</v>
      </c>
      <c r="E122" s="3"/>
      <c r="G122" s="6" t="s">
        <v>741</v>
      </c>
      <c r="H122" s="325">
        <f t="shared" si="86"/>
        <v>2.0833333333333335</v>
      </c>
      <c r="I122" s="290">
        <v>25</v>
      </c>
      <c r="J122" s="16">
        <f t="shared" si="87"/>
        <v>2400</v>
      </c>
      <c r="L122" s="20" t="s">
        <v>773</v>
      </c>
      <c r="M122" s="21"/>
      <c r="N122" s="337">
        <v>7500</v>
      </c>
    </row>
    <row r="123" spans="2:15" x14ac:dyDescent="0.2">
      <c r="B123" s="20" t="s">
        <v>199</v>
      </c>
      <c r="C123" s="21"/>
      <c r="D123" s="24">
        <f ca="1">+MIN(2500000,D121)</f>
        <v>2500000</v>
      </c>
      <c r="E123" s="3"/>
      <c r="G123" s="6" t="s">
        <v>742</v>
      </c>
      <c r="H123" s="325">
        <f t="shared" si="86"/>
        <v>9.5833333333333339</v>
      </c>
      <c r="I123" s="290">
        <v>115</v>
      </c>
      <c r="J123" s="16">
        <f t="shared" si="87"/>
        <v>11040</v>
      </c>
    </row>
    <row r="124" spans="2:15" x14ac:dyDescent="0.2">
      <c r="B124" s="6" t="s">
        <v>195</v>
      </c>
      <c r="D124" s="16">
        <f ca="1">+C56-6666667</f>
        <v>27088562.245707937</v>
      </c>
      <c r="E124" s="3"/>
      <c r="G124" s="6" t="s">
        <v>744</v>
      </c>
      <c r="H124" s="325">
        <f t="shared" si="86"/>
        <v>4.166666666666667</v>
      </c>
      <c r="I124" s="290">
        <v>50</v>
      </c>
      <c r="J124" s="16">
        <f t="shared" si="87"/>
        <v>4800</v>
      </c>
    </row>
    <row r="125" spans="2:15" x14ac:dyDescent="0.2">
      <c r="B125" s="108" t="s">
        <v>196</v>
      </c>
      <c r="D125" s="16">
        <f ca="1">0.05*D124</f>
        <v>1354428.112285397</v>
      </c>
      <c r="E125" s="3"/>
      <c r="G125" s="6" t="s">
        <v>753</v>
      </c>
      <c r="H125" s="325">
        <f t="shared" si="86"/>
        <v>2.9166666666666665</v>
      </c>
      <c r="I125" s="290">
        <v>35</v>
      </c>
      <c r="J125" s="16">
        <f>+I125*$I$28</f>
        <v>3360</v>
      </c>
    </row>
    <row r="126" spans="2:15" x14ac:dyDescent="0.2">
      <c r="B126" s="6" t="s">
        <v>197</v>
      </c>
      <c r="D126" s="16">
        <f ca="1">+D125+1000000</f>
        <v>2354428.112285397</v>
      </c>
      <c r="E126" s="3"/>
      <c r="G126" s="6" t="s">
        <v>745</v>
      </c>
      <c r="H126" s="325">
        <f t="shared" si="86"/>
        <v>7.083333333333333</v>
      </c>
      <c r="I126" s="290">
        <v>85</v>
      </c>
      <c r="J126" s="16">
        <f t="shared" si="87"/>
        <v>8160</v>
      </c>
    </row>
    <row r="127" spans="2:15" x14ac:dyDescent="0.2">
      <c r="B127" s="11" t="s">
        <v>198</v>
      </c>
      <c r="C127" s="17"/>
      <c r="D127" s="18">
        <f ca="1">+MIN(MAX(D126,D123),6000000)</f>
        <v>2500000</v>
      </c>
      <c r="E127" s="3"/>
      <c r="G127" s="6" t="s">
        <v>746</v>
      </c>
      <c r="H127" s="325">
        <f t="shared" si="86"/>
        <v>6.9444444444444438</v>
      </c>
      <c r="I127" s="290">
        <f>+J127/$I$28</f>
        <v>83.333333333333329</v>
      </c>
      <c r="J127" s="16">
        <v>8000</v>
      </c>
    </row>
    <row r="128" spans="2:15" x14ac:dyDescent="0.2">
      <c r="G128" s="6" t="s">
        <v>748</v>
      </c>
      <c r="H128" s="325">
        <f t="shared" si="86"/>
        <v>20</v>
      </c>
      <c r="I128" s="290">
        <v>240</v>
      </c>
      <c r="J128" s="16">
        <f t="shared" ref="J128" si="88">+I128*$I$28</f>
        <v>23040</v>
      </c>
    </row>
    <row r="129" spans="2:11" x14ac:dyDescent="0.2">
      <c r="B129" s="11" t="s">
        <v>685</v>
      </c>
      <c r="C129" s="22"/>
      <c r="D129" s="23"/>
      <c r="G129" s="6" t="s">
        <v>763</v>
      </c>
      <c r="H129" s="325">
        <f t="shared" si="86"/>
        <v>5.6616666666666662</v>
      </c>
      <c r="I129" s="326">
        <f>+J129/$I$28</f>
        <v>67.94</v>
      </c>
      <c r="J129" s="16">
        <f>IF(C4="Los Angeles",67.94*$I$28,0)</f>
        <v>6522.24</v>
      </c>
    </row>
    <row r="130" spans="2:11" x14ac:dyDescent="0.2">
      <c r="B130" s="6" t="s">
        <v>177</v>
      </c>
      <c r="D130" s="16">
        <f ca="1" xml:space="preserve"> C55 - D75 - D80 - D79 - D65 - D67</f>
        <v>4690971.2865801454</v>
      </c>
      <c r="G130" s="6" t="s">
        <v>620</v>
      </c>
      <c r="H130" s="325">
        <f t="shared" si="86"/>
        <v>75</v>
      </c>
      <c r="I130" s="290">
        <v>900</v>
      </c>
      <c r="J130" s="16">
        <f t="shared" ref="J130" si="89">+I130*$I$28</f>
        <v>86400</v>
      </c>
    </row>
    <row r="131" spans="2:11" x14ac:dyDescent="0.2">
      <c r="B131" s="6" t="s">
        <v>178</v>
      </c>
      <c r="D131" s="16">
        <f ca="1" xml:space="preserve"> MIN( MAX(D130, C47-D127), C47-MAX(1000000,5%*D75,D127*(C97="Max Out")))</f>
        <v>1902855.9885705486</v>
      </c>
      <c r="G131" s="11" t="s">
        <v>760</v>
      </c>
      <c r="H131" s="327">
        <f>+SUM(H108:H130)</f>
        <v>531.51687500000003</v>
      </c>
      <c r="I131" s="327">
        <f>+SUM(I108:I130)</f>
        <v>6378.2024999999994</v>
      </c>
      <c r="J131" s="18">
        <f>+SUM(J108:J130)</f>
        <v>612307.44000000006</v>
      </c>
      <c r="K131" s="329">
        <f>+_xlfn.XLOOKUP(C3,'Market Inputs'!B4:B61,'Market Inputs'!N4:N61)</f>
        <v>6300</v>
      </c>
    </row>
    <row r="132" spans="2:11" x14ac:dyDescent="0.2">
      <c r="B132" s="6" t="s">
        <v>179</v>
      </c>
      <c r="D132" s="16">
        <f ca="1" xml:space="preserve"> MIN(0, D130 - D131)</f>
        <v>0</v>
      </c>
      <c r="G132" s="6" t="s">
        <v>759</v>
      </c>
      <c r="H132" s="325">
        <f>+I132/12</f>
        <v>2.6784037911120753</v>
      </c>
      <c r="I132" s="326">
        <f>+J132/$I$28</f>
        <v>32.140845493344905</v>
      </c>
      <c r="J132" s="236">
        <f>+I26/I28*H41*A46</f>
        <v>3085.5211673611107</v>
      </c>
    </row>
    <row r="133" spans="2:11" x14ac:dyDescent="0.2">
      <c r="B133" s="6" t="s">
        <v>188</v>
      </c>
      <c r="D133" s="16">
        <f ca="1" xml:space="preserve"> C55 - (D75 + D78 + D80)</f>
        <v>4690971.2865801454</v>
      </c>
      <c r="G133" s="6" t="s">
        <v>747</v>
      </c>
      <c r="H133" s="325">
        <f>+I133/12</f>
        <v>19.965277777777779</v>
      </c>
      <c r="I133" s="326">
        <f>+J133/$I$28</f>
        <v>239.58333333333334</v>
      </c>
      <c r="J133" s="236">
        <v>23000</v>
      </c>
    </row>
    <row r="134" spans="2:11" x14ac:dyDescent="0.2">
      <c r="B134" s="6" t="s">
        <v>189</v>
      </c>
      <c r="D134" s="16">
        <f ca="1" xml:space="preserve"> D66 + D65</f>
        <v>2788115.2980075926</v>
      </c>
      <c r="G134" s="6" t="s">
        <v>762</v>
      </c>
      <c r="H134" s="325">
        <f>+I134/12</f>
        <v>14.266493055555555</v>
      </c>
      <c r="I134" s="326">
        <f>+J134/$I$28</f>
        <v>171.19791666666666</v>
      </c>
      <c r="J134" s="16">
        <f>IF(C4="Los Angeles",173*$I$27,0)</f>
        <v>16435</v>
      </c>
    </row>
    <row r="135" spans="2:11" x14ac:dyDescent="0.2">
      <c r="B135" s="6" t="s">
        <v>190</v>
      </c>
      <c r="D135" s="16">
        <f ca="1" xml:space="preserve"> MIN( MAX(0, D133 - D76), D134 )</f>
        <v>2788115.2980075926</v>
      </c>
      <c r="G135" s="6" t="s">
        <v>761</v>
      </c>
      <c r="H135" s="325">
        <f ca="1">+I135/12</f>
        <v>9.1567509548938677</v>
      </c>
      <c r="I135" s="326">
        <f ca="1">+J135/$I$28</f>
        <v>109.88101145872629</v>
      </c>
      <c r="J135" s="236">
        <f ca="1">0.0005*D75</f>
        <v>10548.577100037672</v>
      </c>
    </row>
    <row r="136" spans="2:11" x14ac:dyDescent="0.2">
      <c r="B136" s="20" t="s">
        <v>191</v>
      </c>
      <c r="C136" s="21"/>
      <c r="D136" s="24">
        <f ca="1" xml:space="preserve"> MIN( D71, MAX(0, D133 - D76 - D135) )</f>
        <v>1902855.9885709928</v>
      </c>
      <c r="G136" s="11" t="s">
        <v>756</v>
      </c>
      <c r="H136" s="327">
        <f ca="1">+SUM(H131:H135)</f>
        <v>577.58380057933925</v>
      </c>
      <c r="I136" s="327">
        <f ca="1">+SUM(I131:I135)</f>
        <v>6931.0056069520706</v>
      </c>
      <c r="J136" s="18">
        <f ca="1">+SUM(J131:J135)</f>
        <v>665376.53826739884</v>
      </c>
    </row>
    <row r="137" spans="2:11" x14ac:dyDescent="0.2">
      <c r="B137" t="s">
        <v>686</v>
      </c>
      <c r="D137" s="3">
        <f ca="1">C55- D75-D78- (C89*D88*10)- D76</f>
        <v>4690971.2865799852</v>
      </c>
      <c r="G137" s="20" t="s">
        <v>757</v>
      </c>
      <c r="H137" s="330">
        <f>+I137/12</f>
        <v>25</v>
      </c>
      <c r="I137" s="331">
        <v>300</v>
      </c>
      <c r="J137" s="24">
        <f>+I137*$I$28</f>
        <v>28800</v>
      </c>
    </row>
    <row r="138" spans="2:11" x14ac:dyDescent="0.2">
      <c r="G138" s="11" t="s">
        <v>758</v>
      </c>
      <c r="H138" s="327">
        <f ca="1">+SUM(H136:H137)</f>
        <v>602.58380057933925</v>
      </c>
      <c r="I138" s="327">
        <f ca="1">+SUM(I136:I137)</f>
        <v>7231.0056069520706</v>
      </c>
      <c r="J138" s="18">
        <f ca="1">+SUM(J136:J137)</f>
        <v>694176.53826739884</v>
      </c>
    </row>
  </sheetData>
  <phoneticPr fontId="3" type="noConversion"/>
  <conditionalFormatting sqref="AE6:AQ21">
    <cfRule type="cellIs" dxfId="2" priority="4" operator="lessThanOrEqual">
      <formula>0</formula>
    </cfRule>
  </conditionalFormatting>
  <conditionalFormatting sqref="Q39">
    <cfRule type="cellIs" dxfId="1" priority="3" operator="greaterThan">
      <formula>0.6</formula>
    </cfRule>
  </conditionalFormatting>
  <conditionalFormatting sqref="G107:J138">
    <cfRule type="expression" dxfId="0" priority="2">
      <formula>$H$106="Plug"</formula>
    </cfRule>
  </conditionalFormatting>
  <dataValidations count="13">
    <dataValidation type="list" allowBlank="1" showInputMessage="1" showErrorMessage="1" sqref="P38" xr:uid="{4307A2EE-5464-480B-8843-68DB5EA3116A}">
      <formula1>"70%,80%"</formula1>
    </dataValidation>
    <dataValidation type="list" allowBlank="1" showInputMessage="1" showErrorMessage="1" sqref="C4" xr:uid="{1CB9F735-B034-4E6A-9F8B-8A05C022C1D4}">
      <formula1>$AH$29:$AH$50</formula1>
    </dataValidation>
    <dataValidation type="list" allowBlank="1" showInputMessage="1" showErrorMessage="1" sqref="S11" xr:uid="{BF34D36A-CFE5-4BFB-BA66-CB7C89E34583}">
      <formula1>"On,Off"</formula1>
    </dataValidation>
    <dataValidation type="list" allowBlank="1" showInputMessage="1" showErrorMessage="1" sqref="C97" xr:uid="{3550CE23-2E8D-45D3-9416-2E3E9E3BD3D0}">
      <formula1>"Max Out, Don't Max"</formula1>
    </dataValidation>
    <dataValidation type="list" allowBlank="1" showInputMessage="1" showErrorMessage="1" sqref="A36" xr:uid="{FB58765B-1B2A-42AF-BCE7-80BA220A311A}">
      <formula1>"Modular,Stick"</formula1>
    </dataValidation>
    <dataValidation type="list" allowBlank="1" showInputMessage="1" showErrorMessage="1" sqref="C5" xr:uid="{683B329D-DB00-4340-9457-937C956BDEB7}">
      <formula1>"QCT,DDA,None"</formula1>
    </dataValidation>
    <dataValidation type="list" allowBlank="1" showInputMessage="1" showErrorMessage="1" sqref="C6" xr:uid="{3C436F61-E827-4F9A-B5F6-8D2A97774946}">
      <formula1>"Low,Medium,High,Highest"</formula1>
    </dataValidation>
    <dataValidation type="list" allowBlank="1" showInputMessage="1" showErrorMessage="1" sqref="C7:C8 C10:C11 S26 AA7" xr:uid="{8DADCEF2-7A2C-4D35-9595-E6D2587C0494}">
      <formula1>"Yes,No"</formula1>
    </dataValidation>
    <dataValidation type="list" allowBlank="1" showInputMessage="1" showErrorMessage="1" sqref="C9" xr:uid="{E30E227D-40B3-4049-A2AA-07D0ADFEE098}">
      <formula1>"Type I,Type III,Other"</formula1>
    </dataValidation>
    <dataValidation type="list" allowBlank="1" showInputMessage="1" showErrorMessage="1" sqref="AA5" xr:uid="{CF449B5A-C6D0-41A0-8447-B79EEB3854C2}">
      <formula1>"Simple, Compouding"</formula1>
    </dataValidation>
    <dataValidation type="list" allowBlank="1" showInputMessage="1" showErrorMessage="1" sqref="D59" xr:uid="{F1BF5415-720E-4437-8008-ECBCAD36043B}">
      <formula1>"Ground Lessor,Soft Debt,State Credits,B-Bond, None"</formula1>
    </dataValidation>
    <dataValidation type="list" allowBlank="1" showInputMessage="1" showErrorMessage="1" sqref="W13" xr:uid="{182F7599-46DE-4E6C-BD16-2ACA89542B0A}">
      <formula1>$X$13:$Z$13</formula1>
    </dataValidation>
    <dataValidation type="list" allowBlank="1" showInputMessage="1" showErrorMessage="1" sqref="H106" xr:uid="{022B1097-FF54-47D4-830B-B9F0A1A9ED20}">
      <formula1>"Plug,Itemized"</formula1>
    </dataValidation>
  </dataValidations>
  <pageMargins left="0.25" right="0.25" top="0.5" bottom="0.5" header="0.3" footer="0.3"/>
  <pageSetup scale="40" orientation="landscape" r:id="rId1"/>
  <ignoredErrors>
    <ignoredError sqref="H14:H24 H4" 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5CEED7-2B83-4A69-9041-6ECE242B6A90}">
          <x14:formula1>
            <xm:f>'Market Inputs'!$B$4:$B$61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3E8BA-CF66-457D-9FEE-210DEF068B77}">
  <sheetPr codeName="Sheet3"/>
  <dimension ref="B2:J80"/>
  <sheetViews>
    <sheetView zoomScaleNormal="100" workbookViewId="0">
      <pane ySplit="8" topLeftCell="A9" activePane="bottomLeft" state="frozen"/>
      <selection pane="bottomLeft" activeCell="C40" sqref="C40"/>
    </sheetView>
  </sheetViews>
  <sheetFormatPr baseColWidth="10" defaultColWidth="8.83203125" defaultRowHeight="15" x14ac:dyDescent="0.2"/>
  <cols>
    <col min="2" max="2" width="49.6640625" customWidth="1"/>
    <col min="3" max="3" width="19.33203125" customWidth="1"/>
    <col min="4" max="4" width="8.5" customWidth="1"/>
    <col min="7" max="7" width="9.33203125" bestFit="1" customWidth="1"/>
  </cols>
  <sheetData>
    <row r="2" spans="2:10" x14ac:dyDescent="0.2">
      <c r="B2" t="s">
        <v>400</v>
      </c>
      <c r="C2">
        <f>+Pro_Forma!C14-Pro_Forma!I26</f>
        <v>95</v>
      </c>
    </row>
    <row r="5" spans="2:10" x14ac:dyDescent="0.2">
      <c r="B5" s="40" t="s">
        <v>81</v>
      </c>
      <c r="C5" s="41" t="str">
        <f>+Pro_Forma!B2</f>
        <v>840 G St, San Diego</v>
      </c>
    </row>
    <row r="6" spans="2:10" x14ac:dyDescent="0.2">
      <c r="B6" t="s">
        <v>82</v>
      </c>
      <c r="C6" s="42">
        <f>+C66</f>
        <v>22624684.000000004</v>
      </c>
    </row>
    <row r="7" spans="2:10" x14ac:dyDescent="0.2">
      <c r="B7" t="s">
        <v>83</v>
      </c>
      <c r="C7" s="42">
        <f ca="1">(Pro_Forma!C57*Pro_Forma!C21+Pro_Forma!D92)*(1-C72-C75-C79)</f>
        <v>9554364.4922028612</v>
      </c>
    </row>
    <row r="8" spans="2:10" x14ac:dyDescent="0.2">
      <c r="B8" s="27" t="s">
        <v>81</v>
      </c>
      <c r="C8" s="44">
        <f ca="1">+C6/C7</f>
        <v>2.3679946498235007</v>
      </c>
    </row>
    <row r="9" spans="2:10" x14ac:dyDescent="0.2">
      <c r="B9" s="1"/>
      <c r="C9" s="43"/>
    </row>
    <row r="10" spans="2:10" x14ac:dyDescent="0.2">
      <c r="B10" s="45" t="s">
        <v>84</v>
      </c>
      <c r="C10" s="46"/>
    </row>
    <row r="11" spans="2:10" x14ac:dyDescent="0.2">
      <c r="B11" t="s">
        <v>85</v>
      </c>
      <c r="C11" s="2">
        <f>+J21</f>
        <v>113</v>
      </c>
    </row>
    <row r="12" spans="2:10" x14ac:dyDescent="0.2">
      <c r="B12" t="s">
        <v>86</v>
      </c>
      <c r="C12" s="47">
        <v>50000</v>
      </c>
    </row>
    <row r="13" spans="2:10" x14ac:dyDescent="0.2">
      <c r="B13" s="27" t="s">
        <v>87</v>
      </c>
      <c r="C13" s="48">
        <f>+C12*C11</f>
        <v>5650000</v>
      </c>
    </row>
    <row r="15" spans="2:10" x14ac:dyDescent="0.2">
      <c r="B15" s="45" t="s">
        <v>88</v>
      </c>
      <c r="C15" s="49"/>
      <c r="F15" s="1" t="s">
        <v>200</v>
      </c>
    </row>
    <row r="16" spans="2:10" x14ac:dyDescent="0.2">
      <c r="B16" t="s">
        <v>89</v>
      </c>
      <c r="C16" s="109">
        <f>+G21</f>
        <v>2521.8000000000002</v>
      </c>
      <c r="E16" s="85" t="s">
        <v>157</v>
      </c>
      <c r="F16" s="180">
        <f>+INDEX('Market Inputs'!$I$4:$M$61,MATCH(Pro_Forma!$C$3,'Market Inputs'!$B$4:$B$61,0),MATCH(E16,'Market Inputs'!$D$3:$H$3,0))</f>
        <v>1863</v>
      </c>
      <c r="G16" s="77">
        <f>+Pro_Forma!H3</f>
        <v>0</v>
      </c>
      <c r="I16">
        <v>0.9</v>
      </c>
      <c r="J16">
        <f>+I16*G16</f>
        <v>0</v>
      </c>
    </row>
    <row r="17" spans="2:10" x14ac:dyDescent="0.2">
      <c r="B17" t="s">
        <v>90</v>
      </c>
      <c r="C17" s="47">
        <f>+SUMPRODUCT(I24:I39,H24:H39)/SUM(I24:I39)</f>
        <v>2143.338947368421</v>
      </c>
      <c r="E17" s="85" t="s">
        <v>58</v>
      </c>
      <c r="F17" s="180">
        <f>+INDEX('Market Inputs'!$I$4:$M$61,MATCH(Pro_Forma!$C$3,'Market Inputs'!$B$4:$B$61,0),MATCH(E17,'Market Inputs'!$D$3:$H$3,0))</f>
        <v>2085</v>
      </c>
      <c r="G17">
        <f>+Pro_Forma!H4-Pro_Forma!I26</f>
        <v>47</v>
      </c>
      <c r="I17">
        <v>1</v>
      </c>
      <c r="J17">
        <f t="shared" ref="J17:J19" si="0">+I17*G17</f>
        <v>47</v>
      </c>
    </row>
    <row r="18" spans="2:10" x14ac:dyDescent="0.2">
      <c r="B18" t="s">
        <v>91</v>
      </c>
      <c r="C18" s="47">
        <f>+(C16-C17)*C2</f>
        <v>35953.800000000017</v>
      </c>
      <c r="E18" s="85" t="s">
        <v>158</v>
      </c>
      <c r="F18" s="180">
        <f>+INDEX('Market Inputs'!$I$4:$M$61,MATCH(Pro_Forma!$C$3,'Market Inputs'!$B$4:$B$61,0),MATCH(E18,'Market Inputs'!$D$3:$H$3,0))</f>
        <v>2601</v>
      </c>
      <c r="G18">
        <f>+Pro_Forma!H5</f>
        <v>24</v>
      </c>
      <c r="I18">
        <v>1.25</v>
      </c>
      <c r="J18">
        <f t="shared" si="0"/>
        <v>30</v>
      </c>
    </row>
    <row r="19" spans="2:10" x14ac:dyDescent="0.2">
      <c r="B19" t="s">
        <v>86</v>
      </c>
      <c r="C19" s="2">
        <v>180</v>
      </c>
      <c r="E19" s="85" t="s">
        <v>287</v>
      </c>
      <c r="F19" s="180">
        <f>+INDEX('Market Inputs'!$I$4:$M$61,MATCH(Pro_Forma!$C$3,'Market Inputs'!$B$4:$B$61,0),MATCH(E19,'Market Inputs'!$D$3:$H$3,0))</f>
        <v>3298</v>
      </c>
      <c r="G19">
        <f>+Pro_Forma!H6</f>
        <v>24</v>
      </c>
      <c r="I19">
        <v>1.5</v>
      </c>
      <c r="J19">
        <f t="shared" si="0"/>
        <v>36</v>
      </c>
    </row>
    <row r="20" spans="2:10" x14ac:dyDescent="0.2">
      <c r="B20" s="27" t="s">
        <v>92</v>
      </c>
      <c r="C20" s="50">
        <f>+C19*C18</f>
        <v>6471684.0000000028</v>
      </c>
    </row>
    <row r="21" spans="2:10" x14ac:dyDescent="0.2">
      <c r="F21" s="27"/>
      <c r="G21" s="88">
        <f>+SUMPRODUCT(G16:G19,F16:F19)/SUM(G16:G19)</f>
        <v>2521.8000000000002</v>
      </c>
      <c r="I21" s="56"/>
      <c r="J21" s="27">
        <f>+SUM(J16:J19)</f>
        <v>113</v>
      </c>
    </row>
    <row r="22" spans="2:10" x14ac:dyDescent="0.2">
      <c r="B22" s="45" t="s">
        <v>93</v>
      </c>
      <c r="C22" s="49"/>
    </row>
    <row r="23" spans="2:10" x14ac:dyDescent="0.2">
      <c r="B23" t="s">
        <v>94</v>
      </c>
      <c r="C23">
        <f>+Pro_Forma!I14+Pro_Forma!I10+Pro_Forma!I18+Pro_Forma!I22</f>
        <v>11</v>
      </c>
      <c r="F23" s="1" t="s">
        <v>612</v>
      </c>
    </row>
    <row r="24" spans="2:10" x14ac:dyDescent="0.2">
      <c r="B24" t="s">
        <v>86</v>
      </c>
      <c r="C24" s="47">
        <v>20000</v>
      </c>
      <c r="F24" t="s">
        <v>157</v>
      </c>
      <c r="G24" s="254">
        <f>+Pro_Forma!J10</f>
        <v>0.3</v>
      </c>
      <c r="H24" s="77">
        <f>+G24*Pro_Forma!$J$3</f>
        <v>874.5</v>
      </c>
      <c r="I24">
        <f>+Pro_Forma!I10</f>
        <v>0</v>
      </c>
    </row>
    <row r="25" spans="2:10" x14ac:dyDescent="0.2">
      <c r="B25" s="27" t="s">
        <v>95</v>
      </c>
      <c r="C25" s="48">
        <f>+C24*C23</f>
        <v>220000</v>
      </c>
      <c r="F25" t="s">
        <v>157</v>
      </c>
      <c r="G25" s="254">
        <f>+Pro_Forma!J11</f>
        <v>0.5</v>
      </c>
      <c r="H25" s="77">
        <f>+G25*Pro_Forma!$J$3</f>
        <v>1457.5</v>
      </c>
      <c r="I25">
        <f>+Pro_Forma!I11</f>
        <v>0</v>
      </c>
    </row>
    <row r="26" spans="2:10" x14ac:dyDescent="0.2">
      <c r="F26" t="s">
        <v>157</v>
      </c>
      <c r="G26" s="254">
        <f>+Pro_Forma!J12</f>
        <v>0.6</v>
      </c>
      <c r="H26" s="77">
        <f>+G26*Pro_Forma!$J$3</f>
        <v>1749</v>
      </c>
      <c r="I26">
        <f>+Pro_Forma!I12</f>
        <v>0</v>
      </c>
    </row>
    <row r="27" spans="2:10" x14ac:dyDescent="0.2">
      <c r="B27" s="45" t="s">
        <v>554</v>
      </c>
      <c r="C27" s="49"/>
      <c r="F27" t="s">
        <v>157</v>
      </c>
      <c r="G27" s="254">
        <f>+Pro_Forma!J13</f>
        <v>0.7</v>
      </c>
      <c r="H27" s="77">
        <f>+G27*Pro_Forma!$J$3</f>
        <v>2040.4999999999998</v>
      </c>
      <c r="I27">
        <f>+Pro_Forma!I13</f>
        <v>0</v>
      </c>
    </row>
    <row r="28" spans="2:10" x14ac:dyDescent="0.2">
      <c r="B28" t="s">
        <v>555</v>
      </c>
      <c r="C28" s="61" t="str">
        <f>+Pro_Forma!C8</f>
        <v>No</v>
      </c>
      <c r="F28" t="s">
        <v>58</v>
      </c>
      <c r="G28" s="254">
        <f>+Pro_Forma!J14</f>
        <v>0.3</v>
      </c>
      <c r="H28" s="77">
        <f>+G28*Pro_Forma!$J$4</f>
        <v>936.9</v>
      </c>
      <c r="I28">
        <f>+Pro_Forma!I14</f>
        <v>5</v>
      </c>
    </row>
    <row r="29" spans="2:10" x14ac:dyDescent="0.2">
      <c r="B29" t="s">
        <v>86</v>
      </c>
      <c r="C29" s="47">
        <f>+IF(C28="Yes",20000,0)</f>
        <v>0</v>
      </c>
      <c r="F29" t="s">
        <v>58</v>
      </c>
      <c r="G29" s="254">
        <f>+Pro_Forma!J15</f>
        <v>0.5</v>
      </c>
      <c r="H29" s="77">
        <f>+G29*Pro_Forma!$J$4</f>
        <v>1561.5</v>
      </c>
      <c r="I29">
        <f>+Pro_Forma!I15</f>
        <v>5</v>
      </c>
    </row>
    <row r="30" spans="2:10" x14ac:dyDescent="0.2">
      <c r="B30" t="s">
        <v>104</v>
      </c>
      <c r="C30" s="2">
        <f>+C11</f>
        <v>113</v>
      </c>
      <c r="F30" t="s">
        <v>58</v>
      </c>
      <c r="G30" s="254">
        <f>+Pro_Forma!J16</f>
        <v>0.6</v>
      </c>
      <c r="H30" s="77">
        <f>+G30*Pro_Forma!$J$4</f>
        <v>1873.8</v>
      </c>
      <c r="I30">
        <f>+Pro_Forma!I16</f>
        <v>35</v>
      </c>
    </row>
    <row r="31" spans="2:10" x14ac:dyDescent="0.2">
      <c r="B31" s="27" t="s">
        <v>556</v>
      </c>
      <c r="C31" s="50">
        <f>+C30*C29</f>
        <v>0</v>
      </c>
      <c r="F31" t="s">
        <v>58</v>
      </c>
      <c r="G31" s="254">
        <f>+Pro_Forma!J17</f>
        <v>0.7</v>
      </c>
      <c r="H31" s="77">
        <f>+G31*Pro_Forma!$J$4</f>
        <v>2186.1</v>
      </c>
      <c r="I31">
        <f>+Pro_Forma!I17</f>
        <v>2</v>
      </c>
    </row>
    <row r="32" spans="2:10" x14ac:dyDescent="0.2">
      <c r="F32" t="s">
        <v>158</v>
      </c>
      <c r="G32" s="254">
        <f>+Pro_Forma!J18</f>
        <v>0.3</v>
      </c>
      <c r="H32" s="77">
        <f>+G32*Pro_Forma!$J$5</f>
        <v>1124.0999999999999</v>
      </c>
      <c r="I32">
        <f>+Pro_Forma!I18</f>
        <v>3</v>
      </c>
    </row>
    <row r="33" spans="2:9" x14ac:dyDescent="0.2">
      <c r="B33" s="45" t="s">
        <v>96</v>
      </c>
      <c r="C33" s="49"/>
      <c r="F33" t="s">
        <v>158</v>
      </c>
      <c r="G33" s="254">
        <f>+Pro_Forma!J19</f>
        <v>0.5</v>
      </c>
      <c r="H33" s="77">
        <f>+G33*Pro_Forma!$J$5</f>
        <v>1873.5</v>
      </c>
      <c r="I33">
        <f>+Pro_Forma!I19</f>
        <v>3</v>
      </c>
    </row>
    <row r="34" spans="2:9" x14ac:dyDescent="0.2">
      <c r="B34" t="s">
        <v>97</v>
      </c>
      <c r="C34" s="61" t="s">
        <v>98</v>
      </c>
      <c r="F34" t="s">
        <v>158</v>
      </c>
      <c r="G34" s="254">
        <f>+Pro_Forma!J20</f>
        <v>0.6</v>
      </c>
      <c r="H34" s="77">
        <f>+G34*Pro_Forma!$J$5</f>
        <v>2248.1999999999998</v>
      </c>
      <c r="I34">
        <f>+Pro_Forma!I20</f>
        <v>0</v>
      </c>
    </row>
    <row r="35" spans="2:9" x14ac:dyDescent="0.2">
      <c r="B35" t="s">
        <v>99</v>
      </c>
      <c r="C35" s="61" t="str">
        <f>+Pro_Forma!C11</f>
        <v>Yes</v>
      </c>
      <c r="F35" t="s">
        <v>158</v>
      </c>
      <c r="G35" s="254">
        <f>+Pro_Forma!J21</f>
        <v>0.7</v>
      </c>
      <c r="H35" s="77">
        <f>+G35*Pro_Forma!$J$5</f>
        <v>2622.8999999999996</v>
      </c>
      <c r="I35">
        <f>+Pro_Forma!I21</f>
        <v>18</v>
      </c>
    </row>
    <row r="36" spans="2:9" x14ac:dyDescent="0.2">
      <c r="B36" t="s">
        <v>101</v>
      </c>
      <c r="C36" s="61" t="s">
        <v>100</v>
      </c>
      <c r="F36" t="s">
        <v>287</v>
      </c>
      <c r="G36" s="254">
        <f>+Pro_Forma!J22</f>
        <v>0.3</v>
      </c>
      <c r="H36" s="77">
        <f>+G36*Pro_Forma!$J$6</f>
        <v>1299.3</v>
      </c>
      <c r="I36">
        <f>+Pro_Forma!I22</f>
        <v>3</v>
      </c>
    </row>
    <row r="37" spans="2:9" x14ac:dyDescent="0.2">
      <c r="B37" t="s">
        <v>102</v>
      </c>
      <c r="C37" s="60" t="str">
        <f>+Pro_Forma!C6</f>
        <v>Highest</v>
      </c>
      <c r="F37" t="s">
        <v>287</v>
      </c>
      <c r="G37" s="254">
        <f>+Pro_Forma!J23</f>
        <v>0.5</v>
      </c>
      <c r="H37" s="77">
        <f>+G37*Pro_Forma!$J$6</f>
        <v>2165.5</v>
      </c>
      <c r="I37">
        <f>+Pro_Forma!I23</f>
        <v>3</v>
      </c>
    </row>
    <row r="38" spans="2:9" ht="32" x14ac:dyDescent="0.2">
      <c r="B38" s="52" t="s">
        <v>103</v>
      </c>
      <c r="C38" s="61" t="str">
        <f>+Pro_Forma!C7</f>
        <v>No</v>
      </c>
      <c r="F38" t="s">
        <v>287</v>
      </c>
      <c r="G38" s="254">
        <f>+Pro_Forma!J24</f>
        <v>0.6</v>
      </c>
      <c r="H38" s="77">
        <f>+G38*Pro_Forma!$J$6</f>
        <v>2598.6</v>
      </c>
      <c r="I38">
        <f>+Pro_Forma!I24</f>
        <v>0</v>
      </c>
    </row>
    <row r="39" spans="2:9" x14ac:dyDescent="0.2">
      <c r="F39" t="s">
        <v>287</v>
      </c>
      <c r="G39" s="254">
        <f>+Pro_Forma!J25</f>
        <v>0.7</v>
      </c>
      <c r="H39" s="77">
        <f>+G39*Pro_Forma!$J$6</f>
        <v>3031.7</v>
      </c>
      <c r="I39">
        <f>+Pro_Forma!I25</f>
        <v>18</v>
      </c>
    </row>
    <row r="40" spans="2:9" x14ac:dyDescent="0.2">
      <c r="B40" t="s">
        <v>86</v>
      </c>
      <c r="C40" s="47">
        <f>+IF(C38="Yes",30000,IF(AND(C34="Yes",OR(C35="Yes",C36="Yes")), IF(C37="Highest",30000,IF(C37="High",20000,IF(C37="Medium",10000,0))),0))</f>
        <v>30000</v>
      </c>
    </row>
    <row r="41" spans="2:9" x14ac:dyDescent="0.2">
      <c r="B41" t="s">
        <v>104</v>
      </c>
      <c r="C41" s="2">
        <f>+C11</f>
        <v>113</v>
      </c>
    </row>
    <row r="42" spans="2:9" x14ac:dyDescent="0.2">
      <c r="B42" s="27" t="s">
        <v>105</v>
      </c>
      <c r="C42" s="48">
        <f>+C41*C40</f>
        <v>3390000</v>
      </c>
    </row>
    <row r="44" spans="2:9" x14ac:dyDescent="0.2">
      <c r="B44" s="45" t="s">
        <v>106</v>
      </c>
      <c r="C44" s="49"/>
    </row>
    <row r="45" spans="2:9" x14ac:dyDescent="0.2">
      <c r="B45" t="s">
        <v>107</v>
      </c>
      <c r="C45" s="35">
        <v>7</v>
      </c>
    </row>
    <row r="46" spans="2:9" x14ac:dyDescent="0.2">
      <c r="B46" t="s">
        <v>86</v>
      </c>
      <c r="C46" s="47">
        <v>4000</v>
      </c>
    </row>
    <row r="47" spans="2:9" x14ac:dyDescent="0.2">
      <c r="B47" t="s">
        <v>108</v>
      </c>
      <c r="C47" s="3">
        <f>+C41</f>
        <v>113</v>
      </c>
    </row>
    <row r="48" spans="2:9" x14ac:dyDescent="0.2">
      <c r="B48" s="1" t="s">
        <v>109</v>
      </c>
      <c r="C48" s="53">
        <f>+C47*C46*C45</f>
        <v>3164000</v>
      </c>
    </row>
    <row r="50" spans="2:6" x14ac:dyDescent="0.2">
      <c r="B50" t="s">
        <v>110</v>
      </c>
      <c r="C50" s="35">
        <v>2</v>
      </c>
    </row>
    <row r="51" spans="2:6" x14ac:dyDescent="0.2">
      <c r="B51" t="s">
        <v>86</v>
      </c>
      <c r="C51" s="47">
        <v>4000</v>
      </c>
    </row>
    <row r="52" spans="2:6" x14ac:dyDescent="0.2">
      <c r="B52" s="1" t="s">
        <v>111</v>
      </c>
      <c r="C52" s="54">
        <f>+C51*C50*C47</f>
        <v>904000</v>
      </c>
    </row>
    <row r="54" spans="2:6" x14ac:dyDescent="0.2">
      <c r="B54" t="s">
        <v>112</v>
      </c>
    </row>
    <row r="55" spans="2:6" x14ac:dyDescent="0.2">
      <c r="B55" t="s">
        <v>113</v>
      </c>
      <c r="C55" s="182" t="s">
        <v>100</v>
      </c>
    </row>
    <row r="56" spans="2:6" x14ac:dyDescent="0.2">
      <c r="B56" t="s">
        <v>114</v>
      </c>
      <c r="C56" s="182" t="s">
        <v>100</v>
      </c>
    </row>
    <row r="57" spans="2:6" x14ac:dyDescent="0.2">
      <c r="B57" t="s">
        <v>115</v>
      </c>
      <c r="C57" s="182" t="s">
        <v>98</v>
      </c>
      <c r="F57" s="184"/>
    </row>
    <row r="58" spans="2:6" x14ac:dyDescent="0.2">
      <c r="B58" t="s">
        <v>116</v>
      </c>
      <c r="C58" s="182" t="s">
        <v>100</v>
      </c>
      <c r="F58" s="184"/>
    </row>
    <row r="60" spans="2:6" x14ac:dyDescent="0.2">
      <c r="B60" t="s">
        <v>108</v>
      </c>
      <c r="C60" s="3">
        <f>+C47</f>
        <v>113</v>
      </c>
    </row>
    <row r="61" spans="2:6" x14ac:dyDescent="0.2">
      <c r="B61" t="s">
        <v>86</v>
      </c>
      <c r="C61" s="47">
        <f>+IF(OR(C57="Yes",C58="Yes",C55="Yes",C56="Yes"),25000,0)</f>
        <v>25000</v>
      </c>
    </row>
    <row r="62" spans="2:6" x14ac:dyDescent="0.2">
      <c r="B62" s="1" t="s">
        <v>117</v>
      </c>
      <c r="C62" s="55">
        <f>+C61*C60</f>
        <v>2825000</v>
      </c>
    </row>
    <row r="64" spans="2:6" x14ac:dyDescent="0.2">
      <c r="B64" s="27" t="s">
        <v>118</v>
      </c>
      <c r="C64" s="48">
        <f>+C62+C52+C48</f>
        <v>6893000</v>
      </c>
    </row>
    <row r="66" spans="2:3" ht="16" thickBot="1" x14ac:dyDescent="0.25">
      <c r="B66" s="57" t="s">
        <v>119</v>
      </c>
      <c r="C66" s="58">
        <f>+C64+MAX(C42,C31)+C25+C20+C13</f>
        <v>22624684.000000004</v>
      </c>
    </row>
    <row r="67" spans="2:3" ht="16" thickTop="1" x14ac:dyDescent="0.2"/>
    <row r="68" spans="2:3" x14ac:dyDescent="0.2">
      <c r="B68" s="45" t="s">
        <v>120</v>
      </c>
      <c r="C68" s="49"/>
    </row>
    <row r="69" spans="2:3" x14ac:dyDescent="0.2">
      <c r="B69" s="1" t="s">
        <v>121</v>
      </c>
    </row>
    <row r="70" spans="2:3" x14ac:dyDescent="0.2">
      <c r="B70" t="s">
        <v>573</v>
      </c>
      <c r="C70" s="47">
        <f>+_xlfn.XLOOKUP(Pro_Forma!C3,'Market Inputs'!B4:B61,'Market Inputs'!R4:R61)</f>
        <v>608800</v>
      </c>
    </row>
    <row r="71" spans="2:3" x14ac:dyDescent="0.2">
      <c r="B71" t="s">
        <v>122</v>
      </c>
      <c r="C71" s="47">
        <v>489600</v>
      </c>
    </row>
    <row r="72" spans="2:3" x14ac:dyDescent="0.2">
      <c r="B72" t="s">
        <v>123</v>
      </c>
      <c r="C72" s="59">
        <f>+(C70-C71)/C71*0.25</f>
        <v>6.0866013071895424E-2</v>
      </c>
    </row>
    <row r="74" spans="2:3" x14ac:dyDescent="0.2">
      <c r="B74" s="1" t="s">
        <v>124</v>
      </c>
      <c r="C74" s="178" t="str">
        <f>+Pro_Forma!C9</f>
        <v>Other</v>
      </c>
    </row>
    <row r="75" spans="2:3" x14ac:dyDescent="0.2">
      <c r="C75" s="183">
        <f>+IF(C74="Type I",10%,IF(C74="Type III",5%,0))</f>
        <v>0</v>
      </c>
    </row>
    <row r="78" spans="2:3" x14ac:dyDescent="0.2">
      <c r="B78" s="1" t="s">
        <v>399</v>
      </c>
      <c r="C78" s="182" t="str">
        <f>+Pro_Forma!C10</f>
        <v>No</v>
      </c>
    </row>
    <row r="79" spans="2:3" x14ac:dyDescent="0.2">
      <c r="C79" s="181">
        <f>+IF(C78="Yes",15%,0)</f>
        <v>0</v>
      </c>
    </row>
    <row r="80" spans="2:3" x14ac:dyDescent="0.2">
      <c r="C80" s="59"/>
    </row>
  </sheetData>
  <dataValidations count="4">
    <dataValidation type="list" allowBlank="1" showInputMessage="1" showErrorMessage="1" sqref="C38 C34:C36 C28" xr:uid="{8C6EE2EB-5279-4879-91C1-68C4F0D30A86}">
      <formula1>"Yes,No"</formula1>
    </dataValidation>
    <dataValidation type="list" allowBlank="1" showInputMessage="1" showErrorMessage="1" sqref="C78 C55:C58" xr:uid="{B538F605-5602-40DD-977F-2C1D5C764437}">
      <formula1>"Yes, No"</formula1>
    </dataValidation>
    <dataValidation type="list" allowBlank="1" showInputMessage="1" showErrorMessage="1" sqref="C74" xr:uid="{C9062994-49AF-4B3E-8521-7A80212D1812}">
      <formula1>"Type I,Type III,Other"</formula1>
    </dataValidation>
    <dataValidation type="list" allowBlank="1" showInputMessage="1" showErrorMessage="1" sqref="C37" xr:uid="{B6009534-5E13-4FD6-8531-068E3DFB5B9F}">
      <formula1>"Low,Medium,High,Highest"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963FC-5279-4EF2-A9CD-78D98ED2FA5B}">
  <sheetPr codeName="Sheet4"/>
  <dimension ref="A1:AG721"/>
  <sheetViews>
    <sheetView showGridLines="0" topLeftCell="A135" zoomScaleNormal="100" workbookViewId="0">
      <selection activeCell="U155" sqref="U155"/>
    </sheetView>
  </sheetViews>
  <sheetFormatPr baseColWidth="10" defaultColWidth="8.83203125" defaultRowHeight="15" x14ac:dyDescent="0.2"/>
  <cols>
    <col min="1" max="1" width="17.5" customWidth="1"/>
    <col min="2" max="2" width="14" customWidth="1"/>
    <col min="3" max="3" width="16.5" customWidth="1"/>
    <col min="4" max="4" width="14" customWidth="1"/>
    <col min="5" max="5" width="25.6640625" customWidth="1"/>
    <col min="6" max="7" width="14" customWidth="1"/>
    <col min="8" max="8" width="18.33203125" customWidth="1"/>
    <col min="9" max="39" width="14" customWidth="1"/>
  </cols>
  <sheetData>
    <row r="1" spans="1:13" ht="15" customHeight="1" x14ac:dyDescent="0.2">
      <c r="A1" s="167" t="s">
        <v>293</v>
      </c>
      <c r="B1" s="169"/>
      <c r="C1" s="169"/>
      <c r="D1" s="169"/>
      <c r="E1" s="169"/>
      <c r="F1" s="169"/>
      <c r="G1" s="169"/>
      <c r="H1" s="169"/>
      <c r="I1" s="169"/>
      <c r="J1" s="165"/>
      <c r="K1" s="165"/>
      <c r="L1" s="165"/>
      <c r="M1" s="165"/>
    </row>
    <row r="2" spans="1:13" s="52" customFormat="1" ht="15" customHeight="1" x14ac:dyDescent="0.2">
      <c r="A2"/>
      <c r="B2"/>
      <c r="C2"/>
      <c r="D2"/>
      <c r="E2"/>
      <c r="F2"/>
      <c r="G2"/>
      <c r="H2"/>
      <c r="I2"/>
      <c r="J2"/>
      <c r="K2"/>
    </row>
    <row r="3" spans="1:13" s="52" customFormat="1" ht="15" customHeight="1" x14ac:dyDescent="0.2">
      <c r="A3" s="119"/>
      <c r="B3"/>
      <c r="C3"/>
      <c r="D3"/>
      <c r="E3"/>
      <c r="F3"/>
      <c r="G3"/>
      <c r="H3"/>
      <c r="I3"/>
      <c r="J3"/>
      <c r="K3"/>
    </row>
    <row r="4" spans="1:13" s="52" customFormat="1" ht="15" customHeight="1" x14ac:dyDescent="0.2">
      <c r="A4" s="118" t="s">
        <v>201</v>
      </c>
      <c r="B4"/>
      <c r="C4" s="143">
        <f>+Pro_Forma!S3</f>
        <v>46387</v>
      </c>
      <c r="D4"/>
      <c r="E4" s="111" t="s">
        <v>264</v>
      </c>
      <c r="F4"/>
      <c r="G4"/>
      <c r="H4" s="1" t="s">
        <v>260</v>
      </c>
      <c r="I4"/>
      <c r="J4"/>
      <c r="K4"/>
    </row>
    <row r="5" spans="1:13" s="52" customFormat="1" ht="15" customHeight="1" x14ac:dyDescent="0.2">
      <c r="A5" s="133" t="s">
        <v>270</v>
      </c>
      <c r="B5"/>
      <c r="C5" s="110">
        <f>+Pro_Forma!S6</f>
        <v>18</v>
      </c>
      <c r="D5"/>
      <c r="E5" s="119" t="s">
        <v>202</v>
      </c>
      <c r="F5" s="112">
        <f ca="1">+Pro_Forma!D66</f>
        <v>2788115.2980081141</v>
      </c>
      <c r="G5"/>
      <c r="H5" t="s">
        <v>261</v>
      </c>
      <c r="I5" s="135">
        <f ca="1">+SUM(D155:D214,G155:G214,J155:J214,U155:U214,Y155:Y214,Q155:Q214,M155:M214)</f>
        <v>31787748.949659776</v>
      </c>
      <c r="J5"/>
      <c r="K5"/>
    </row>
    <row r="6" spans="1:13" s="52" customFormat="1" ht="15" customHeight="1" x14ac:dyDescent="0.2">
      <c r="A6" s="133" t="s">
        <v>269</v>
      </c>
      <c r="B6"/>
      <c r="C6" s="110">
        <f>+Pro_Forma!S9</f>
        <v>8</v>
      </c>
      <c r="D6"/>
      <c r="E6" s="119" t="s">
        <v>203</v>
      </c>
      <c r="F6" s="112">
        <f ca="1">+Pro_Forma!D69</f>
        <v>1351559.3789982665</v>
      </c>
      <c r="G6"/>
      <c r="H6" t="s">
        <v>262</v>
      </c>
      <c r="I6" s="135">
        <f ca="1">+SUM(I92:I151)</f>
        <v>31787748.949659776</v>
      </c>
      <c r="J6"/>
      <c r="K6"/>
    </row>
    <row r="7" spans="1:13" s="52" customFormat="1" ht="15" customHeight="1" x14ac:dyDescent="0.2">
      <c r="A7" s="134" t="s">
        <v>268</v>
      </c>
      <c r="B7" s="56"/>
      <c r="C7" s="136">
        <f>+C6+C5</f>
        <v>26</v>
      </c>
      <c r="D7"/>
      <c r="E7" s="119" t="s">
        <v>206</v>
      </c>
      <c r="F7" s="112">
        <f>+Pro_Forma!D67</f>
        <v>0</v>
      </c>
      <c r="G7"/>
      <c r="H7" s="56" t="s">
        <v>265</v>
      </c>
      <c r="I7" s="137">
        <f ca="1">+I5-I6</f>
        <v>0</v>
      </c>
      <c r="J7"/>
      <c r="K7"/>
    </row>
    <row r="8" spans="1:13" s="52" customFormat="1" ht="15" customHeight="1" x14ac:dyDescent="0.2">
      <c r="A8"/>
      <c r="B8"/>
      <c r="C8"/>
      <c r="D8"/>
      <c r="E8" s="119" t="s">
        <v>257</v>
      </c>
      <c r="F8" s="112">
        <f ca="1">+Pro_Forma!D62-I15</f>
        <v>9107089.7620272022</v>
      </c>
      <c r="G8"/>
      <c r="H8"/>
      <c r="I8"/>
      <c r="J8"/>
      <c r="K8"/>
    </row>
    <row r="9" spans="1:13" s="52" customFormat="1" ht="15" customHeight="1" x14ac:dyDescent="0.2">
      <c r="A9" s="118"/>
      <c r="B9"/>
      <c r="C9"/>
      <c r="D9"/>
      <c r="E9" s="119" t="s">
        <v>259</v>
      </c>
      <c r="F9" s="112">
        <f ca="1">+Pro_Forma!D63-I16</f>
        <v>19008284.270908482</v>
      </c>
      <c r="G9"/>
      <c r="H9" s="1" t="s">
        <v>590</v>
      </c>
      <c r="I9"/>
      <c r="J9"/>
      <c r="K9"/>
    </row>
    <row r="10" spans="1:13" s="52" customFormat="1" ht="15" customHeight="1" x14ac:dyDescent="0.2">
      <c r="A10" s="118" t="s">
        <v>204</v>
      </c>
      <c r="B10"/>
      <c r="C10" s="142" t="s">
        <v>205</v>
      </c>
      <c r="D10"/>
      <c r="E10" s="119" t="s">
        <v>258</v>
      </c>
      <c r="F10" s="112">
        <f ca="1">+Pro_Forma!D64-Draws_Module!I18</f>
        <v>0</v>
      </c>
      <c r="G10"/>
      <c r="H10" s="52" t="s">
        <v>283</v>
      </c>
      <c r="I10" s="3">
        <f>+Pro_Forma!C35-Draws_Module!I11</f>
        <v>0</v>
      </c>
      <c r="J10"/>
      <c r="K10"/>
    </row>
    <row r="11" spans="1:13" s="52" customFormat="1" ht="15" customHeight="1" x14ac:dyDescent="0.2">
      <c r="A11" s="118" t="s">
        <v>207</v>
      </c>
      <c r="B11"/>
      <c r="C11" s="142">
        <v>0.25</v>
      </c>
      <c r="D11"/>
      <c r="E11" s="119" t="s">
        <v>211</v>
      </c>
      <c r="F11" s="112">
        <v>0</v>
      </c>
      <c r="G11"/>
      <c r="H11" t="s">
        <v>284</v>
      </c>
      <c r="I11" s="2">
        <f>+SUMIFS(H92:H151,A92:A151,"&gt;"&amp;C5)</f>
        <v>0</v>
      </c>
      <c r="J11"/>
      <c r="K11"/>
    </row>
    <row r="12" spans="1:13" s="52" customFormat="1" ht="15" customHeight="1" x14ac:dyDescent="0.2">
      <c r="A12" s="118" t="s">
        <v>208</v>
      </c>
      <c r="B12"/>
      <c r="C12" s="142" t="s">
        <v>209</v>
      </c>
      <c r="D12"/>
      <c r="E12" s="119" t="s">
        <v>702</v>
      </c>
      <c r="F12" s="112">
        <f>+Pro_Forma!D68-Draws_Module!I17</f>
        <v>0</v>
      </c>
      <c r="G12"/>
      <c r="H12" s="56" t="s">
        <v>11</v>
      </c>
      <c r="I12" s="67">
        <f>+SUM(I10:I11)</f>
        <v>0</v>
      </c>
      <c r="J12"/>
      <c r="K12"/>
    </row>
    <row r="13" spans="1:13" s="52" customFormat="1" ht="15" customHeight="1" x14ac:dyDescent="0.2">
      <c r="A13" s="118" t="s">
        <v>210</v>
      </c>
      <c r="B13"/>
      <c r="C13" s="142">
        <v>1</v>
      </c>
      <c r="D13"/>
      <c r="E13"/>
      <c r="F13"/>
      <c r="G13"/>
      <c r="I13"/>
      <c r="J13"/>
      <c r="K13"/>
    </row>
    <row r="14" spans="1:13" s="52" customFormat="1" ht="15" customHeight="1" x14ac:dyDescent="0.2">
      <c r="A14"/>
      <c r="B14"/>
      <c r="C14"/>
      <c r="E14" s="111" t="s">
        <v>263</v>
      </c>
      <c r="F14"/>
      <c r="G14"/>
      <c r="H14" s="1" t="s">
        <v>277</v>
      </c>
      <c r="I14"/>
      <c r="J14"/>
      <c r="K14"/>
    </row>
    <row r="15" spans="1:13" s="52" customFormat="1" ht="15" customHeight="1" x14ac:dyDescent="0.2">
      <c r="A15"/>
      <c r="B15"/>
      <c r="C15"/>
      <c r="E15" s="119" t="s">
        <v>276</v>
      </c>
      <c r="F15" s="112">
        <f ca="1">+Pro_Forma!C37+Pro_Forma!C38+Pro_Forma!C39+Pro_Forma!C54+Pro_Forma!C43+Pro_Forma!C33+Pro_Forma!C44+Pro_Forma!C45+Draws_Module!C22</f>
        <v>6205176.6761870133</v>
      </c>
      <c r="G15"/>
      <c r="H15" s="119" t="s">
        <v>255</v>
      </c>
      <c r="I15" s="135">
        <f ca="1">+SUM(V155:V214)</f>
        <v>1066500.6150550651</v>
      </c>
      <c r="J15"/>
      <c r="K15"/>
    </row>
    <row r="16" spans="1:13" s="52" customFormat="1" ht="15" customHeight="1" x14ac:dyDescent="0.2">
      <c r="A16" s="118" t="s">
        <v>212</v>
      </c>
      <c r="B16"/>
      <c r="C16"/>
      <c r="E16" s="119" t="s">
        <v>222</v>
      </c>
      <c r="F16" s="112">
        <f>+Pro_Forma!C40+Pro_Forma!C46+Pro_Forma!C41+Pro_Forma!C42</f>
        <v>880718.4</v>
      </c>
      <c r="G16"/>
      <c r="H16" s="119" t="s">
        <v>256</v>
      </c>
      <c r="I16" s="135">
        <f ca="1">+SUM(Z155:Z214)</f>
        <v>1313759.4975942974</v>
      </c>
      <c r="J16"/>
      <c r="K16"/>
    </row>
    <row r="17" spans="1:11" s="52" customFormat="1" ht="15" customHeight="1" x14ac:dyDescent="0.2">
      <c r="A17" s="118" t="s">
        <v>213</v>
      </c>
      <c r="B17"/>
      <c r="C17" s="138">
        <f>+Pro_Forma!C62</f>
        <v>5.8999999999999997E-2</v>
      </c>
      <c r="D17" s="113">
        <f>C17/12</f>
        <v>4.9166666666666664E-3</v>
      </c>
      <c r="E17" s="119" t="s">
        <v>642</v>
      </c>
      <c r="F17" s="112">
        <f>+Pro_Forma!C36+Pro_Forma!C34</f>
        <v>23251199.999999996</v>
      </c>
      <c r="G17"/>
      <c r="H17" s="52" t="s">
        <v>703</v>
      </c>
      <c r="I17" s="310">
        <f>+SUM(N155:N214)</f>
        <v>0</v>
      </c>
      <c r="J17"/>
      <c r="K17"/>
    </row>
    <row r="18" spans="1:11" s="52" customFormat="1" ht="15" customHeight="1" x14ac:dyDescent="0.2">
      <c r="A18" s="118" t="s">
        <v>214</v>
      </c>
      <c r="B18"/>
      <c r="C18" s="138">
        <f>+Pro_Forma!C63</f>
        <v>5.8999999999999997E-2</v>
      </c>
      <c r="D18" s="113">
        <f>C18/12</f>
        <v>4.9166666666666664E-3</v>
      </c>
      <c r="E18" s="119" t="s">
        <v>223</v>
      </c>
      <c r="F18" s="112">
        <f ca="1">+Pro_Forma!C49+Pro_Forma!C50</f>
        <v>1450653.8734730817</v>
      </c>
      <c r="G18"/>
      <c r="H18" s="119" t="s">
        <v>172</v>
      </c>
      <c r="I18" s="135">
        <f ca="1">+SUM(R155:R214)</f>
        <v>0</v>
      </c>
      <c r="J18"/>
      <c r="K18"/>
    </row>
    <row r="19" spans="1:11" s="52" customFormat="1" ht="15" customHeight="1" x14ac:dyDescent="0.2">
      <c r="A19" s="119" t="s">
        <v>215</v>
      </c>
      <c r="B19"/>
      <c r="C19" s="138">
        <f>+Pro_Forma!C64</f>
        <v>0.08</v>
      </c>
      <c r="D19" s="113">
        <f>C19/12</f>
        <v>6.6666666666666671E-3</v>
      </c>
      <c r="E19" s="119" t="s">
        <v>275</v>
      </c>
      <c r="F19" s="112">
        <f ca="1">+C23</f>
        <v>0</v>
      </c>
      <c r="G19"/>
      <c r="H19" s="144" t="s">
        <v>11</v>
      </c>
      <c r="I19" s="145">
        <f ca="1">+SUM(I15:I18)</f>
        <v>2380260.1126493625</v>
      </c>
      <c r="J19"/>
      <c r="K19"/>
    </row>
    <row r="20" spans="1:11" s="52" customFormat="1" ht="15" customHeight="1" x14ac:dyDescent="0.2">
      <c r="A20" s="133" t="s">
        <v>704</v>
      </c>
      <c r="B20"/>
      <c r="C20" s="254">
        <f>+Pro_Forma!C79</f>
        <v>0.03</v>
      </c>
      <c r="D20" s="113">
        <f>C20/12</f>
        <v>2.5000000000000001E-3</v>
      </c>
      <c r="E20" s="119" t="s">
        <v>149</v>
      </c>
      <c r="F20" s="112">
        <f>+Pro_Forma!C35</f>
        <v>0</v>
      </c>
      <c r="G20"/>
      <c r="J20"/>
      <c r="K20"/>
    </row>
    <row r="21" spans="1:11" s="52" customFormat="1" ht="15" customHeight="1" x14ac:dyDescent="0.2">
      <c r="A21" s="1" t="s">
        <v>271</v>
      </c>
      <c r="B21"/>
      <c r="C21"/>
      <c r="D21"/>
      <c r="G21"/>
      <c r="H21" s="1" t="s">
        <v>282</v>
      </c>
      <c r="I21"/>
      <c r="J21"/>
      <c r="K21"/>
    </row>
    <row r="22" spans="1:11" s="52" customFormat="1" ht="15" customHeight="1" x14ac:dyDescent="0.2">
      <c r="A22" t="s">
        <v>272</v>
      </c>
      <c r="B22" s="140">
        <f>+Pro_Forma!C98</f>
        <v>0.3</v>
      </c>
      <c r="C22" s="139">
        <f ca="1">+Pro_Forma!$D$97*B22</f>
        <v>749999.99999996985</v>
      </c>
      <c r="D22"/>
      <c r="E22"/>
      <c r="F22"/>
      <c r="G22"/>
      <c r="H22" s="52" t="s">
        <v>283</v>
      </c>
      <c r="I22" s="135">
        <f ca="1">+SUM(I15:I18)-I23</f>
        <v>1230753.9415943664</v>
      </c>
      <c r="J22"/>
      <c r="K22"/>
    </row>
    <row r="23" spans="1:11" x14ac:dyDescent="0.2">
      <c r="A23" t="s">
        <v>273</v>
      </c>
      <c r="B23" s="140">
        <v>0</v>
      </c>
      <c r="C23" s="139">
        <f ca="1">+Pro_Forma!$D$97*B23</f>
        <v>0</v>
      </c>
      <c r="H23" t="s">
        <v>284</v>
      </c>
      <c r="I23" s="135">
        <f ca="1">+SUMIFS(V155:V214,A155:A214,"&gt;"&amp;C5)+SUMIFS(Z155:Z214,A155:A214,"&gt;"&amp;C5)+SUMIFS(R155:R214,A155:A214,"&gt;"&amp;C5)</f>
        <v>1149506.1710549335</v>
      </c>
    </row>
    <row r="24" spans="1:11" x14ac:dyDescent="0.2">
      <c r="A24" t="s">
        <v>274</v>
      </c>
      <c r="B24" s="140">
        <f>1-B22-B23</f>
        <v>0.7</v>
      </c>
      <c r="C24" s="139">
        <f ca="1">+Pro_Forma!$D$97*B24</f>
        <v>1749999.9999999295</v>
      </c>
      <c r="H24" s="56" t="s">
        <v>11</v>
      </c>
      <c r="I24" s="145">
        <f ca="1">+SUM(I22:I23)</f>
        <v>2380260.1126493001</v>
      </c>
    </row>
    <row r="25" spans="1:11" x14ac:dyDescent="0.2">
      <c r="E25" s="119"/>
      <c r="F25" s="135"/>
    </row>
    <row r="26" spans="1:11" ht="15" customHeight="1" x14ac:dyDescent="0.2">
      <c r="A26" s="167" t="s">
        <v>294</v>
      </c>
      <c r="B26" s="166"/>
      <c r="C26" s="166"/>
      <c r="D26" s="166"/>
      <c r="E26" s="166"/>
      <c r="F26" s="166"/>
      <c r="G26" s="166"/>
      <c r="H26" s="166"/>
      <c r="I26" s="166"/>
    </row>
    <row r="27" spans="1:11" x14ac:dyDescent="0.2">
      <c r="A27" s="111" t="s">
        <v>216</v>
      </c>
      <c r="B27" s="111" t="s">
        <v>217</v>
      </c>
      <c r="C27" s="111" t="s">
        <v>218</v>
      </c>
      <c r="D27" s="111" t="s">
        <v>219</v>
      </c>
    </row>
    <row r="28" spans="1:11" x14ac:dyDescent="0.2">
      <c r="A28" s="114">
        <v>1</v>
      </c>
      <c r="B28" s="168">
        <v>0</v>
      </c>
      <c r="C28" s="113">
        <f>IF(A28&lt;=$C$5, 1/(1+EXP(-$C$11*((A28)-((($C$5+1)/2)))))-1/(1+EXP(-$C$11*((A28-1)-((($C$5+1)/2))))), 0)</f>
        <v>2.1591548938630939E-2</v>
      </c>
      <c r="D28" s="81">
        <f>IF(A28&lt;=$C$5, IF(SUM($C$28:$C$87)=0, 0, C28/SUM($C$28:$C$87)), 0)</f>
        <v>2.6715258773286801E-2</v>
      </c>
    </row>
    <row r="29" spans="1:11" x14ac:dyDescent="0.2">
      <c r="A29" s="114">
        <v>2</v>
      </c>
      <c r="B29" s="168">
        <v>0</v>
      </c>
      <c r="C29" s="113">
        <f t="shared" ref="C29:C87" si="0">IF(A29&lt;=$C$5, 1/(1+EXP(-$C$11*((A29)-((($C$5+1)/2)))))-1/(1+EXP(-$C$11*((A29-1)-((($C$5+1)/2))))), 0)</f>
        <v>2.6273646252178082E-2</v>
      </c>
      <c r="D29" s="81">
        <f t="shared" ref="D29:D87" si="1">IF(A29&lt;=$C$5, IF(SUM($C$28:$C$87)=0, 0, C29/SUM($C$28:$C$87)), 0)</f>
        <v>3.2508425427918396E-2</v>
      </c>
    </row>
    <row r="30" spans="1:11" x14ac:dyDescent="0.2">
      <c r="A30" s="114">
        <v>3</v>
      </c>
      <c r="B30" s="168">
        <v>0</v>
      </c>
      <c r="C30" s="113">
        <f t="shared" si="0"/>
        <v>3.1552222698733895E-2</v>
      </c>
      <c r="D30" s="81">
        <f t="shared" si="1"/>
        <v>3.9039616688217892E-2</v>
      </c>
    </row>
    <row r="31" spans="1:11" x14ac:dyDescent="0.2">
      <c r="A31" s="114">
        <v>4</v>
      </c>
      <c r="B31" s="168">
        <v>0</v>
      </c>
      <c r="C31" s="113">
        <f t="shared" si="0"/>
        <v>3.7296759363815685E-2</v>
      </c>
      <c r="D31" s="81">
        <f t="shared" si="1"/>
        <v>4.6147341288082788E-2</v>
      </c>
    </row>
    <row r="32" spans="1:11" x14ac:dyDescent="0.2">
      <c r="A32" s="114">
        <v>5</v>
      </c>
      <c r="B32" s="168">
        <v>0</v>
      </c>
      <c r="C32" s="113">
        <f t="shared" si="0"/>
        <v>4.3271790871992871E-2</v>
      </c>
      <c r="D32" s="81">
        <f t="shared" si="1"/>
        <v>5.3540257533841347E-2</v>
      </c>
    </row>
    <row r="33" spans="1:4" x14ac:dyDescent="0.2">
      <c r="A33" s="114">
        <v>6</v>
      </c>
      <c r="B33" s="168">
        <v>0</v>
      </c>
      <c r="C33" s="113">
        <f t="shared" si="0"/>
        <v>4.9129959030617038E-2</v>
      </c>
      <c r="D33" s="81">
        <f t="shared" si="1"/>
        <v>6.0788578566292349E-2</v>
      </c>
    </row>
    <row r="34" spans="1:4" x14ac:dyDescent="0.2">
      <c r="A34" s="114">
        <v>7</v>
      </c>
      <c r="B34" s="168">
        <v>0</v>
      </c>
      <c r="C34" s="113">
        <f t="shared" si="0"/>
        <v>5.4430163170957002E-2</v>
      </c>
      <c r="D34" s="81">
        <f t="shared" si="1"/>
        <v>6.7346529807441533E-2</v>
      </c>
    </row>
    <row r="35" spans="1:4" x14ac:dyDescent="0.2">
      <c r="A35" s="114">
        <v>8</v>
      </c>
      <c r="B35" s="168">
        <v>0</v>
      </c>
      <c r="C35" s="113">
        <f t="shared" si="0"/>
        <v>5.8688264711984517E-2</v>
      </c>
      <c r="D35" s="81">
        <f t="shared" si="1"/>
        <v>7.261508580010366E-2</v>
      </c>
    </row>
    <row r="36" spans="1:4" x14ac:dyDescent="0.2">
      <c r="A36" s="114">
        <v>9</v>
      </c>
      <c r="B36" s="168">
        <v>0</v>
      </c>
      <c r="C36" s="113">
        <f t="shared" si="0"/>
        <v>6.1457226580313495E-2</v>
      </c>
      <c r="D36" s="81">
        <f t="shared" si="1"/>
        <v>7.6041126843107348E-2</v>
      </c>
    </row>
    <row r="37" spans="1:4" x14ac:dyDescent="0.2">
      <c r="A37" s="114">
        <v>10</v>
      </c>
      <c r="B37" s="168">
        <v>0</v>
      </c>
      <c r="C37" s="113">
        <f t="shared" si="0"/>
        <v>6.2418746747512521E-2</v>
      </c>
      <c r="D37" s="81">
        <f t="shared" si="1"/>
        <v>7.7230817316702643E-2</v>
      </c>
    </row>
    <row r="38" spans="1:4" x14ac:dyDescent="0.2">
      <c r="A38" s="114">
        <v>11</v>
      </c>
      <c r="B38" s="168">
        <v>0</v>
      </c>
      <c r="C38" s="113">
        <f t="shared" si="0"/>
        <v>6.1457226580313384E-2</v>
      </c>
      <c r="D38" s="81">
        <f t="shared" si="1"/>
        <v>7.604112684310721E-2</v>
      </c>
    </row>
    <row r="39" spans="1:4" x14ac:dyDescent="0.2">
      <c r="A39" s="114">
        <v>12</v>
      </c>
      <c r="B39" s="168">
        <v>0</v>
      </c>
      <c r="C39" s="113">
        <f t="shared" si="0"/>
        <v>5.8688264711984517E-2</v>
      </c>
      <c r="D39" s="81">
        <f t="shared" si="1"/>
        <v>7.261508580010366E-2</v>
      </c>
    </row>
    <row r="40" spans="1:4" x14ac:dyDescent="0.2">
      <c r="A40" s="114">
        <v>13</v>
      </c>
      <c r="B40" s="168">
        <v>0</v>
      </c>
      <c r="C40" s="113">
        <f t="shared" si="0"/>
        <v>5.4430163170957058E-2</v>
      </c>
      <c r="D40" s="81">
        <f t="shared" si="1"/>
        <v>6.7346529807441602E-2</v>
      </c>
    </row>
    <row r="41" spans="1:4" x14ac:dyDescent="0.2">
      <c r="A41" s="114">
        <v>14</v>
      </c>
      <c r="B41" s="168">
        <v>0</v>
      </c>
      <c r="C41" s="113">
        <f t="shared" si="0"/>
        <v>4.912995903061701E-2</v>
      </c>
      <c r="D41" s="81">
        <f t="shared" si="1"/>
        <v>6.0788578566292314E-2</v>
      </c>
    </row>
    <row r="42" spans="1:4" x14ac:dyDescent="0.2">
      <c r="A42" s="114">
        <v>15</v>
      </c>
      <c r="B42" s="168">
        <v>0</v>
      </c>
      <c r="C42" s="113">
        <f t="shared" si="0"/>
        <v>4.3271790871992954E-2</v>
      </c>
      <c r="D42" s="81">
        <f t="shared" si="1"/>
        <v>5.3540257533841451E-2</v>
      </c>
    </row>
    <row r="43" spans="1:4" x14ac:dyDescent="0.2">
      <c r="A43" s="114">
        <v>16</v>
      </c>
      <c r="B43" s="168">
        <v>0</v>
      </c>
      <c r="C43" s="113">
        <f t="shared" si="0"/>
        <v>3.7296759363815712E-2</v>
      </c>
      <c r="D43" s="81">
        <f t="shared" si="1"/>
        <v>4.6147341288082823E-2</v>
      </c>
    </row>
    <row r="44" spans="1:4" x14ac:dyDescent="0.2">
      <c r="A44" s="114">
        <v>17</v>
      </c>
      <c r="B44" s="168">
        <v>0</v>
      </c>
      <c r="C44" s="113">
        <f t="shared" si="0"/>
        <v>3.1552222698733701E-2</v>
      </c>
      <c r="D44" s="81">
        <f t="shared" si="1"/>
        <v>3.9039616688217649E-2</v>
      </c>
    </row>
    <row r="45" spans="1:4" x14ac:dyDescent="0.2">
      <c r="A45" s="114">
        <v>18</v>
      </c>
      <c r="B45" s="168">
        <v>0</v>
      </c>
      <c r="C45" s="113">
        <f t="shared" si="0"/>
        <v>2.6273646252178096E-2</v>
      </c>
      <c r="D45" s="81">
        <f t="shared" si="1"/>
        <v>3.250842542791841E-2</v>
      </c>
    </row>
    <row r="46" spans="1:4" x14ac:dyDescent="0.2">
      <c r="A46" s="114">
        <v>19</v>
      </c>
      <c r="B46" s="168">
        <v>0</v>
      </c>
      <c r="C46" s="113">
        <f t="shared" si="0"/>
        <v>0</v>
      </c>
      <c r="D46" s="81">
        <f t="shared" si="1"/>
        <v>0</v>
      </c>
    </row>
    <row r="47" spans="1:4" x14ac:dyDescent="0.2">
      <c r="A47" s="114">
        <v>20</v>
      </c>
      <c r="B47" s="168">
        <v>0</v>
      </c>
      <c r="C47" s="113">
        <f t="shared" si="0"/>
        <v>0</v>
      </c>
      <c r="D47" s="81">
        <f t="shared" si="1"/>
        <v>0</v>
      </c>
    </row>
    <row r="48" spans="1:4" x14ac:dyDescent="0.2">
      <c r="A48" s="114">
        <v>21</v>
      </c>
      <c r="B48" s="168">
        <v>0</v>
      </c>
      <c r="C48" s="113">
        <f t="shared" si="0"/>
        <v>0</v>
      </c>
      <c r="D48" s="81">
        <f t="shared" si="1"/>
        <v>0</v>
      </c>
    </row>
    <row r="49" spans="1:4" x14ac:dyDescent="0.2">
      <c r="A49" s="114">
        <v>22</v>
      </c>
      <c r="B49" s="168">
        <v>0</v>
      </c>
      <c r="C49" s="113">
        <f t="shared" si="0"/>
        <v>0</v>
      </c>
      <c r="D49" s="81">
        <f t="shared" si="1"/>
        <v>0</v>
      </c>
    </row>
    <row r="50" spans="1:4" x14ac:dyDescent="0.2">
      <c r="A50" s="114">
        <v>23</v>
      </c>
      <c r="B50" s="168">
        <v>0</v>
      </c>
      <c r="C50" s="113">
        <f t="shared" si="0"/>
        <v>0</v>
      </c>
      <c r="D50" s="81">
        <f t="shared" si="1"/>
        <v>0</v>
      </c>
    </row>
    <row r="51" spans="1:4" x14ac:dyDescent="0.2">
      <c r="A51" s="114">
        <v>24</v>
      </c>
      <c r="B51" s="168">
        <v>0</v>
      </c>
      <c r="C51" s="113">
        <f t="shared" si="0"/>
        <v>0</v>
      </c>
      <c r="D51" s="81">
        <f t="shared" si="1"/>
        <v>0</v>
      </c>
    </row>
    <row r="52" spans="1:4" x14ac:dyDescent="0.2">
      <c r="A52" s="114">
        <v>25</v>
      </c>
      <c r="B52" s="168">
        <v>0</v>
      </c>
      <c r="C52" s="113">
        <f t="shared" si="0"/>
        <v>0</v>
      </c>
      <c r="D52" s="81">
        <f t="shared" si="1"/>
        <v>0</v>
      </c>
    </row>
    <row r="53" spans="1:4" x14ac:dyDescent="0.2">
      <c r="A53" s="114">
        <v>26</v>
      </c>
      <c r="B53" s="168">
        <v>0</v>
      </c>
      <c r="C53" s="113">
        <f t="shared" si="0"/>
        <v>0</v>
      </c>
      <c r="D53" s="81">
        <f t="shared" si="1"/>
        <v>0</v>
      </c>
    </row>
    <row r="54" spans="1:4" x14ac:dyDescent="0.2">
      <c r="A54" s="114">
        <v>27</v>
      </c>
      <c r="B54" s="168">
        <v>0</v>
      </c>
      <c r="C54" s="113">
        <f t="shared" si="0"/>
        <v>0</v>
      </c>
      <c r="D54" s="81">
        <f t="shared" si="1"/>
        <v>0</v>
      </c>
    </row>
    <row r="55" spans="1:4" x14ac:dyDescent="0.2">
      <c r="A55" s="114">
        <v>28</v>
      </c>
      <c r="B55" s="168">
        <v>0</v>
      </c>
      <c r="C55" s="113">
        <f t="shared" si="0"/>
        <v>0</v>
      </c>
      <c r="D55" s="81">
        <f t="shared" si="1"/>
        <v>0</v>
      </c>
    </row>
    <row r="56" spans="1:4" x14ac:dyDescent="0.2">
      <c r="A56" s="114">
        <v>29</v>
      </c>
      <c r="B56" s="168">
        <v>0</v>
      </c>
      <c r="C56" s="113">
        <f t="shared" si="0"/>
        <v>0</v>
      </c>
      <c r="D56" s="81">
        <f t="shared" si="1"/>
        <v>0</v>
      </c>
    </row>
    <row r="57" spans="1:4" x14ac:dyDescent="0.2">
      <c r="A57" s="114">
        <v>30</v>
      </c>
      <c r="B57" s="168">
        <v>0</v>
      </c>
      <c r="C57" s="113">
        <f t="shared" si="0"/>
        <v>0</v>
      </c>
      <c r="D57" s="81">
        <f t="shared" si="1"/>
        <v>0</v>
      </c>
    </row>
    <row r="58" spans="1:4" x14ac:dyDescent="0.2">
      <c r="A58" s="114">
        <v>31</v>
      </c>
      <c r="B58" s="168">
        <v>0</v>
      </c>
      <c r="C58" s="113">
        <f t="shared" si="0"/>
        <v>0</v>
      </c>
      <c r="D58" s="81">
        <f t="shared" si="1"/>
        <v>0</v>
      </c>
    </row>
    <row r="59" spans="1:4" x14ac:dyDescent="0.2">
      <c r="A59" s="114">
        <v>32</v>
      </c>
      <c r="B59" s="168">
        <v>0</v>
      </c>
      <c r="C59" s="113">
        <f t="shared" si="0"/>
        <v>0</v>
      </c>
      <c r="D59" s="81">
        <f t="shared" si="1"/>
        <v>0</v>
      </c>
    </row>
    <row r="60" spans="1:4" x14ac:dyDescent="0.2">
      <c r="A60" s="114">
        <v>33</v>
      </c>
      <c r="B60" s="168">
        <v>0</v>
      </c>
      <c r="C60" s="113">
        <f t="shared" si="0"/>
        <v>0</v>
      </c>
      <c r="D60" s="81">
        <f t="shared" si="1"/>
        <v>0</v>
      </c>
    </row>
    <row r="61" spans="1:4" x14ac:dyDescent="0.2">
      <c r="A61" s="114">
        <v>34</v>
      </c>
      <c r="B61" s="168">
        <v>0</v>
      </c>
      <c r="C61" s="113">
        <f t="shared" si="0"/>
        <v>0</v>
      </c>
      <c r="D61" s="81">
        <f t="shared" si="1"/>
        <v>0</v>
      </c>
    </row>
    <row r="62" spans="1:4" x14ac:dyDescent="0.2">
      <c r="A62" s="114">
        <v>35</v>
      </c>
      <c r="B62" s="168">
        <v>0</v>
      </c>
      <c r="C62" s="113">
        <f t="shared" si="0"/>
        <v>0</v>
      </c>
      <c r="D62" s="81">
        <f t="shared" si="1"/>
        <v>0</v>
      </c>
    </row>
    <row r="63" spans="1:4" x14ac:dyDescent="0.2">
      <c r="A63" s="114">
        <v>36</v>
      </c>
      <c r="B63" s="168">
        <v>0</v>
      </c>
      <c r="C63" s="113">
        <f t="shared" si="0"/>
        <v>0</v>
      </c>
      <c r="D63" s="81">
        <f t="shared" si="1"/>
        <v>0</v>
      </c>
    </row>
    <row r="64" spans="1:4" x14ac:dyDescent="0.2">
      <c r="A64" s="114">
        <v>37</v>
      </c>
      <c r="B64" s="168">
        <v>0</v>
      </c>
      <c r="C64" s="113">
        <f t="shared" si="0"/>
        <v>0</v>
      </c>
      <c r="D64" s="81">
        <f t="shared" si="1"/>
        <v>0</v>
      </c>
    </row>
    <row r="65" spans="1:4" x14ac:dyDescent="0.2">
      <c r="A65" s="114">
        <v>38</v>
      </c>
      <c r="B65" s="168">
        <v>0</v>
      </c>
      <c r="C65" s="113">
        <f t="shared" si="0"/>
        <v>0</v>
      </c>
      <c r="D65" s="81">
        <f t="shared" si="1"/>
        <v>0</v>
      </c>
    </row>
    <row r="66" spans="1:4" x14ac:dyDescent="0.2">
      <c r="A66" s="114">
        <v>39</v>
      </c>
      <c r="B66" s="168">
        <v>0</v>
      </c>
      <c r="C66" s="113">
        <f t="shared" si="0"/>
        <v>0</v>
      </c>
      <c r="D66" s="81">
        <f t="shared" si="1"/>
        <v>0</v>
      </c>
    </row>
    <row r="67" spans="1:4" x14ac:dyDescent="0.2">
      <c r="A67" s="114">
        <v>40</v>
      </c>
      <c r="B67" s="168">
        <v>0</v>
      </c>
      <c r="C67" s="113">
        <f t="shared" si="0"/>
        <v>0</v>
      </c>
      <c r="D67" s="81">
        <f t="shared" si="1"/>
        <v>0</v>
      </c>
    </row>
    <row r="68" spans="1:4" x14ac:dyDescent="0.2">
      <c r="A68" s="114">
        <v>41</v>
      </c>
      <c r="B68" s="168">
        <v>0</v>
      </c>
      <c r="C68" s="113">
        <f t="shared" si="0"/>
        <v>0</v>
      </c>
      <c r="D68" s="81">
        <f t="shared" si="1"/>
        <v>0</v>
      </c>
    </row>
    <row r="69" spans="1:4" x14ac:dyDescent="0.2">
      <c r="A69" s="114">
        <v>42</v>
      </c>
      <c r="B69" s="168">
        <v>0</v>
      </c>
      <c r="C69" s="113">
        <f t="shared" si="0"/>
        <v>0</v>
      </c>
      <c r="D69" s="81">
        <f t="shared" si="1"/>
        <v>0</v>
      </c>
    </row>
    <row r="70" spans="1:4" x14ac:dyDescent="0.2">
      <c r="A70" s="114">
        <v>43</v>
      </c>
      <c r="B70" s="168">
        <v>0</v>
      </c>
      <c r="C70" s="113">
        <f t="shared" si="0"/>
        <v>0</v>
      </c>
      <c r="D70" s="81">
        <f t="shared" si="1"/>
        <v>0</v>
      </c>
    </row>
    <row r="71" spans="1:4" x14ac:dyDescent="0.2">
      <c r="A71" s="114">
        <v>44</v>
      </c>
      <c r="B71" s="168">
        <v>0</v>
      </c>
      <c r="C71" s="113">
        <f t="shared" si="0"/>
        <v>0</v>
      </c>
      <c r="D71" s="81">
        <f t="shared" si="1"/>
        <v>0</v>
      </c>
    </row>
    <row r="72" spans="1:4" x14ac:dyDescent="0.2">
      <c r="A72" s="114">
        <v>45</v>
      </c>
      <c r="B72" s="168">
        <v>0</v>
      </c>
      <c r="C72" s="113">
        <f t="shared" si="0"/>
        <v>0</v>
      </c>
      <c r="D72" s="81">
        <f t="shared" si="1"/>
        <v>0</v>
      </c>
    </row>
    <row r="73" spans="1:4" x14ac:dyDescent="0.2">
      <c r="A73" s="114">
        <v>46</v>
      </c>
      <c r="B73" s="168">
        <v>0</v>
      </c>
      <c r="C73" s="113">
        <f t="shared" si="0"/>
        <v>0</v>
      </c>
      <c r="D73" s="81">
        <f t="shared" si="1"/>
        <v>0</v>
      </c>
    </row>
    <row r="74" spans="1:4" x14ac:dyDescent="0.2">
      <c r="A74" s="114">
        <v>47</v>
      </c>
      <c r="B74" s="168">
        <v>0</v>
      </c>
      <c r="C74" s="113">
        <f t="shared" si="0"/>
        <v>0</v>
      </c>
      <c r="D74" s="81">
        <f t="shared" si="1"/>
        <v>0</v>
      </c>
    </row>
    <row r="75" spans="1:4" x14ac:dyDescent="0.2">
      <c r="A75" s="114">
        <v>48</v>
      </c>
      <c r="B75" s="168">
        <v>0</v>
      </c>
      <c r="C75" s="113">
        <f t="shared" si="0"/>
        <v>0</v>
      </c>
      <c r="D75" s="81">
        <f t="shared" si="1"/>
        <v>0</v>
      </c>
    </row>
    <row r="76" spans="1:4" x14ac:dyDescent="0.2">
      <c r="A76" s="114">
        <v>49</v>
      </c>
      <c r="B76" s="168">
        <v>0</v>
      </c>
      <c r="C76" s="113">
        <f t="shared" si="0"/>
        <v>0</v>
      </c>
      <c r="D76" s="81">
        <f t="shared" si="1"/>
        <v>0</v>
      </c>
    </row>
    <row r="77" spans="1:4" x14ac:dyDescent="0.2">
      <c r="A77" s="114">
        <v>50</v>
      </c>
      <c r="B77" s="168">
        <v>0</v>
      </c>
      <c r="C77" s="113">
        <f t="shared" si="0"/>
        <v>0</v>
      </c>
      <c r="D77" s="81">
        <f t="shared" si="1"/>
        <v>0</v>
      </c>
    </row>
    <row r="78" spans="1:4" x14ac:dyDescent="0.2">
      <c r="A78" s="114">
        <v>51</v>
      </c>
      <c r="B78" s="168">
        <v>0</v>
      </c>
      <c r="C78" s="113">
        <f t="shared" si="0"/>
        <v>0</v>
      </c>
      <c r="D78" s="81">
        <f t="shared" si="1"/>
        <v>0</v>
      </c>
    </row>
    <row r="79" spans="1:4" x14ac:dyDescent="0.2">
      <c r="A79" s="114">
        <v>52</v>
      </c>
      <c r="B79" s="168">
        <v>0</v>
      </c>
      <c r="C79" s="113">
        <f t="shared" si="0"/>
        <v>0</v>
      </c>
      <c r="D79" s="81">
        <f t="shared" si="1"/>
        <v>0</v>
      </c>
    </row>
    <row r="80" spans="1:4" x14ac:dyDescent="0.2">
      <c r="A80" s="114">
        <v>53</v>
      </c>
      <c r="B80" s="168">
        <v>0</v>
      </c>
      <c r="C80" s="113">
        <f t="shared" si="0"/>
        <v>0</v>
      </c>
      <c r="D80" s="81">
        <f t="shared" si="1"/>
        <v>0</v>
      </c>
    </row>
    <row r="81" spans="1:20" x14ac:dyDescent="0.2">
      <c r="A81" s="114">
        <v>54</v>
      </c>
      <c r="B81" s="168">
        <v>0</v>
      </c>
      <c r="C81" s="113">
        <f t="shared" si="0"/>
        <v>0</v>
      </c>
      <c r="D81" s="81">
        <f t="shared" si="1"/>
        <v>0</v>
      </c>
    </row>
    <row r="82" spans="1:20" x14ac:dyDescent="0.2">
      <c r="A82" s="114">
        <v>55</v>
      </c>
      <c r="B82" s="168">
        <v>0</v>
      </c>
      <c r="C82" s="113">
        <f t="shared" si="0"/>
        <v>0</v>
      </c>
      <c r="D82" s="81">
        <f t="shared" si="1"/>
        <v>0</v>
      </c>
    </row>
    <row r="83" spans="1:20" x14ac:dyDescent="0.2">
      <c r="A83" s="114">
        <v>56</v>
      </c>
      <c r="B83" s="168">
        <v>0</v>
      </c>
      <c r="C83" s="113">
        <f t="shared" si="0"/>
        <v>0</v>
      </c>
      <c r="D83" s="81">
        <f t="shared" si="1"/>
        <v>0</v>
      </c>
    </row>
    <row r="84" spans="1:20" x14ac:dyDescent="0.2">
      <c r="A84" s="114">
        <v>57</v>
      </c>
      <c r="B84" s="168">
        <v>0</v>
      </c>
      <c r="C84" s="113">
        <f t="shared" si="0"/>
        <v>0</v>
      </c>
      <c r="D84" s="81">
        <f t="shared" si="1"/>
        <v>0</v>
      </c>
    </row>
    <row r="85" spans="1:20" x14ac:dyDescent="0.2">
      <c r="A85" s="114">
        <v>58</v>
      </c>
      <c r="B85" s="168">
        <v>0</v>
      </c>
      <c r="C85" s="113">
        <f t="shared" si="0"/>
        <v>0</v>
      </c>
      <c r="D85" s="81">
        <f t="shared" si="1"/>
        <v>0</v>
      </c>
    </row>
    <row r="86" spans="1:20" x14ac:dyDescent="0.2">
      <c r="A86" s="114">
        <v>59</v>
      </c>
      <c r="B86" s="168">
        <v>0</v>
      </c>
      <c r="C86" s="113">
        <f t="shared" si="0"/>
        <v>0</v>
      </c>
      <c r="D86" s="81">
        <f t="shared" si="1"/>
        <v>0</v>
      </c>
    </row>
    <row r="87" spans="1:20" x14ac:dyDescent="0.2">
      <c r="A87" s="114">
        <v>60</v>
      </c>
      <c r="B87" s="168">
        <v>0</v>
      </c>
      <c r="C87" s="113">
        <f t="shared" si="0"/>
        <v>0</v>
      </c>
      <c r="D87" s="81">
        <f t="shared" si="1"/>
        <v>0</v>
      </c>
    </row>
    <row r="90" spans="1:20" ht="15" customHeight="1" x14ac:dyDescent="0.2">
      <c r="A90" s="167" t="s">
        <v>220</v>
      </c>
      <c r="B90" s="166"/>
      <c r="C90" s="166"/>
      <c r="D90" s="166"/>
      <c r="E90" s="166"/>
      <c r="F90" s="166"/>
      <c r="G90" s="166"/>
      <c r="H90" s="166"/>
      <c r="I90" s="16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</row>
    <row r="91" spans="1:20" ht="48" x14ac:dyDescent="0.2">
      <c r="A91" s="115" t="s">
        <v>216</v>
      </c>
      <c r="B91" s="115" t="s">
        <v>221</v>
      </c>
      <c r="C91" s="115" t="s">
        <v>222</v>
      </c>
      <c r="D91" s="115" t="s">
        <v>2</v>
      </c>
      <c r="E91" s="115" t="s">
        <v>223</v>
      </c>
      <c r="F91" s="115"/>
      <c r="G91" s="115" t="s">
        <v>8</v>
      </c>
      <c r="H91" s="115" t="s">
        <v>149</v>
      </c>
      <c r="I91" s="115" t="s">
        <v>224</v>
      </c>
    </row>
    <row r="92" spans="1:20" x14ac:dyDescent="0.2">
      <c r="A92" s="116">
        <v>1</v>
      </c>
      <c r="B92" s="117">
        <f ca="1">+F15</f>
        <v>6205176.6761870133</v>
      </c>
      <c r="C92" s="117">
        <f>IF($C$7=0,0, IF(1&lt;=$C$7, $F$16/$C$7, 0))</f>
        <v>33873.784615384619</v>
      </c>
      <c r="D92" s="117">
        <f t="shared" ref="D92:D123" si="2">IF(1&lt;=$C$7, $F$17*D28, 0)</f>
        <v>621161.82478944596</v>
      </c>
      <c r="E92" s="117">
        <f t="shared" ref="E92:E123" ca="1" si="3">IF(1&lt;=$C$7, $F$18*D28, 0)</f>
        <v>38754.593620304229</v>
      </c>
      <c r="F92" s="117"/>
      <c r="G92" s="117">
        <v>0</v>
      </c>
      <c r="H92" s="117">
        <f>IF(A92&lt;=$C$7,B218,0)</f>
        <v>0</v>
      </c>
      <c r="I92" s="117">
        <f t="shared" ref="I92:I123" ca="1" si="4">SUM(B92:H92)</f>
        <v>6898966.8792121476</v>
      </c>
    </row>
    <row r="93" spans="1:20" x14ac:dyDescent="0.2">
      <c r="A93" s="116">
        <v>2</v>
      </c>
      <c r="B93" s="117">
        <v>0</v>
      </c>
      <c r="C93" s="117">
        <f>IF($C$7=0,0, IF(2&lt;=$C$7, $F$16/$C$7, 0))</f>
        <v>33873.784615384619</v>
      </c>
      <c r="D93" s="117">
        <f t="shared" si="2"/>
        <v>755859.90130961605</v>
      </c>
      <c r="E93" s="117">
        <f t="shared" ca="1" si="3"/>
        <v>47158.473267520647</v>
      </c>
      <c r="F93" s="117"/>
      <c r="G93" s="117">
        <f t="shared" ref="G93:G124" ca="1" si="5">IF($C$7=0,0, IF(A93&lt;=$C$7, $F$19/($C$7-1), 0))</f>
        <v>0</v>
      </c>
      <c r="H93" s="117">
        <f t="shared" ref="H93:H151" si="6">IF(A93&lt;=$C$7,B219,0)</f>
        <v>0</v>
      </c>
      <c r="I93" s="117">
        <f t="shared" ca="1" si="4"/>
        <v>836892.15919252136</v>
      </c>
    </row>
    <row r="94" spans="1:20" x14ac:dyDescent="0.2">
      <c r="A94" s="116">
        <v>3</v>
      </c>
      <c r="B94" s="117">
        <v>0</v>
      </c>
      <c r="C94" s="117">
        <f>IF($C$7=0,0, IF(3&lt;=$C$7, $F$16/$C$7, 0))</f>
        <v>33873.784615384619</v>
      </c>
      <c r="D94" s="117">
        <f t="shared" si="2"/>
        <v>907717.93554109172</v>
      </c>
      <c r="E94" s="117">
        <f t="shared" ca="1" si="3"/>
        <v>56632.971167667645</v>
      </c>
      <c r="F94" s="117"/>
      <c r="G94" s="117">
        <f t="shared" ca="1" si="5"/>
        <v>0</v>
      </c>
      <c r="H94" s="117">
        <f t="shared" si="6"/>
        <v>0</v>
      </c>
      <c r="I94" s="117">
        <f t="shared" ca="1" si="4"/>
        <v>998224.69132414402</v>
      </c>
    </row>
    <row r="95" spans="1:20" x14ac:dyDescent="0.2">
      <c r="A95" s="116">
        <v>4</v>
      </c>
      <c r="B95" s="117">
        <v>0</v>
      </c>
      <c r="C95" s="117">
        <f>IF($C$7=0,0, IF(4&lt;=$C$7, $F$16/$C$7, 0))</f>
        <v>33873.784615384619</v>
      </c>
      <c r="D95" s="117">
        <f t="shared" si="2"/>
        <v>1072981.0617574702</v>
      </c>
      <c r="E95" s="117">
        <f t="shared" ca="1" si="3"/>
        <v>66943.819390041564</v>
      </c>
      <c r="F95" s="117"/>
      <c r="G95" s="117">
        <f t="shared" ca="1" si="5"/>
        <v>0</v>
      </c>
      <c r="H95" s="117">
        <f t="shared" si="6"/>
        <v>0</v>
      </c>
      <c r="I95" s="117">
        <f t="shared" ca="1" si="4"/>
        <v>1173798.6657628964</v>
      </c>
    </row>
    <row r="96" spans="1:20" x14ac:dyDescent="0.2">
      <c r="A96" s="116">
        <v>5</v>
      </c>
      <c r="B96" s="117">
        <v>0</v>
      </c>
      <c r="C96" s="117">
        <f>IF($C$7=0,0, IF(5&lt;=$C$7, $F$16/$C$7, 0))</f>
        <v>33873.784615384619</v>
      </c>
      <c r="D96" s="117">
        <f t="shared" si="2"/>
        <v>1244875.2359708517</v>
      </c>
      <c r="E96" s="117">
        <f t="shared" ca="1" si="3"/>
        <v>77668.381978213292</v>
      </c>
      <c r="F96" s="117"/>
      <c r="G96" s="117">
        <f t="shared" ca="1" si="5"/>
        <v>0</v>
      </c>
      <c r="H96" s="117">
        <f t="shared" si="6"/>
        <v>0</v>
      </c>
      <c r="I96" s="117">
        <f t="shared" ca="1" si="4"/>
        <v>1356417.4025644497</v>
      </c>
    </row>
    <row r="97" spans="1:9" x14ac:dyDescent="0.2">
      <c r="A97" s="116">
        <v>6</v>
      </c>
      <c r="B97" s="117">
        <v>0</v>
      </c>
      <c r="C97" s="117">
        <f>IF($C$7=0,0, IF(6&lt;=$C$7, $F$16/$C$7, 0))</f>
        <v>33873.784615384619</v>
      </c>
      <c r="D97" s="117">
        <f t="shared" si="2"/>
        <v>1413407.3979605765</v>
      </c>
      <c r="E97" s="117">
        <f t="shared" ca="1" si="3"/>
        <v>88183.186960114748</v>
      </c>
      <c r="F97" s="117"/>
      <c r="G97" s="117">
        <f t="shared" ca="1" si="5"/>
        <v>0</v>
      </c>
      <c r="H97" s="117">
        <f t="shared" si="6"/>
        <v>0</v>
      </c>
      <c r="I97" s="117">
        <f t="shared" ca="1" si="4"/>
        <v>1535464.3695360757</v>
      </c>
    </row>
    <row r="98" spans="1:9" x14ac:dyDescent="0.2">
      <c r="A98" s="116">
        <v>7</v>
      </c>
      <c r="B98" s="117">
        <v>0</v>
      </c>
      <c r="C98" s="117">
        <f>IF($C$7=0,0, IF(7&lt;=$C$7, $F$16/$C$7, 0))</f>
        <v>33873.784615384619</v>
      </c>
      <c r="D98" s="117">
        <f t="shared" si="2"/>
        <v>1565887.6338587843</v>
      </c>
      <c r="E98" s="117">
        <f t="shared" ca="1" si="3"/>
        <v>97696.504330135416</v>
      </c>
      <c r="F98" s="117"/>
      <c r="G98" s="117">
        <f t="shared" ca="1" si="5"/>
        <v>0</v>
      </c>
      <c r="H98" s="117">
        <f t="shared" si="6"/>
        <v>0</v>
      </c>
      <c r="I98" s="117">
        <f t="shared" ca="1" si="4"/>
        <v>1697457.9228043044</v>
      </c>
    </row>
    <row r="99" spans="1:9" x14ac:dyDescent="0.2">
      <c r="A99" s="116">
        <v>8</v>
      </c>
      <c r="B99" s="117">
        <v>0</v>
      </c>
      <c r="C99" s="117">
        <f>IF($C$7=0,0, IF(8&lt;=$C$7, $F$16/$C$7, 0))</f>
        <v>33873.784615384619</v>
      </c>
      <c r="D99" s="117">
        <f t="shared" si="2"/>
        <v>1688387.88295537</v>
      </c>
      <c r="E99" s="117">
        <f t="shared" ca="1" si="3"/>
        <v>105339.35548850054</v>
      </c>
      <c r="F99" s="117"/>
      <c r="G99" s="117">
        <f t="shared" ca="1" si="5"/>
        <v>0</v>
      </c>
      <c r="H99" s="117">
        <f t="shared" si="6"/>
        <v>0</v>
      </c>
      <c r="I99" s="117">
        <f t="shared" ca="1" si="4"/>
        <v>1827601.0230592552</v>
      </c>
    </row>
    <row r="100" spans="1:9" x14ac:dyDescent="0.2">
      <c r="A100" s="116">
        <v>9</v>
      </c>
      <c r="B100" s="117">
        <v>0</v>
      </c>
      <c r="C100" s="117">
        <f>IF($C$7=0,0, IF(9&lt;=$C$7, $F$16/$C$7, 0))</f>
        <v>33873.784615384619</v>
      </c>
      <c r="D100" s="117">
        <f t="shared" si="2"/>
        <v>1768047.4484544573</v>
      </c>
      <c r="E100" s="117">
        <f t="shared" ca="1" si="3"/>
        <v>110309.3551982116</v>
      </c>
      <c r="F100" s="117"/>
      <c r="G100" s="117">
        <f t="shared" ca="1" si="5"/>
        <v>0</v>
      </c>
      <c r="H100" s="117">
        <f t="shared" si="6"/>
        <v>0</v>
      </c>
      <c r="I100" s="117">
        <f t="shared" ca="1" si="4"/>
        <v>1912230.5882680535</v>
      </c>
    </row>
    <row r="101" spans="1:9" x14ac:dyDescent="0.2">
      <c r="A101" s="116">
        <v>10</v>
      </c>
      <c r="B101" s="117">
        <v>0</v>
      </c>
      <c r="C101" s="117">
        <f>IF($C$7=0,0, IF(10&lt;=$C$7, $F$16/$C$7, 0))</f>
        <v>33873.784615384619</v>
      </c>
      <c r="D101" s="117">
        <f t="shared" si="2"/>
        <v>1795709.1795941163</v>
      </c>
      <c r="E101" s="117">
        <f t="shared" ca="1" si="3"/>
        <v>112035.18429196665</v>
      </c>
      <c r="F101" s="117"/>
      <c r="G101" s="117">
        <f t="shared" ca="1" si="5"/>
        <v>0</v>
      </c>
      <c r="H101" s="117">
        <f t="shared" si="6"/>
        <v>0</v>
      </c>
      <c r="I101" s="117">
        <f t="shared" ca="1" si="4"/>
        <v>1941618.1485014677</v>
      </c>
    </row>
    <row r="102" spans="1:9" x14ac:dyDescent="0.2">
      <c r="A102" s="116">
        <v>11</v>
      </c>
      <c r="B102" s="117">
        <v>0</v>
      </c>
      <c r="C102" s="117">
        <f>IF($C$7=0,0, IF(11&lt;=$C$7, $F$16/$C$7, 0))</f>
        <v>33873.784615384619</v>
      </c>
      <c r="D102" s="117">
        <f t="shared" si="2"/>
        <v>1768047.4484544541</v>
      </c>
      <c r="E102" s="117">
        <f t="shared" ca="1" si="3"/>
        <v>110309.3551982114</v>
      </c>
      <c r="F102" s="117"/>
      <c r="G102" s="117">
        <f t="shared" ca="1" si="5"/>
        <v>0</v>
      </c>
      <c r="H102" s="117">
        <f t="shared" si="6"/>
        <v>0</v>
      </c>
      <c r="I102" s="117">
        <f t="shared" ca="1" si="4"/>
        <v>1912230.5882680502</v>
      </c>
    </row>
    <row r="103" spans="1:9" x14ac:dyDescent="0.2">
      <c r="A103" s="116">
        <v>12</v>
      </c>
      <c r="B103" s="117">
        <v>0</v>
      </c>
      <c r="C103" s="117">
        <f>IF($C$7=0,0, IF(12&lt;=$C$7, $F$16/$C$7, 0))</f>
        <v>33873.784615384619</v>
      </c>
      <c r="D103" s="117">
        <f t="shared" si="2"/>
        <v>1688387.88295537</v>
      </c>
      <c r="E103" s="117">
        <f t="shared" ca="1" si="3"/>
        <v>105339.35548850054</v>
      </c>
      <c r="F103" s="117"/>
      <c r="G103" s="117">
        <f t="shared" ca="1" si="5"/>
        <v>0</v>
      </c>
      <c r="H103" s="117">
        <f t="shared" si="6"/>
        <v>0</v>
      </c>
      <c r="I103" s="117">
        <f t="shared" ca="1" si="4"/>
        <v>1827601.0230592552</v>
      </c>
    </row>
    <row r="104" spans="1:9" x14ac:dyDescent="0.2">
      <c r="A104" s="116">
        <v>13</v>
      </c>
      <c r="B104" s="117">
        <v>0</v>
      </c>
      <c r="C104" s="117">
        <f>IF($C$7=0,0, IF(13&lt;=$C$7, $F$16/$C$7, 0))</f>
        <v>33873.784615384619</v>
      </c>
      <c r="D104" s="117">
        <f t="shared" si="2"/>
        <v>1565887.633858786</v>
      </c>
      <c r="E104" s="117">
        <f t="shared" ca="1" si="3"/>
        <v>97696.504330135518</v>
      </c>
      <c r="F104" s="117"/>
      <c r="G104" s="117">
        <f t="shared" ca="1" si="5"/>
        <v>0</v>
      </c>
      <c r="H104" s="117">
        <f t="shared" si="6"/>
        <v>0</v>
      </c>
      <c r="I104" s="117">
        <f t="shared" ca="1" si="4"/>
        <v>1697457.922804306</v>
      </c>
    </row>
    <row r="105" spans="1:9" x14ac:dyDescent="0.2">
      <c r="A105" s="116">
        <v>14</v>
      </c>
      <c r="B105" s="117">
        <v>0</v>
      </c>
      <c r="C105" s="117">
        <f>IF($C$7=0,0, IF(14&lt;=$C$7, $F$16/$C$7, 0))</f>
        <v>33873.784615384619</v>
      </c>
      <c r="D105" s="117">
        <f t="shared" si="2"/>
        <v>1413407.3979605755</v>
      </c>
      <c r="E105" s="117">
        <f t="shared" ca="1" si="3"/>
        <v>88183.186960114705</v>
      </c>
      <c r="F105" s="117"/>
      <c r="G105" s="117">
        <f t="shared" ca="1" si="5"/>
        <v>0</v>
      </c>
      <c r="H105" s="117">
        <f t="shared" si="6"/>
        <v>0</v>
      </c>
      <c r="I105" s="117">
        <f t="shared" ca="1" si="4"/>
        <v>1535464.3695360748</v>
      </c>
    </row>
    <row r="106" spans="1:9" x14ac:dyDescent="0.2">
      <c r="A106" s="116">
        <v>15</v>
      </c>
      <c r="B106" s="117">
        <v>0</v>
      </c>
      <c r="C106" s="117">
        <f>IF($C$7=0,0, IF(15&lt;=$C$7, $F$16/$C$7, 0))</f>
        <v>33873.784615384619</v>
      </c>
      <c r="D106" s="117">
        <f t="shared" si="2"/>
        <v>1244875.2359708541</v>
      </c>
      <c r="E106" s="117">
        <f t="shared" ca="1" si="3"/>
        <v>77668.381978213452</v>
      </c>
      <c r="F106" s="117"/>
      <c r="G106" s="117">
        <f t="shared" ca="1" si="5"/>
        <v>0</v>
      </c>
      <c r="H106" s="117">
        <f t="shared" si="6"/>
        <v>0</v>
      </c>
      <c r="I106" s="117">
        <f t="shared" ca="1" si="4"/>
        <v>1356417.4025644523</v>
      </c>
    </row>
    <row r="107" spans="1:9" x14ac:dyDescent="0.2">
      <c r="A107" s="116">
        <v>16</v>
      </c>
      <c r="B107" s="117">
        <v>0</v>
      </c>
      <c r="C107" s="117">
        <f>IF($C$7=0,0, IF(16&lt;=$C$7, $F$16/$C$7, 0))</f>
        <v>33873.784615384619</v>
      </c>
      <c r="D107" s="117">
        <f t="shared" si="2"/>
        <v>1072981.0617574712</v>
      </c>
      <c r="E107" s="117">
        <f t="shared" ca="1" si="3"/>
        <v>66943.819390041623</v>
      </c>
      <c r="F107" s="117"/>
      <c r="G107" s="117">
        <f t="shared" ca="1" si="5"/>
        <v>0</v>
      </c>
      <c r="H107" s="117">
        <f t="shared" si="6"/>
        <v>0</v>
      </c>
      <c r="I107" s="117">
        <f t="shared" ca="1" si="4"/>
        <v>1173798.6657628973</v>
      </c>
    </row>
    <row r="108" spans="1:9" x14ac:dyDescent="0.2">
      <c r="A108" s="116">
        <v>17</v>
      </c>
      <c r="B108" s="117">
        <v>0</v>
      </c>
      <c r="C108" s="117">
        <f>IF($C$7=0,0, IF(17&lt;=$C$7, $F$16/$C$7, 0))</f>
        <v>33873.784615384619</v>
      </c>
      <c r="D108" s="117">
        <f t="shared" si="2"/>
        <v>907717.93554108602</v>
      </c>
      <c r="E108" s="117">
        <f t="shared" ca="1" si="3"/>
        <v>56632.971167667296</v>
      </c>
      <c r="F108" s="117"/>
      <c r="G108" s="117">
        <f t="shared" ca="1" si="5"/>
        <v>0</v>
      </c>
      <c r="H108" s="117">
        <f t="shared" si="6"/>
        <v>0</v>
      </c>
      <c r="I108" s="117">
        <f t="shared" ca="1" si="4"/>
        <v>998224.69132413797</v>
      </c>
    </row>
    <row r="109" spans="1:9" x14ac:dyDescent="0.2">
      <c r="A109" s="116">
        <v>18</v>
      </c>
      <c r="B109" s="117">
        <v>0</v>
      </c>
      <c r="C109" s="117">
        <f>IF($C$7=0,0, IF(18&lt;=$C$7, $F$16/$C$7, 0))</f>
        <v>33873.784615384619</v>
      </c>
      <c r="D109" s="117">
        <f t="shared" si="2"/>
        <v>755859.9013096164</v>
      </c>
      <c r="E109" s="117">
        <f t="shared" ca="1" si="3"/>
        <v>47158.473267520669</v>
      </c>
      <c r="F109" s="117"/>
      <c r="G109" s="117">
        <f t="shared" ca="1" si="5"/>
        <v>0</v>
      </c>
      <c r="H109" s="117">
        <f t="shared" si="6"/>
        <v>0</v>
      </c>
      <c r="I109" s="117">
        <f t="shared" ca="1" si="4"/>
        <v>836892.15919252171</v>
      </c>
    </row>
    <row r="110" spans="1:9" x14ac:dyDescent="0.2">
      <c r="A110" s="116">
        <v>19</v>
      </c>
      <c r="B110" s="117">
        <v>0</v>
      </c>
      <c r="C110" s="117">
        <f>IF($C$7=0,0, IF(19&lt;=$C$7, $F$16/$C$7, 0))</f>
        <v>33873.784615384619</v>
      </c>
      <c r="D110" s="117">
        <f t="shared" si="2"/>
        <v>0</v>
      </c>
      <c r="E110" s="117">
        <f t="shared" ca="1" si="3"/>
        <v>0</v>
      </c>
      <c r="F110" s="117"/>
      <c r="G110" s="117">
        <f t="shared" ca="1" si="5"/>
        <v>0</v>
      </c>
      <c r="H110" s="117">
        <f t="shared" si="6"/>
        <v>0</v>
      </c>
      <c r="I110" s="117">
        <f t="shared" ca="1" si="4"/>
        <v>33873.784615384619</v>
      </c>
    </row>
    <row r="111" spans="1:9" x14ac:dyDescent="0.2">
      <c r="A111" s="116">
        <v>20</v>
      </c>
      <c r="B111" s="117">
        <v>0</v>
      </c>
      <c r="C111" s="117">
        <f>IF($C$7=0,0, IF(20&lt;=$C$7, $F$16/$C$7, 0))</f>
        <v>33873.784615384619</v>
      </c>
      <c r="D111" s="117">
        <f t="shared" si="2"/>
        <v>0</v>
      </c>
      <c r="E111" s="117">
        <f t="shared" ca="1" si="3"/>
        <v>0</v>
      </c>
      <c r="F111" s="117"/>
      <c r="G111" s="117">
        <f t="shared" ca="1" si="5"/>
        <v>0</v>
      </c>
      <c r="H111" s="117">
        <f t="shared" si="6"/>
        <v>0</v>
      </c>
      <c r="I111" s="117">
        <f t="shared" ca="1" si="4"/>
        <v>33873.784615384619</v>
      </c>
    </row>
    <row r="112" spans="1:9" x14ac:dyDescent="0.2">
      <c r="A112" s="116">
        <v>21</v>
      </c>
      <c r="B112" s="117">
        <v>0</v>
      </c>
      <c r="C112" s="117">
        <f>IF($C$7=0,0, IF(21&lt;=$C$7, $F$16/$C$7, 0))</f>
        <v>33873.784615384619</v>
      </c>
      <c r="D112" s="117">
        <f t="shared" si="2"/>
        <v>0</v>
      </c>
      <c r="E112" s="117">
        <f t="shared" ca="1" si="3"/>
        <v>0</v>
      </c>
      <c r="F112" s="117"/>
      <c r="G112" s="117">
        <f t="shared" ca="1" si="5"/>
        <v>0</v>
      </c>
      <c r="H112" s="117">
        <f t="shared" si="6"/>
        <v>0</v>
      </c>
      <c r="I112" s="117">
        <f t="shared" ca="1" si="4"/>
        <v>33873.784615384619</v>
      </c>
    </row>
    <row r="113" spans="1:9" x14ac:dyDescent="0.2">
      <c r="A113" s="116">
        <v>22</v>
      </c>
      <c r="B113" s="117">
        <v>0</v>
      </c>
      <c r="C113" s="117">
        <f>IF($C$7=0,0, IF(22&lt;=$C$7, $F$16/$C$7, 0))</f>
        <v>33873.784615384619</v>
      </c>
      <c r="D113" s="117">
        <f t="shared" si="2"/>
        <v>0</v>
      </c>
      <c r="E113" s="117">
        <f t="shared" ca="1" si="3"/>
        <v>0</v>
      </c>
      <c r="F113" s="117"/>
      <c r="G113" s="117">
        <f t="shared" ca="1" si="5"/>
        <v>0</v>
      </c>
      <c r="H113" s="117">
        <f t="shared" si="6"/>
        <v>0</v>
      </c>
      <c r="I113" s="117">
        <f t="shared" ca="1" si="4"/>
        <v>33873.784615384619</v>
      </c>
    </row>
    <row r="114" spans="1:9" x14ac:dyDescent="0.2">
      <c r="A114" s="116">
        <v>23</v>
      </c>
      <c r="B114" s="117">
        <v>0</v>
      </c>
      <c r="C114" s="117">
        <f>IF($C$7=0,0, IF(23&lt;=$C$7, $F$16/$C$7, 0))</f>
        <v>33873.784615384619</v>
      </c>
      <c r="D114" s="117">
        <f t="shared" si="2"/>
        <v>0</v>
      </c>
      <c r="E114" s="117">
        <f t="shared" ca="1" si="3"/>
        <v>0</v>
      </c>
      <c r="F114" s="117"/>
      <c r="G114" s="117">
        <f t="shared" ca="1" si="5"/>
        <v>0</v>
      </c>
      <c r="H114" s="117">
        <f t="shared" si="6"/>
        <v>0</v>
      </c>
      <c r="I114" s="117">
        <f t="shared" ca="1" si="4"/>
        <v>33873.784615384619</v>
      </c>
    </row>
    <row r="115" spans="1:9" x14ac:dyDescent="0.2">
      <c r="A115" s="116">
        <v>24</v>
      </c>
      <c r="B115" s="117">
        <v>0</v>
      </c>
      <c r="C115" s="117">
        <f>IF($C$7=0,0, IF(24&lt;=$C$7, $F$16/$C$7, 0))</f>
        <v>33873.784615384619</v>
      </c>
      <c r="D115" s="117">
        <f t="shared" si="2"/>
        <v>0</v>
      </c>
      <c r="E115" s="117">
        <f t="shared" ca="1" si="3"/>
        <v>0</v>
      </c>
      <c r="F115" s="117"/>
      <c r="G115" s="117">
        <f t="shared" ca="1" si="5"/>
        <v>0</v>
      </c>
      <c r="H115" s="117">
        <f t="shared" si="6"/>
        <v>0</v>
      </c>
      <c r="I115" s="117">
        <f t="shared" ca="1" si="4"/>
        <v>33873.784615384619</v>
      </c>
    </row>
    <row r="116" spans="1:9" x14ac:dyDescent="0.2">
      <c r="A116" s="116">
        <v>25</v>
      </c>
      <c r="B116" s="117">
        <v>0</v>
      </c>
      <c r="C116" s="117">
        <f>IF($C$7=0,0, IF(25&lt;=$C$7, $F$16/$C$7, 0))</f>
        <v>33873.784615384619</v>
      </c>
      <c r="D116" s="117">
        <f t="shared" si="2"/>
        <v>0</v>
      </c>
      <c r="E116" s="117">
        <f t="shared" ca="1" si="3"/>
        <v>0</v>
      </c>
      <c r="F116" s="117"/>
      <c r="G116" s="117">
        <f t="shared" ca="1" si="5"/>
        <v>0</v>
      </c>
      <c r="H116" s="117">
        <f t="shared" si="6"/>
        <v>0</v>
      </c>
      <c r="I116" s="117">
        <f t="shared" ca="1" si="4"/>
        <v>33873.784615384619</v>
      </c>
    </row>
    <row r="117" spans="1:9" x14ac:dyDescent="0.2">
      <c r="A117" s="116">
        <v>26</v>
      </c>
      <c r="B117" s="117">
        <v>0</v>
      </c>
      <c r="C117" s="117">
        <f>IF($C$7=0,0, IF(26&lt;=$C$7, $F$16/$C$7, 0))</f>
        <v>33873.784615384619</v>
      </c>
      <c r="D117" s="117">
        <f t="shared" si="2"/>
        <v>0</v>
      </c>
      <c r="E117" s="117">
        <f t="shared" ca="1" si="3"/>
        <v>0</v>
      </c>
      <c r="F117" s="117"/>
      <c r="G117" s="117">
        <f t="shared" ca="1" si="5"/>
        <v>0</v>
      </c>
      <c r="H117" s="117">
        <f t="shared" si="6"/>
        <v>0</v>
      </c>
      <c r="I117" s="117">
        <f t="shared" ca="1" si="4"/>
        <v>33873.784615384619</v>
      </c>
    </row>
    <row r="118" spans="1:9" x14ac:dyDescent="0.2">
      <c r="A118" s="116">
        <v>27</v>
      </c>
      <c r="B118" s="117">
        <v>0</v>
      </c>
      <c r="C118" s="117">
        <f>IF($C$7=0,0, IF(27&lt;=$C$7, $F$16/$C$7, 0))</f>
        <v>0</v>
      </c>
      <c r="D118" s="117">
        <f t="shared" si="2"/>
        <v>0</v>
      </c>
      <c r="E118" s="117">
        <f t="shared" ca="1" si="3"/>
        <v>0</v>
      </c>
      <c r="F118" s="117"/>
      <c r="G118" s="117">
        <f t="shared" si="5"/>
        <v>0</v>
      </c>
      <c r="H118" s="117">
        <f t="shared" si="6"/>
        <v>0</v>
      </c>
      <c r="I118" s="117">
        <f t="shared" ca="1" si="4"/>
        <v>0</v>
      </c>
    </row>
    <row r="119" spans="1:9" x14ac:dyDescent="0.2">
      <c r="A119" s="116">
        <v>28</v>
      </c>
      <c r="B119" s="117">
        <v>0</v>
      </c>
      <c r="C119" s="117">
        <f>IF($C$7=0,0, IF(28&lt;=$C$7, $F$16/$C$7, 0))</f>
        <v>0</v>
      </c>
      <c r="D119" s="117">
        <f t="shared" si="2"/>
        <v>0</v>
      </c>
      <c r="E119" s="117">
        <f t="shared" ca="1" si="3"/>
        <v>0</v>
      </c>
      <c r="F119" s="117"/>
      <c r="G119" s="117">
        <f t="shared" si="5"/>
        <v>0</v>
      </c>
      <c r="H119" s="117">
        <f t="shared" si="6"/>
        <v>0</v>
      </c>
      <c r="I119" s="117">
        <f t="shared" ca="1" si="4"/>
        <v>0</v>
      </c>
    </row>
    <row r="120" spans="1:9" x14ac:dyDescent="0.2">
      <c r="A120" s="116">
        <v>29</v>
      </c>
      <c r="B120" s="117">
        <v>0</v>
      </c>
      <c r="C120" s="117">
        <f>IF($C$7=0,0, IF(29&lt;=$C$7, $F$16/$C$7, 0))</f>
        <v>0</v>
      </c>
      <c r="D120" s="117">
        <f t="shared" si="2"/>
        <v>0</v>
      </c>
      <c r="E120" s="117">
        <f t="shared" ca="1" si="3"/>
        <v>0</v>
      </c>
      <c r="F120" s="117"/>
      <c r="G120" s="117">
        <f t="shared" si="5"/>
        <v>0</v>
      </c>
      <c r="H120" s="117">
        <f t="shared" si="6"/>
        <v>0</v>
      </c>
      <c r="I120" s="117">
        <f t="shared" ca="1" si="4"/>
        <v>0</v>
      </c>
    </row>
    <row r="121" spans="1:9" x14ac:dyDescent="0.2">
      <c r="A121" s="116">
        <v>30</v>
      </c>
      <c r="B121" s="117">
        <v>0</v>
      </c>
      <c r="C121" s="117">
        <f>IF($C$7=0,0, IF(30&lt;=$C$7, $F$16/$C$7, 0))</f>
        <v>0</v>
      </c>
      <c r="D121" s="117">
        <f t="shared" si="2"/>
        <v>0</v>
      </c>
      <c r="E121" s="117">
        <f t="shared" ca="1" si="3"/>
        <v>0</v>
      </c>
      <c r="F121" s="117"/>
      <c r="G121" s="117">
        <f t="shared" si="5"/>
        <v>0</v>
      </c>
      <c r="H121" s="117">
        <f t="shared" si="6"/>
        <v>0</v>
      </c>
      <c r="I121" s="117">
        <f t="shared" ca="1" si="4"/>
        <v>0</v>
      </c>
    </row>
    <row r="122" spans="1:9" x14ac:dyDescent="0.2">
      <c r="A122" s="116">
        <v>31</v>
      </c>
      <c r="B122" s="117">
        <v>0</v>
      </c>
      <c r="C122" s="117">
        <f>IF($C$7=0,0, IF(31&lt;=$C$7, $F$16/$C$7, 0))</f>
        <v>0</v>
      </c>
      <c r="D122" s="117">
        <f t="shared" si="2"/>
        <v>0</v>
      </c>
      <c r="E122" s="117">
        <f t="shared" ca="1" si="3"/>
        <v>0</v>
      </c>
      <c r="F122" s="117"/>
      <c r="G122" s="117">
        <f t="shared" si="5"/>
        <v>0</v>
      </c>
      <c r="H122" s="117">
        <f t="shared" si="6"/>
        <v>0</v>
      </c>
      <c r="I122" s="117">
        <f t="shared" ca="1" si="4"/>
        <v>0</v>
      </c>
    </row>
    <row r="123" spans="1:9" x14ac:dyDescent="0.2">
      <c r="A123" s="116">
        <v>32</v>
      </c>
      <c r="B123" s="117">
        <v>0</v>
      </c>
      <c r="C123" s="117">
        <f>IF($C$7=0,0, IF(32&lt;=$C$7, $F$16/$C$7, 0))</f>
        <v>0</v>
      </c>
      <c r="D123" s="117">
        <f t="shared" si="2"/>
        <v>0</v>
      </c>
      <c r="E123" s="117">
        <f t="shared" ca="1" si="3"/>
        <v>0</v>
      </c>
      <c r="F123" s="117"/>
      <c r="G123" s="117">
        <f t="shared" si="5"/>
        <v>0</v>
      </c>
      <c r="H123" s="117">
        <f t="shared" si="6"/>
        <v>0</v>
      </c>
      <c r="I123" s="117">
        <f t="shared" ca="1" si="4"/>
        <v>0</v>
      </c>
    </row>
    <row r="124" spans="1:9" x14ac:dyDescent="0.2">
      <c r="A124" s="116">
        <v>33</v>
      </c>
      <c r="B124" s="117">
        <v>0</v>
      </c>
      <c r="C124" s="117">
        <f>IF($C$7=0,0, IF(33&lt;=$C$7, $F$16/$C$7, 0))</f>
        <v>0</v>
      </c>
      <c r="D124" s="117">
        <f t="shared" ref="D124:D151" si="7">IF(1&lt;=$C$7, $F$17*D60, 0)</f>
        <v>0</v>
      </c>
      <c r="E124" s="117">
        <f t="shared" ref="E124:E151" ca="1" si="8">IF(1&lt;=$C$7, $F$18*D60, 0)</f>
        <v>0</v>
      </c>
      <c r="F124" s="117"/>
      <c r="G124" s="117">
        <f t="shared" si="5"/>
        <v>0</v>
      </c>
      <c r="H124" s="117">
        <f t="shared" si="6"/>
        <v>0</v>
      </c>
      <c r="I124" s="117">
        <f t="shared" ref="I124:I151" ca="1" si="9">SUM(B124:H124)</f>
        <v>0</v>
      </c>
    </row>
    <row r="125" spans="1:9" x14ac:dyDescent="0.2">
      <c r="A125" s="116">
        <v>34</v>
      </c>
      <c r="B125" s="117">
        <v>0</v>
      </c>
      <c r="C125" s="117">
        <f>IF($C$7=0,0, IF(34&lt;=$C$7, $F$16/$C$7, 0))</f>
        <v>0</v>
      </c>
      <c r="D125" s="117">
        <f t="shared" si="7"/>
        <v>0</v>
      </c>
      <c r="E125" s="117">
        <f t="shared" ca="1" si="8"/>
        <v>0</v>
      </c>
      <c r="F125" s="117"/>
      <c r="G125" s="117">
        <f t="shared" ref="G125:G151" si="10">IF($C$7=0,0, IF(A125&lt;=$C$7, $F$19/($C$7-1), 0))</f>
        <v>0</v>
      </c>
      <c r="H125" s="117">
        <f t="shared" si="6"/>
        <v>0</v>
      </c>
      <c r="I125" s="117">
        <f t="shared" ca="1" si="9"/>
        <v>0</v>
      </c>
    </row>
    <row r="126" spans="1:9" x14ac:dyDescent="0.2">
      <c r="A126" s="116">
        <v>35</v>
      </c>
      <c r="B126" s="117">
        <v>0</v>
      </c>
      <c r="C126" s="117">
        <f>IF($C$7=0,0, IF(35&lt;=$C$7, $F$16/$C$7, 0))</f>
        <v>0</v>
      </c>
      <c r="D126" s="117">
        <f t="shared" si="7"/>
        <v>0</v>
      </c>
      <c r="E126" s="117">
        <f t="shared" ca="1" si="8"/>
        <v>0</v>
      </c>
      <c r="F126" s="117"/>
      <c r="G126" s="117">
        <f t="shared" si="10"/>
        <v>0</v>
      </c>
      <c r="H126" s="117">
        <f t="shared" si="6"/>
        <v>0</v>
      </c>
      <c r="I126" s="117">
        <f t="shared" ca="1" si="9"/>
        <v>0</v>
      </c>
    </row>
    <row r="127" spans="1:9" x14ac:dyDescent="0.2">
      <c r="A127" s="116">
        <v>36</v>
      </c>
      <c r="B127" s="117">
        <v>0</v>
      </c>
      <c r="C127" s="117">
        <f>IF($C$7=0,0, IF(36&lt;=$C$7, $F$16/$C$7, 0))</f>
        <v>0</v>
      </c>
      <c r="D127" s="117">
        <f t="shared" si="7"/>
        <v>0</v>
      </c>
      <c r="E127" s="117">
        <f t="shared" ca="1" si="8"/>
        <v>0</v>
      </c>
      <c r="F127" s="117"/>
      <c r="G127" s="117">
        <f t="shared" si="10"/>
        <v>0</v>
      </c>
      <c r="H127" s="117">
        <f t="shared" si="6"/>
        <v>0</v>
      </c>
      <c r="I127" s="117">
        <f t="shared" ca="1" si="9"/>
        <v>0</v>
      </c>
    </row>
    <row r="128" spans="1:9" x14ac:dyDescent="0.2">
      <c r="A128" s="116">
        <v>37</v>
      </c>
      <c r="B128" s="117">
        <v>0</v>
      </c>
      <c r="C128" s="117">
        <f>IF($C$7=0,0, IF(37&lt;=$C$7, $F$16/$C$7, 0))</f>
        <v>0</v>
      </c>
      <c r="D128" s="117">
        <f t="shared" si="7"/>
        <v>0</v>
      </c>
      <c r="E128" s="117">
        <f t="shared" ca="1" si="8"/>
        <v>0</v>
      </c>
      <c r="F128" s="117"/>
      <c r="G128" s="117">
        <f t="shared" si="10"/>
        <v>0</v>
      </c>
      <c r="H128" s="117">
        <f t="shared" si="6"/>
        <v>0</v>
      </c>
      <c r="I128" s="117">
        <f t="shared" ca="1" si="9"/>
        <v>0</v>
      </c>
    </row>
    <row r="129" spans="1:9" x14ac:dyDescent="0.2">
      <c r="A129" s="116">
        <v>38</v>
      </c>
      <c r="B129" s="117">
        <v>0</v>
      </c>
      <c r="C129" s="117">
        <f>IF($C$7=0,0, IF(38&lt;=$C$7, $F$16/$C$7, 0))</f>
        <v>0</v>
      </c>
      <c r="D129" s="117">
        <f t="shared" si="7"/>
        <v>0</v>
      </c>
      <c r="E129" s="117">
        <f t="shared" ca="1" si="8"/>
        <v>0</v>
      </c>
      <c r="F129" s="117"/>
      <c r="G129" s="117">
        <f t="shared" si="10"/>
        <v>0</v>
      </c>
      <c r="H129" s="117">
        <f t="shared" si="6"/>
        <v>0</v>
      </c>
      <c r="I129" s="117">
        <f t="shared" ca="1" si="9"/>
        <v>0</v>
      </c>
    </row>
    <row r="130" spans="1:9" x14ac:dyDescent="0.2">
      <c r="A130" s="116">
        <v>39</v>
      </c>
      <c r="B130" s="117">
        <v>0</v>
      </c>
      <c r="C130" s="117">
        <f>IF($C$7=0,0, IF(39&lt;=$C$7, $F$16/$C$7, 0))</f>
        <v>0</v>
      </c>
      <c r="D130" s="117">
        <f t="shared" si="7"/>
        <v>0</v>
      </c>
      <c r="E130" s="117">
        <f t="shared" ca="1" si="8"/>
        <v>0</v>
      </c>
      <c r="F130" s="117"/>
      <c r="G130" s="117">
        <f t="shared" si="10"/>
        <v>0</v>
      </c>
      <c r="H130" s="117">
        <f t="shared" si="6"/>
        <v>0</v>
      </c>
      <c r="I130" s="117">
        <f t="shared" ca="1" si="9"/>
        <v>0</v>
      </c>
    </row>
    <row r="131" spans="1:9" x14ac:dyDescent="0.2">
      <c r="A131" s="116">
        <v>40</v>
      </c>
      <c r="B131" s="117">
        <v>0</v>
      </c>
      <c r="C131" s="117">
        <f>IF($C$7=0,0, IF(40&lt;=$C$7, $F$16/$C$7, 0))</f>
        <v>0</v>
      </c>
      <c r="D131" s="117">
        <f t="shared" si="7"/>
        <v>0</v>
      </c>
      <c r="E131" s="117">
        <f t="shared" ca="1" si="8"/>
        <v>0</v>
      </c>
      <c r="F131" s="117"/>
      <c r="G131" s="117">
        <f t="shared" si="10"/>
        <v>0</v>
      </c>
      <c r="H131" s="117">
        <f t="shared" si="6"/>
        <v>0</v>
      </c>
      <c r="I131" s="117">
        <f t="shared" ca="1" si="9"/>
        <v>0</v>
      </c>
    </row>
    <row r="132" spans="1:9" x14ac:dyDescent="0.2">
      <c r="A132" s="116">
        <v>41</v>
      </c>
      <c r="B132" s="117">
        <v>0</v>
      </c>
      <c r="C132" s="117">
        <f>IF($C$7=0,0, IF(41&lt;=$C$7, $F$16/$C$7, 0))</f>
        <v>0</v>
      </c>
      <c r="D132" s="117">
        <f t="shared" si="7"/>
        <v>0</v>
      </c>
      <c r="E132" s="117">
        <f t="shared" ca="1" si="8"/>
        <v>0</v>
      </c>
      <c r="F132" s="117"/>
      <c r="G132" s="117">
        <f t="shared" si="10"/>
        <v>0</v>
      </c>
      <c r="H132" s="117">
        <f t="shared" si="6"/>
        <v>0</v>
      </c>
      <c r="I132" s="117">
        <f t="shared" ca="1" si="9"/>
        <v>0</v>
      </c>
    </row>
    <row r="133" spans="1:9" x14ac:dyDescent="0.2">
      <c r="A133" s="116">
        <v>42</v>
      </c>
      <c r="B133" s="117">
        <v>0</v>
      </c>
      <c r="C133" s="117">
        <f>IF($C$7=0,0, IF(42&lt;=$C$7, $F$16/$C$7, 0))</f>
        <v>0</v>
      </c>
      <c r="D133" s="117">
        <f t="shared" si="7"/>
        <v>0</v>
      </c>
      <c r="E133" s="117">
        <f t="shared" ca="1" si="8"/>
        <v>0</v>
      </c>
      <c r="F133" s="117"/>
      <c r="G133" s="117">
        <f t="shared" si="10"/>
        <v>0</v>
      </c>
      <c r="H133" s="117">
        <f t="shared" si="6"/>
        <v>0</v>
      </c>
      <c r="I133" s="117">
        <f t="shared" ca="1" si="9"/>
        <v>0</v>
      </c>
    </row>
    <row r="134" spans="1:9" x14ac:dyDescent="0.2">
      <c r="A134" s="116">
        <v>43</v>
      </c>
      <c r="B134" s="117">
        <v>0</v>
      </c>
      <c r="C134" s="117">
        <f>IF($C$7=0,0, IF(43&lt;=$C$7, $F$16/$C$7, 0))</f>
        <v>0</v>
      </c>
      <c r="D134" s="117">
        <f t="shared" si="7"/>
        <v>0</v>
      </c>
      <c r="E134" s="117">
        <f t="shared" ca="1" si="8"/>
        <v>0</v>
      </c>
      <c r="F134" s="117"/>
      <c r="G134" s="117">
        <f t="shared" si="10"/>
        <v>0</v>
      </c>
      <c r="H134" s="117">
        <f t="shared" si="6"/>
        <v>0</v>
      </c>
      <c r="I134" s="117">
        <f t="shared" ca="1" si="9"/>
        <v>0</v>
      </c>
    </row>
    <row r="135" spans="1:9" x14ac:dyDescent="0.2">
      <c r="A135" s="116">
        <v>44</v>
      </c>
      <c r="B135" s="117">
        <v>0</v>
      </c>
      <c r="C135" s="117">
        <f>IF($C$7=0,0, IF(44&lt;=$C$7, $F$16/$C$7, 0))</f>
        <v>0</v>
      </c>
      <c r="D135" s="117">
        <f t="shared" si="7"/>
        <v>0</v>
      </c>
      <c r="E135" s="117">
        <f t="shared" ca="1" si="8"/>
        <v>0</v>
      </c>
      <c r="F135" s="117"/>
      <c r="G135" s="117">
        <f t="shared" si="10"/>
        <v>0</v>
      </c>
      <c r="H135" s="117">
        <f t="shared" si="6"/>
        <v>0</v>
      </c>
      <c r="I135" s="117">
        <f t="shared" ca="1" si="9"/>
        <v>0</v>
      </c>
    </row>
    <row r="136" spans="1:9" x14ac:dyDescent="0.2">
      <c r="A136" s="116">
        <v>45</v>
      </c>
      <c r="B136" s="117">
        <v>0</v>
      </c>
      <c r="C136" s="117">
        <f>IF($C$7=0,0, IF(45&lt;=$C$7, $F$16/$C$7, 0))</f>
        <v>0</v>
      </c>
      <c r="D136" s="117">
        <f t="shared" si="7"/>
        <v>0</v>
      </c>
      <c r="E136" s="117">
        <f t="shared" ca="1" si="8"/>
        <v>0</v>
      </c>
      <c r="F136" s="117"/>
      <c r="G136" s="117">
        <f t="shared" si="10"/>
        <v>0</v>
      </c>
      <c r="H136" s="117">
        <f t="shared" si="6"/>
        <v>0</v>
      </c>
      <c r="I136" s="117">
        <f t="shared" ca="1" si="9"/>
        <v>0</v>
      </c>
    </row>
    <row r="137" spans="1:9" x14ac:dyDescent="0.2">
      <c r="A137" s="116">
        <v>46</v>
      </c>
      <c r="B137" s="117">
        <v>0</v>
      </c>
      <c r="C137" s="117">
        <f>IF($C$7=0,0, IF(46&lt;=$C$7, $F$16/$C$7, 0))</f>
        <v>0</v>
      </c>
      <c r="D137" s="117">
        <f t="shared" si="7"/>
        <v>0</v>
      </c>
      <c r="E137" s="117">
        <f t="shared" ca="1" si="8"/>
        <v>0</v>
      </c>
      <c r="F137" s="117"/>
      <c r="G137" s="117">
        <f t="shared" si="10"/>
        <v>0</v>
      </c>
      <c r="H137" s="117">
        <f t="shared" si="6"/>
        <v>0</v>
      </c>
      <c r="I137" s="117">
        <f t="shared" ca="1" si="9"/>
        <v>0</v>
      </c>
    </row>
    <row r="138" spans="1:9" x14ac:dyDescent="0.2">
      <c r="A138" s="116">
        <v>47</v>
      </c>
      <c r="B138" s="117">
        <v>0</v>
      </c>
      <c r="C138" s="117">
        <f>IF($C$7=0,0, IF(47&lt;=$C$7, $F$16/$C$7, 0))</f>
        <v>0</v>
      </c>
      <c r="D138" s="117">
        <f t="shared" si="7"/>
        <v>0</v>
      </c>
      <c r="E138" s="117">
        <f t="shared" ca="1" si="8"/>
        <v>0</v>
      </c>
      <c r="F138" s="117"/>
      <c r="G138" s="117">
        <f t="shared" si="10"/>
        <v>0</v>
      </c>
      <c r="H138" s="117">
        <f t="shared" si="6"/>
        <v>0</v>
      </c>
      <c r="I138" s="117">
        <f t="shared" ca="1" si="9"/>
        <v>0</v>
      </c>
    </row>
    <row r="139" spans="1:9" x14ac:dyDescent="0.2">
      <c r="A139" s="116">
        <v>48</v>
      </c>
      <c r="B139" s="117">
        <v>0</v>
      </c>
      <c r="C139" s="117">
        <f>IF($C$7=0,0, IF(48&lt;=$C$7, $F$16/$C$7, 0))</f>
        <v>0</v>
      </c>
      <c r="D139" s="117">
        <f t="shared" si="7"/>
        <v>0</v>
      </c>
      <c r="E139" s="117">
        <f t="shared" ca="1" si="8"/>
        <v>0</v>
      </c>
      <c r="F139" s="117"/>
      <c r="G139" s="117">
        <f t="shared" si="10"/>
        <v>0</v>
      </c>
      <c r="H139" s="117">
        <f t="shared" si="6"/>
        <v>0</v>
      </c>
      <c r="I139" s="117">
        <f t="shared" ca="1" si="9"/>
        <v>0</v>
      </c>
    </row>
    <row r="140" spans="1:9" x14ac:dyDescent="0.2">
      <c r="A140" s="116">
        <v>49</v>
      </c>
      <c r="B140" s="117">
        <v>0</v>
      </c>
      <c r="C140" s="117">
        <f>IF($C$7=0,0, IF(49&lt;=$C$7, $F$16/$C$7, 0))</f>
        <v>0</v>
      </c>
      <c r="D140" s="117">
        <f t="shared" si="7"/>
        <v>0</v>
      </c>
      <c r="E140" s="117">
        <f t="shared" ca="1" si="8"/>
        <v>0</v>
      </c>
      <c r="F140" s="117"/>
      <c r="G140" s="117">
        <f t="shared" si="10"/>
        <v>0</v>
      </c>
      <c r="H140" s="117">
        <f t="shared" si="6"/>
        <v>0</v>
      </c>
      <c r="I140" s="117">
        <f t="shared" ca="1" si="9"/>
        <v>0</v>
      </c>
    </row>
    <row r="141" spans="1:9" x14ac:dyDescent="0.2">
      <c r="A141" s="116">
        <v>50</v>
      </c>
      <c r="B141" s="117">
        <v>0</v>
      </c>
      <c r="C141" s="117">
        <f>IF($C$7=0,0, IF(50&lt;=$C$7, $F$16/$C$7, 0))</f>
        <v>0</v>
      </c>
      <c r="D141" s="117">
        <f t="shared" si="7"/>
        <v>0</v>
      </c>
      <c r="E141" s="117">
        <f t="shared" ca="1" si="8"/>
        <v>0</v>
      </c>
      <c r="F141" s="117"/>
      <c r="G141" s="117">
        <f t="shared" si="10"/>
        <v>0</v>
      </c>
      <c r="H141" s="117">
        <f t="shared" si="6"/>
        <v>0</v>
      </c>
      <c r="I141" s="117">
        <f t="shared" ca="1" si="9"/>
        <v>0</v>
      </c>
    </row>
    <row r="142" spans="1:9" x14ac:dyDescent="0.2">
      <c r="A142" s="116">
        <v>51</v>
      </c>
      <c r="B142" s="117">
        <v>0</v>
      </c>
      <c r="C142" s="117">
        <f>IF($C$7=0,0, IF(51&lt;=$C$7, $F$16/$C$7, 0))</f>
        <v>0</v>
      </c>
      <c r="D142" s="117">
        <f t="shared" si="7"/>
        <v>0</v>
      </c>
      <c r="E142" s="117">
        <f t="shared" ca="1" si="8"/>
        <v>0</v>
      </c>
      <c r="F142" s="117"/>
      <c r="G142" s="117">
        <f t="shared" si="10"/>
        <v>0</v>
      </c>
      <c r="H142" s="117">
        <f t="shared" si="6"/>
        <v>0</v>
      </c>
      <c r="I142" s="117">
        <f t="shared" ca="1" si="9"/>
        <v>0</v>
      </c>
    </row>
    <row r="143" spans="1:9" x14ac:dyDescent="0.2">
      <c r="A143" s="116">
        <v>52</v>
      </c>
      <c r="B143" s="117">
        <v>0</v>
      </c>
      <c r="C143" s="117">
        <f>IF($C$7=0,0, IF(52&lt;=$C$7, $F$16/$C$7, 0))</f>
        <v>0</v>
      </c>
      <c r="D143" s="117">
        <f t="shared" si="7"/>
        <v>0</v>
      </c>
      <c r="E143" s="117">
        <f t="shared" ca="1" si="8"/>
        <v>0</v>
      </c>
      <c r="F143" s="117"/>
      <c r="G143" s="117">
        <f t="shared" si="10"/>
        <v>0</v>
      </c>
      <c r="H143" s="117">
        <f t="shared" si="6"/>
        <v>0</v>
      </c>
      <c r="I143" s="117">
        <f t="shared" ca="1" si="9"/>
        <v>0</v>
      </c>
    </row>
    <row r="144" spans="1:9" x14ac:dyDescent="0.2">
      <c r="A144" s="116">
        <v>53</v>
      </c>
      <c r="B144" s="117">
        <v>0</v>
      </c>
      <c r="C144" s="117">
        <f>IF($C$7=0,0, IF(53&lt;=$C$7, $F$16/$C$7, 0))</f>
        <v>0</v>
      </c>
      <c r="D144" s="117">
        <f t="shared" si="7"/>
        <v>0</v>
      </c>
      <c r="E144" s="117">
        <f t="shared" ca="1" si="8"/>
        <v>0</v>
      </c>
      <c r="F144" s="117"/>
      <c r="G144" s="117">
        <f t="shared" si="10"/>
        <v>0</v>
      </c>
      <c r="H144" s="117">
        <f t="shared" si="6"/>
        <v>0</v>
      </c>
      <c r="I144" s="117">
        <f t="shared" ca="1" si="9"/>
        <v>0</v>
      </c>
    </row>
    <row r="145" spans="1:33" x14ac:dyDescent="0.2">
      <c r="A145" s="116">
        <v>54</v>
      </c>
      <c r="B145" s="117">
        <v>0</v>
      </c>
      <c r="C145" s="117">
        <f>IF($C$7=0,0, IF(54&lt;=$C$7, $F$16/$C$7, 0))</f>
        <v>0</v>
      </c>
      <c r="D145" s="117">
        <f t="shared" si="7"/>
        <v>0</v>
      </c>
      <c r="E145" s="117">
        <f t="shared" ca="1" si="8"/>
        <v>0</v>
      </c>
      <c r="F145" s="117"/>
      <c r="G145" s="117">
        <f t="shared" si="10"/>
        <v>0</v>
      </c>
      <c r="H145" s="117">
        <f t="shared" si="6"/>
        <v>0</v>
      </c>
      <c r="I145" s="117">
        <f t="shared" ca="1" si="9"/>
        <v>0</v>
      </c>
    </row>
    <row r="146" spans="1:33" x14ac:dyDescent="0.2">
      <c r="A146" s="116">
        <v>55</v>
      </c>
      <c r="B146" s="117">
        <v>0</v>
      </c>
      <c r="C146" s="117">
        <f>IF($C$7=0,0, IF(55&lt;=$C$7, $F$16/$C$7, 0))</f>
        <v>0</v>
      </c>
      <c r="D146" s="117">
        <f t="shared" si="7"/>
        <v>0</v>
      </c>
      <c r="E146" s="117">
        <f t="shared" ca="1" si="8"/>
        <v>0</v>
      </c>
      <c r="F146" s="117"/>
      <c r="G146" s="117">
        <f t="shared" si="10"/>
        <v>0</v>
      </c>
      <c r="H146" s="117">
        <f t="shared" si="6"/>
        <v>0</v>
      </c>
      <c r="I146" s="117">
        <f t="shared" ca="1" si="9"/>
        <v>0</v>
      </c>
    </row>
    <row r="147" spans="1:33" x14ac:dyDescent="0.2">
      <c r="A147" s="116">
        <v>56</v>
      </c>
      <c r="B147" s="117">
        <v>0</v>
      </c>
      <c r="C147" s="117">
        <f>IF($C$7=0,0, IF(56&lt;=$C$7, $F$16/$C$7, 0))</f>
        <v>0</v>
      </c>
      <c r="D147" s="117">
        <f t="shared" si="7"/>
        <v>0</v>
      </c>
      <c r="E147" s="117">
        <f t="shared" ca="1" si="8"/>
        <v>0</v>
      </c>
      <c r="F147" s="117"/>
      <c r="G147" s="117">
        <f t="shared" si="10"/>
        <v>0</v>
      </c>
      <c r="H147" s="117">
        <f t="shared" si="6"/>
        <v>0</v>
      </c>
      <c r="I147" s="117">
        <f t="shared" ca="1" si="9"/>
        <v>0</v>
      </c>
    </row>
    <row r="148" spans="1:33" x14ac:dyDescent="0.2">
      <c r="A148" s="116">
        <v>57</v>
      </c>
      <c r="B148" s="117">
        <v>0</v>
      </c>
      <c r="C148" s="117">
        <f>IF($C$7=0,0, IF(57&lt;=$C$7, $F$16/$C$7, 0))</f>
        <v>0</v>
      </c>
      <c r="D148" s="117">
        <f t="shared" si="7"/>
        <v>0</v>
      </c>
      <c r="E148" s="117">
        <f t="shared" ca="1" si="8"/>
        <v>0</v>
      </c>
      <c r="F148" s="117"/>
      <c r="G148" s="117">
        <f t="shared" si="10"/>
        <v>0</v>
      </c>
      <c r="H148" s="117">
        <f t="shared" si="6"/>
        <v>0</v>
      </c>
      <c r="I148" s="117">
        <f t="shared" ca="1" si="9"/>
        <v>0</v>
      </c>
    </row>
    <row r="149" spans="1:33" x14ac:dyDescent="0.2">
      <c r="A149" s="116">
        <v>58</v>
      </c>
      <c r="B149" s="117">
        <v>0</v>
      </c>
      <c r="C149" s="117">
        <f>IF($C$7=0,0, IF(58&lt;=$C$7, $F$16/$C$7, 0))</f>
        <v>0</v>
      </c>
      <c r="D149" s="117">
        <f t="shared" si="7"/>
        <v>0</v>
      </c>
      <c r="E149" s="117">
        <f t="shared" ca="1" si="8"/>
        <v>0</v>
      </c>
      <c r="F149" s="117"/>
      <c r="G149" s="117">
        <f t="shared" si="10"/>
        <v>0</v>
      </c>
      <c r="H149" s="117">
        <f t="shared" si="6"/>
        <v>0</v>
      </c>
      <c r="I149" s="117">
        <f t="shared" ca="1" si="9"/>
        <v>0</v>
      </c>
    </row>
    <row r="150" spans="1:33" x14ac:dyDescent="0.2">
      <c r="A150" s="116">
        <v>59</v>
      </c>
      <c r="B150" s="117">
        <v>0</v>
      </c>
      <c r="C150" s="117">
        <f>IF($C$7=0,0, IF(59&lt;=$C$7, $F$16/$C$7, 0))</f>
        <v>0</v>
      </c>
      <c r="D150" s="117">
        <f t="shared" si="7"/>
        <v>0</v>
      </c>
      <c r="E150" s="117">
        <f t="shared" ca="1" si="8"/>
        <v>0</v>
      </c>
      <c r="F150" s="117"/>
      <c r="G150" s="117">
        <f t="shared" si="10"/>
        <v>0</v>
      </c>
      <c r="H150" s="117">
        <f t="shared" si="6"/>
        <v>0</v>
      </c>
      <c r="I150" s="117">
        <f t="shared" ca="1" si="9"/>
        <v>0</v>
      </c>
    </row>
    <row r="151" spans="1:33" x14ac:dyDescent="0.2">
      <c r="A151" s="116">
        <v>60</v>
      </c>
      <c r="B151" s="117">
        <v>0</v>
      </c>
      <c r="C151" s="117">
        <f>IF($C$7=0,0, IF(60&lt;=$C$7, $F$16/$C$7, 0))</f>
        <v>0</v>
      </c>
      <c r="D151" s="117">
        <f t="shared" si="7"/>
        <v>0</v>
      </c>
      <c r="E151" s="117">
        <f t="shared" ca="1" si="8"/>
        <v>0</v>
      </c>
      <c r="F151" s="117"/>
      <c r="G151" s="117">
        <f t="shared" si="10"/>
        <v>0</v>
      </c>
      <c r="H151" s="117">
        <f t="shared" si="6"/>
        <v>0</v>
      </c>
      <c r="I151" s="117">
        <f t="shared" ca="1" si="9"/>
        <v>0</v>
      </c>
    </row>
    <row r="153" spans="1:33" ht="15" customHeight="1" x14ac:dyDescent="0.2">
      <c r="A153" s="167" t="s">
        <v>225</v>
      </c>
      <c r="B153" s="166"/>
      <c r="C153" s="166"/>
      <c r="D153" s="166"/>
      <c r="E153" s="166"/>
      <c r="F153" s="166"/>
      <c r="G153" s="166"/>
      <c r="H153" s="166"/>
      <c r="I153" s="166"/>
      <c r="J153" s="166"/>
      <c r="K153" s="166"/>
      <c r="L153" s="166"/>
      <c r="M153" s="166"/>
      <c r="N153" s="166"/>
      <c r="O153" s="166"/>
      <c r="P153" s="166"/>
      <c r="Q153" s="166"/>
      <c r="R153" s="166"/>
      <c r="S153" s="166"/>
      <c r="T153" s="166"/>
      <c r="U153" s="166"/>
      <c r="V153" s="166"/>
      <c r="W153" s="166"/>
      <c r="X153" s="166"/>
      <c r="Y153" s="166"/>
      <c r="Z153" s="166"/>
      <c r="AA153" s="166"/>
      <c r="AB153" s="166"/>
      <c r="AC153" s="166"/>
      <c r="AD153" s="166"/>
      <c r="AE153" s="166"/>
      <c r="AF153" s="166"/>
    </row>
    <row r="154" spans="1:33" ht="16" x14ac:dyDescent="0.2">
      <c r="A154" s="115" t="s">
        <v>226</v>
      </c>
      <c r="B154" s="115" t="s">
        <v>0</v>
      </c>
      <c r="C154" s="120" t="s">
        <v>227</v>
      </c>
      <c r="D154" s="120" t="s">
        <v>228</v>
      </c>
      <c r="E154" s="120" t="s">
        <v>229</v>
      </c>
      <c r="F154" s="122" t="s">
        <v>230</v>
      </c>
      <c r="G154" s="122" t="s">
        <v>231</v>
      </c>
      <c r="H154" s="122" t="s">
        <v>232</v>
      </c>
      <c r="I154" s="124" t="s">
        <v>233</v>
      </c>
      <c r="J154" s="124" t="s">
        <v>234</v>
      </c>
      <c r="K154" s="124" t="s">
        <v>235</v>
      </c>
      <c r="L154" s="308" t="s">
        <v>698</v>
      </c>
      <c r="M154" s="308" t="s">
        <v>699</v>
      </c>
      <c r="N154" s="308" t="s">
        <v>700</v>
      </c>
      <c r="O154" s="308" t="s">
        <v>701</v>
      </c>
      <c r="P154" s="130" t="s">
        <v>244</v>
      </c>
      <c r="Q154" s="130" t="s">
        <v>245</v>
      </c>
      <c r="R154" s="130" t="s">
        <v>246</v>
      </c>
      <c r="S154" s="130" t="s">
        <v>247</v>
      </c>
      <c r="T154" s="126" t="s">
        <v>236</v>
      </c>
      <c r="U154" s="126" t="s">
        <v>237</v>
      </c>
      <c r="V154" s="126" t="s">
        <v>238</v>
      </c>
      <c r="W154" s="126" t="s">
        <v>239</v>
      </c>
      <c r="X154" s="128" t="s">
        <v>240</v>
      </c>
      <c r="Y154" s="128" t="s">
        <v>241</v>
      </c>
      <c r="Z154" s="128" t="s">
        <v>242</v>
      </c>
      <c r="AA154" s="128" t="s">
        <v>243</v>
      </c>
      <c r="AB154" s="115" t="s">
        <v>248</v>
      </c>
      <c r="AC154" s="115" t="s">
        <v>249</v>
      </c>
      <c r="AD154" s="115" t="s">
        <v>250</v>
      </c>
      <c r="AE154" s="115" t="s">
        <v>251</v>
      </c>
      <c r="AF154" s="115" t="s">
        <v>252</v>
      </c>
      <c r="AG154" s="115" t="s">
        <v>253</v>
      </c>
    </row>
    <row r="155" spans="1:33" x14ac:dyDescent="0.2">
      <c r="A155" s="116">
        <v>1</v>
      </c>
      <c r="B155" s="117">
        <f t="shared" ref="B155:B186" ca="1" si="11">I92</f>
        <v>6898966.8792121476</v>
      </c>
      <c r="C155" s="121">
        <f ca="1">$F$5</f>
        <v>2788115.2980081141</v>
      </c>
      <c r="D155" s="121">
        <f t="shared" ref="D155:D214" ca="1" si="12">MIN(B155, C155)</f>
        <v>2788115.2980081141</v>
      </c>
      <c r="E155" s="121">
        <f t="shared" ref="E155:E214" ca="1" si="13">C155-D155</f>
        <v>0</v>
      </c>
      <c r="F155" s="123">
        <f ca="1">$F$6*$C$13</f>
        <v>1351559.3789982665</v>
      </c>
      <c r="G155" s="123">
        <f t="shared" ref="G155:G214" ca="1" si="14">MIN(B155-D155, F155)</f>
        <v>1351559.3789982665</v>
      </c>
      <c r="H155" s="123">
        <f t="shared" ref="H155:H214" ca="1" si="15">F155-G155</f>
        <v>0</v>
      </c>
      <c r="I155" s="125">
        <f>$F$7</f>
        <v>0</v>
      </c>
      <c r="J155" s="125">
        <f t="shared" ref="J155:J214" ca="1" si="16">MIN(B155-D155-G155, I155)</f>
        <v>0</v>
      </c>
      <c r="K155" s="125">
        <f t="shared" ref="K155:K214" ca="1" si="17">I155-J155</f>
        <v>0</v>
      </c>
      <c r="L155" s="309"/>
      <c r="M155" s="309"/>
      <c r="N155" s="309"/>
      <c r="O155" s="309"/>
      <c r="P155" s="131">
        <v>0</v>
      </c>
      <c r="Q155" s="131">
        <f ca="1">MAX(0, MIN($F$10-SUM($Q154:Q$154), B155-D155-G155-J155-M155))</f>
        <v>0</v>
      </c>
      <c r="R155" s="131">
        <f>$D$19*P155</f>
        <v>0</v>
      </c>
      <c r="S155" s="131">
        <f ca="1">P155+Q155+R155</f>
        <v>0</v>
      </c>
      <c r="T155" s="127">
        <v>0</v>
      </c>
      <c r="U155" s="127">
        <f ca="1">MAX(0, MIN($F$8-SUM($U154:U$154), B155-D155-G155-J155-Q155-M155))</f>
        <v>2759292.2022057669</v>
      </c>
      <c r="V155" s="127">
        <f t="shared" ref="V155:V213" si="18">$D$17*T155</f>
        <v>0</v>
      </c>
      <c r="W155" s="127">
        <f t="shared" ref="W155:W156" ca="1" si="19">T155+U155+V155</f>
        <v>2759292.2022057669</v>
      </c>
      <c r="X155" s="129">
        <v>0</v>
      </c>
      <c r="Y155" s="129">
        <f ca="1">MAX(0, MIN($F$9-SUM($Y154:Y$154), B155-D155-G155-J155-U155-Q155-M155))</f>
        <v>0</v>
      </c>
      <c r="Z155" s="129">
        <f>$D$18*X155</f>
        <v>0</v>
      </c>
      <c r="AA155" s="129">
        <f ca="1">X155+Y155+Z155</f>
        <v>0</v>
      </c>
      <c r="AB155" s="117">
        <f>$F$11</f>
        <v>0</v>
      </c>
      <c r="AC155" s="117">
        <f ca="1">MAX(0, MIN(AB155, B155-D155-G155-J155-U155-Y155-Q155-M155))</f>
        <v>0</v>
      </c>
      <c r="AD155" s="117">
        <f t="shared" ref="AD155:AD156" ca="1" si="20">AB155-AC155</f>
        <v>0</v>
      </c>
      <c r="AE155" s="117">
        <f t="shared" ref="AE155:AE186" ca="1" si="21">C155+F155+I155+T155+X155+P155+AB155</f>
        <v>4139674.6770063806</v>
      </c>
      <c r="AF155" s="117">
        <f>V155+Z155+R155+N155</f>
        <v>0</v>
      </c>
      <c r="AG155" s="117">
        <f t="shared" ref="AG155:AG186" ca="1" si="22">E155+H155+K155+W155+AA155+S155+AD155</f>
        <v>2759292.2022057669</v>
      </c>
    </row>
    <row r="156" spans="1:33" x14ac:dyDescent="0.2">
      <c r="A156" s="116">
        <v>2</v>
      </c>
      <c r="B156" s="117">
        <f t="shared" ca="1" si="11"/>
        <v>836892.15919252136</v>
      </c>
      <c r="C156" s="121">
        <f t="shared" ref="C156:C214" ca="1" si="23">E155</f>
        <v>0</v>
      </c>
      <c r="D156" s="121">
        <f t="shared" ca="1" si="12"/>
        <v>0</v>
      </c>
      <c r="E156" s="121">
        <f t="shared" ca="1" si="13"/>
        <v>0</v>
      </c>
      <c r="F156" s="123">
        <f t="shared" ref="F156:F214" ca="1" si="24">H155</f>
        <v>0</v>
      </c>
      <c r="G156" s="123">
        <f t="shared" ca="1" si="14"/>
        <v>0</v>
      </c>
      <c r="H156" s="123">
        <f t="shared" ca="1" si="15"/>
        <v>0</v>
      </c>
      <c r="I156" s="125">
        <f t="shared" ref="I156:I214" ca="1" si="25">K155</f>
        <v>0</v>
      </c>
      <c r="J156" s="125">
        <f t="shared" ca="1" si="16"/>
        <v>0</v>
      </c>
      <c r="K156" s="125">
        <f t="shared" ca="1" si="17"/>
        <v>0</v>
      </c>
      <c r="L156" s="309"/>
      <c r="M156" s="309"/>
      <c r="N156" s="309"/>
      <c r="O156" s="309"/>
      <c r="P156" s="131">
        <f t="shared" ref="P156:P187" ca="1" si="26">IF($A156&lt;=$C$7,S155,0)</f>
        <v>0</v>
      </c>
      <c r="Q156" s="131">
        <f ca="1">MAX(0, MIN($F$10-SUM($Q$154:Q155), B156-D156-G156-J156-M156))</f>
        <v>0</v>
      </c>
      <c r="R156" s="131">
        <f ca="1">$D$19*P156</f>
        <v>0</v>
      </c>
      <c r="S156" s="131">
        <f ca="1">P156+Q156+R156</f>
        <v>0</v>
      </c>
      <c r="T156" s="127">
        <f t="shared" ref="T156:T187" ca="1" si="27">IF($A156&lt;=$C$7,W155,0)</f>
        <v>2759292.2022057669</v>
      </c>
      <c r="U156" s="127">
        <f ca="1">MAX(0, MIN($F$8-SUM($U$154:U155), B156-D156-G156-J156-Q156-M156))</f>
        <v>836892.15919252136</v>
      </c>
      <c r="V156" s="127">
        <f t="shared" ca="1" si="18"/>
        <v>13566.519994178354</v>
      </c>
      <c r="W156" s="127">
        <f t="shared" ca="1" si="19"/>
        <v>3609750.8813924664</v>
      </c>
      <c r="X156" s="129">
        <f t="shared" ref="X156:X187" ca="1" si="28">IF($A156&lt;=$C$7,AA155,0)</f>
        <v>0</v>
      </c>
      <c r="Y156" s="129">
        <f ca="1">MAX(0, MIN($F$9-SUM($Y$154:Y155), B156-D156-G156-J156-U156-Q156-M156))</f>
        <v>0</v>
      </c>
      <c r="Z156" s="129">
        <f t="shared" ref="Z156:Z213" ca="1" si="29">$D$18*X156</f>
        <v>0</v>
      </c>
      <c r="AA156" s="129">
        <f t="shared" ref="AA156" ca="1" si="30">X156+Y156+Z156</f>
        <v>0</v>
      </c>
      <c r="AB156" s="117">
        <f t="shared" ref="AB156:AB213" si="31">AB155</f>
        <v>0</v>
      </c>
      <c r="AC156" s="117">
        <f t="shared" ref="AC156:AC187" ca="1" si="32">MAX(0, MIN(AB156, B156-D156-G156-J156-U156-Y156-Q156))</f>
        <v>0</v>
      </c>
      <c r="AD156" s="117">
        <f t="shared" ca="1" si="20"/>
        <v>0</v>
      </c>
      <c r="AE156" s="117">
        <f t="shared" ca="1" si="21"/>
        <v>2759292.2022057669</v>
      </c>
      <c r="AF156" s="117">
        <f t="shared" ref="AF156:AF213" ca="1" si="33">V156+Z156+R156+N156</f>
        <v>13566.519994178354</v>
      </c>
      <c r="AG156" s="117">
        <f t="shared" ca="1" si="22"/>
        <v>3609750.8813924664</v>
      </c>
    </row>
    <row r="157" spans="1:33" x14ac:dyDescent="0.2">
      <c r="A157" s="116">
        <v>3</v>
      </c>
      <c r="B157" s="117">
        <f t="shared" ca="1" si="11"/>
        <v>998224.69132414402</v>
      </c>
      <c r="C157" s="121">
        <f t="shared" ca="1" si="23"/>
        <v>0</v>
      </c>
      <c r="D157" s="121">
        <f t="shared" ca="1" si="12"/>
        <v>0</v>
      </c>
      <c r="E157" s="121">
        <f t="shared" ca="1" si="13"/>
        <v>0</v>
      </c>
      <c r="F157" s="123">
        <f t="shared" ca="1" si="24"/>
        <v>0</v>
      </c>
      <c r="G157" s="123">
        <f t="shared" ca="1" si="14"/>
        <v>0</v>
      </c>
      <c r="H157" s="123">
        <f t="shared" ca="1" si="15"/>
        <v>0</v>
      </c>
      <c r="I157" s="125">
        <f t="shared" ca="1" si="25"/>
        <v>0</v>
      </c>
      <c r="J157" s="125">
        <f t="shared" ca="1" si="16"/>
        <v>0</v>
      </c>
      <c r="K157" s="125">
        <f t="shared" ca="1" si="17"/>
        <v>0</v>
      </c>
      <c r="L157" s="309"/>
      <c r="M157" s="309"/>
      <c r="N157" s="309"/>
      <c r="O157" s="309"/>
      <c r="P157" s="131">
        <f t="shared" ca="1" si="26"/>
        <v>0</v>
      </c>
      <c r="Q157" s="131">
        <f ca="1">MAX(0, MIN($F$10-SUM($Q$154:Q156), B157-D157-G157-J157-M157))</f>
        <v>0</v>
      </c>
      <c r="R157" s="131">
        <f t="shared" ref="R157:R214" ca="1" si="34">$D$19*P157</f>
        <v>0</v>
      </c>
      <c r="S157" s="131">
        <f t="shared" ref="S157:S214" ca="1" si="35">P157+Q157+R157</f>
        <v>0</v>
      </c>
      <c r="T157" s="127">
        <f t="shared" ca="1" si="27"/>
        <v>3609750.8813924664</v>
      </c>
      <c r="U157" s="127">
        <f ca="1">MAX(0, MIN($F$8-SUM($U$154:U156), B157-D157-G157-J157-Q157-M157))</f>
        <v>998224.69132414402</v>
      </c>
      <c r="V157" s="127">
        <f t="shared" ca="1" si="18"/>
        <v>17747.941833512959</v>
      </c>
      <c r="W157" s="127">
        <f t="shared" ref="W157:W213" ca="1" si="36">T157+U157+V157</f>
        <v>4625723.5145501234</v>
      </c>
      <c r="X157" s="129">
        <f t="shared" ca="1" si="28"/>
        <v>0</v>
      </c>
      <c r="Y157" s="129">
        <f ca="1">MAX(0, MIN($F$9-SUM($Y$154:Y156), B157-D157-G157-J157-U157-Q157-M157))</f>
        <v>0</v>
      </c>
      <c r="Z157" s="129">
        <f t="shared" ca="1" si="29"/>
        <v>0</v>
      </c>
      <c r="AA157" s="129">
        <f t="shared" ref="AA157:AA213" ca="1" si="37">X157+Y157+Z157</f>
        <v>0</v>
      </c>
      <c r="AB157" s="117">
        <f t="shared" si="31"/>
        <v>0</v>
      </c>
      <c r="AC157" s="117">
        <f t="shared" ca="1" si="32"/>
        <v>0</v>
      </c>
      <c r="AD157" s="117">
        <f t="shared" ref="AD157:AD213" ca="1" si="38">AB157-AC157</f>
        <v>0</v>
      </c>
      <c r="AE157" s="117">
        <f t="shared" ca="1" si="21"/>
        <v>3609750.8813924664</v>
      </c>
      <c r="AF157" s="117">
        <f t="shared" ca="1" si="33"/>
        <v>17747.941833512959</v>
      </c>
      <c r="AG157" s="117">
        <f t="shared" ca="1" si="22"/>
        <v>4625723.5145501234</v>
      </c>
    </row>
    <row r="158" spans="1:33" x14ac:dyDescent="0.2">
      <c r="A158" s="116">
        <v>4</v>
      </c>
      <c r="B158" s="117">
        <f t="shared" ca="1" si="11"/>
        <v>1173798.6657628964</v>
      </c>
      <c r="C158" s="121">
        <f t="shared" ca="1" si="23"/>
        <v>0</v>
      </c>
      <c r="D158" s="121">
        <f t="shared" ca="1" si="12"/>
        <v>0</v>
      </c>
      <c r="E158" s="121">
        <f t="shared" ca="1" si="13"/>
        <v>0</v>
      </c>
      <c r="F158" s="123">
        <f t="shared" ca="1" si="24"/>
        <v>0</v>
      </c>
      <c r="G158" s="123">
        <f t="shared" ca="1" si="14"/>
        <v>0</v>
      </c>
      <c r="H158" s="123">
        <f t="shared" ca="1" si="15"/>
        <v>0</v>
      </c>
      <c r="I158" s="125">
        <f t="shared" ca="1" si="25"/>
        <v>0</v>
      </c>
      <c r="J158" s="125">
        <f t="shared" ca="1" si="16"/>
        <v>0</v>
      </c>
      <c r="K158" s="125">
        <f t="shared" ca="1" si="17"/>
        <v>0</v>
      </c>
      <c r="L158" s="309"/>
      <c r="M158" s="309"/>
      <c r="N158" s="309"/>
      <c r="O158" s="309"/>
      <c r="P158" s="131">
        <f t="shared" ca="1" si="26"/>
        <v>0</v>
      </c>
      <c r="Q158" s="131">
        <f ca="1">MAX(0, MIN($F$10-SUM($Q$154:Q157), B158-D158-G158-J158-M158))</f>
        <v>0</v>
      </c>
      <c r="R158" s="131">
        <f t="shared" ca="1" si="34"/>
        <v>0</v>
      </c>
      <c r="S158" s="131">
        <f t="shared" ca="1" si="35"/>
        <v>0</v>
      </c>
      <c r="T158" s="127">
        <f t="shared" ca="1" si="27"/>
        <v>4625723.5145501234</v>
      </c>
      <c r="U158" s="127">
        <f ca="1">MAX(0, MIN($F$8-SUM($U$154:U157), B158-D158-G158-J158-Q158-M158))</f>
        <v>1173798.6657628964</v>
      </c>
      <c r="V158" s="127">
        <f t="shared" ca="1" si="18"/>
        <v>22743.14061320477</v>
      </c>
      <c r="W158" s="127">
        <f t="shared" ca="1" si="36"/>
        <v>5822265.3209262248</v>
      </c>
      <c r="X158" s="129">
        <f t="shared" ca="1" si="28"/>
        <v>0</v>
      </c>
      <c r="Y158" s="129">
        <f ca="1">MAX(0, MIN($F$9-SUM($Y$154:Y157), B158-D158-G158-J158-U158-Q158-M158))</f>
        <v>0</v>
      </c>
      <c r="Z158" s="129">
        <f t="shared" ca="1" si="29"/>
        <v>0</v>
      </c>
      <c r="AA158" s="129">
        <f t="shared" ca="1" si="37"/>
        <v>0</v>
      </c>
      <c r="AB158" s="117">
        <f t="shared" si="31"/>
        <v>0</v>
      </c>
      <c r="AC158" s="117">
        <f t="shared" ca="1" si="32"/>
        <v>0</v>
      </c>
      <c r="AD158" s="117">
        <f t="shared" ca="1" si="38"/>
        <v>0</v>
      </c>
      <c r="AE158" s="117">
        <f t="shared" ca="1" si="21"/>
        <v>4625723.5145501234</v>
      </c>
      <c r="AF158" s="117">
        <f t="shared" ca="1" si="33"/>
        <v>22743.14061320477</v>
      </c>
      <c r="AG158" s="117">
        <f t="shared" ca="1" si="22"/>
        <v>5822265.3209262248</v>
      </c>
    </row>
    <row r="159" spans="1:33" x14ac:dyDescent="0.2">
      <c r="A159" s="116">
        <v>5</v>
      </c>
      <c r="B159" s="117">
        <f t="shared" ca="1" si="11"/>
        <v>1356417.4025644497</v>
      </c>
      <c r="C159" s="121">
        <f t="shared" ca="1" si="23"/>
        <v>0</v>
      </c>
      <c r="D159" s="121">
        <f t="shared" ca="1" si="12"/>
        <v>0</v>
      </c>
      <c r="E159" s="121">
        <f t="shared" ca="1" si="13"/>
        <v>0</v>
      </c>
      <c r="F159" s="123">
        <f t="shared" ca="1" si="24"/>
        <v>0</v>
      </c>
      <c r="G159" s="123">
        <f t="shared" ca="1" si="14"/>
        <v>0</v>
      </c>
      <c r="H159" s="123">
        <f t="shared" ca="1" si="15"/>
        <v>0</v>
      </c>
      <c r="I159" s="125">
        <f t="shared" ca="1" si="25"/>
        <v>0</v>
      </c>
      <c r="J159" s="125">
        <f t="shared" ca="1" si="16"/>
        <v>0</v>
      </c>
      <c r="K159" s="125">
        <f t="shared" ca="1" si="17"/>
        <v>0</v>
      </c>
      <c r="L159" s="309"/>
      <c r="M159" s="309"/>
      <c r="N159" s="309"/>
      <c r="O159" s="309"/>
      <c r="P159" s="131">
        <f t="shared" ca="1" si="26"/>
        <v>0</v>
      </c>
      <c r="Q159" s="131">
        <f ca="1">MAX(0, MIN($F$10-SUM($Q$154:Q158), B159-D159-G159-J159-M159))</f>
        <v>0</v>
      </c>
      <c r="R159" s="131">
        <f t="shared" ca="1" si="34"/>
        <v>0</v>
      </c>
      <c r="S159" s="131">
        <f t="shared" ca="1" si="35"/>
        <v>0</v>
      </c>
      <c r="T159" s="127">
        <f t="shared" ca="1" si="27"/>
        <v>5822265.3209262248</v>
      </c>
      <c r="U159" s="127">
        <f ca="1">MAX(0, MIN($F$8-SUM($U$154:U158), B159-D159-G159-J159-Q159-M159))</f>
        <v>1356417.4025644497</v>
      </c>
      <c r="V159" s="127">
        <f t="shared" ca="1" si="18"/>
        <v>28626.137827887269</v>
      </c>
      <c r="W159" s="127">
        <f t="shared" ca="1" si="36"/>
        <v>7207308.8613185612</v>
      </c>
      <c r="X159" s="129">
        <f t="shared" ca="1" si="28"/>
        <v>0</v>
      </c>
      <c r="Y159" s="129">
        <f ca="1">MAX(0, MIN($F$9-SUM($Y$154:Y158), B159-D159-G159-J159-U159-Q159-M159))</f>
        <v>0</v>
      </c>
      <c r="Z159" s="129">
        <f t="shared" ca="1" si="29"/>
        <v>0</v>
      </c>
      <c r="AA159" s="129">
        <f t="shared" ca="1" si="37"/>
        <v>0</v>
      </c>
      <c r="AB159" s="117">
        <f t="shared" si="31"/>
        <v>0</v>
      </c>
      <c r="AC159" s="117">
        <f t="shared" ca="1" si="32"/>
        <v>0</v>
      </c>
      <c r="AD159" s="117">
        <f t="shared" ca="1" si="38"/>
        <v>0</v>
      </c>
      <c r="AE159" s="117">
        <f t="shared" ca="1" si="21"/>
        <v>5822265.3209262248</v>
      </c>
      <c r="AF159" s="117">
        <f t="shared" ca="1" si="33"/>
        <v>28626.137827887269</v>
      </c>
      <c r="AG159" s="117">
        <f t="shared" ca="1" si="22"/>
        <v>7207308.8613185612</v>
      </c>
    </row>
    <row r="160" spans="1:33" x14ac:dyDescent="0.2">
      <c r="A160" s="116">
        <v>6</v>
      </c>
      <c r="B160" s="117">
        <f t="shared" ca="1" si="11"/>
        <v>1535464.3695360757</v>
      </c>
      <c r="C160" s="121">
        <f t="shared" ca="1" si="23"/>
        <v>0</v>
      </c>
      <c r="D160" s="121">
        <f t="shared" ca="1" si="12"/>
        <v>0</v>
      </c>
      <c r="E160" s="121">
        <f t="shared" ca="1" si="13"/>
        <v>0</v>
      </c>
      <c r="F160" s="123">
        <f t="shared" ca="1" si="24"/>
        <v>0</v>
      </c>
      <c r="G160" s="123">
        <f t="shared" ca="1" si="14"/>
        <v>0</v>
      </c>
      <c r="H160" s="123">
        <f t="shared" ca="1" si="15"/>
        <v>0</v>
      </c>
      <c r="I160" s="125">
        <f t="shared" ca="1" si="25"/>
        <v>0</v>
      </c>
      <c r="J160" s="125">
        <f t="shared" ca="1" si="16"/>
        <v>0</v>
      </c>
      <c r="K160" s="125">
        <f t="shared" ca="1" si="17"/>
        <v>0</v>
      </c>
      <c r="L160" s="309"/>
      <c r="M160" s="309"/>
      <c r="N160" s="309"/>
      <c r="O160" s="309"/>
      <c r="P160" s="131">
        <f t="shared" ca="1" si="26"/>
        <v>0</v>
      </c>
      <c r="Q160" s="131">
        <f ca="1">MAX(0, MIN($F$10-SUM($Q$154:Q159), B160-D160-G160-J160-M160))</f>
        <v>0</v>
      </c>
      <c r="R160" s="131">
        <f t="shared" ca="1" si="34"/>
        <v>0</v>
      </c>
      <c r="S160" s="131">
        <f t="shared" ca="1" si="35"/>
        <v>0</v>
      </c>
      <c r="T160" s="127">
        <f t="shared" ca="1" si="27"/>
        <v>7207308.8613185612</v>
      </c>
      <c r="U160" s="127">
        <f ca="1">MAX(0, MIN($F$8-SUM($U$154:U159), B160-D160-G160-J160-Q160-M160))</f>
        <v>1535464.3695360757</v>
      </c>
      <c r="V160" s="127">
        <f t="shared" ca="1" si="18"/>
        <v>35435.935234816257</v>
      </c>
      <c r="W160" s="127">
        <f t="shared" ca="1" si="36"/>
        <v>8778209.1660894547</v>
      </c>
      <c r="X160" s="129">
        <f t="shared" ca="1" si="28"/>
        <v>0</v>
      </c>
      <c r="Y160" s="129">
        <f ca="1">MAX(0, MIN($F$9-SUM($Y$154:Y159), B160-D160-G160-J160-U160-Q160-M160))</f>
        <v>0</v>
      </c>
      <c r="Z160" s="129">
        <f t="shared" ca="1" si="29"/>
        <v>0</v>
      </c>
      <c r="AA160" s="129">
        <f t="shared" ca="1" si="37"/>
        <v>0</v>
      </c>
      <c r="AB160" s="117">
        <f t="shared" si="31"/>
        <v>0</v>
      </c>
      <c r="AC160" s="117">
        <f t="shared" ca="1" si="32"/>
        <v>0</v>
      </c>
      <c r="AD160" s="117">
        <f t="shared" ca="1" si="38"/>
        <v>0</v>
      </c>
      <c r="AE160" s="117">
        <f t="shared" ca="1" si="21"/>
        <v>7207308.8613185612</v>
      </c>
      <c r="AF160" s="117">
        <f t="shared" ca="1" si="33"/>
        <v>35435.935234816257</v>
      </c>
      <c r="AG160" s="117">
        <f t="shared" ca="1" si="22"/>
        <v>8778209.1660894547</v>
      </c>
    </row>
    <row r="161" spans="1:33" x14ac:dyDescent="0.2">
      <c r="A161" s="116">
        <v>7</v>
      </c>
      <c r="B161" s="117">
        <f t="shared" ca="1" si="11"/>
        <v>1697457.9228043044</v>
      </c>
      <c r="C161" s="121">
        <f t="shared" ca="1" si="23"/>
        <v>0</v>
      </c>
      <c r="D161" s="121">
        <f t="shared" ca="1" si="12"/>
        <v>0</v>
      </c>
      <c r="E161" s="121">
        <f t="shared" ca="1" si="13"/>
        <v>0</v>
      </c>
      <c r="F161" s="123">
        <f t="shared" ca="1" si="24"/>
        <v>0</v>
      </c>
      <c r="G161" s="123">
        <f t="shared" ca="1" si="14"/>
        <v>0</v>
      </c>
      <c r="H161" s="123">
        <f t="shared" ca="1" si="15"/>
        <v>0</v>
      </c>
      <c r="I161" s="125">
        <f t="shared" ca="1" si="25"/>
        <v>0</v>
      </c>
      <c r="J161" s="125">
        <f t="shared" ca="1" si="16"/>
        <v>0</v>
      </c>
      <c r="K161" s="125">
        <f t="shared" ca="1" si="17"/>
        <v>0</v>
      </c>
      <c r="L161" s="309"/>
      <c r="M161" s="309"/>
      <c r="N161" s="309"/>
      <c r="O161" s="309"/>
      <c r="P161" s="131">
        <f t="shared" ca="1" si="26"/>
        <v>0</v>
      </c>
      <c r="Q161" s="131">
        <f ca="1">MAX(0, MIN($F$10-SUM($Q$154:Q160), B161-D161-G161-J161-M161))</f>
        <v>0</v>
      </c>
      <c r="R161" s="131">
        <f t="shared" ca="1" si="34"/>
        <v>0</v>
      </c>
      <c r="S161" s="131">
        <f t="shared" ca="1" si="35"/>
        <v>0</v>
      </c>
      <c r="T161" s="127">
        <f t="shared" ca="1" si="27"/>
        <v>8778209.1660894547</v>
      </c>
      <c r="U161" s="127">
        <f ca="1">MAX(0, MIN($F$8-SUM($U$154:U160), B161-D161-G161-J161-Q161-M161))</f>
        <v>447000.2714413479</v>
      </c>
      <c r="V161" s="127">
        <f t="shared" ca="1" si="18"/>
        <v>43159.528399939816</v>
      </c>
      <c r="W161" s="127">
        <f t="shared" ca="1" si="36"/>
        <v>9268368.9659307431</v>
      </c>
      <c r="X161" s="129">
        <f t="shared" ca="1" si="28"/>
        <v>0</v>
      </c>
      <c r="Y161" s="129">
        <f ca="1">MAX(0, MIN($F$9-SUM($Y$154:Y160), B161-D161-G161-J161-U161-Q161-M161))</f>
        <v>1250457.6513629565</v>
      </c>
      <c r="Z161" s="129">
        <f t="shared" ca="1" si="29"/>
        <v>0</v>
      </c>
      <c r="AA161" s="129">
        <f t="shared" ca="1" si="37"/>
        <v>1250457.6513629565</v>
      </c>
      <c r="AB161" s="117">
        <f t="shared" si="31"/>
        <v>0</v>
      </c>
      <c r="AC161" s="117">
        <f t="shared" ca="1" si="32"/>
        <v>0</v>
      </c>
      <c r="AD161" s="117">
        <f t="shared" ca="1" si="38"/>
        <v>0</v>
      </c>
      <c r="AE161" s="117">
        <f t="shared" ca="1" si="21"/>
        <v>8778209.1660894547</v>
      </c>
      <c r="AF161" s="117">
        <f t="shared" ca="1" si="33"/>
        <v>43159.528399939816</v>
      </c>
      <c r="AG161" s="117">
        <f t="shared" ca="1" si="22"/>
        <v>10518826.617293701</v>
      </c>
    </row>
    <row r="162" spans="1:33" x14ac:dyDescent="0.2">
      <c r="A162" s="116">
        <v>8</v>
      </c>
      <c r="B162" s="117">
        <f t="shared" ca="1" si="11"/>
        <v>1827601.0230592552</v>
      </c>
      <c r="C162" s="121">
        <f t="shared" ca="1" si="23"/>
        <v>0</v>
      </c>
      <c r="D162" s="121">
        <f t="shared" ca="1" si="12"/>
        <v>0</v>
      </c>
      <c r="E162" s="121">
        <f t="shared" ca="1" si="13"/>
        <v>0</v>
      </c>
      <c r="F162" s="123">
        <f t="shared" ca="1" si="24"/>
        <v>0</v>
      </c>
      <c r="G162" s="123">
        <f t="shared" ca="1" si="14"/>
        <v>0</v>
      </c>
      <c r="H162" s="123">
        <f t="shared" ca="1" si="15"/>
        <v>0</v>
      </c>
      <c r="I162" s="125">
        <f t="shared" ca="1" si="25"/>
        <v>0</v>
      </c>
      <c r="J162" s="125">
        <f t="shared" ca="1" si="16"/>
        <v>0</v>
      </c>
      <c r="K162" s="125">
        <f t="shared" ca="1" si="17"/>
        <v>0</v>
      </c>
      <c r="L162" s="309"/>
      <c r="M162" s="309"/>
      <c r="N162" s="309"/>
      <c r="O162" s="309"/>
      <c r="P162" s="131">
        <f t="shared" ca="1" si="26"/>
        <v>0</v>
      </c>
      <c r="Q162" s="131">
        <f ca="1">MAX(0, MIN($F$10-SUM($Q$154:Q161), B162-D162-G162-J162-M162))</f>
        <v>0</v>
      </c>
      <c r="R162" s="131">
        <f t="shared" ca="1" si="34"/>
        <v>0</v>
      </c>
      <c r="S162" s="131">
        <f t="shared" ca="1" si="35"/>
        <v>0</v>
      </c>
      <c r="T162" s="127">
        <f t="shared" ca="1" si="27"/>
        <v>9268368.9659307431</v>
      </c>
      <c r="U162" s="127">
        <f ca="1">MAX(0, MIN($F$8-SUM($U$154:U161), B162-D162-G162-J162-Q162-M162))</f>
        <v>0</v>
      </c>
      <c r="V162" s="127">
        <f t="shared" ca="1" si="18"/>
        <v>45569.480749159484</v>
      </c>
      <c r="W162" s="127">
        <f t="shared" ca="1" si="36"/>
        <v>9313938.4466799032</v>
      </c>
      <c r="X162" s="129">
        <f t="shared" ca="1" si="28"/>
        <v>1250457.6513629565</v>
      </c>
      <c r="Y162" s="129">
        <f ca="1">MAX(0, MIN($F$9-SUM($Y$154:Y161), B162-D162-G162-J162-U162-Q162-M162))</f>
        <v>1827601.0230592552</v>
      </c>
      <c r="Z162" s="129">
        <f t="shared" ca="1" si="29"/>
        <v>6148.0834525345354</v>
      </c>
      <c r="AA162" s="129">
        <f t="shared" ca="1" si="37"/>
        <v>3084206.7578747463</v>
      </c>
      <c r="AB162" s="117">
        <f t="shared" si="31"/>
        <v>0</v>
      </c>
      <c r="AC162" s="117">
        <f t="shared" ca="1" si="32"/>
        <v>0</v>
      </c>
      <c r="AD162" s="117">
        <f t="shared" ca="1" si="38"/>
        <v>0</v>
      </c>
      <c r="AE162" s="117">
        <f t="shared" ca="1" si="21"/>
        <v>10518826.617293701</v>
      </c>
      <c r="AF162" s="117">
        <f t="shared" ca="1" si="33"/>
        <v>51717.564201694018</v>
      </c>
      <c r="AG162" s="117">
        <f t="shared" ca="1" si="22"/>
        <v>12398145.204554649</v>
      </c>
    </row>
    <row r="163" spans="1:33" x14ac:dyDescent="0.2">
      <c r="A163" s="116">
        <v>9</v>
      </c>
      <c r="B163" s="117">
        <f t="shared" ca="1" si="11"/>
        <v>1912230.5882680535</v>
      </c>
      <c r="C163" s="121">
        <f t="shared" ca="1" si="23"/>
        <v>0</v>
      </c>
      <c r="D163" s="121">
        <f t="shared" ca="1" si="12"/>
        <v>0</v>
      </c>
      <c r="E163" s="121">
        <f t="shared" ca="1" si="13"/>
        <v>0</v>
      </c>
      <c r="F163" s="123">
        <f t="shared" ca="1" si="24"/>
        <v>0</v>
      </c>
      <c r="G163" s="123">
        <f t="shared" ca="1" si="14"/>
        <v>0</v>
      </c>
      <c r="H163" s="123">
        <f t="shared" ca="1" si="15"/>
        <v>0</v>
      </c>
      <c r="I163" s="125">
        <f t="shared" ca="1" si="25"/>
        <v>0</v>
      </c>
      <c r="J163" s="125">
        <f t="shared" ca="1" si="16"/>
        <v>0</v>
      </c>
      <c r="K163" s="125">
        <f t="shared" ca="1" si="17"/>
        <v>0</v>
      </c>
      <c r="L163" s="309"/>
      <c r="M163" s="309"/>
      <c r="N163" s="309"/>
      <c r="O163" s="309"/>
      <c r="P163" s="131">
        <f t="shared" ca="1" si="26"/>
        <v>0</v>
      </c>
      <c r="Q163" s="131">
        <f ca="1">MAX(0, MIN($F$10-SUM($Q$154:Q162), B163-D163-G163-J163-M163))</f>
        <v>0</v>
      </c>
      <c r="R163" s="131">
        <f t="shared" ca="1" si="34"/>
        <v>0</v>
      </c>
      <c r="S163" s="131">
        <f t="shared" ca="1" si="35"/>
        <v>0</v>
      </c>
      <c r="T163" s="127">
        <f t="shared" ca="1" si="27"/>
        <v>9313938.4466799032</v>
      </c>
      <c r="U163" s="127">
        <f ca="1">MAX(0, MIN($F$8-SUM($U$154:U162), B163-D163-G163-J163-Q163-M163))</f>
        <v>0</v>
      </c>
      <c r="V163" s="127">
        <f t="shared" ca="1" si="18"/>
        <v>45793.530696176189</v>
      </c>
      <c r="W163" s="127">
        <f t="shared" ca="1" si="36"/>
        <v>9359731.9773760792</v>
      </c>
      <c r="X163" s="129">
        <f t="shared" ca="1" si="28"/>
        <v>3084206.7578747463</v>
      </c>
      <c r="Y163" s="129">
        <f ca="1">MAX(0, MIN($F$9-SUM($Y$154:Y162), B163-D163-G163-J163-U163-Q163-M163))</f>
        <v>1912230.5882680535</v>
      </c>
      <c r="Z163" s="129">
        <f t="shared" ca="1" si="29"/>
        <v>15164.016559550835</v>
      </c>
      <c r="AA163" s="129">
        <f t="shared" ca="1" si="37"/>
        <v>5011601.3627023501</v>
      </c>
      <c r="AB163" s="117">
        <f t="shared" si="31"/>
        <v>0</v>
      </c>
      <c r="AC163" s="117">
        <f t="shared" ca="1" si="32"/>
        <v>0</v>
      </c>
      <c r="AD163" s="117">
        <f t="shared" ca="1" si="38"/>
        <v>0</v>
      </c>
      <c r="AE163" s="117">
        <f t="shared" ca="1" si="21"/>
        <v>12398145.204554649</v>
      </c>
      <c r="AF163" s="117">
        <f t="shared" ca="1" si="33"/>
        <v>60957.547255727026</v>
      </c>
      <c r="AG163" s="117">
        <f t="shared" ca="1" si="22"/>
        <v>14371333.340078428</v>
      </c>
    </row>
    <row r="164" spans="1:33" x14ac:dyDescent="0.2">
      <c r="A164" s="116">
        <v>10</v>
      </c>
      <c r="B164" s="117">
        <f t="shared" ca="1" si="11"/>
        <v>1941618.1485014677</v>
      </c>
      <c r="C164" s="121">
        <f t="shared" ca="1" si="23"/>
        <v>0</v>
      </c>
      <c r="D164" s="121">
        <f t="shared" ca="1" si="12"/>
        <v>0</v>
      </c>
      <c r="E164" s="121">
        <f t="shared" ca="1" si="13"/>
        <v>0</v>
      </c>
      <c r="F164" s="123">
        <f t="shared" ca="1" si="24"/>
        <v>0</v>
      </c>
      <c r="G164" s="123">
        <f t="shared" ca="1" si="14"/>
        <v>0</v>
      </c>
      <c r="H164" s="123">
        <f t="shared" ca="1" si="15"/>
        <v>0</v>
      </c>
      <c r="I164" s="125">
        <f t="shared" ca="1" si="25"/>
        <v>0</v>
      </c>
      <c r="J164" s="125">
        <f t="shared" ca="1" si="16"/>
        <v>0</v>
      </c>
      <c r="K164" s="125">
        <f t="shared" ca="1" si="17"/>
        <v>0</v>
      </c>
      <c r="L164" s="309"/>
      <c r="M164" s="309"/>
      <c r="N164" s="309"/>
      <c r="O164" s="309"/>
      <c r="P164" s="131">
        <f t="shared" ca="1" si="26"/>
        <v>0</v>
      </c>
      <c r="Q164" s="131">
        <f ca="1">MAX(0, MIN($F$10-SUM($Q$154:Q163), B164-D164-G164-J164-M164))</f>
        <v>0</v>
      </c>
      <c r="R164" s="131">
        <f t="shared" ca="1" si="34"/>
        <v>0</v>
      </c>
      <c r="S164" s="131">
        <f t="shared" ca="1" si="35"/>
        <v>0</v>
      </c>
      <c r="T164" s="127">
        <f t="shared" ca="1" si="27"/>
        <v>9359731.9773760792</v>
      </c>
      <c r="U164" s="127">
        <f ca="1">MAX(0, MIN($F$8-SUM($U$154:U163), B164-D164-G164-J164-Q164-M164))</f>
        <v>0</v>
      </c>
      <c r="V164" s="127">
        <f t="shared" ca="1" si="18"/>
        <v>46018.682222099051</v>
      </c>
      <c r="W164" s="127">
        <f t="shared" ca="1" si="36"/>
        <v>9405750.6595981792</v>
      </c>
      <c r="X164" s="129">
        <f t="shared" ca="1" si="28"/>
        <v>5011601.3627023501</v>
      </c>
      <c r="Y164" s="129">
        <f ca="1">MAX(0, MIN($F$9-SUM($Y$154:Y163), B164-D164-G164-J164-U164-Q164-M164))</f>
        <v>1941618.1485014677</v>
      </c>
      <c r="Z164" s="129">
        <f t="shared" ca="1" si="29"/>
        <v>24640.373366619886</v>
      </c>
      <c r="AA164" s="129">
        <f t="shared" ca="1" si="37"/>
        <v>6977859.8845704375</v>
      </c>
      <c r="AB164" s="117">
        <f t="shared" si="31"/>
        <v>0</v>
      </c>
      <c r="AC164" s="117">
        <f t="shared" ca="1" si="32"/>
        <v>0</v>
      </c>
      <c r="AD164" s="117">
        <f t="shared" ca="1" si="38"/>
        <v>0</v>
      </c>
      <c r="AE164" s="117">
        <f t="shared" ca="1" si="21"/>
        <v>14371333.340078428</v>
      </c>
      <c r="AF164" s="117">
        <f t="shared" ca="1" si="33"/>
        <v>70659.05558871894</v>
      </c>
      <c r="AG164" s="117">
        <f t="shared" ca="1" si="22"/>
        <v>16383610.544168618</v>
      </c>
    </row>
    <row r="165" spans="1:33" x14ac:dyDescent="0.2">
      <c r="A165" s="116">
        <v>11</v>
      </c>
      <c r="B165" s="117">
        <f t="shared" ca="1" si="11"/>
        <v>1912230.5882680502</v>
      </c>
      <c r="C165" s="121">
        <f t="shared" ca="1" si="23"/>
        <v>0</v>
      </c>
      <c r="D165" s="121">
        <f t="shared" ca="1" si="12"/>
        <v>0</v>
      </c>
      <c r="E165" s="121">
        <f t="shared" ca="1" si="13"/>
        <v>0</v>
      </c>
      <c r="F165" s="123">
        <f t="shared" ca="1" si="24"/>
        <v>0</v>
      </c>
      <c r="G165" s="123">
        <f t="shared" ca="1" si="14"/>
        <v>0</v>
      </c>
      <c r="H165" s="123">
        <f t="shared" ca="1" si="15"/>
        <v>0</v>
      </c>
      <c r="I165" s="125">
        <f t="shared" ca="1" si="25"/>
        <v>0</v>
      </c>
      <c r="J165" s="125">
        <f t="shared" ca="1" si="16"/>
        <v>0</v>
      </c>
      <c r="K165" s="125">
        <f t="shared" ca="1" si="17"/>
        <v>0</v>
      </c>
      <c r="L165" s="309"/>
      <c r="M165" s="309"/>
      <c r="N165" s="309"/>
      <c r="O165" s="309"/>
      <c r="P165" s="131">
        <f t="shared" ca="1" si="26"/>
        <v>0</v>
      </c>
      <c r="Q165" s="131">
        <f ca="1">MAX(0, MIN($F$10-SUM($Q$154:Q164), B165-D165-G165-J165-M165))</f>
        <v>0</v>
      </c>
      <c r="R165" s="131">
        <f t="shared" ca="1" si="34"/>
        <v>0</v>
      </c>
      <c r="S165" s="131">
        <f t="shared" ca="1" si="35"/>
        <v>0</v>
      </c>
      <c r="T165" s="127">
        <f t="shared" ca="1" si="27"/>
        <v>9405750.6595981792</v>
      </c>
      <c r="U165" s="127">
        <f ca="1">MAX(0, MIN($F$8-SUM($U$154:U164), B165-D165-G165-J165-Q165-M165))</f>
        <v>0</v>
      </c>
      <c r="V165" s="127">
        <f t="shared" ca="1" si="18"/>
        <v>46244.940743024381</v>
      </c>
      <c r="W165" s="127">
        <f t="shared" ca="1" si="36"/>
        <v>9451995.6003412027</v>
      </c>
      <c r="X165" s="129">
        <f t="shared" ca="1" si="28"/>
        <v>6977859.8845704375</v>
      </c>
      <c r="Y165" s="129">
        <f ca="1">MAX(0, MIN($F$9-SUM($Y$154:Y164), B165-D165-G165-J165-U165-Q165-M165))</f>
        <v>1912230.5882680502</v>
      </c>
      <c r="Z165" s="129">
        <f t="shared" ca="1" si="29"/>
        <v>34307.81109913798</v>
      </c>
      <c r="AA165" s="129">
        <f t="shared" ca="1" si="37"/>
        <v>8924398.2839376256</v>
      </c>
      <c r="AB165" s="117">
        <f t="shared" si="31"/>
        <v>0</v>
      </c>
      <c r="AC165" s="117">
        <f t="shared" ca="1" si="32"/>
        <v>0</v>
      </c>
      <c r="AD165" s="117">
        <f t="shared" ca="1" si="38"/>
        <v>0</v>
      </c>
      <c r="AE165" s="117">
        <f t="shared" ca="1" si="21"/>
        <v>16383610.544168618</v>
      </c>
      <c r="AF165" s="117">
        <f t="shared" ca="1" si="33"/>
        <v>80552.751842162368</v>
      </c>
      <c r="AG165" s="117">
        <f t="shared" ca="1" si="22"/>
        <v>18376393.884278826</v>
      </c>
    </row>
    <row r="166" spans="1:33" x14ac:dyDescent="0.2">
      <c r="A166" s="116">
        <v>12</v>
      </c>
      <c r="B166" s="117">
        <f t="shared" ca="1" si="11"/>
        <v>1827601.0230592552</v>
      </c>
      <c r="C166" s="121">
        <f t="shared" ca="1" si="23"/>
        <v>0</v>
      </c>
      <c r="D166" s="121">
        <f t="shared" ca="1" si="12"/>
        <v>0</v>
      </c>
      <c r="E166" s="121">
        <f t="shared" ca="1" si="13"/>
        <v>0</v>
      </c>
      <c r="F166" s="123">
        <f t="shared" ca="1" si="24"/>
        <v>0</v>
      </c>
      <c r="G166" s="123">
        <f t="shared" ca="1" si="14"/>
        <v>0</v>
      </c>
      <c r="H166" s="123">
        <f t="shared" ca="1" si="15"/>
        <v>0</v>
      </c>
      <c r="I166" s="125">
        <f t="shared" ca="1" si="25"/>
        <v>0</v>
      </c>
      <c r="J166" s="125">
        <f t="shared" ca="1" si="16"/>
        <v>0</v>
      </c>
      <c r="K166" s="125">
        <f t="shared" ca="1" si="17"/>
        <v>0</v>
      </c>
      <c r="L166" s="309"/>
      <c r="M166" s="309"/>
      <c r="N166" s="309"/>
      <c r="O166" s="309"/>
      <c r="P166" s="131">
        <f t="shared" ca="1" si="26"/>
        <v>0</v>
      </c>
      <c r="Q166" s="131">
        <f ca="1">MAX(0, MIN($F$10-SUM($Q$154:Q165), B166-D166-G166-J166-M166))</f>
        <v>0</v>
      </c>
      <c r="R166" s="131">
        <f t="shared" ca="1" si="34"/>
        <v>0</v>
      </c>
      <c r="S166" s="131">
        <f t="shared" ca="1" si="35"/>
        <v>0</v>
      </c>
      <c r="T166" s="127">
        <f t="shared" ca="1" si="27"/>
        <v>9451995.6003412027</v>
      </c>
      <c r="U166" s="127">
        <f ca="1">MAX(0, MIN($F$8-SUM($U$154:U165), B166-D166-G166-J166-Q166-M166))</f>
        <v>0</v>
      </c>
      <c r="V166" s="127">
        <f t="shared" ca="1" si="18"/>
        <v>46472.31170167758</v>
      </c>
      <c r="W166" s="127">
        <f t="shared" ca="1" si="36"/>
        <v>9498467.9120428804</v>
      </c>
      <c r="X166" s="129">
        <f t="shared" ca="1" si="28"/>
        <v>8924398.2839376256</v>
      </c>
      <c r="Y166" s="129">
        <f ca="1">MAX(0, MIN($F$9-SUM($Y$154:Y165), B166-D166-G166-J166-U166-Q166-M166))</f>
        <v>1827601.0230592552</v>
      </c>
      <c r="Z166" s="129">
        <f t="shared" ca="1" si="29"/>
        <v>43878.291562693325</v>
      </c>
      <c r="AA166" s="129">
        <f t="shared" ca="1" si="37"/>
        <v>10795877.598559573</v>
      </c>
      <c r="AB166" s="117">
        <f t="shared" si="31"/>
        <v>0</v>
      </c>
      <c r="AC166" s="117">
        <f t="shared" ca="1" si="32"/>
        <v>0</v>
      </c>
      <c r="AD166" s="117">
        <f t="shared" ca="1" si="38"/>
        <v>0</v>
      </c>
      <c r="AE166" s="117">
        <f t="shared" ca="1" si="21"/>
        <v>18376393.884278826</v>
      </c>
      <c r="AF166" s="117">
        <f t="shared" ca="1" si="33"/>
        <v>90350.603264370904</v>
      </c>
      <c r="AG166" s="117">
        <f t="shared" ca="1" si="22"/>
        <v>20294345.510602452</v>
      </c>
    </row>
    <row r="167" spans="1:33" x14ac:dyDescent="0.2">
      <c r="A167" s="116">
        <v>13</v>
      </c>
      <c r="B167" s="117">
        <f t="shared" ca="1" si="11"/>
        <v>1697457.922804306</v>
      </c>
      <c r="C167" s="121">
        <f t="shared" ca="1" si="23"/>
        <v>0</v>
      </c>
      <c r="D167" s="121">
        <f t="shared" ca="1" si="12"/>
        <v>0</v>
      </c>
      <c r="E167" s="121">
        <f t="shared" ca="1" si="13"/>
        <v>0</v>
      </c>
      <c r="F167" s="123">
        <f t="shared" ca="1" si="24"/>
        <v>0</v>
      </c>
      <c r="G167" s="123">
        <f t="shared" ca="1" si="14"/>
        <v>0</v>
      </c>
      <c r="H167" s="123">
        <f t="shared" ca="1" si="15"/>
        <v>0</v>
      </c>
      <c r="I167" s="125">
        <f t="shared" ca="1" si="25"/>
        <v>0</v>
      </c>
      <c r="J167" s="125">
        <f t="shared" ca="1" si="16"/>
        <v>0</v>
      </c>
      <c r="K167" s="125">
        <f t="shared" ca="1" si="17"/>
        <v>0</v>
      </c>
      <c r="L167" s="309"/>
      <c r="M167" s="309"/>
      <c r="N167" s="309"/>
      <c r="O167" s="309"/>
      <c r="P167" s="131">
        <f t="shared" ca="1" si="26"/>
        <v>0</v>
      </c>
      <c r="Q167" s="131">
        <f ca="1">MAX(0, MIN($F$10-SUM($Q$154:Q166), B167-D167-G167-J167-M167))</f>
        <v>0</v>
      </c>
      <c r="R167" s="131">
        <f t="shared" ca="1" si="34"/>
        <v>0</v>
      </c>
      <c r="S167" s="131">
        <f t="shared" ca="1" si="35"/>
        <v>0</v>
      </c>
      <c r="T167" s="127">
        <f t="shared" ca="1" si="27"/>
        <v>9498467.9120428804</v>
      </c>
      <c r="U167" s="127">
        <f ca="1">MAX(0, MIN($F$8-SUM($U$154:U166), B167-D167-G167-J167-Q167-M167))</f>
        <v>0</v>
      </c>
      <c r="V167" s="127">
        <f t="shared" ca="1" si="18"/>
        <v>46700.80056754416</v>
      </c>
      <c r="W167" s="127">
        <f t="shared" ca="1" si="36"/>
        <v>9545168.7126104254</v>
      </c>
      <c r="X167" s="129">
        <f t="shared" ca="1" si="28"/>
        <v>10795877.598559573</v>
      </c>
      <c r="Y167" s="129">
        <f ca="1">MAX(0, MIN($F$9-SUM($Y$154:Y166), B167-D167-G167-J167-U167-Q167-M167))</f>
        <v>1697457.922804306</v>
      </c>
      <c r="Z167" s="129">
        <f t="shared" ca="1" si="29"/>
        <v>53079.731526251235</v>
      </c>
      <c r="AA167" s="129">
        <f t="shared" ca="1" si="37"/>
        <v>12546415.252890131</v>
      </c>
      <c r="AB167" s="117">
        <f t="shared" si="31"/>
        <v>0</v>
      </c>
      <c r="AC167" s="117">
        <f t="shared" ca="1" si="32"/>
        <v>0</v>
      </c>
      <c r="AD167" s="117">
        <f t="shared" ca="1" si="38"/>
        <v>0</v>
      </c>
      <c r="AE167" s="117">
        <f t="shared" ca="1" si="21"/>
        <v>20294345.510602452</v>
      </c>
      <c r="AF167" s="117">
        <f t="shared" ca="1" si="33"/>
        <v>99780.532093795395</v>
      </c>
      <c r="AG167" s="117">
        <f t="shared" ca="1" si="22"/>
        <v>22091583.965500556</v>
      </c>
    </row>
    <row r="168" spans="1:33" x14ac:dyDescent="0.2">
      <c r="A168" s="116">
        <v>14</v>
      </c>
      <c r="B168" s="117">
        <f t="shared" ca="1" si="11"/>
        <v>1535464.3695360748</v>
      </c>
      <c r="C168" s="121">
        <f t="shared" ca="1" si="23"/>
        <v>0</v>
      </c>
      <c r="D168" s="121">
        <f t="shared" ca="1" si="12"/>
        <v>0</v>
      </c>
      <c r="E168" s="121">
        <f t="shared" ca="1" si="13"/>
        <v>0</v>
      </c>
      <c r="F168" s="123">
        <f t="shared" ca="1" si="24"/>
        <v>0</v>
      </c>
      <c r="G168" s="123">
        <f t="shared" ca="1" si="14"/>
        <v>0</v>
      </c>
      <c r="H168" s="123">
        <f t="shared" ca="1" si="15"/>
        <v>0</v>
      </c>
      <c r="I168" s="125">
        <f t="shared" ca="1" si="25"/>
        <v>0</v>
      </c>
      <c r="J168" s="125">
        <f t="shared" ca="1" si="16"/>
        <v>0</v>
      </c>
      <c r="K168" s="125">
        <f t="shared" ca="1" si="17"/>
        <v>0</v>
      </c>
      <c r="L168" s="309"/>
      <c r="M168" s="309"/>
      <c r="N168" s="309"/>
      <c r="O168" s="309"/>
      <c r="P168" s="131">
        <f t="shared" ca="1" si="26"/>
        <v>0</v>
      </c>
      <c r="Q168" s="131">
        <f ca="1">MAX(0, MIN($F$10-SUM($Q$154:Q167), B168-D168-G168-J168-M168))</f>
        <v>0</v>
      </c>
      <c r="R168" s="131">
        <f t="shared" ca="1" si="34"/>
        <v>0</v>
      </c>
      <c r="S168" s="131">
        <f t="shared" ca="1" si="35"/>
        <v>0</v>
      </c>
      <c r="T168" s="127">
        <f t="shared" ca="1" si="27"/>
        <v>9545168.7126104254</v>
      </c>
      <c r="U168" s="127">
        <f ca="1">MAX(0, MIN($F$8-SUM($U$154:U167), B168-D168-G168-J168-Q168-M168))</f>
        <v>0</v>
      </c>
      <c r="V168" s="127">
        <f t="shared" ca="1" si="18"/>
        <v>46930.412837001255</v>
      </c>
      <c r="W168" s="127">
        <f t="shared" ca="1" si="36"/>
        <v>9592099.125447426</v>
      </c>
      <c r="X168" s="129">
        <f t="shared" ca="1" si="28"/>
        <v>12546415.252890131</v>
      </c>
      <c r="Y168" s="129">
        <f ca="1">MAX(0, MIN($F$9-SUM($Y$154:Y167), B168-D168-G168-J168-U168-Q168-M168))</f>
        <v>1535464.3695360748</v>
      </c>
      <c r="Z168" s="129">
        <f t="shared" ca="1" si="29"/>
        <v>61686.541660043142</v>
      </c>
      <c r="AA168" s="129">
        <f t="shared" ca="1" si="37"/>
        <v>14143566.164086247</v>
      </c>
      <c r="AB168" s="117">
        <f t="shared" si="31"/>
        <v>0</v>
      </c>
      <c r="AC168" s="117">
        <f t="shared" ca="1" si="32"/>
        <v>0</v>
      </c>
      <c r="AD168" s="117">
        <f t="shared" ca="1" si="38"/>
        <v>0</v>
      </c>
      <c r="AE168" s="117">
        <f t="shared" ca="1" si="21"/>
        <v>22091583.965500556</v>
      </c>
      <c r="AF168" s="117">
        <f t="shared" ca="1" si="33"/>
        <v>108616.9544970444</v>
      </c>
      <c r="AG168" s="117">
        <f t="shared" ca="1" si="22"/>
        <v>23735665.289533675</v>
      </c>
    </row>
    <row r="169" spans="1:33" x14ac:dyDescent="0.2">
      <c r="A169" s="116">
        <v>15</v>
      </c>
      <c r="B169" s="117">
        <f t="shared" ca="1" si="11"/>
        <v>1356417.4025644523</v>
      </c>
      <c r="C169" s="121">
        <f t="shared" ca="1" si="23"/>
        <v>0</v>
      </c>
      <c r="D169" s="121">
        <f t="shared" ca="1" si="12"/>
        <v>0</v>
      </c>
      <c r="E169" s="121">
        <f t="shared" ca="1" si="13"/>
        <v>0</v>
      </c>
      <c r="F169" s="123">
        <f t="shared" ca="1" si="24"/>
        <v>0</v>
      </c>
      <c r="G169" s="123">
        <f t="shared" ca="1" si="14"/>
        <v>0</v>
      </c>
      <c r="H169" s="123">
        <f t="shared" ca="1" si="15"/>
        <v>0</v>
      </c>
      <c r="I169" s="125">
        <f t="shared" ca="1" si="25"/>
        <v>0</v>
      </c>
      <c r="J169" s="125">
        <f t="shared" ca="1" si="16"/>
        <v>0</v>
      </c>
      <c r="K169" s="125">
        <f t="shared" ca="1" si="17"/>
        <v>0</v>
      </c>
      <c r="L169" s="309"/>
      <c r="M169" s="309"/>
      <c r="N169" s="309"/>
      <c r="O169" s="309"/>
      <c r="P169" s="131">
        <f t="shared" ca="1" si="26"/>
        <v>0</v>
      </c>
      <c r="Q169" s="131">
        <f ca="1">MAX(0, MIN($F$10-SUM($Q$154:Q168), B169-D169-G169-J169-M169))</f>
        <v>0</v>
      </c>
      <c r="R169" s="131">
        <f t="shared" ca="1" si="34"/>
        <v>0</v>
      </c>
      <c r="S169" s="131">
        <f t="shared" ca="1" si="35"/>
        <v>0</v>
      </c>
      <c r="T169" s="127">
        <f t="shared" ca="1" si="27"/>
        <v>9592099.125447426</v>
      </c>
      <c r="U169" s="127">
        <f ca="1">MAX(0, MIN($F$8-SUM($U$154:U168), B169-D169-G169-J169-Q169-M169))</f>
        <v>0</v>
      </c>
      <c r="V169" s="127">
        <f t="shared" ca="1" si="18"/>
        <v>47161.154033449842</v>
      </c>
      <c r="W169" s="127">
        <f t="shared" ca="1" si="36"/>
        <v>9639260.2794808764</v>
      </c>
      <c r="X169" s="129">
        <f t="shared" ca="1" si="28"/>
        <v>14143566.164086247</v>
      </c>
      <c r="Y169" s="129">
        <f ca="1">MAX(0, MIN($F$9-SUM($Y$154:Y168), B169-D169-G169-J169-U169-Q169-M169))</f>
        <v>1356417.4025644523</v>
      </c>
      <c r="Z169" s="129">
        <f t="shared" ca="1" si="29"/>
        <v>69539.200306757382</v>
      </c>
      <c r="AA169" s="129">
        <f t="shared" ca="1" si="37"/>
        <v>15569522.766957458</v>
      </c>
      <c r="AB169" s="117">
        <f t="shared" si="31"/>
        <v>0</v>
      </c>
      <c r="AC169" s="117">
        <f t="shared" ca="1" si="32"/>
        <v>0</v>
      </c>
      <c r="AD169" s="117">
        <f t="shared" ca="1" si="38"/>
        <v>0</v>
      </c>
      <c r="AE169" s="117">
        <f t="shared" ca="1" si="21"/>
        <v>23735665.289533675</v>
      </c>
      <c r="AF169" s="117">
        <f t="shared" ca="1" si="33"/>
        <v>116700.35434020722</v>
      </c>
      <c r="AG169" s="117">
        <f t="shared" ca="1" si="22"/>
        <v>25208783.046438336</v>
      </c>
    </row>
    <row r="170" spans="1:33" x14ac:dyDescent="0.2">
      <c r="A170" s="116">
        <v>16</v>
      </c>
      <c r="B170" s="117">
        <f t="shared" ca="1" si="11"/>
        <v>1173798.6657628973</v>
      </c>
      <c r="C170" s="121">
        <f t="shared" ca="1" si="23"/>
        <v>0</v>
      </c>
      <c r="D170" s="121">
        <f t="shared" ca="1" si="12"/>
        <v>0</v>
      </c>
      <c r="E170" s="121">
        <f t="shared" ca="1" si="13"/>
        <v>0</v>
      </c>
      <c r="F170" s="123">
        <f t="shared" ca="1" si="24"/>
        <v>0</v>
      </c>
      <c r="G170" s="123">
        <f t="shared" ca="1" si="14"/>
        <v>0</v>
      </c>
      <c r="H170" s="123">
        <f t="shared" ca="1" si="15"/>
        <v>0</v>
      </c>
      <c r="I170" s="125">
        <f t="shared" ca="1" si="25"/>
        <v>0</v>
      </c>
      <c r="J170" s="125">
        <f t="shared" ca="1" si="16"/>
        <v>0</v>
      </c>
      <c r="K170" s="125">
        <f t="shared" ca="1" si="17"/>
        <v>0</v>
      </c>
      <c r="L170" s="309"/>
      <c r="M170" s="309"/>
      <c r="N170" s="309"/>
      <c r="O170" s="309"/>
      <c r="P170" s="131">
        <f t="shared" ca="1" si="26"/>
        <v>0</v>
      </c>
      <c r="Q170" s="131">
        <f ca="1">MAX(0, MIN($F$10-SUM($Q$154:Q169), B170-D170-G170-J170-M170))</f>
        <v>0</v>
      </c>
      <c r="R170" s="131">
        <f t="shared" ca="1" si="34"/>
        <v>0</v>
      </c>
      <c r="S170" s="131">
        <f t="shared" ca="1" si="35"/>
        <v>0</v>
      </c>
      <c r="T170" s="127">
        <f t="shared" ca="1" si="27"/>
        <v>9639260.2794808764</v>
      </c>
      <c r="U170" s="127">
        <f ca="1">MAX(0, MIN($F$8-SUM($U$154:U169), B170-D170-G170-J170-Q170-M170))</f>
        <v>0</v>
      </c>
      <c r="V170" s="127">
        <f t="shared" ca="1" si="18"/>
        <v>47393.02970744764</v>
      </c>
      <c r="W170" s="127">
        <f t="shared" ca="1" si="36"/>
        <v>9686653.309188325</v>
      </c>
      <c r="X170" s="129">
        <f t="shared" ca="1" si="28"/>
        <v>15569522.766957458</v>
      </c>
      <c r="Y170" s="129">
        <f ca="1">MAX(0, MIN($F$9-SUM($Y$154:Y169), B170-D170-G170-J170-U170-Q170-M170))</f>
        <v>1173798.6657628973</v>
      </c>
      <c r="Z170" s="129">
        <f t="shared" ca="1" si="29"/>
        <v>76550.153604207502</v>
      </c>
      <c r="AA170" s="129">
        <f t="shared" ca="1" si="37"/>
        <v>16819871.586324561</v>
      </c>
      <c r="AB170" s="117">
        <f t="shared" si="31"/>
        <v>0</v>
      </c>
      <c r="AC170" s="117">
        <f t="shared" ca="1" si="32"/>
        <v>0</v>
      </c>
      <c r="AD170" s="117">
        <f t="shared" ca="1" si="38"/>
        <v>0</v>
      </c>
      <c r="AE170" s="117">
        <f t="shared" ca="1" si="21"/>
        <v>25208783.046438336</v>
      </c>
      <c r="AF170" s="117">
        <f t="shared" ca="1" si="33"/>
        <v>123943.18331165514</v>
      </c>
      <c r="AG170" s="117">
        <f t="shared" ca="1" si="22"/>
        <v>26506524.895512886</v>
      </c>
    </row>
    <row r="171" spans="1:33" x14ac:dyDescent="0.2">
      <c r="A171" s="116">
        <v>17</v>
      </c>
      <c r="B171" s="117">
        <f t="shared" ca="1" si="11"/>
        <v>998224.69132413797</v>
      </c>
      <c r="C171" s="121">
        <f t="shared" ca="1" si="23"/>
        <v>0</v>
      </c>
      <c r="D171" s="121">
        <f t="shared" ca="1" si="12"/>
        <v>0</v>
      </c>
      <c r="E171" s="121">
        <f t="shared" ca="1" si="13"/>
        <v>0</v>
      </c>
      <c r="F171" s="123">
        <f t="shared" ca="1" si="24"/>
        <v>0</v>
      </c>
      <c r="G171" s="123">
        <f t="shared" ca="1" si="14"/>
        <v>0</v>
      </c>
      <c r="H171" s="123">
        <f t="shared" ca="1" si="15"/>
        <v>0</v>
      </c>
      <c r="I171" s="125">
        <f t="shared" ca="1" si="25"/>
        <v>0</v>
      </c>
      <c r="J171" s="125">
        <f t="shared" ca="1" si="16"/>
        <v>0</v>
      </c>
      <c r="K171" s="125">
        <f t="shared" ca="1" si="17"/>
        <v>0</v>
      </c>
      <c r="L171" s="309"/>
      <c r="M171" s="309"/>
      <c r="N171" s="309"/>
      <c r="O171" s="309"/>
      <c r="P171" s="131">
        <f t="shared" ca="1" si="26"/>
        <v>0</v>
      </c>
      <c r="Q171" s="131">
        <f ca="1">MAX(0, MIN($F$10-SUM($Q$154:Q170), B171-D171-G171-J171-M171))</f>
        <v>0</v>
      </c>
      <c r="R171" s="131">
        <f t="shared" ca="1" si="34"/>
        <v>0</v>
      </c>
      <c r="S171" s="131">
        <f t="shared" ca="1" si="35"/>
        <v>0</v>
      </c>
      <c r="T171" s="127">
        <f t="shared" ca="1" si="27"/>
        <v>9686653.309188325</v>
      </c>
      <c r="U171" s="127">
        <f ca="1">MAX(0, MIN($F$8-SUM($U$154:U170), B171-D171-G171-J171-Q171-M171))</f>
        <v>0</v>
      </c>
      <c r="V171" s="127">
        <f t="shared" ca="1" si="18"/>
        <v>47626.045436842593</v>
      </c>
      <c r="W171" s="127">
        <f t="shared" ca="1" si="36"/>
        <v>9734279.3546251673</v>
      </c>
      <c r="X171" s="129">
        <f t="shared" ca="1" si="28"/>
        <v>16819871.586324561</v>
      </c>
      <c r="Y171" s="129">
        <f ca="1">MAX(0, MIN($F$9-SUM($Y$154:Y170), B171-D171-G171-J171-U171-Q171-M171))</f>
        <v>998224.69132413797</v>
      </c>
      <c r="Z171" s="129">
        <f t="shared" ca="1" si="29"/>
        <v>82697.701966095759</v>
      </c>
      <c r="AA171" s="129">
        <f t="shared" ca="1" si="37"/>
        <v>17900793.979614794</v>
      </c>
      <c r="AB171" s="117">
        <f t="shared" si="31"/>
        <v>0</v>
      </c>
      <c r="AC171" s="117">
        <f t="shared" ca="1" si="32"/>
        <v>0</v>
      </c>
      <c r="AD171" s="117">
        <f t="shared" ca="1" si="38"/>
        <v>0</v>
      </c>
      <c r="AE171" s="117">
        <f t="shared" ca="1" si="21"/>
        <v>26506524.895512886</v>
      </c>
      <c r="AF171" s="117">
        <f t="shared" ca="1" si="33"/>
        <v>130323.74740293834</v>
      </c>
      <c r="AG171" s="117">
        <f t="shared" ca="1" si="22"/>
        <v>27635073.33423996</v>
      </c>
    </row>
    <row r="172" spans="1:33" x14ac:dyDescent="0.2">
      <c r="A172" s="116">
        <v>18</v>
      </c>
      <c r="B172" s="117">
        <f t="shared" ca="1" si="11"/>
        <v>836892.15919252171</v>
      </c>
      <c r="C172" s="121">
        <f t="shared" ca="1" si="23"/>
        <v>0</v>
      </c>
      <c r="D172" s="121">
        <f t="shared" ca="1" si="12"/>
        <v>0</v>
      </c>
      <c r="E172" s="121">
        <f t="shared" ca="1" si="13"/>
        <v>0</v>
      </c>
      <c r="F172" s="123">
        <f t="shared" ca="1" si="24"/>
        <v>0</v>
      </c>
      <c r="G172" s="123">
        <f t="shared" ca="1" si="14"/>
        <v>0</v>
      </c>
      <c r="H172" s="123">
        <f t="shared" ca="1" si="15"/>
        <v>0</v>
      </c>
      <c r="I172" s="125">
        <f t="shared" ca="1" si="25"/>
        <v>0</v>
      </c>
      <c r="J172" s="125">
        <f t="shared" ca="1" si="16"/>
        <v>0</v>
      </c>
      <c r="K172" s="125">
        <f t="shared" ca="1" si="17"/>
        <v>0</v>
      </c>
      <c r="L172" s="309"/>
      <c r="M172" s="309"/>
      <c r="N172" s="309"/>
      <c r="O172" s="309"/>
      <c r="P172" s="131">
        <f t="shared" ca="1" si="26"/>
        <v>0</v>
      </c>
      <c r="Q172" s="131">
        <f ca="1">MAX(0, MIN($F$10-SUM($Q$154:Q171), B172-D172-G172-J172-M172))</f>
        <v>0</v>
      </c>
      <c r="R172" s="131">
        <f t="shared" ca="1" si="34"/>
        <v>0</v>
      </c>
      <c r="S172" s="131">
        <f t="shared" ca="1" si="35"/>
        <v>0</v>
      </c>
      <c r="T172" s="127">
        <f t="shared" ca="1" si="27"/>
        <v>9734279.3546251673</v>
      </c>
      <c r="U172" s="127">
        <f ca="1">MAX(0, MIN($F$8-SUM($U$154:U171), B172-D172-G172-J172-Q172-M172))</f>
        <v>0</v>
      </c>
      <c r="V172" s="127">
        <f t="shared" ca="1" si="18"/>
        <v>47860.206826907073</v>
      </c>
      <c r="W172" s="127">
        <f t="shared" ca="1" si="36"/>
        <v>9782139.561452074</v>
      </c>
      <c r="X172" s="129">
        <f t="shared" ca="1" si="28"/>
        <v>17900793.979614794</v>
      </c>
      <c r="Y172" s="129">
        <f ca="1">MAX(0, MIN($F$9-SUM($Y$154:Y171), B172-D172-G172-J172-U172-Q172-M172))</f>
        <v>836892.15919252171</v>
      </c>
      <c r="Z172" s="129">
        <f t="shared" ca="1" si="29"/>
        <v>88012.237066439397</v>
      </c>
      <c r="AA172" s="129">
        <f t="shared" ca="1" si="37"/>
        <v>18825698.375873756</v>
      </c>
      <c r="AB172" s="117">
        <f t="shared" si="31"/>
        <v>0</v>
      </c>
      <c r="AC172" s="117">
        <f t="shared" ca="1" si="32"/>
        <v>0</v>
      </c>
      <c r="AD172" s="117">
        <f t="shared" ca="1" si="38"/>
        <v>0</v>
      </c>
      <c r="AE172" s="117">
        <f t="shared" ca="1" si="21"/>
        <v>27635073.33423996</v>
      </c>
      <c r="AF172" s="117">
        <f t="shared" ca="1" si="33"/>
        <v>135872.44389334647</v>
      </c>
      <c r="AG172" s="117">
        <f t="shared" ca="1" si="22"/>
        <v>28607837.937325828</v>
      </c>
    </row>
    <row r="173" spans="1:33" x14ac:dyDescent="0.2">
      <c r="A173" s="116">
        <v>19</v>
      </c>
      <c r="B173" s="117">
        <f t="shared" ca="1" si="11"/>
        <v>33873.784615384619</v>
      </c>
      <c r="C173" s="121">
        <f t="shared" ca="1" si="23"/>
        <v>0</v>
      </c>
      <c r="D173" s="121">
        <f t="shared" ca="1" si="12"/>
        <v>0</v>
      </c>
      <c r="E173" s="121">
        <f t="shared" ca="1" si="13"/>
        <v>0</v>
      </c>
      <c r="F173" s="123">
        <f t="shared" ca="1" si="24"/>
        <v>0</v>
      </c>
      <c r="G173" s="123">
        <f t="shared" ca="1" si="14"/>
        <v>0</v>
      </c>
      <c r="H173" s="123">
        <f t="shared" ca="1" si="15"/>
        <v>0</v>
      </c>
      <c r="I173" s="125">
        <f t="shared" ca="1" si="25"/>
        <v>0</v>
      </c>
      <c r="J173" s="125">
        <f t="shared" ca="1" si="16"/>
        <v>0</v>
      </c>
      <c r="K173" s="125">
        <f t="shared" ca="1" si="17"/>
        <v>0</v>
      </c>
      <c r="L173" s="309"/>
      <c r="M173" s="309"/>
      <c r="N173" s="309"/>
      <c r="O173" s="309"/>
      <c r="P173" s="131">
        <f t="shared" ca="1" si="26"/>
        <v>0</v>
      </c>
      <c r="Q173" s="131">
        <f ca="1">MAX(0, MIN($F$10-SUM($Q$154:Q172), B173-D173-G173-J173-M173))</f>
        <v>0</v>
      </c>
      <c r="R173" s="131">
        <f t="shared" ca="1" si="34"/>
        <v>0</v>
      </c>
      <c r="S173" s="131">
        <f t="shared" ca="1" si="35"/>
        <v>0</v>
      </c>
      <c r="T173" s="127">
        <f t="shared" ca="1" si="27"/>
        <v>9782139.561452074</v>
      </c>
      <c r="U173" s="127">
        <f ca="1">MAX(0, MIN($F$8-SUM($U$154:U172), B173-D173-G173-J173-Q173-M173))</f>
        <v>0</v>
      </c>
      <c r="V173" s="127">
        <f t="shared" ca="1" si="18"/>
        <v>48095.519510472695</v>
      </c>
      <c r="W173" s="127">
        <f t="shared" ca="1" si="36"/>
        <v>9830235.0809625462</v>
      </c>
      <c r="X173" s="129">
        <f t="shared" ca="1" si="28"/>
        <v>18825698.375873756</v>
      </c>
      <c r="Y173" s="129">
        <f ca="1">MAX(0, MIN($F$9-SUM($Y$154:Y172), B173-D173-G173-J173-U173-Q173-M173))</f>
        <v>33873.784615384619</v>
      </c>
      <c r="Z173" s="129">
        <f t="shared" ca="1" si="29"/>
        <v>92559.683681379291</v>
      </c>
      <c r="AA173" s="129">
        <f t="shared" ca="1" si="37"/>
        <v>18952131.844170522</v>
      </c>
      <c r="AB173" s="117">
        <f t="shared" si="31"/>
        <v>0</v>
      </c>
      <c r="AC173" s="117">
        <f t="shared" ca="1" si="32"/>
        <v>0</v>
      </c>
      <c r="AD173" s="117">
        <f t="shared" ca="1" si="38"/>
        <v>0</v>
      </c>
      <c r="AE173" s="117">
        <f t="shared" ca="1" si="21"/>
        <v>28607837.937325828</v>
      </c>
      <c r="AF173" s="117">
        <f t="shared" ca="1" si="33"/>
        <v>140655.20319185199</v>
      </c>
      <c r="AG173" s="117">
        <f t="shared" ca="1" si="22"/>
        <v>28782366.925133068</v>
      </c>
    </row>
    <row r="174" spans="1:33" x14ac:dyDescent="0.2">
      <c r="A174" s="116">
        <v>20</v>
      </c>
      <c r="B174" s="117">
        <f t="shared" ca="1" si="11"/>
        <v>33873.784615384619</v>
      </c>
      <c r="C174" s="121">
        <f t="shared" ca="1" si="23"/>
        <v>0</v>
      </c>
      <c r="D174" s="121">
        <f t="shared" ca="1" si="12"/>
        <v>0</v>
      </c>
      <c r="E174" s="121">
        <f t="shared" ca="1" si="13"/>
        <v>0</v>
      </c>
      <c r="F174" s="123">
        <f t="shared" ca="1" si="24"/>
        <v>0</v>
      </c>
      <c r="G174" s="123">
        <f t="shared" ca="1" si="14"/>
        <v>0</v>
      </c>
      <c r="H174" s="123">
        <f t="shared" ca="1" si="15"/>
        <v>0</v>
      </c>
      <c r="I174" s="125">
        <f t="shared" ca="1" si="25"/>
        <v>0</v>
      </c>
      <c r="J174" s="125">
        <f t="shared" ca="1" si="16"/>
        <v>0</v>
      </c>
      <c r="K174" s="125">
        <f t="shared" ca="1" si="17"/>
        <v>0</v>
      </c>
      <c r="L174" s="309"/>
      <c r="M174" s="309"/>
      <c r="N174" s="309"/>
      <c r="O174" s="309"/>
      <c r="P174" s="131">
        <f t="shared" ca="1" si="26"/>
        <v>0</v>
      </c>
      <c r="Q174" s="131">
        <f ca="1">MAX(0, MIN($F$10-SUM($Q$154:Q173), B174-D174-G174-J174-M174))</f>
        <v>0</v>
      </c>
      <c r="R174" s="131">
        <f t="shared" ca="1" si="34"/>
        <v>0</v>
      </c>
      <c r="S174" s="131">
        <f t="shared" ca="1" si="35"/>
        <v>0</v>
      </c>
      <c r="T174" s="127">
        <f t="shared" ca="1" si="27"/>
        <v>9830235.0809625462</v>
      </c>
      <c r="U174" s="127">
        <f ca="1">MAX(0, MIN($F$8-SUM($U$154:U173), B174-D174-G174-J174-Q174-M174))</f>
        <v>0</v>
      </c>
      <c r="V174" s="127">
        <f t="shared" ca="1" si="18"/>
        <v>48331.989148065848</v>
      </c>
      <c r="W174" s="127">
        <f t="shared" ca="1" si="36"/>
        <v>9878567.0701106116</v>
      </c>
      <c r="X174" s="129">
        <f t="shared" ca="1" si="28"/>
        <v>18952131.844170522</v>
      </c>
      <c r="Y174" s="129">
        <f ca="1">MAX(0, MIN($F$9-SUM($Y$154:Y173), B174-D174-G174-J174-U174-Q174-M174))</f>
        <v>33873.784615384619</v>
      </c>
      <c r="Z174" s="129">
        <f t="shared" ca="1" si="29"/>
        <v>93181.314900505065</v>
      </c>
      <c r="AA174" s="129">
        <f t="shared" ca="1" si="37"/>
        <v>19079186.943686415</v>
      </c>
      <c r="AB174" s="117">
        <f t="shared" si="31"/>
        <v>0</v>
      </c>
      <c r="AC174" s="117">
        <f t="shared" ca="1" si="32"/>
        <v>0</v>
      </c>
      <c r="AD174" s="117">
        <f t="shared" ca="1" si="38"/>
        <v>0</v>
      </c>
      <c r="AE174" s="117">
        <f t="shared" ca="1" si="21"/>
        <v>28782366.925133068</v>
      </c>
      <c r="AF174" s="117">
        <f t="shared" ca="1" si="33"/>
        <v>141513.30404857092</v>
      </c>
      <c r="AG174" s="117">
        <f t="shared" ca="1" si="22"/>
        <v>28957754.013797026</v>
      </c>
    </row>
    <row r="175" spans="1:33" x14ac:dyDescent="0.2">
      <c r="A175" s="116">
        <v>21</v>
      </c>
      <c r="B175" s="117">
        <f t="shared" ca="1" si="11"/>
        <v>33873.784615384619</v>
      </c>
      <c r="C175" s="121">
        <f t="shared" ca="1" si="23"/>
        <v>0</v>
      </c>
      <c r="D175" s="121">
        <f t="shared" ca="1" si="12"/>
        <v>0</v>
      </c>
      <c r="E175" s="121">
        <f t="shared" ca="1" si="13"/>
        <v>0</v>
      </c>
      <c r="F175" s="123">
        <f t="shared" ca="1" si="24"/>
        <v>0</v>
      </c>
      <c r="G175" s="123">
        <f t="shared" ca="1" si="14"/>
        <v>0</v>
      </c>
      <c r="H175" s="123">
        <f t="shared" ca="1" si="15"/>
        <v>0</v>
      </c>
      <c r="I175" s="125">
        <f t="shared" ca="1" si="25"/>
        <v>0</v>
      </c>
      <c r="J175" s="125">
        <f t="shared" ca="1" si="16"/>
        <v>0</v>
      </c>
      <c r="K175" s="125">
        <f t="shared" ca="1" si="17"/>
        <v>0</v>
      </c>
      <c r="L175" s="309"/>
      <c r="M175" s="309"/>
      <c r="N175" s="309"/>
      <c r="O175" s="309"/>
      <c r="P175" s="131">
        <f t="shared" ca="1" si="26"/>
        <v>0</v>
      </c>
      <c r="Q175" s="131">
        <f ca="1">MAX(0, MIN($F$10-SUM($Q$154:Q174), B175-D175-G175-J175-M175))</f>
        <v>0</v>
      </c>
      <c r="R175" s="131">
        <f t="shared" ca="1" si="34"/>
        <v>0</v>
      </c>
      <c r="S175" s="131">
        <f t="shared" ca="1" si="35"/>
        <v>0</v>
      </c>
      <c r="T175" s="127">
        <f t="shared" ca="1" si="27"/>
        <v>9878567.0701106116</v>
      </c>
      <c r="U175" s="127">
        <f ca="1">MAX(0, MIN($F$8-SUM($U$154:U174), B175-D175-G175-J175-Q175-M175))</f>
        <v>0</v>
      </c>
      <c r="V175" s="127">
        <f t="shared" ca="1" si="18"/>
        <v>48569.621428043836</v>
      </c>
      <c r="W175" s="127">
        <f t="shared" ca="1" si="36"/>
        <v>9927136.6915386561</v>
      </c>
      <c r="X175" s="129">
        <f t="shared" ca="1" si="28"/>
        <v>19079186.943686415</v>
      </c>
      <c r="Y175" s="129">
        <f ca="1">MAX(0, MIN($F$9-SUM($Y$154:Y174), B175-D175-G175-J175-U175-Q175-M175))</f>
        <v>33873.784615384619</v>
      </c>
      <c r="Z175" s="129">
        <f t="shared" ca="1" si="29"/>
        <v>93806.00247312487</v>
      </c>
      <c r="AA175" s="129">
        <f t="shared" ca="1" si="37"/>
        <v>19206866.730774924</v>
      </c>
      <c r="AB175" s="117">
        <f t="shared" si="31"/>
        <v>0</v>
      </c>
      <c r="AC175" s="117">
        <f t="shared" ca="1" si="32"/>
        <v>0</v>
      </c>
      <c r="AD175" s="117">
        <f t="shared" ca="1" si="38"/>
        <v>0</v>
      </c>
      <c r="AE175" s="117">
        <f t="shared" ca="1" si="21"/>
        <v>28957754.013797026</v>
      </c>
      <c r="AF175" s="117">
        <f t="shared" ca="1" si="33"/>
        <v>142375.6239011687</v>
      </c>
      <c r="AG175" s="117">
        <f t="shared" ca="1" si="22"/>
        <v>29134003.422313578</v>
      </c>
    </row>
    <row r="176" spans="1:33" x14ac:dyDescent="0.2">
      <c r="A176" s="116">
        <v>22</v>
      </c>
      <c r="B176" s="117">
        <f t="shared" ca="1" si="11"/>
        <v>33873.784615384619</v>
      </c>
      <c r="C176" s="121">
        <f t="shared" ca="1" si="23"/>
        <v>0</v>
      </c>
      <c r="D176" s="121">
        <f t="shared" ca="1" si="12"/>
        <v>0</v>
      </c>
      <c r="E176" s="121">
        <f t="shared" ca="1" si="13"/>
        <v>0</v>
      </c>
      <c r="F176" s="123">
        <f t="shared" ca="1" si="24"/>
        <v>0</v>
      </c>
      <c r="G176" s="123">
        <f t="shared" ca="1" si="14"/>
        <v>0</v>
      </c>
      <c r="H176" s="123">
        <f t="shared" ca="1" si="15"/>
        <v>0</v>
      </c>
      <c r="I176" s="125">
        <f t="shared" ca="1" si="25"/>
        <v>0</v>
      </c>
      <c r="J176" s="125">
        <f t="shared" ca="1" si="16"/>
        <v>0</v>
      </c>
      <c r="K176" s="125">
        <f t="shared" ca="1" si="17"/>
        <v>0</v>
      </c>
      <c r="L176" s="309"/>
      <c r="M176" s="309"/>
      <c r="N176" s="309"/>
      <c r="O176" s="309"/>
      <c r="P176" s="131">
        <f t="shared" ca="1" si="26"/>
        <v>0</v>
      </c>
      <c r="Q176" s="131">
        <f ca="1">MAX(0, MIN($F$10-SUM($Q$154:Q175), B176-D176-G176-J176-M176))</f>
        <v>0</v>
      </c>
      <c r="R176" s="131">
        <f t="shared" ca="1" si="34"/>
        <v>0</v>
      </c>
      <c r="S176" s="131">
        <f t="shared" ca="1" si="35"/>
        <v>0</v>
      </c>
      <c r="T176" s="127">
        <f t="shared" ca="1" si="27"/>
        <v>9927136.6915386561</v>
      </c>
      <c r="U176" s="127">
        <f ca="1">MAX(0, MIN($F$8-SUM($U$154:U175), B176-D176-G176-J176-Q176-M176))</f>
        <v>0</v>
      </c>
      <c r="V176" s="127">
        <f t="shared" ca="1" si="18"/>
        <v>48808.42206673172</v>
      </c>
      <c r="W176" s="127">
        <f t="shared" ca="1" si="36"/>
        <v>9975945.1136053875</v>
      </c>
      <c r="X176" s="129">
        <f t="shared" ca="1" si="28"/>
        <v>19206866.730774924</v>
      </c>
      <c r="Y176" s="129">
        <f ca="1">MAX(0, MIN($F$9-SUM($Y$154:Y175), B176-D176-G176-J176-U176-Q176-M176))</f>
        <v>33873.784615384619</v>
      </c>
      <c r="Z176" s="129">
        <f t="shared" ca="1" si="29"/>
        <v>94433.76142631004</v>
      </c>
      <c r="AA176" s="129">
        <f t="shared" ca="1" si="37"/>
        <v>19335174.276816621</v>
      </c>
      <c r="AB176" s="117">
        <f t="shared" si="31"/>
        <v>0</v>
      </c>
      <c r="AC176" s="117">
        <f t="shared" ca="1" si="32"/>
        <v>0</v>
      </c>
      <c r="AD176" s="117">
        <f t="shared" ca="1" si="38"/>
        <v>0</v>
      </c>
      <c r="AE176" s="117">
        <f t="shared" ca="1" si="21"/>
        <v>29134003.422313578</v>
      </c>
      <c r="AF176" s="117">
        <f t="shared" ca="1" si="33"/>
        <v>143242.18349304175</v>
      </c>
      <c r="AG176" s="117">
        <f t="shared" ca="1" si="22"/>
        <v>29311119.390422009</v>
      </c>
    </row>
    <row r="177" spans="1:33" x14ac:dyDescent="0.2">
      <c r="A177" s="116">
        <v>23</v>
      </c>
      <c r="B177" s="117">
        <f t="shared" ca="1" si="11"/>
        <v>33873.784615384619</v>
      </c>
      <c r="C177" s="121">
        <f t="shared" ca="1" si="23"/>
        <v>0</v>
      </c>
      <c r="D177" s="121">
        <f t="shared" ca="1" si="12"/>
        <v>0</v>
      </c>
      <c r="E177" s="121">
        <f t="shared" ca="1" si="13"/>
        <v>0</v>
      </c>
      <c r="F177" s="123">
        <f t="shared" ca="1" si="24"/>
        <v>0</v>
      </c>
      <c r="G177" s="123">
        <f t="shared" ca="1" si="14"/>
        <v>0</v>
      </c>
      <c r="H177" s="123">
        <f t="shared" ca="1" si="15"/>
        <v>0</v>
      </c>
      <c r="I177" s="125">
        <f t="shared" ca="1" si="25"/>
        <v>0</v>
      </c>
      <c r="J177" s="125">
        <f t="shared" ca="1" si="16"/>
        <v>0</v>
      </c>
      <c r="K177" s="125">
        <f t="shared" ca="1" si="17"/>
        <v>0</v>
      </c>
      <c r="L177" s="309"/>
      <c r="M177" s="309"/>
      <c r="N177" s="309"/>
      <c r="O177" s="309"/>
      <c r="P177" s="131">
        <f t="shared" ca="1" si="26"/>
        <v>0</v>
      </c>
      <c r="Q177" s="131">
        <f ca="1">MAX(0, MIN($F$10-SUM($Q$154:Q176), B177-D177-G177-J177-M177))</f>
        <v>0</v>
      </c>
      <c r="R177" s="131">
        <f t="shared" ca="1" si="34"/>
        <v>0</v>
      </c>
      <c r="S177" s="131">
        <f t="shared" ca="1" si="35"/>
        <v>0</v>
      </c>
      <c r="T177" s="127">
        <f t="shared" ca="1" si="27"/>
        <v>9975945.1136053875</v>
      </c>
      <c r="U177" s="127">
        <f ca="1">MAX(0, MIN($F$8-SUM($U$154:U176), B177-D177-G177-J177-Q177-M177))</f>
        <v>0</v>
      </c>
      <c r="V177" s="127">
        <f t="shared" ca="1" si="18"/>
        <v>49048.396808559817</v>
      </c>
      <c r="W177" s="127">
        <f t="shared" ca="1" si="36"/>
        <v>10024993.510413947</v>
      </c>
      <c r="X177" s="129">
        <f t="shared" ca="1" si="28"/>
        <v>19335174.276816621</v>
      </c>
      <c r="Y177" s="129">
        <f ca="1">MAX(0, MIN($F$9-SUM($Y$154:Y176), B177-D177-G177-J177-U177-Q177-M177))</f>
        <v>33873.784615384619</v>
      </c>
      <c r="Z177" s="129">
        <f t="shared" ca="1" si="29"/>
        <v>95064.606861015054</v>
      </c>
      <c r="AA177" s="129">
        <f t="shared" ca="1" si="37"/>
        <v>19464112.668293022</v>
      </c>
      <c r="AB177" s="117">
        <f t="shared" si="31"/>
        <v>0</v>
      </c>
      <c r="AC177" s="117">
        <f t="shared" ca="1" si="32"/>
        <v>0</v>
      </c>
      <c r="AD177" s="117">
        <f t="shared" ca="1" si="38"/>
        <v>0</v>
      </c>
      <c r="AE177" s="117">
        <f t="shared" ca="1" si="21"/>
        <v>29311119.390422009</v>
      </c>
      <c r="AF177" s="117">
        <f t="shared" ca="1" si="33"/>
        <v>144113.00366957486</v>
      </c>
      <c r="AG177" s="117">
        <f t="shared" ca="1" si="22"/>
        <v>29489106.178706966</v>
      </c>
    </row>
    <row r="178" spans="1:33" x14ac:dyDescent="0.2">
      <c r="A178" s="116">
        <v>24</v>
      </c>
      <c r="B178" s="117">
        <f t="shared" ca="1" si="11"/>
        <v>33873.784615384619</v>
      </c>
      <c r="C178" s="121">
        <f t="shared" ca="1" si="23"/>
        <v>0</v>
      </c>
      <c r="D178" s="121">
        <f t="shared" ca="1" si="12"/>
        <v>0</v>
      </c>
      <c r="E178" s="121">
        <f t="shared" ca="1" si="13"/>
        <v>0</v>
      </c>
      <c r="F178" s="123">
        <f t="shared" ca="1" si="24"/>
        <v>0</v>
      </c>
      <c r="G178" s="123">
        <f t="shared" ca="1" si="14"/>
        <v>0</v>
      </c>
      <c r="H178" s="123">
        <f t="shared" ca="1" si="15"/>
        <v>0</v>
      </c>
      <c r="I178" s="125">
        <f t="shared" ca="1" si="25"/>
        <v>0</v>
      </c>
      <c r="J178" s="125">
        <f t="shared" ca="1" si="16"/>
        <v>0</v>
      </c>
      <c r="K178" s="125">
        <f t="shared" ca="1" si="17"/>
        <v>0</v>
      </c>
      <c r="L178" s="309"/>
      <c r="M178" s="309"/>
      <c r="N178" s="309"/>
      <c r="O178" s="309"/>
      <c r="P178" s="131">
        <f t="shared" ca="1" si="26"/>
        <v>0</v>
      </c>
      <c r="Q178" s="131">
        <f ca="1">MAX(0, MIN($F$10-SUM($Q$154:Q177), B178-D178-G178-J178-M178))</f>
        <v>0</v>
      </c>
      <c r="R178" s="131">
        <f t="shared" ca="1" si="34"/>
        <v>0</v>
      </c>
      <c r="S178" s="131">
        <f t="shared" ca="1" si="35"/>
        <v>0</v>
      </c>
      <c r="T178" s="127">
        <f t="shared" ca="1" si="27"/>
        <v>10024993.510413947</v>
      </c>
      <c r="U178" s="127">
        <f ca="1">MAX(0, MIN($F$8-SUM($U$154:U177), B178-D178-G178-J178-Q178-M178))</f>
        <v>0</v>
      </c>
      <c r="V178" s="127">
        <f t="shared" ca="1" si="18"/>
        <v>49289.551426201899</v>
      </c>
      <c r="W178" s="127">
        <f t="shared" ca="1" si="36"/>
        <v>10074283.061840149</v>
      </c>
      <c r="X178" s="129">
        <f t="shared" ca="1" si="28"/>
        <v>19464112.668293022</v>
      </c>
      <c r="Y178" s="129">
        <f ca="1">MAX(0, MIN($F$9-SUM($Y$154:Y177), B178-D178-G178-J178-U178-Q178-M178))</f>
        <v>33873.784615384619</v>
      </c>
      <c r="Z178" s="129">
        <f t="shared" ca="1" si="29"/>
        <v>95698.553952440678</v>
      </c>
      <c r="AA178" s="129">
        <f t="shared" ca="1" si="37"/>
        <v>19593685.006860849</v>
      </c>
      <c r="AB178" s="117">
        <f t="shared" si="31"/>
        <v>0</v>
      </c>
      <c r="AC178" s="117">
        <f t="shared" ca="1" si="32"/>
        <v>0</v>
      </c>
      <c r="AD178" s="117">
        <f t="shared" ca="1" si="38"/>
        <v>0</v>
      </c>
      <c r="AE178" s="117">
        <f t="shared" ca="1" si="21"/>
        <v>29489106.178706966</v>
      </c>
      <c r="AF178" s="117">
        <f t="shared" ca="1" si="33"/>
        <v>144988.10537864256</v>
      </c>
      <c r="AG178" s="117">
        <f t="shared" ca="1" si="22"/>
        <v>29667968.068700999</v>
      </c>
    </row>
    <row r="179" spans="1:33" x14ac:dyDescent="0.2">
      <c r="A179" s="116">
        <v>25</v>
      </c>
      <c r="B179" s="117">
        <f t="shared" ca="1" si="11"/>
        <v>33873.784615384619</v>
      </c>
      <c r="C179" s="121">
        <f t="shared" ca="1" si="23"/>
        <v>0</v>
      </c>
      <c r="D179" s="121">
        <f t="shared" ca="1" si="12"/>
        <v>0</v>
      </c>
      <c r="E179" s="121">
        <f t="shared" ca="1" si="13"/>
        <v>0</v>
      </c>
      <c r="F179" s="123">
        <f t="shared" ca="1" si="24"/>
        <v>0</v>
      </c>
      <c r="G179" s="123">
        <f t="shared" ca="1" si="14"/>
        <v>0</v>
      </c>
      <c r="H179" s="123">
        <f t="shared" ca="1" si="15"/>
        <v>0</v>
      </c>
      <c r="I179" s="125">
        <f t="shared" ca="1" si="25"/>
        <v>0</v>
      </c>
      <c r="J179" s="125">
        <f t="shared" ca="1" si="16"/>
        <v>0</v>
      </c>
      <c r="K179" s="125">
        <f t="shared" ca="1" si="17"/>
        <v>0</v>
      </c>
      <c r="L179" s="309"/>
      <c r="M179" s="309"/>
      <c r="N179" s="309"/>
      <c r="O179" s="309"/>
      <c r="P179" s="131">
        <f t="shared" ca="1" si="26"/>
        <v>0</v>
      </c>
      <c r="Q179" s="131">
        <f ca="1">MAX(0, MIN($F$10-SUM($Q$154:Q178), B179-D179-G179-J179-M179))</f>
        <v>0</v>
      </c>
      <c r="R179" s="131">
        <f t="shared" ca="1" si="34"/>
        <v>0</v>
      </c>
      <c r="S179" s="131">
        <f t="shared" ca="1" si="35"/>
        <v>0</v>
      </c>
      <c r="T179" s="127">
        <f t="shared" ca="1" si="27"/>
        <v>10074283.061840149</v>
      </c>
      <c r="U179" s="127">
        <f ca="1">MAX(0, MIN($F$8-SUM($U$154:U178), B179-D179-G179-J179-Q179-M179))</f>
        <v>0</v>
      </c>
      <c r="V179" s="127">
        <f t="shared" ca="1" si="18"/>
        <v>49531.891720714062</v>
      </c>
      <c r="W179" s="127">
        <f t="shared" ca="1" si="36"/>
        <v>10123814.953560863</v>
      </c>
      <c r="X179" s="129">
        <f t="shared" ca="1" si="28"/>
        <v>19593685.006860849</v>
      </c>
      <c r="Y179" s="129">
        <f ca="1">MAX(0, MIN($F$9-SUM($Y$154:Y178), B179-D179-G179-J179-U179-Q179-M179))</f>
        <v>33873.784615384619</v>
      </c>
      <c r="Z179" s="129">
        <f t="shared" ca="1" si="29"/>
        <v>96335.617950399173</v>
      </c>
      <c r="AA179" s="129">
        <f t="shared" ca="1" si="37"/>
        <v>19723894.409426633</v>
      </c>
      <c r="AB179" s="117">
        <f t="shared" si="31"/>
        <v>0</v>
      </c>
      <c r="AC179" s="117">
        <f t="shared" ca="1" si="32"/>
        <v>0</v>
      </c>
      <c r="AD179" s="117">
        <f t="shared" ca="1" si="38"/>
        <v>0</v>
      </c>
      <c r="AE179" s="117">
        <f t="shared" ca="1" si="21"/>
        <v>29667968.068700999</v>
      </c>
      <c r="AF179" s="117">
        <f t="shared" ca="1" si="33"/>
        <v>145867.50967111322</v>
      </c>
      <c r="AG179" s="117">
        <f t="shared" ca="1" si="22"/>
        <v>29847709.362987496</v>
      </c>
    </row>
    <row r="180" spans="1:33" x14ac:dyDescent="0.2">
      <c r="A180" s="116">
        <v>26</v>
      </c>
      <c r="B180" s="117">
        <f t="shared" ca="1" si="11"/>
        <v>33873.784615384619</v>
      </c>
      <c r="C180" s="121">
        <f t="shared" ca="1" si="23"/>
        <v>0</v>
      </c>
      <c r="D180" s="121">
        <f t="shared" ca="1" si="12"/>
        <v>0</v>
      </c>
      <c r="E180" s="121">
        <f t="shared" ca="1" si="13"/>
        <v>0</v>
      </c>
      <c r="F180" s="123">
        <f t="shared" ca="1" si="24"/>
        <v>0</v>
      </c>
      <c r="G180" s="123">
        <f t="shared" ca="1" si="14"/>
        <v>0</v>
      </c>
      <c r="H180" s="123">
        <f t="shared" ca="1" si="15"/>
        <v>0</v>
      </c>
      <c r="I180" s="125">
        <f t="shared" ca="1" si="25"/>
        <v>0</v>
      </c>
      <c r="J180" s="125">
        <f t="shared" ca="1" si="16"/>
        <v>0</v>
      </c>
      <c r="K180" s="125">
        <f t="shared" ca="1" si="17"/>
        <v>0</v>
      </c>
      <c r="L180" s="309"/>
      <c r="M180" s="309"/>
      <c r="N180" s="309"/>
      <c r="O180" s="309"/>
      <c r="P180" s="131">
        <f t="shared" ca="1" si="26"/>
        <v>0</v>
      </c>
      <c r="Q180" s="131">
        <f ca="1">MAX(0, MIN($F$10-SUM($Q$154:Q179), B180-D180-G180-J180-M180))</f>
        <v>0</v>
      </c>
      <c r="R180" s="131">
        <f t="shared" ca="1" si="34"/>
        <v>0</v>
      </c>
      <c r="S180" s="131">
        <f t="shared" ca="1" si="35"/>
        <v>0</v>
      </c>
      <c r="T180" s="127">
        <f t="shared" ca="1" si="27"/>
        <v>10123814.953560863</v>
      </c>
      <c r="U180" s="127">
        <f ca="1">MAX(0, MIN($F$8-SUM($U$154:U179), B180-D180-G180-J180-Q180-M180))</f>
        <v>0</v>
      </c>
      <c r="V180" s="127">
        <f t="shared" ca="1" si="18"/>
        <v>49775.423521674238</v>
      </c>
      <c r="W180" s="127">
        <f t="shared" ca="1" si="36"/>
        <v>10173590.377082538</v>
      </c>
      <c r="X180" s="129">
        <f t="shared" ca="1" si="28"/>
        <v>19723894.409426633</v>
      </c>
      <c r="Y180" s="129">
        <f ca="1">MAX(0, MIN($F$9-SUM($Y$154:Y179), B180-D180-G180-J180-U180-Q180-M180))</f>
        <v>33873.784615384619</v>
      </c>
      <c r="Z180" s="129">
        <f t="shared" ca="1" si="29"/>
        <v>96975.814179680936</v>
      </c>
      <c r="AA180" s="129">
        <f t="shared" ca="1" si="37"/>
        <v>19854744.008221701</v>
      </c>
      <c r="AB180" s="117">
        <f t="shared" si="31"/>
        <v>0</v>
      </c>
      <c r="AC180" s="117">
        <f t="shared" ca="1" si="32"/>
        <v>0</v>
      </c>
      <c r="AD180" s="117">
        <f t="shared" ca="1" si="38"/>
        <v>0</v>
      </c>
      <c r="AE180" s="117">
        <f t="shared" ca="1" si="21"/>
        <v>29847709.362987496</v>
      </c>
      <c r="AF180" s="117">
        <f t="shared" ca="1" si="33"/>
        <v>146751.23770135519</v>
      </c>
      <c r="AG180" s="117">
        <f t="shared" ca="1" si="22"/>
        <v>30028334.385304239</v>
      </c>
    </row>
    <row r="181" spans="1:33" x14ac:dyDescent="0.2">
      <c r="A181" s="116">
        <v>27</v>
      </c>
      <c r="B181" s="117">
        <f t="shared" ca="1" si="11"/>
        <v>0</v>
      </c>
      <c r="C181" s="121">
        <f t="shared" ca="1" si="23"/>
        <v>0</v>
      </c>
      <c r="D181" s="121">
        <f t="shared" ca="1" si="12"/>
        <v>0</v>
      </c>
      <c r="E181" s="121">
        <f t="shared" ca="1" si="13"/>
        <v>0</v>
      </c>
      <c r="F181" s="123">
        <f t="shared" ca="1" si="24"/>
        <v>0</v>
      </c>
      <c r="G181" s="123">
        <f t="shared" ca="1" si="14"/>
        <v>0</v>
      </c>
      <c r="H181" s="123">
        <f t="shared" ca="1" si="15"/>
        <v>0</v>
      </c>
      <c r="I181" s="125">
        <f t="shared" ca="1" si="25"/>
        <v>0</v>
      </c>
      <c r="J181" s="125">
        <f t="shared" ca="1" si="16"/>
        <v>0</v>
      </c>
      <c r="K181" s="125">
        <f t="shared" ca="1" si="17"/>
        <v>0</v>
      </c>
      <c r="L181" s="309"/>
      <c r="M181" s="309"/>
      <c r="N181" s="309"/>
      <c r="O181" s="309"/>
      <c r="P181" s="131">
        <f t="shared" si="26"/>
        <v>0</v>
      </c>
      <c r="Q181" s="131">
        <f ca="1">MAX(0, MIN($F$10-SUM($Q$154:Q180), B181-D181-G181-J181-M181))</f>
        <v>0</v>
      </c>
      <c r="R181" s="131">
        <f t="shared" si="34"/>
        <v>0</v>
      </c>
      <c r="S181" s="131">
        <f t="shared" ca="1" si="35"/>
        <v>0</v>
      </c>
      <c r="T181" s="127">
        <f t="shared" si="27"/>
        <v>0</v>
      </c>
      <c r="U181" s="127">
        <f ca="1">MAX(0, MIN($F$8-SUM($U$154:U180), B181-D181-G181-J181-Q181-M181))</f>
        <v>0</v>
      </c>
      <c r="V181" s="127">
        <f t="shared" si="18"/>
        <v>0</v>
      </c>
      <c r="W181" s="127">
        <f t="shared" ca="1" si="36"/>
        <v>0</v>
      </c>
      <c r="X181" s="129">
        <f t="shared" si="28"/>
        <v>0</v>
      </c>
      <c r="Y181" s="129">
        <f ca="1">MAX(0, MIN($F$9-SUM($Y$154:Y180), B181-D181-G181-J181-U181-Q181-M181))</f>
        <v>0</v>
      </c>
      <c r="Z181" s="129">
        <f t="shared" si="29"/>
        <v>0</v>
      </c>
      <c r="AA181" s="129">
        <f t="shared" ca="1" si="37"/>
        <v>0</v>
      </c>
      <c r="AB181" s="117">
        <f t="shared" si="31"/>
        <v>0</v>
      </c>
      <c r="AC181" s="117">
        <f t="shared" ca="1" si="32"/>
        <v>0</v>
      </c>
      <c r="AD181" s="117">
        <f t="shared" ca="1" si="38"/>
        <v>0</v>
      </c>
      <c r="AE181" s="117">
        <f t="shared" ca="1" si="21"/>
        <v>0</v>
      </c>
      <c r="AF181" s="117">
        <f t="shared" si="33"/>
        <v>0</v>
      </c>
      <c r="AG181" s="117">
        <f t="shared" ca="1" si="22"/>
        <v>0</v>
      </c>
    </row>
    <row r="182" spans="1:33" x14ac:dyDescent="0.2">
      <c r="A182" s="116">
        <v>28</v>
      </c>
      <c r="B182" s="117">
        <f t="shared" ca="1" si="11"/>
        <v>0</v>
      </c>
      <c r="C182" s="121">
        <f t="shared" ca="1" si="23"/>
        <v>0</v>
      </c>
      <c r="D182" s="121">
        <f t="shared" ca="1" si="12"/>
        <v>0</v>
      </c>
      <c r="E182" s="121">
        <f t="shared" ca="1" si="13"/>
        <v>0</v>
      </c>
      <c r="F182" s="123">
        <f t="shared" ca="1" si="24"/>
        <v>0</v>
      </c>
      <c r="G182" s="123">
        <f t="shared" ca="1" si="14"/>
        <v>0</v>
      </c>
      <c r="H182" s="123">
        <f t="shared" ca="1" si="15"/>
        <v>0</v>
      </c>
      <c r="I182" s="125">
        <f t="shared" ca="1" si="25"/>
        <v>0</v>
      </c>
      <c r="J182" s="125">
        <f t="shared" ca="1" si="16"/>
        <v>0</v>
      </c>
      <c r="K182" s="125">
        <f t="shared" ca="1" si="17"/>
        <v>0</v>
      </c>
      <c r="L182" s="309"/>
      <c r="M182" s="309"/>
      <c r="N182" s="309"/>
      <c r="O182" s="309"/>
      <c r="P182" s="131">
        <f t="shared" si="26"/>
        <v>0</v>
      </c>
      <c r="Q182" s="131">
        <f ca="1">MAX(0, MIN($F$10-SUM($Q$154:Q181), B182-D182-G182-J182-M182))</f>
        <v>0</v>
      </c>
      <c r="R182" s="131">
        <f t="shared" si="34"/>
        <v>0</v>
      </c>
      <c r="S182" s="131">
        <f t="shared" ca="1" si="35"/>
        <v>0</v>
      </c>
      <c r="T182" s="127">
        <f t="shared" si="27"/>
        <v>0</v>
      </c>
      <c r="U182" s="127">
        <f ca="1">MAX(0, MIN($F$8-SUM($U$154:U181), B182-D182-G182-J182-Q182-M182))</f>
        <v>0</v>
      </c>
      <c r="V182" s="127">
        <f t="shared" si="18"/>
        <v>0</v>
      </c>
      <c r="W182" s="127">
        <f t="shared" ca="1" si="36"/>
        <v>0</v>
      </c>
      <c r="X182" s="129">
        <f t="shared" si="28"/>
        <v>0</v>
      </c>
      <c r="Y182" s="129">
        <f ca="1">MAX(0, MIN($F$9-SUM($Y$154:Y181), B182-D182-G182-J182-U182-Q182-M182))</f>
        <v>0</v>
      </c>
      <c r="Z182" s="129">
        <f t="shared" si="29"/>
        <v>0</v>
      </c>
      <c r="AA182" s="129">
        <f t="shared" ca="1" si="37"/>
        <v>0</v>
      </c>
      <c r="AB182" s="117">
        <f t="shared" si="31"/>
        <v>0</v>
      </c>
      <c r="AC182" s="117">
        <f t="shared" ca="1" si="32"/>
        <v>0</v>
      </c>
      <c r="AD182" s="117">
        <f t="shared" ca="1" si="38"/>
        <v>0</v>
      </c>
      <c r="AE182" s="117">
        <f t="shared" ca="1" si="21"/>
        <v>0</v>
      </c>
      <c r="AF182" s="117">
        <f t="shared" si="33"/>
        <v>0</v>
      </c>
      <c r="AG182" s="117">
        <f t="shared" ca="1" si="22"/>
        <v>0</v>
      </c>
    </row>
    <row r="183" spans="1:33" x14ac:dyDescent="0.2">
      <c r="A183" s="116">
        <v>29</v>
      </c>
      <c r="B183" s="117">
        <f t="shared" ca="1" si="11"/>
        <v>0</v>
      </c>
      <c r="C183" s="121">
        <f t="shared" ca="1" si="23"/>
        <v>0</v>
      </c>
      <c r="D183" s="121">
        <f t="shared" ca="1" si="12"/>
        <v>0</v>
      </c>
      <c r="E183" s="121">
        <f t="shared" ca="1" si="13"/>
        <v>0</v>
      </c>
      <c r="F183" s="123">
        <f t="shared" ca="1" si="24"/>
        <v>0</v>
      </c>
      <c r="G183" s="123">
        <f t="shared" ca="1" si="14"/>
        <v>0</v>
      </c>
      <c r="H183" s="123">
        <f t="shared" ca="1" si="15"/>
        <v>0</v>
      </c>
      <c r="I183" s="125">
        <f t="shared" ca="1" si="25"/>
        <v>0</v>
      </c>
      <c r="J183" s="125">
        <f t="shared" ca="1" si="16"/>
        <v>0</v>
      </c>
      <c r="K183" s="125">
        <f t="shared" ca="1" si="17"/>
        <v>0</v>
      </c>
      <c r="L183" s="309"/>
      <c r="M183" s="309"/>
      <c r="N183" s="309"/>
      <c r="O183" s="309"/>
      <c r="P183" s="131">
        <f t="shared" si="26"/>
        <v>0</v>
      </c>
      <c r="Q183" s="131">
        <f ca="1">MAX(0, MIN($F$10-SUM($Q$154:Q182), B183-D183-G183-J183-M183))</f>
        <v>0</v>
      </c>
      <c r="R183" s="131">
        <f t="shared" si="34"/>
        <v>0</v>
      </c>
      <c r="S183" s="131">
        <f t="shared" ca="1" si="35"/>
        <v>0</v>
      </c>
      <c r="T183" s="127">
        <f t="shared" si="27"/>
        <v>0</v>
      </c>
      <c r="U183" s="127">
        <f ca="1">MAX(0, MIN($F$8-SUM($U$154:U182), B183-D183-G183-J183-Q183-M183))</f>
        <v>0</v>
      </c>
      <c r="V183" s="127">
        <f t="shared" si="18"/>
        <v>0</v>
      </c>
      <c r="W183" s="127">
        <f t="shared" ca="1" si="36"/>
        <v>0</v>
      </c>
      <c r="X183" s="129">
        <f t="shared" si="28"/>
        <v>0</v>
      </c>
      <c r="Y183" s="129">
        <f ca="1">MAX(0, MIN($F$9-SUM($Y$154:Y182), B183-D183-G183-J183-U183-Q183-M183))</f>
        <v>0</v>
      </c>
      <c r="Z183" s="129">
        <f t="shared" si="29"/>
        <v>0</v>
      </c>
      <c r="AA183" s="129">
        <f t="shared" ca="1" si="37"/>
        <v>0</v>
      </c>
      <c r="AB183" s="117">
        <f t="shared" si="31"/>
        <v>0</v>
      </c>
      <c r="AC183" s="117">
        <f t="shared" ca="1" si="32"/>
        <v>0</v>
      </c>
      <c r="AD183" s="117">
        <f t="shared" ca="1" si="38"/>
        <v>0</v>
      </c>
      <c r="AE183" s="117">
        <f t="shared" ca="1" si="21"/>
        <v>0</v>
      </c>
      <c r="AF183" s="117">
        <f t="shared" si="33"/>
        <v>0</v>
      </c>
      <c r="AG183" s="117">
        <f t="shared" ca="1" si="22"/>
        <v>0</v>
      </c>
    </row>
    <row r="184" spans="1:33" x14ac:dyDescent="0.2">
      <c r="A184" s="116">
        <v>30</v>
      </c>
      <c r="B184" s="117">
        <f t="shared" ca="1" si="11"/>
        <v>0</v>
      </c>
      <c r="C184" s="121">
        <f t="shared" ca="1" si="23"/>
        <v>0</v>
      </c>
      <c r="D184" s="121">
        <f t="shared" ca="1" si="12"/>
        <v>0</v>
      </c>
      <c r="E184" s="121">
        <f t="shared" ca="1" si="13"/>
        <v>0</v>
      </c>
      <c r="F184" s="123">
        <f t="shared" ca="1" si="24"/>
        <v>0</v>
      </c>
      <c r="G184" s="123">
        <f t="shared" ca="1" si="14"/>
        <v>0</v>
      </c>
      <c r="H184" s="123">
        <f t="shared" ca="1" si="15"/>
        <v>0</v>
      </c>
      <c r="I184" s="125">
        <f t="shared" ca="1" si="25"/>
        <v>0</v>
      </c>
      <c r="J184" s="125">
        <f t="shared" ca="1" si="16"/>
        <v>0</v>
      </c>
      <c r="K184" s="125">
        <f t="shared" ca="1" si="17"/>
        <v>0</v>
      </c>
      <c r="L184" s="309"/>
      <c r="M184" s="309"/>
      <c r="N184" s="309"/>
      <c r="O184" s="309"/>
      <c r="P184" s="131">
        <f t="shared" si="26"/>
        <v>0</v>
      </c>
      <c r="Q184" s="131">
        <f ca="1">MAX(0, MIN($F$10-SUM($Q$154:Q183), B184-D184-G184-J184-M184))</f>
        <v>0</v>
      </c>
      <c r="R184" s="131">
        <f t="shared" si="34"/>
        <v>0</v>
      </c>
      <c r="S184" s="131">
        <f t="shared" ca="1" si="35"/>
        <v>0</v>
      </c>
      <c r="T184" s="127">
        <f t="shared" si="27"/>
        <v>0</v>
      </c>
      <c r="U184" s="127">
        <f ca="1">MAX(0, MIN($F$8-SUM($U$154:U183), B184-D184-G184-J184-Q184-M184))</f>
        <v>0</v>
      </c>
      <c r="V184" s="127">
        <f t="shared" si="18"/>
        <v>0</v>
      </c>
      <c r="W184" s="127">
        <f t="shared" ca="1" si="36"/>
        <v>0</v>
      </c>
      <c r="X184" s="129">
        <f t="shared" si="28"/>
        <v>0</v>
      </c>
      <c r="Y184" s="129">
        <f ca="1">MAX(0, MIN($F$9-SUM($Y$154:Y183), B184-D184-G184-J184-U184-Q184-M184))</f>
        <v>0</v>
      </c>
      <c r="Z184" s="129">
        <f t="shared" si="29"/>
        <v>0</v>
      </c>
      <c r="AA184" s="129">
        <f t="shared" ca="1" si="37"/>
        <v>0</v>
      </c>
      <c r="AB184" s="117">
        <f t="shared" si="31"/>
        <v>0</v>
      </c>
      <c r="AC184" s="117">
        <f t="shared" ca="1" si="32"/>
        <v>0</v>
      </c>
      <c r="AD184" s="117">
        <f t="shared" ca="1" si="38"/>
        <v>0</v>
      </c>
      <c r="AE184" s="117">
        <f t="shared" ca="1" si="21"/>
        <v>0</v>
      </c>
      <c r="AF184" s="117">
        <f t="shared" si="33"/>
        <v>0</v>
      </c>
      <c r="AG184" s="117">
        <f t="shared" ca="1" si="22"/>
        <v>0</v>
      </c>
    </row>
    <row r="185" spans="1:33" x14ac:dyDescent="0.2">
      <c r="A185" s="116">
        <v>31</v>
      </c>
      <c r="B185" s="117">
        <f t="shared" ca="1" si="11"/>
        <v>0</v>
      </c>
      <c r="C185" s="121">
        <f t="shared" ca="1" si="23"/>
        <v>0</v>
      </c>
      <c r="D185" s="121">
        <f t="shared" ca="1" si="12"/>
        <v>0</v>
      </c>
      <c r="E185" s="121">
        <f t="shared" ca="1" si="13"/>
        <v>0</v>
      </c>
      <c r="F185" s="123">
        <f t="shared" ca="1" si="24"/>
        <v>0</v>
      </c>
      <c r="G185" s="123">
        <f t="shared" ca="1" si="14"/>
        <v>0</v>
      </c>
      <c r="H185" s="123">
        <f t="shared" ca="1" si="15"/>
        <v>0</v>
      </c>
      <c r="I185" s="125">
        <f t="shared" ca="1" si="25"/>
        <v>0</v>
      </c>
      <c r="J185" s="125">
        <f t="shared" ca="1" si="16"/>
        <v>0</v>
      </c>
      <c r="K185" s="125">
        <f t="shared" ca="1" si="17"/>
        <v>0</v>
      </c>
      <c r="L185" s="309"/>
      <c r="M185" s="309"/>
      <c r="N185" s="309"/>
      <c r="O185" s="309"/>
      <c r="P185" s="131">
        <f t="shared" si="26"/>
        <v>0</v>
      </c>
      <c r="Q185" s="131">
        <f ca="1">MAX(0, MIN($F$10-SUM($Q$154:Q184), B185-D185-G185-J185-M185))</f>
        <v>0</v>
      </c>
      <c r="R185" s="131">
        <f t="shared" si="34"/>
        <v>0</v>
      </c>
      <c r="S185" s="131">
        <f t="shared" ca="1" si="35"/>
        <v>0</v>
      </c>
      <c r="T185" s="127">
        <f t="shared" si="27"/>
        <v>0</v>
      </c>
      <c r="U185" s="127">
        <f ca="1">MAX(0, MIN($F$8-SUM($U$154:U184), B185-D185-G185-J185-Q185-M185))</f>
        <v>0</v>
      </c>
      <c r="V185" s="127">
        <f t="shared" si="18"/>
        <v>0</v>
      </c>
      <c r="W185" s="127">
        <f t="shared" ca="1" si="36"/>
        <v>0</v>
      </c>
      <c r="X185" s="129">
        <f t="shared" si="28"/>
        <v>0</v>
      </c>
      <c r="Y185" s="129">
        <f ca="1">MAX(0, MIN($F$9-SUM($Y$154:Y184), B185-D185-G185-J185-U185-Q185-M185))</f>
        <v>0</v>
      </c>
      <c r="Z185" s="129">
        <f t="shared" si="29"/>
        <v>0</v>
      </c>
      <c r="AA185" s="129">
        <f t="shared" ca="1" si="37"/>
        <v>0</v>
      </c>
      <c r="AB185" s="117">
        <f t="shared" si="31"/>
        <v>0</v>
      </c>
      <c r="AC185" s="117">
        <f t="shared" ca="1" si="32"/>
        <v>0</v>
      </c>
      <c r="AD185" s="117">
        <f t="shared" ca="1" si="38"/>
        <v>0</v>
      </c>
      <c r="AE185" s="117">
        <f t="shared" ca="1" si="21"/>
        <v>0</v>
      </c>
      <c r="AF185" s="117">
        <f t="shared" si="33"/>
        <v>0</v>
      </c>
      <c r="AG185" s="117">
        <f t="shared" ca="1" si="22"/>
        <v>0</v>
      </c>
    </row>
    <row r="186" spans="1:33" x14ac:dyDescent="0.2">
      <c r="A186" s="116">
        <v>32</v>
      </c>
      <c r="B186" s="117">
        <f t="shared" ca="1" si="11"/>
        <v>0</v>
      </c>
      <c r="C186" s="121">
        <f t="shared" ca="1" si="23"/>
        <v>0</v>
      </c>
      <c r="D186" s="121">
        <f t="shared" ca="1" si="12"/>
        <v>0</v>
      </c>
      <c r="E186" s="121">
        <f t="shared" ca="1" si="13"/>
        <v>0</v>
      </c>
      <c r="F186" s="123">
        <f t="shared" ca="1" si="24"/>
        <v>0</v>
      </c>
      <c r="G186" s="123">
        <f t="shared" ca="1" si="14"/>
        <v>0</v>
      </c>
      <c r="H186" s="123">
        <f t="shared" ca="1" si="15"/>
        <v>0</v>
      </c>
      <c r="I186" s="125">
        <f t="shared" ca="1" si="25"/>
        <v>0</v>
      </c>
      <c r="J186" s="125">
        <f t="shared" ca="1" si="16"/>
        <v>0</v>
      </c>
      <c r="K186" s="125">
        <f t="shared" ca="1" si="17"/>
        <v>0</v>
      </c>
      <c r="L186" s="309"/>
      <c r="M186" s="309"/>
      <c r="N186" s="309"/>
      <c r="O186" s="309"/>
      <c r="P186" s="131">
        <f t="shared" si="26"/>
        <v>0</v>
      </c>
      <c r="Q186" s="131">
        <f ca="1">MAX(0, MIN($F$10-SUM($Q$154:Q185), B186-D186-G186-J186-M186))</f>
        <v>0</v>
      </c>
      <c r="R186" s="131">
        <f t="shared" si="34"/>
        <v>0</v>
      </c>
      <c r="S186" s="131">
        <f t="shared" ca="1" si="35"/>
        <v>0</v>
      </c>
      <c r="T186" s="127">
        <f t="shared" si="27"/>
        <v>0</v>
      </c>
      <c r="U186" s="127">
        <f ca="1">MAX(0, MIN($F$8-SUM($U$154:U185), B186-D186-G186-J186-Q186-M186))</f>
        <v>0</v>
      </c>
      <c r="V186" s="127">
        <f t="shared" si="18"/>
        <v>0</v>
      </c>
      <c r="W186" s="127">
        <f t="shared" ca="1" si="36"/>
        <v>0</v>
      </c>
      <c r="X186" s="129">
        <f t="shared" si="28"/>
        <v>0</v>
      </c>
      <c r="Y186" s="129">
        <f ca="1">MAX(0, MIN($F$9-SUM($Y$154:Y185), B186-D186-G186-J186-U186-Q186-M186))</f>
        <v>0</v>
      </c>
      <c r="Z186" s="129">
        <f t="shared" si="29"/>
        <v>0</v>
      </c>
      <c r="AA186" s="129">
        <f t="shared" ca="1" si="37"/>
        <v>0</v>
      </c>
      <c r="AB186" s="117">
        <f t="shared" si="31"/>
        <v>0</v>
      </c>
      <c r="AC186" s="117">
        <f t="shared" ca="1" si="32"/>
        <v>0</v>
      </c>
      <c r="AD186" s="117">
        <f t="shared" ca="1" si="38"/>
        <v>0</v>
      </c>
      <c r="AE186" s="117">
        <f t="shared" ca="1" si="21"/>
        <v>0</v>
      </c>
      <c r="AF186" s="117">
        <f t="shared" si="33"/>
        <v>0</v>
      </c>
      <c r="AG186" s="117">
        <f t="shared" ca="1" si="22"/>
        <v>0</v>
      </c>
    </row>
    <row r="187" spans="1:33" x14ac:dyDescent="0.2">
      <c r="A187" s="116">
        <v>33</v>
      </c>
      <c r="B187" s="117">
        <f t="shared" ref="B187:B214" ca="1" si="39">I124</f>
        <v>0</v>
      </c>
      <c r="C187" s="121">
        <f t="shared" ca="1" si="23"/>
        <v>0</v>
      </c>
      <c r="D187" s="121">
        <f t="shared" ca="1" si="12"/>
        <v>0</v>
      </c>
      <c r="E187" s="121">
        <f t="shared" ca="1" si="13"/>
        <v>0</v>
      </c>
      <c r="F187" s="123">
        <f t="shared" ca="1" si="24"/>
        <v>0</v>
      </c>
      <c r="G187" s="123">
        <f t="shared" ca="1" si="14"/>
        <v>0</v>
      </c>
      <c r="H187" s="123">
        <f t="shared" ca="1" si="15"/>
        <v>0</v>
      </c>
      <c r="I187" s="125">
        <f t="shared" ca="1" si="25"/>
        <v>0</v>
      </c>
      <c r="J187" s="125">
        <f t="shared" ca="1" si="16"/>
        <v>0</v>
      </c>
      <c r="K187" s="125">
        <f t="shared" ca="1" si="17"/>
        <v>0</v>
      </c>
      <c r="L187" s="309"/>
      <c r="M187" s="309"/>
      <c r="N187" s="309"/>
      <c r="O187" s="309"/>
      <c r="P187" s="131">
        <f t="shared" si="26"/>
        <v>0</v>
      </c>
      <c r="Q187" s="131">
        <f ca="1">MAX(0, MIN($F$10-SUM($Q$154:Q186), B187-D187-G187-J187-M187))</f>
        <v>0</v>
      </c>
      <c r="R187" s="131">
        <f t="shared" si="34"/>
        <v>0</v>
      </c>
      <c r="S187" s="131">
        <f t="shared" ca="1" si="35"/>
        <v>0</v>
      </c>
      <c r="T187" s="127">
        <f t="shared" si="27"/>
        <v>0</v>
      </c>
      <c r="U187" s="127">
        <f ca="1">MAX(0, MIN($F$8-SUM($U$154:U186), B187-D187-G187-J187-Q187-M187))</f>
        <v>0</v>
      </c>
      <c r="V187" s="127">
        <f t="shared" si="18"/>
        <v>0</v>
      </c>
      <c r="W187" s="127">
        <f t="shared" ca="1" si="36"/>
        <v>0</v>
      </c>
      <c r="X187" s="129">
        <f t="shared" si="28"/>
        <v>0</v>
      </c>
      <c r="Y187" s="129">
        <f ca="1">MAX(0, MIN($F$9-SUM($Y$154:Y186), B187-D187-G187-J187-U187-Q187-M187))</f>
        <v>0</v>
      </c>
      <c r="Z187" s="129">
        <f t="shared" si="29"/>
        <v>0</v>
      </c>
      <c r="AA187" s="129">
        <f t="shared" ca="1" si="37"/>
        <v>0</v>
      </c>
      <c r="AB187" s="117">
        <f t="shared" si="31"/>
        <v>0</v>
      </c>
      <c r="AC187" s="117">
        <f t="shared" ca="1" si="32"/>
        <v>0</v>
      </c>
      <c r="AD187" s="117">
        <f t="shared" ca="1" si="38"/>
        <v>0</v>
      </c>
      <c r="AE187" s="117">
        <f t="shared" ref="AE187:AE214" ca="1" si="40">C187+F187+I187+T187+X187+P187+AB187</f>
        <v>0</v>
      </c>
      <c r="AF187" s="117">
        <f t="shared" si="33"/>
        <v>0</v>
      </c>
      <c r="AG187" s="117">
        <f t="shared" ref="AG187:AG214" ca="1" si="41">E187+H187+K187+W187+AA187+S187+AD187</f>
        <v>0</v>
      </c>
    </row>
    <row r="188" spans="1:33" x14ac:dyDescent="0.2">
      <c r="A188" s="116">
        <v>34</v>
      </c>
      <c r="B188" s="117">
        <f t="shared" ca="1" si="39"/>
        <v>0</v>
      </c>
      <c r="C188" s="121">
        <f t="shared" ca="1" si="23"/>
        <v>0</v>
      </c>
      <c r="D188" s="121">
        <f t="shared" ca="1" si="12"/>
        <v>0</v>
      </c>
      <c r="E188" s="121">
        <f t="shared" ca="1" si="13"/>
        <v>0</v>
      </c>
      <c r="F188" s="123">
        <f t="shared" ca="1" si="24"/>
        <v>0</v>
      </c>
      <c r="G188" s="123">
        <f t="shared" ca="1" si="14"/>
        <v>0</v>
      </c>
      <c r="H188" s="123">
        <f t="shared" ca="1" si="15"/>
        <v>0</v>
      </c>
      <c r="I188" s="125">
        <f t="shared" ca="1" si="25"/>
        <v>0</v>
      </c>
      <c r="J188" s="125">
        <f t="shared" ca="1" si="16"/>
        <v>0</v>
      </c>
      <c r="K188" s="125">
        <f t="shared" ca="1" si="17"/>
        <v>0</v>
      </c>
      <c r="L188" s="309"/>
      <c r="M188" s="309"/>
      <c r="N188" s="309"/>
      <c r="O188" s="309"/>
      <c r="P188" s="131">
        <f t="shared" ref="P188:P214" si="42">IF($A188&lt;=$C$7,S187,0)</f>
        <v>0</v>
      </c>
      <c r="Q188" s="131">
        <f ca="1">MAX(0, MIN($F$10-SUM($Q$154:Q187), B188-D188-G188-J188-M188))</f>
        <v>0</v>
      </c>
      <c r="R188" s="131">
        <f t="shared" si="34"/>
        <v>0</v>
      </c>
      <c r="S188" s="131">
        <f t="shared" ca="1" si="35"/>
        <v>0</v>
      </c>
      <c r="T188" s="127">
        <f t="shared" ref="T188:T214" si="43">IF($A188&lt;=$C$7,W187,0)</f>
        <v>0</v>
      </c>
      <c r="U188" s="127">
        <f ca="1">MAX(0, MIN($F$8-SUM($U$154:U187), B188-D188-G188-J188-Q188-M188))</f>
        <v>0</v>
      </c>
      <c r="V188" s="127">
        <f t="shared" si="18"/>
        <v>0</v>
      </c>
      <c r="W188" s="127">
        <f t="shared" ca="1" si="36"/>
        <v>0</v>
      </c>
      <c r="X188" s="129">
        <f t="shared" ref="X188:X214" si="44">IF($A188&lt;=$C$7,AA187,0)</f>
        <v>0</v>
      </c>
      <c r="Y188" s="129">
        <f ca="1">MAX(0, MIN($F$9-SUM($Y$154:Y187), B188-D188-G188-J188-U188-Q188-M188))</f>
        <v>0</v>
      </c>
      <c r="Z188" s="129">
        <f t="shared" si="29"/>
        <v>0</v>
      </c>
      <c r="AA188" s="129">
        <f t="shared" ca="1" si="37"/>
        <v>0</v>
      </c>
      <c r="AB188" s="117">
        <f t="shared" si="31"/>
        <v>0</v>
      </c>
      <c r="AC188" s="117">
        <f t="shared" ref="AC188:AC214" ca="1" si="45">MAX(0, MIN(AB188, B188-D188-G188-J188-U188-Y188-Q188))</f>
        <v>0</v>
      </c>
      <c r="AD188" s="117">
        <f t="shared" ca="1" si="38"/>
        <v>0</v>
      </c>
      <c r="AE188" s="117">
        <f t="shared" ca="1" si="40"/>
        <v>0</v>
      </c>
      <c r="AF188" s="117">
        <f t="shared" si="33"/>
        <v>0</v>
      </c>
      <c r="AG188" s="117">
        <f t="shared" ca="1" si="41"/>
        <v>0</v>
      </c>
    </row>
    <row r="189" spans="1:33" x14ac:dyDescent="0.2">
      <c r="A189" s="116">
        <v>35</v>
      </c>
      <c r="B189" s="117">
        <f t="shared" ca="1" si="39"/>
        <v>0</v>
      </c>
      <c r="C189" s="121">
        <f t="shared" ca="1" si="23"/>
        <v>0</v>
      </c>
      <c r="D189" s="121">
        <f t="shared" ca="1" si="12"/>
        <v>0</v>
      </c>
      <c r="E189" s="121">
        <f t="shared" ca="1" si="13"/>
        <v>0</v>
      </c>
      <c r="F189" s="123">
        <f t="shared" ca="1" si="24"/>
        <v>0</v>
      </c>
      <c r="G189" s="123">
        <f t="shared" ca="1" si="14"/>
        <v>0</v>
      </c>
      <c r="H189" s="123">
        <f t="shared" ca="1" si="15"/>
        <v>0</v>
      </c>
      <c r="I189" s="125">
        <f t="shared" ca="1" si="25"/>
        <v>0</v>
      </c>
      <c r="J189" s="125">
        <f t="shared" ca="1" si="16"/>
        <v>0</v>
      </c>
      <c r="K189" s="125">
        <f t="shared" ca="1" si="17"/>
        <v>0</v>
      </c>
      <c r="L189" s="309"/>
      <c r="M189" s="309"/>
      <c r="N189" s="309"/>
      <c r="O189" s="309"/>
      <c r="P189" s="131">
        <f t="shared" si="42"/>
        <v>0</v>
      </c>
      <c r="Q189" s="131">
        <f ca="1">MAX(0, MIN($F$10-SUM($Q$154:Q188), B189-D189-G189-J189-M189))</f>
        <v>0</v>
      </c>
      <c r="R189" s="131">
        <f t="shared" si="34"/>
        <v>0</v>
      </c>
      <c r="S189" s="131">
        <f t="shared" ca="1" si="35"/>
        <v>0</v>
      </c>
      <c r="T189" s="127">
        <f t="shared" si="43"/>
        <v>0</v>
      </c>
      <c r="U189" s="127">
        <f ca="1">MAX(0, MIN($F$8-SUM($U$154:U188), B189-D189-G189-J189-Q189-M189))</f>
        <v>0</v>
      </c>
      <c r="V189" s="127">
        <f t="shared" si="18"/>
        <v>0</v>
      </c>
      <c r="W189" s="127">
        <f t="shared" ca="1" si="36"/>
        <v>0</v>
      </c>
      <c r="X189" s="129">
        <f t="shared" si="44"/>
        <v>0</v>
      </c>
      <c r="Y189" s="129">
        <f ca="1">MAX(0, MIN($F$9-SUM($Y$154:Y188), B189-D189-G189-J189-U189-Q189-M189))</f>
        <v>0</v>
      </c>
      <c r="Z189" s="129">
        <f t="shared" si="29"/>
        <v>0</v>
      </c>
      <c r="AA189" s="129">
        <f t="shared" ca="1" si="37"/>
        <v>0</v>
      </c>
      <c r="AB189" s="117">
        <f t="shared" si="31"/>
        <v>0</v>
      </c>
      <c r="AC189" s="117">
        <f t="shared" ca="1" si="45"/>
        <v>0</v>
      </c>
      <c r="AD189" s="117">
        <f t="shared" ca="1" si="38"/>
        <v>0</v>
      </c>
      <c r="AE189" s="117">
        <f t="shared" ca="1" si="40"/>
        <v>0</v>
      </c>
      <c r="AF189" s="117">
        <f t="shared" si="33"/>
        <v>0</v>
      </c>
      <c r="AG189" s="117">
        <f t="shared" ca="1" si="41"/>
        <v>0</v>
      </c>
    </row>
    <row r="190" spans="1:33" x14ac:dyDescent="0.2">
      <c r="A190" s="116">
        <v>36</v>
      </c>
      <c r="B190" s="117">
        <f t="shared" ca="1" si="39"/>
        <v>0</v>
      </c>
      <c r="C190" s="121">
        <f t="shared" ca="1" si="23"/>
        <v>0</v>
      </c>
      <c r="D190" s="121">
        <f t="shared" ca="1" si="12"/>
        <v>0</v>
      </c>
      <c r="E190" s="121">
        <f t="shared" ca="1" si="13"/>
        <v>0</v>
      </c>
      <c r="F190" s="123">
        <f t="shared" ca="1" si="24"/>
        <v>0</v>
      </c>
      <c r="G190" s="123">
        <f t="shared" ca="1" si="14"/>
        <v>0</v>
      </c>
      <c r="H190" s="123">
        <f t="shared" ca="1" si="15"/>
        <v>0</v>
      </c>
      <c r="I190" s="125">
        <f t="shared" ca="1" si="25"/>
        <v>0</v>
      </c>
      <c r="J190" s="125">
        <f t="shared" ca="1" si="16"/>
        <v>0</v>
      </c>
      <c r="K190" s="125">
        <f t="shared" ca="1" si="17"/>
        <v>0</v>
      </c>
      <c r="L190" s="309"/>
      <c r="M190" s="309"/>
      <c r="N190" s="309"/>
      <c r="O190" s="309"/>
      <c r="P190" s="131">
        <f t="shared" si="42"/>
        <v>0</v>
      </c>
      <c r="Q190" s="131">
        <f ca="1">MAX(0, MIN($F$10-SUM($Q$154:Q189), B190-D190-G190-J190-M190))</f>
        <v>0</v>
      </c>
      <c r="R190" s="131">
        <f t="shared" si="34"/>
        <v>0</v>
      </c>
      <c r="S190" s="131">
        <f t="shared" ca="1" si="35"/>
        <v>0</v>
      </c>
      <c r="T190" s="127">
        <f t="shared" si="43"/>
        <v>0</v>
      </c>
      <c r="U190" s="127">
        <f ca="1">MAX(0, MIN($F$8-SUM($U$154:U189), B190-D190-G190-J190-Q190-M190))</f>
        <v>0</v>
      </c>
      <c r="V190" s="127">
        <f t="shared" si="18"/>
        <v>0</v>
      </c>
      <c r="W190" s="127">
        <f t="shared" ca="1" si="36"/>
        <v>0</v>
      </c>
      <c r="X190" s="129">
        <f t="shared" si="44"/>
        <v>0</v>
      </c>
      <c r="Y190" s="129">
        <f ca="1">MAX(0, MIN($F$9-SUM($Y$154:Y189), B190-D190-G190-J190-U190-Q190-M190))</f>
        <v>0</v>
      </c>
      <c r="Z190" s="129">
        <f t="shared" si="29"/>
        <v>0</v>
      </c>
      <c r="AA190" s="129">
        <f t="shared" ca="1" si="37"/>
        <v>0</v>
      </c>
      <c r="AB190" s="117">
        <f t="shared" si="31"/>
        <v>0</v>
      </c>
      <c r="AC190" s="117">
        <f t="shared" ca="1" si="45"/>
        <v>0</v>
      </c>
      <c r="AD190" s="117">
        <f t="shared" ca="1" si="38"/>
        <v>0</v>
      </c>
      <c r="AE190" s="117">
        <f t="shared" ca="1" si="40"/>
        <v>0</v>
      </c>
      <c r="AF190" s="117">
        <f t="shared" si="33"/>
        <v>0</v>
      </c>
      <c r="AG190" s="117">
        <f t="shared" ca="1" si="41"/>
        <v>0</v>
      </c>
    </row>
    <row r="191" spans="1:33" x14ac:dyDescent="0.2">
      <c r="A191" s="116">
        <v>37</v>
      </c>
      <c r="B191" s="117">
        <f t="shared" ca="1" si="39"/>
        <v>0</v>
      </c>
      <c r="C191" s="121">
        <f t="shared" ca="1" si="23"/>
        <v>0</v>
      </c>
      <c r="D191" s="121">
        <f t="shared" ca="1" si="12"/>
        <v>0</v>
      </c>
      <c r="E191" s="121">
        <f t="shared" ca="1" si="13"/>
        <v>0</v>
      </c>
      <c r="F191" s="123">
        <f t="shared" ca="1" si="24"/>
        <v>0</v>
      </c>
      <c r="G191" s="123">
        <f t="shared" ca="1" si="14"/>
        <v>0</v>
      </c>
      <c r="H191" s="123">
        <f t="shared" ca="1" si="15"/>
        <v>0</v>
      </c>
      <c r="I191" s="125">
        <f t="shared" ca="1" si="25"/>
        <v>0</v>
      </c>
      <c r="J191" s="125">
        <f t="shared" ca="1" si="16"/>
        <v>0</v>
      </c>
      <c r="K191" s="125">
        <f t="shared" ca="1" si="17"/>
        <v>0</v>
      </c>
      <c r="L191" s="309"/>
      <c r="M191" s="309"/>
      <c r="N191" s="309"/>
      <c r="O191" s="309"/>
      <c r="P191" s="131">
        <f t="shared" si="42"/>
        <v>0</v>
      </c>
      <c r="Q191" s="131">
        <f ca="1">MAX(0, MIN($F$10-SUM($Q$154:Q190), B191-D191-G191-J191-M191))</f>
        <v>0</v>
      </c>
      <c r="R191" s="131">
        <f t="shared" si="34"/>
        <v>0</v>
      </c>
      <c r="S191" s="131">
        <f t="shared" ca="1" si="35"/>
        <v>0</v>
      </c>
      <c r="T191" s="127">
        <f t="shared" si="43"/>
        <v>0</v>
      </c>
      <c r="U191" s="127">
        <f ca="1">MAX(0, MIN($F$8-SUM($U$154:U190), B191-D191-G191-J191-Q191-M191))</f>
        <v>0</v>
      </c>
      <c r="V191" s="127">
        <f t="shared" si="18"/>
        <v>0</v>
      </c>
      <c r="W191" s="127">
        <f t="shared" ca="1" si="36"/>
        <v>0</v>
      </c>
      <c r="X191" s="129">
        <f t="shared" si="44"/>
        <v>0</v>
      </c>
      <c r="Y191" s="129">
        <f ca="1">MAX(0, MIN($F$9-SUM($Y$154:Y190), B191-D191-G191-J191-U191-Q191-M191))</f>
        <v>0</v>
      </c>
      <c r="Z191" s="129">
        <f t="shared" si="29"/>
        <v>0</v>
      </c>
      <c r="AA191" s="129">
        <f t="shared" ca="1" si="37"/>
        <v>0</v>
      </c>
      <c r="AB191" s="117">
        <f t="shared" si="31"/>
        <v>0</v>
      </c>
      <c r="AC191" s="117">
        <f t="shared" ca="1" si="45"/>
        <v>0</v>
      </c>
      <c r="AD191" s="117">
        <f t="shared" ca="1" si="38"/>
        <v>0</v>
      </c>
      <c r="AE191" s="117">
        <f t="shared" ca="1" si="40"/>
        <v>0</v>
      </c>
      <c r="AF191" s="117">
        <f t="shared" si="33"/>
        <v>0</v>
      </c>
      <c r="AG191" s="117">
        <f t="shared" ca="1" si="41"/>
        <v>0</v>
      </c>
    </row>
    <row r="192" spans="1:33" x14ac:dyDescent="0.2">
      <c r="A192" s="116">
        <v>38</v>
      </c>
      <c r="B192" s="117">
        <f t="shared" ca="1" si="39"/>
        <v>0</v>
      </c>
      <c r="C192" s="121">
        <f t="shared" ca="1" si="23"/>
        <v>0</v>
      </c>
      <c r="D192" s="121">
        <f t="shared" ca="1" si="12"/>
        <v>0</v>
      </c>
      <c r="E192" s="121">
        <f t="shared" ca="1" si="13"/>
        <v>0</v>
      </c>
      <c r="F192" s="123">
        <f t="shared" ca="1" si="24"/>
        <v>0</v>
      </c>
      <c r="G192" s="123">
        <f t="shared" ca="1" si="14"/>
        <v>0</v>
      </c>
      <c r="H192" s="123">
        <f t="shared" ca="1" si="15"/>
        <v>0</v>
      </c>
      <c r="I192" s="125">
        <f t="shared" ca="1" si="25"/>
        <v>0</v>
      </c>
      <c r="J192" s="125">
        <f t="shared" ca="1" si="16"/>
        <v>0</v>
      </c>
      <c r="K192" s="125">
        <f t="shared" ca="1" si="17"/>
        <v>0</v>
      </c>
      <c r="L192" s="309"/>
      <c r="M192" s="309"/>
      <c r="N192" s="309"/>
      <c r="O192" s="309"/>
      <c r="P192" s="131">
        <f t="shared" si="42"/>
        <v>0</v>
      </c>
      <c r="Q192" s="131">
        <f ca="1">MAX(0, MIN($F$10-SUM($Q$154:Q191), B192-D192-G192-J192-M192))</f>
        <v>0</v>
      </c>
      <c r="R192" s="131">
        <f t="shared" si="34"/>
        <v>0</v>
      </c>
      <c r="S192" s="131">
        <f t="shared" ca="1" si="35"/>
        <v>0</v>
      </c>
      <c r="T192" s="127">
        <f t="shared" si="43"/>
        <v>0</v>
      </c>
      <c r="U192" s="127">
        <f ca="1">MAX(0, MIN($F$8-SUM($U$154:U191), B192-D192-G192-J192-Q192-M192))</f>
        <v>0</v>
      </c>
      <c r="V192" s="127">
        <f t="shared" si="18"/>
        <v>0</v>
      </c>
      <c r="W192" s="127">
        <f t="shared" ca="1" si="36"/>
        <v>0</v>
      </c>
      <c r="X192" s="129">
        <f t="shared" si="44"/>
        <v>0</v>
      </c>
      <c r="Y192" s="129">
        <f ca="1">MAX(0, MIN($F$9-SUM($Y$154:Y191), B192-D192-G192-J192-U192-Q192-M192))</f>
        <v>0</v>
      </c>
      <c r="Z192" s="129">
        <f t="shared" si="29"/>
        <v>0</v>
      </c>
      <c r="AA192" s="129">
        <f t="shared" ca="1" si="37"/>
        <v>0</v>
      </c>
      <c r="AB192" s="117">
        <f t="shared" si="31"/>
        <v>0</v>
      </c>
      <c r="AC192" s="117">
        <f t="shared" ca="1" si="45"/>
        <v>0</v>
      </c>
      <c r="AD192" s="117">
        <f t="shared" ca="1" si="38"/>
        <v>0</v>
      </c>
      <c r="AE192" s="117">
        <f t="shared" ca="1" si="40"/>
        <v>0</v>
      </c>
      <c r="AF192" s="117">
        <f t="shared" si="33"/>
        <v>0</v>
      </c>
      <c r="AG192" s="117">
        <f t="shared" ca="1" si="41"/>
        <v>0</v>
      </c>
    </row>
    <row r="193" spans="1:33" x14ac:dyDescent="0.2">
      <c r="A193" s="116">
        <v>39</v>
      </c>
      <c r="B193" s="117">
        <f t="shared" ca="1" si="39"/>
        <v>0</v>
      </c>
      <c r="C193" s="121">
        <f t="shared" ca="1" si="23"/>
        <v>0</v>
      </c>
      <c r="D193" s="121">
        <f t="shared" ca="1" si="12"/>
        <v>0</v>
      </c>
      <c r="E193" s="121">
        <f t="shared" ca="1" si="13"/>
        <v>0</v>
      </c>
      <c r="F193" s="123">
        <f t="shared" ca="1" si="24"/>
        <v>0</v>
      </c>
      <c r="G193" s="123">
        <f t="shared" ca="1" si="14"/>
        <v>0</v>
      </c>
      <c r="H193" s="123">
        <f t="shared" ca="1" si="15"/>
        <v>0</v>
      </c>
      <c r="I193" s="125">
        <f t="shared" ca="1" si="25"/>
        <v>0</v>
      </c>
      <c r="J193" s="125">
        <f t="shared" ca="1" si="16"/>
        <v>0</v>
      </c>
      <c r="K193" s="125">
        <f t="shared" ca="1" si="17"/>
        <v>0</v>
      </c>
      <c r="L193" s="309"/>
      <c r="M193" s="309"/>
      <c r="N193" s="309"/>
      <c r="O193" s="309"/>
      <c r="P193" s="131">
        <f t="shared" si="42"/>
        <v>0</v>
      </c>
      <c r="Q193" s="131">
        <f ca="1">MAX(0, MIN($F$10-SUM($Q$154:Q192), B193-D193-G193-J193-M193))</f>
        <v>0</v>
      </c>
      <c r="R193" s="131">
        <f t="shared" si="34"/>
        <v>0</v>
      </c>
      <c r="S193" s="131">
        <f t="shared" ca="1" si="35"/>
        <v>0</v>
      </c>
      <c r="T193" s="127">
        <f t="shared" si="43"/>
        <v>0</v>
      </c>
      <c r="U193" s="127">
        <f ca="1">MAX(0, MIN($F$8-SUM($U$154:U192), B193-D193-G193-J193-Q193-M193))</f>
        <v>0</v>
      </c>
      <c r="V193" s="127">
        <f t="shared" si="18"/>
        <v>0</v>
      </c>
      <c r="W193" s="127">
        <f t="shared" ca="1" si="36"/>
        <v>0</v>
      </c>
      <c r="X193" s="129">
        <f t="shared" si="44"/>
        <v>0</v>
      </c>
      <c r="Y193" s="129">
        <f ca="1">MAX(0, MIN($F$9-SUM($Y$154:Y192), B193-D193-G193-J193-U193-Q193-M193))</f>
        <v>0</v>
      </c>
      <c r="Z193" s="129">
        <f t="shared" si="29"/>
        <v>0</v>
      </c>
      <c r="AA193" s="129">
        <f t="shared" ca="1" si="37"/>
        <v>0</v>
      </c>
      <c r="AB193" s="117">
        <f t="shared" si="31"/>
        <v>0</v>
      </c>
      <c r="AC193" s="117">
        <f t="shared" ca="1" si="45"/>
        <v>0</v>
      </c>
      <c r="AD193" s="117">
        <f t="shared" ca="1" si="38"/>
        <v>0</v>
      </c>
      <c r="AE193" s="117">
        <f t="shared" ca="1" si="40"/>
        <v>0</v>
      </c>
      <c r="AF193" s="117">
        <f t="shared" si="33"/>
        <v>0</v>
      </c>
      <c r="AG193" s="117">
        <f t="shared" ca="1" si="41"/>
        <v>0</v>
      </c>
    </row>
    <row r="194" spans="1:33" x14ac:dyDescent="0.2">
      <c r="A194" s="116">
        <v>40</v>
      </c>
      <c r="B194" s="117">
        <f t="shared" ca="1" si="39"/>
        <v>0</v>
      </c>
      <c r="C194" s="121">
        <f t="shared" ca="1" si="23"/>
        <v>0</v>
      </c>
      <c r="D194" s="121">
        <f t="shared" ca="1" si="12"/>
        <v>0</v>
      </c>
      <c r="E194" s="121">
        <f t="shared" ca="1" si="13"/>
        <v>0</v>
      </c>
      <c r="F194" s="123">
        <f t="shared" ca="1" si="24"/>
        <v>0</v>
      </c>
      <c r="G194" s="123">
        <f t="shared" ca="1" si="14"/>
        <v>0</v>
      </c>
      <c r="H194" s="123">
        <f t="shared" ca="1" si="15"/>
        <v>0</v>
      </c>
      <c r="I194" s="125">
        <f t="shared" ca="1" si="25"/>
        <v>0</v>
      </c>
      <c r="J194" s="125">
        <f t="shared" ca="1" si="16"/>
        <v>0</v>
      </c>
      <c r="K194" s="125">
        <f t="shared" ca="1" si="17"/>
        <v>0</v>
      </c>
      <c r="L194" s="309"/>
      <c r="M194" s="309"/>
      <c r="N194" s="309"/>
      <c r="O194" s="309"/>
      <c r="P194" s="131">
        <f t="shared" si="42"/>
        <v>0</v>
      </c>
      <c r="Q194" s="131">
        <f ca="1">MAX(0, MIN($F$10-SUM($Q$154:Q193), B194-D194-G194-J194-M194))</f>
        <v>0</v>
      </c>
      <c r="R194" s="131">
        <f t="shared" si="34"/>
        <v>0</v>
      </c>
      <c r="S194" s="131">
        <f t="shared" ca="1" si="35"/>
        <v>0</v>
      </c>
      <c r="T194" s="127">
        <f t="shared" si="43"/>
        <v>0</v>
      </c>
      <c r="U194" s="127">
        <f ca="1">MAX(0, MIN($F$8-SUM($U$154:U193), B194-D194-G194-J194-Q194-M194))</f>
        <v>0</v>
      </c>
      <c r="V194" s="127">
        <f t="shared" si="18"/>
        <v>0</v>
      </c>
      <c r="W194" s="127">
        <f t="shared" ca="1" si="36"/>
        <v>0</v>
      </c>
      <c r="X194" s="129">
        <f t="shared" si="44"/>
        <v>0</v>
      </c>
      <c r="Y194" s="129">
        <f ca="1">MAX(0, MIN($F$9-SUM($Y$154:Y193), B194-D194-G194-J194-U194-Q194-M194))</f>
        <v>0</v>
      </c>
      <c r="Z194" s="129">
        <f t="shared" si="29"/>
        <v>0</v>
      </c>
      <c r="AA194" s="129">
        <f t="shared" ca="1" si="37"/>
        <v>0</v>
      </c>
      <c r="AB194" s="117">
        <f t="shared" si="31"/>
        <v>0</v>
      </c>
      <c r="AC194" s="117">
        <f t="shared" ca="1" si="45"/>
        <v>0</v>
      </c>
      <c r="AD194" s="117">
        <f t="shared" ca="1" si="38"/>
        <v>0</v>
      </c>
      <c r="AE194" s="117">
        <f t="shared" ca="1" si="40"/>
        <v>0</v>
      </c>
      <c r="AF194" s="117">
        <f t="shared" si="33"/>
        <v>0</v>
      </c>
      <c r="AG194" s="117">
        <f t="shared" ca="1" si="41"/>
        <v>0</v>
      </c>
    </row>
    <row r="195" spans="1:33" x14ac:dyDescent="0.2">
      <c r="A195" s="116">
        <v>41</v>
      </c>
      <c r="B195" s="117">
        <f t="shared" ca="1" si="39"/>
        <v>0</v>
      </c>
      <c r="C195" s="121">
        <f t="shared" ca="1" si="23"/>
        <v>0</v>
      </c>
      <c r="D195" s="121">
        <f t="shared" ca="1" si="12"/>
        <v>0</v>
      </c>
      <c r="E195" s="121">
        <f t="shared" ca="1" si="13"/>
        <v>0</v>
      </c>
      <c r="F195" s="123">
        <f t="shared" ca="1" si="24"/>
        <v>0</v>
      </c>
      <c r="G195" s="123">
        <f t="shared" ca="1" si="14"/>
        <v>0</v>
      </c>
      <c r="H195" s="123">
        <f t="shared" ca="1" si="15"/>
        <v>0</v>
      </c>
      <c r="I195" s="125">
        <f t="shared" ca="1" si="25"/>
        <v>0</v>
      </c>
      <c r="J195" s="125">
        <f t="shared" ca="1" si="16"/>
        <v>0</v>
      </c>
      <c r="K195" s="125">
        <f t="shared" ca="1" si="17"/>
        <v>0</v>
      </c>
      <c r="L195" s="309"/>
      <c r="M195" s="309"/>
      <c r="N195" s="309"/>
      <c r="O195" s="309"/>
      <c r="P195" s="131">
        <f t="shared" si="42"/>
        <v>0</v>
      </c>
      <c r="Q195" s="131">
        <f ca="1">MAX(0, MIN($F$10-SUM($Q$154:Q194), B195-D195-G195-J195-M195))</f>
        <v>0</v>
      </c>
      <c r="R195" s="131">
        <f t="shared" si="34"/>
        <v>0</v>
      </c>
      <c r="S195" s="131">
        <f t="shared" ca="1" si="35"/>
        <v>0</v>
      </c>
      <c r="T195" s="127">
        <f t="shared" si="43"/>
        <v>0</v>
      </c>
      <c r="U195" s="127">
        <f ca="1">MAX(0, MIN($F$8-SUM($U$154:U194), B195-D195-G195-J195-Q195-M195))</f>
        <v>0</v>
      </c>
      <c r="V195" s="127">
        <f t="shared" si="18"/>
        <v>0</v>
      </c>
      <c r="W195" s="127">
        <f t="shared" ca="1" si="36"/>
        <v>0</v>
      </c>
      <c r="X195" s="129">
        <f t="shared" si="44"/>
        <v>0</v>
      </c>
      <c r="Y195" s="129">
        <f ca="1">MAX(0, MIN($F$9-SUM($Y$154:Y194), B195-D195-G195-J195-U195-Q195-M195))</f>
        <v>0</v>
      </c>
      <c r="Z195" s="129">
        <f t="shared" si="29"/>
        <v>0</v>
      </c>
      <c r="AA195" s="129">
        <f t="shared" ca="1" si="37"/>
        <v>0</v>
      </c>
      <c r="AB195" s="117">
        <f t="shared" si="31"/>
        <v>0</v>
      </c>
      <c r="AC195" s="117">
        <f t="shared" ca="1" si="45"/>
        <v>0</v>
      </c>
      <c r="AD195" s="117">
        <f t="shared" ca="1" si="38"/>
        <v>0</v>
      </c>
      <c r="AE195" s="117">
        <f t="shared" ca="1" si="40"/>
        <v>0</v>
      </c>
      <c r="AF195" s="117">
        <f t="shared" si="33"/>
        <v>0</v>
      </c>
      <c r="AG195" s="117">
        <f t="shared" ca="1" si="41"/>
        <v>0</v>
      </c>
    </row>
    <row r="196" spans="1:33" x14ac:dyDescent="0.2">
      <c r="A196" s="116">
        <v>42</v>
      </c>
      <c r="B196" s="117">
        <f t="shared" ca="1" si="39"/>
        <v>0</v>
      </c>
      <c r="C196" s="121">
        <f t="shared" ca="1" si="23"/>
        <v>0</v>
      </c>
      <c r="D196" s="121">
        <f t="shared" ca="1" si="12"/>
        <v>0</v>
      </c>
      <c r="E196" s="121">
        <f t="shared" ca="1" si="13"/>
        <v>0</v>
      </c>
      <c r="F196" s="123">
        <f t="shared" ca="1" si="24"/>
        <v>0</v>
      </c>
      <c r="G196" s="123">
        <f t="shared" ca="1" si="14"/>
        <v>0</v>
      </c>
      <c r="H196" s="123">
        <f t="shared" ca="1" si="15"/>
        <v>0</v>
      </c>
      <c r="I196" s="125">
        <f t="shared" ca="1" si="25"/>
        <v>0</v>
      </c>
      <c r="J196" s="125">
        <f t="shared" ca="1" si="16"/>
        <v>0</v>
      </c>
      <c r="K196" s="125">
        <f t="shared" ca="1" si="17"/>
        <v>0</v>
      </c>
      <c r="L196" s="309"/>
      <c r="M196" s="309"/>
      <c r="N196" s="309"/>
      <c r="O196" s="309"/>
      <c r="P196" s="131">
        <f t="shared" si="42"/>
        <v>0</v>
      </c>
      <c r="Q196" s="131">
        <f ca="1">MAX(0, MIN($F$10-SUM($Q$154:Q195), B196-D196-G196-J196-M196))</f>
        <v>0</v>
      </c>
      <c r="R196" s="131">
        <f t="shared" si="34"/>
        <v>0</v>
      </c>
      <c r="S196" s="131">
        <f t="shared" ca="1" si="35"/>
        <v>0</v>
      </c>
      <c r="T196" s="127">
        <f t="shared" si="43"/>
        <v>0</v>
      </c>
      <c r="U196" s="127">
        <f ca="1">MAX(0, MIN($F$8-SUM($U$154:U195), B196-D196-G196-J196-Q196-M196))</f>
        <v>0</v>
      </c>
      <c r="V196" s="127">
        <f t="shared" si="18"/>
        <v>0</v>
      </c>
      <c r="W196" s="127">
        <f t="shared" ca="1" si="36"/>
        <v>0</v>
      </c>
      <c r="X196" s="129">
        <f t="shared" si="44"/>
        <v>0</v>
      </c>
      <c r="Y196" s="129">
        <f ca="1">MAX(0, MIN($F$9-SUM($Y$154:Y195), B196-D196-G196-J196-U196-Q196-M196))</f>
        <v>0</v>
      </c>
      <c r="Z196" s="129">
        <f t="shared" si="29"/>
        <v>0</v>
      </c>
      <c r="AA196" s="129">
        <f t="shared" ca="1" si="37"/>
        <v>0</v>
      </c>
      <c r="AB196" s="117">
        <f t="shared" si="31"/>
        <v>0</v>
      </c>
      <c r="AC196" s="117">
        <f t="shared" ca="1" si="45"/>
        <v>0</v>
      </c>
      <c r="AD196" s="117">
        <f t="shared" ca="1" si="38"/>
        <v>0</v>
      </c>
      <c r="AE196" s="117">
        <f t="shared" ca="1" si="40"/>
        <v>0</v>
      </c>
      <c r="AF196" s="117">
        <f t="shared" si="33"/>
        <v>0</v>
      </c>
      <c r="AG196" s="117">
        <f t="shared" ca="1" si="41"/>
        <v>0</v>
      </c>
    </row>
    <row r="197" spans="1:33" x14ac:dyDescent="0.2">
      <c r="A197" s="116">
        <v>43</v>
      </c>
      <c r="B197" s="117">
        <f t="shared" ca="1" si="39"/>
        <v>0</v>
      </c>
      <c r="C197" s="121">
        <f t="shared" ca="1" si="23"/>
        <v>0</v>
      </c>
      <c r="D197" s="121">
        <f t="shared" ca="1" si="12"/>
        <v>0</v>
      </c>
      <c r="E197" s="121">
        <f t="shared" ca="1" si="13"/>
        <v>0</v>
      </c>
      <c r="F197" s="123">
        <f t="shared" ca="1" si="24"/>
        <v>0</v>
      </c>
      <c r="G197" s="123">
        <f t="shared" ca="1" si="14"/>
        <v>0</v>
      </c>
      <c r="H197" s="123">
        <f t="shared" ca="1" si="15"/>
        <v>0</v>
      </c>
      <c r="I197" s="125">
        <f t="shared" ca="1" si="25"/>
        <v>0</v>
      </c>
      <c r="J197" s="125">
        <f t="shared" ca="1" si="16"/>
        <v>0</v>
      </c>
      <c r="K197" s="125">
        <f t="shared" ca="1" si="17"/>
        <v>0</v>
      </c>
      <c r="L197" s="309"/>
      <c r="M197" s="309"/>
      <c r="N197" s="309"/>
      <c r="O197" s="309"/>
      <c r="P197" s="131">
        <f t="shared" si="42"/>
        <v>0</v>
      </c>
      <c r="Q197" s="131">
        <f ca="1">MAX(0, MIN($F$10-SUM($Q$154:Q196), B197-D197-G197-J197-M197))</f>
        <v>0</v>
      </c>
      <c r="R197" s="131">
        <f t="shared" si="34"/>
        <v>0</v>
      </c>
      <c r="S197" s="131">
        <f t="shared" ca="1" si="35"/>
        <v>0</v>
      </c>
      <c r="T197" s="127">
        <f t="shared" si="43"/>
        <v>0</v>
      </c>
      <c r="U197" s="127">
        <f ca="1">MAX(0, MIN($F$8-SUM($U$154:U196), B197-D197-G197-J197-Q197-M197))</f>
        <v>0</v>
      </c>
      <c r="V197" s="127">
        <f t="shared" si="18"/>
        <v>0</v>
      </c>
      <c r="W197" s="127">
        <f t="shared" ca="1" si="36"/>
        <v>0</v>
      </c>
      <c r="X197" s="129">
        <f t="shared" si="44"/>
        <v>0</v>
      </c>
      <c r="Y197" s="129">
        <f ca="1">MAX(0, MIN($F$9-SUM($Y$154:Y196), B197-D197-G197-J197-U197-Q197-M197))</f>
        <v>0</v>
      </c>
      <c r="Z197" s="129">
        <f t="shared" si="29"/>
        <v>0</v>
      </c>
      <c r="AA197" s="129">
        <f t="shared" ca="1" si="37"/>
        <v>0</v>
      </c>
      <c r="AB197" s="117">
        <f t="shared" si="31"/>
        <v>0</v>
      </c>
      <c r="AC197" s="117">
        <f t="shared" ca="1" si="45"/>
        <v>0</v>
      </c>
      <c r="AD197" s="117">
        <f t="shared" ca="1" si="38"/>
        <v>0</v>
      </c>
      <c r="AE197" s="117">
        <f t="shared" ca="1" si="40"/>
        <v>0</v>
      </c>
      <c r="AF197" s="117">
        <f t="shared" si="33"/>
        <v>0</v>
      </c>
      <c r="AG197" s="117">
        <f t="shared" ca="1" si="41"/>
        <v>0</v>
      </c>
    </row>
    <row r="198" spans="1:33" x14ac:dyDescent="0.2">
      <c r="A198" s="116">
        <v>44</v>
      </c>
      <c r="B198" s="117">
        <f t="shared" ca="1" si="39"/>
        <v>0</v>
      </c>
      <c r="C198" s="121">
        <f t="shared" ca="1" si="23"/>
        <v>0</v>
      </c>
      <c r="D198" s="121">
        <f t="shared" ca="1" si="12"/>
        <v>0</v>
      </c>
      <c r="E198" s="121">
        <f t="shared" ca="1" si="13"/>
        <v>0</v>
      </c>
      <c r="F198" s="123">
        <f t="shared" ca="1" si="24"/>
        <v>0</v>
      </c>
      <c r="G198" s="123">
        <f t="shared" ca="1" si="14"/>
        <v>0</v>
      </c>
      <c r="H198" s="123">
        <f t="shared" ca="1" si="15"/>
        <v>0</v>
      </c>
      <c r="I198" s="125">
        <f t="shared" ca="1" si="25"/>
        <v>0</v>
      </c>
      <c r="J198" s="125">
        <f t="shared" ca="1" si="16"/>
        <v>0</v>
      </c>
      <c r="K198" s="125">
        <f t="shared" ca="1" si="17"/>
        <v>0</v>
      </c>
      <c r="L198" s="309"/>
      <c r="M198" s="309"/>
      <c r="N198" s="309"/>
      <c r="O198" s="309"/>
      <c r="P198" s="131">
        <f t="shared" si="42"/>
        <v>0</v>
      </c>
      <c r="Q198" s="131">
        <f ca="1">MAX(0, MIN($F$10-SUM($Q$154:Q197), B198-D198-G198-J198-M198))</f>
        <v>0</v>
      </c>
      <c r="R198" s="131">
        <f t="shared" si="34"/>
        <v>0</v>
      </c>
      <c r="S198" s="131">
        <f t="shared" ca="1" si="35"/>
        <v>0</v>
      </c>
      <c r="T198" s="127">
        <f t="shared" si="43"/>
        <v>0</v>
      </c>
      <c r="U198" s="127">
        <f ca="1">MAX(0, MIN($F$8-SUM($U$154:U197), B198-D198-G198-J198-Q198-M198))</f>
        <v>0</v>
      </c>
      <c r="V198" s="127">
        <f t="shared" si="18"/>
        <v>0</v>
      </c>
      <c r="W198" s="127">
        <f t="shared" ca="1" si="36"/>
        <v>0</v>
      </c>
      <c r="X198" s="129">
        <f t="shared" si="44"/>
        <v>0</v>
      </c>
      <c r="Y198" s="129">
        <f ca="1">MAX(0, MIN($F$9-SUM($Y$154:Y197), B198-D198-G198-J198-U198-Q198-M198))</f>
        <v>0</v>
      </c>
      <c r="Z198" s="129">
        <f t="shared" si="29"/>
        <v>0</v>
      </c>
      <c r="AA198" s="129">
        <f t="shared" ca="1" si="37"/>
        <v>0</v>
      </c>
      <c r="AB198" s="117">
        <f t="shared" si="31"/>
        <v>0</v>
      </c>
      <c r="AC198" s="117">
        <f t="shared" ca="1" si="45"/>
        <v>0</v>
      </c>
      <c r="AD198" s="117">
        <f t="shared" ca="1" si="38"/>
        <v>0</v>
      </c>
      <c r="AE198" s="117">
        <f t="shared" ca="1" si="40"/>
        <v>0</v>
      </c>
      <c r="AF198" s="117">
        <f t="shared" si="33"/>
        <v>0</v>
      </c>
      <c r="AG198" s="117">
        <f t="shared" ca="1" si="41"/>
        <v>0</v>
      </c>
    </row>
    <row r="199" spans="1:33" x14ac:dyDescent="0.2">
      <c r="A199" s="116">
        <v>45</v>
      </c>
      <c r="B199" s="117">
        <f t="shared" ca="1" si="39"/>
        <v>0</v>
      </c>
      <c r="C199" s="121">
        <f t="shared" ca="1" si="23"/>
        <v>0</v>
      </c>
      <c r="D199" s="121">
        <f t="shared" ca="1" si="12"/>
        <v>0</v>
      </c>
      <c r="E199" s="121">
        <f t="shared" ca="1" si="13"/>
        <v>0</v>
      </c>
      <c r="F199" s="123">
        <f t="shared" ca="1" si="24"/>
        <v>0</v>
      </c>
      <c r="G199" s="123">
        <f t="shared" ca="1" si="14"/>
        <v>0</v>
      </c>
      <c r="H199" s="123">
        <f t="shared" ca="1" si="15"/>
        <v>0</v>
      </c>
      <c r="I199" s="125">
        <f t="shared" ca="1" si="25"/>
        <v>0</v>
      </c>
      <c r="J199" s="125">
        <f t="shared" ca="1" si="16"/>
        <v>0</v>
      </c>
      <c r="K199" s="125">
        <f t="shared" ca="1" si="17"/>
        <v>0</v>
      </c>
      <c r="L199" s="309"/>
      <c r="M199" s="309"/>
      <c r="N199" s="309"/>
      <c r="O199" s="309"/>
      <c r="P199" s="131">
        <f t="shared" si="42"/>
        <v>0</v>
      </c>
      <c r="Q199" s="131">
        <f ca="1">MAX(0, MIN($F$10-SUM($Q$154:Q198), B199-D199-G199-J199-M199))</f>
        <v>0</v>
      </c>
      <c r="R199" s="131">
        <f t="shared" si="34"/>
        <v>0</v>
      </c>
      <c r="S199" s="131">
        <f t="shared" ca="1" si="35"/>
        <v>0</v>
      </c>
      <c r="T199" s="127">
        <f t="shared" si="43"/>
        <v>0</v>
      </c>
      <c r="U199" s="127">
        <f ca="1">MAX(0, MIN($F$8-SUM($U$154:U198), B199-D199-G199-J199-Q199-M199))</f>
        <v>0</v>
      </c>
      <c r="V199" s="127">
        <f t="shared" si="18"/>
        <v>0</v>
      </c>
      <c r="W199" s="127">
        <f t="shared" ca="1" si="36"/>
        <v>0</v>
      </c>
      <c r="X199" s="129">
        <f t="shared" si="44"/>
        <v>0</v>
      </c>
      <c r="Y199" s="129">
        <f ca="1">MAX(0, MIN($F$9-SUM($Y$154:Y198), B199-D199-G199-J199-U199-Q199-M199))</f>
        <v>0</v>
      </c>
      <c r="Z199" s="129">
        <f t="shared" si="29"/>
        <v>0</v>
      </c>
      <c r="AA199" s="129">
        <f t="shared" ca="1" si="37"/>
        <v>0</v>
      </c>
      <c r="AB199" s="117">
        <f t="shared" si="31"/>
        <v>0</v>
      </c>
      <c r="AC199" s="117">
        <f t="shared" ca="1" si="45"/>
        <v>0</v>
      </c>
      <c r="AD199" s="117">
        <f t="shared" ca="1" si="38"/>
        <v>0</v>
      </c>
      <c r="AE199" s="117">
        <f t="shared" ca="1" si="40"/>
        <v>0</v>
      </c>
      <c r="AF199" s="117">
        <f t="shared" si="33"/>
        <v>0</v>
      </c>
      <c r="AG199" s="117">
        <f t="shared" ca="1" si="41"/>
        <v>0</v>
      </c>
    </row>
    <row r="200" spans="1:33" x14ac:dyDescent="0.2">
      <c r="A200" s="116">
        <v>46</v>
      </c>
      <c r="B200" s="117">
        <f t="shared" ca="1" si="39"/>
        <v>0</v>
      </c>
      <c r="C200" s="121">
        <f t="shared" ca="1" si="23"/>
        <v>0</v>
      </c>
      <c r="D200" s="121">
        <f t="shared" ca="1" si="12"/>
        <v>0</v>
      </c>
      <c r="E200" s="121">
        <f t="shared" ca="1" si="13"/>
        <v>0</v>
      </c>
      <c r="F200" s="123">
        <f t="shared" ca="1" si="24"/>
        <v>0</v>
      </c>
      <c r="G200" s="123">
        <f t="shared" ca="1" si="14"/>
        <v>0</v>
      </c>
      <c r="H200" s="123">
        <f t="shared" ca="1" si="15"/>
        <v>0</v>
      </c>
      <c r="I200" s="125">
        <f t="shared" ca="1" si="25"/>
        <v>0</v>
      </c>
      <c r="J200" s="125">
        <f t="shared" ca="1" si="16"/>
        <v>0</v>
      </c>
      <c r="K200" s="125">
        <f t="shared" ca="1" si="17"/>
        <v>0</v>
      </c>
      <c r="L200" s="309"/>
      <c r="M200" s="309"/>
      <c r="N200" s="309"/>
      <c r="O200" s="309"/>
      <c r="P200" s="131">
        <f t="shared" si="42"/>
        <v>0</v>
      </c>
      <c r="Q200" s="131">
        <f ca="1">MAX(0, MIN($F$10-SUM($Q$154:Q199), B200-D200-G200-J200-M200))</f>
        <v>0</v>
      </c>
      <c r="R200" s="131">
        <f t="shared" si="34"/>
        <v>0</v>
      </c>
      <c r="S200" s="131">
        <f t="shared" ca="1" si="35"/>
        <v>0</v>
      </c>
      <c r="T200" s="127">
        <f t="shared" si="43"/>
        <v>0</v>
      </c>
      <c r="U200" s="127">
        <f ca="1">MAX(0, MIN($F$8-SUM($U$154:U199), B200-D200-G200-J200-Q200-M200))</f>
        <v>0</v>
      </c>
      <c r="V200" s="127">
        <f t="shared" si="18"/>
        <v>0</v>
      </c>
      <c r="W200" s="127">
        <f t="shared" ca="1" si="36"/>
        <v>0</v>
      </c>
      <c r="X200" s="129">
        <f t="shared" si="44"/>
        <v>0</v>
      </c>
      <c r="Y200" s="129">
        <f ca="1">MAX(0, MIN($F$9-SUM($Y$154:Y199), B200-D200-G200-J200-U200-Q200-M200))</f>
        <v>0</v>
      </c>
      <c r="Z200" s="129">
        <f t="shared" si="29"/>
        <v>0</v>
      </c>
      <c r="AA200" s="129">
        <f t="shared" ca="1" si="37"/>
        <v>0</v>
      </c>
      <c r="AB200" s="117">
        <f t="shared" si="31"/>
        <v>0</v>
      </c>
      <c r="AC200" s="117">
        <f t="shared" ca="1" si="45"/>
        <v>0</v>
      </c>
      <c r="AD200" s="117">
        <f t="shared" ca="1" si="38"/>
        <v>0</v>
      </c>
      <c r="AE200" s="117">
        <f t="shared" ca="1" si="40"/>
        <v>0</v>
      </c>
      <c r="AF200" s="117">
        <f t="shared" si="33"/>
        <v>0</v>
      </c>
      <c r="AG200" s="117">
        <f t="shared" ca="1" si="41"/>
        <v>0</v>
      </c>
    </row>
    <row r="201" spans="1:33" x14ac:dyDescent="0.2">
      <c r="A201" s="116">
        <v>47</v>
      </c>
      <c r="B201" s="117">
        <f t="shared" ca="1" si="39"/>
        <v>0</v>
      </c>
      <c r="C201" s="121">
        <f t="shared" ca="1" si="23"/>
        <v>0</v>
      </c>
      <c r="D201" s="121">
        <f t="shared" ca="1" si="12"/>
        <v>0</v>
      </c>
      <c r="E201" s="121">
        <f t="shared" ca="1" si="13"/>
        <v>0</v>
      </c>
      <c r="F201" s="123">
        <f t="shared" ca="1" si="24"/>
        <v>0</v>
      </c>
      <c r="G201" s="123">
        <f t="shared" ca="1" si="14"/>
        <v>0</v>
      </c>
      <c r="H201" s="123">
        <f t="shared" ca="1" si="15"/>
        <v>0</v>
      </c>
      <c r="I201" s="125">
        <f t="shared" ca="1" si="25"/>
        <v>0</v>
      </c>
      <c r="J201" s="125">
        <f t="shared" ca="1" si="16"/>
        <v>0</v>
      </c>
      <c r="K201" s="125">
        <f t="shared" ca="1" si="17"/>
        <v>0</v>
      </c>
      <c r="L201" s="309"/>
      <c r="M201" s="309"/>
      <c r="N201" s="309"/>
      <c r="O201" s="309"/>
      <c r="P201" s="131">
        <f t="shared" si="42"/>
        <v>0</v>
      </c>
      <c r="Q201" s="131">
        <f ca="1">MAX(0, MIN($F$10-SUM($Q$154:Q200), B201-D201-G201-J201-M201))</f>
        <v>0</v>
      </c>
      <c r="R201" s="131">
        <f t="shared" si="34"/>
        <v>0</v>
      </c>
      <c r="S201" s="131">
        <f t="shared" ca="1" si="35"/>
        <v>0</v>
      </c>
      <c r="T201" s="127">
        <f t="shared" si="43"/>
        <v>0</v>
      </c>
      <c r="U201" s="127">
        <f ca="1">MAX(0, MIN($F$8-SUM($U$154:U200), B201-D201-G201-J201-Q201-M201))</f>
        <v>0</v>
      </c>
      <c r="V201" s="127">
        <f t="shared" si="18"/>
        <v>0</v>
      </c>
      <c r="W201" s="127">
        <f t="shared" ca="1" si="36"/>
        <v>0</v>
      </c>
      <c r="X201" s="129">
        <f t="shared" si="44"/>
        <v>0</v>
      </c>
      <c r="Y201" s="129">
        <f ca="1">MAX(0, MIN($F$9-SUM($Y$154:Y200), B201-D201-G201-J201-U201-Q201-M201))</f>
        <v>0</v>
      </c>
      <c r="Z201" s="129">
        <f t="shared" si="29"/>
        <v>0</v>
      </c>
      <c r="AA201" s="129">
        <f t="shared" ca="1" si="37"/>
        <v>0</v>
      </c>
      <c r="AB201" s="117">
        <f t="shared" si="31"/>
        <v>0</v>
      </c>
      <c r="AC201" s="117">
        <f t="shared" ca="1" si="45"/>
        <v>0</v>
      </c>
      <c r="AD201" s="117">
        <f t="shared" ca="1" si="38"/>
        <v>0</v>
      </c>
      <c r="AE201" s="117">
        <f t="shared" ca="1" si="40"/>
        <v>0</v>
      </c>
      <c r="AF201" s="117">
        <f t="shared" si="33"/>
        <v>0</v>
      </c>
      <c r="AG201" s="117">
        <f t="shared" ca="1" si="41"/>
        <v>0</v>
      </c>
    </row>
    <row r="202" spans="1:33" x14ac:dyDescent="0.2">
      <c r="A202" s="116">
        <v>48</v>
      </c>
      <c r="B202" s="117">
        <f t="shared" ca="1" si="39"/>
        <v>0</v>
      </c>
      <c r="C202" s="121">
        <f t="shared" ca="1" si="23"/>
        <v>0</v>
      </c>
      <c r="D202" s="121">
        <f t="shared" ca="1" si="12"/>
        <v>0</v>
      </c>
      <c r="E202" s="121">
        <f t="shared" ca="1" si="13"/>
        <v>0</v>
      </c>
      <c r="F202" s="123">
        <f t="shared" ca="1" si="24"/>
        <v>0</v>
      </c>
      <c r="G202" s="123">
        <f t="shared" ca="1" si="14"/>
        <v>0</v>
      </c>
      <c r="H202" s="123">
        <f t="shared" ca="1" si="15"/>
        <v>0</v>
      </c>
      <c r="I202" s="125">
        <f t="shared" ca="1" si="25"/>
        <v>0</v>
      </c>
      <c r="J202" s="125">
        <f t="shared" ca="1" si="16"/>
        <v>0</v>
      </c>
      <c r="K202" s="125">
        <f t="shared" ca="1" si="17"/>
        <v>0</v>
      </c>
      <c r="L202" s="309"/>
      <c r="M202" s="309"/>
      <c r="N202" s="309"/>
      <c r="O202" s="309"/>
      <c r="P202" s="131">
        <f t="shared" si="42"/>
        <v>0</v>
      </c>
      <c r="Q202" s="131">
        <f ca="1">MAX(0, MIN($F$10-SUM($Q$154:Q201), B202-D202-G202-J202-M202))</f>
        <v>0</v>
      </c>
      <c r="R202" s="131">
        <f t="shared" si="34"/>
        <v>0</v>
      </c>
      <c r="S202" s="131">
        <f t="shared" ca="1" si="35"/>
        <v>0</v>
      </c>
      <c r="T202" s="127">
        <f t="shared" si="43"/>
        <v>0</v>
      </c>
      <c r="U202" s="127">
        <f ca="1">MAX(0, MIN($F$8-SUM($U$154:U201), B202-D202-G202-J202-Q202-M202))</f>
        <v>0</v>
      </c>
      <c r="V202" s="127">
        <f t="shared" si="18"/>
        <v>0</v>
      </c>
      <c r="W202" s="127">
        <f t="shared" ca="1" si="36"/>
        <v>0</v>
      </c>
      <c r="X202" s="129">
        <f t="shared" si="44"/>
        <v>0</v>
      </c>
      <c r="Y202" s="129">
        <f ca="1">MAX(0, MIN($F$9-SUM($Y$154:Y201), B202-D202-G202-J202-U202-Q202-M202))</f>
        <v>0</v>
      </c>
      <c r="Z202" s="129">
        <f t="shared" si="29"/>
        <v>0</v>
      </c>
      <c r="AA202" s="129">
        <f t="shared" ca="1" si="37"/>
        <v>0</v>
      </c>
      <c r="AB202" s="117">
        <f t="shared" si="31"/>
        <v>0</v>
      </c>
      <c r="AC202" s="117">
        <f t="shared" ca="1" si="45"/>
        <v>0</v>
      </c>
      <c r="AD202" s="117">
        <f t="shared" ca="1" si="38"/>
        <v>0</v>
      </c>
      <c r="AE202" s="117">
        <f t="shared" ca="1" si="40"/>
        <v>0</v>
      </c>
      <c r="AF202" s="117">
        <f t="shared" si="33"/>
        <v>0</v>
      </c>
      <c r="AG202" s="117">
        <f t="shared" ca="1" si="41"/>
        <v>0</v>
      </c>
    </row>
    <row r="203" spans="1:33" x14ac:dyDescent="0.2">
      <c r="A203" s="116">
        <v>49</v>
      </c>
      <c r="B203" s="117">
        <f t="shared" ca="1" si="39"/>
        <v>0</v>
      </c>
      <c r="C203" s="121">
        <f t="shared" ca="1" si="23"/>
        <v>0</v>
      </c>
      <c r="D203" s="121">
        <f t="shared" ca="1" si="12"/>
        <v>0</v>
      </c>
      <c r="E203" s="121">
        <f t="shared" ca="1" si="13"/>
        <v>0</v>
      </c>
      <c r="F203" s="123">
        <f t="shared" ca="1" si="24"/>
        <v>0</v>
      </c>
      <c r="G203" s="123">
        <f t="shared" ca="1" si="14"/>
        <v>0</v>
      </c>
      <c r="H203" s="123">
        <f t="shared" ca="1" si="15"/>
        <v>0</v>
      </c>
      <c r="I203" s="125">
        <f t="shared" ca="1" si="25"/>
        <v>0</v>
      </c>
      <c r="J203" s="125">
        <f t="shared" ca="1" si="16"/>
        <v>0</v>
      </c>
      <c r="K203" s="125">
        <f t="shared" ca="1" si="17"/>
        <v>0</v>
      </c>
      <c r="L203" s="309"/>
      <c r="M203" s="309"/>
      <c r="N203" s="309"/>
      <c r="O203" s="309"/>
      <c r="P203" s="131">
        <f t="shared" si="42"/>
        <v>0</v>
      </c>
      <c r="Q203" s="131">
        <f ca="1">MAX(0, MIN($F$10-SUM($Q$154:Q202), B203-D203-G203-J203-M203))</f>
        <v>0</v>
      </c>
      <c r="R203" s="131">
        <f t="shared" si="34"/>
        <v>0</v>
      </c>
      <c r="S203" s="131">
        <f t="shared" ca="1" si="35"/>
        <v>0</v>
      </c>
      <c r="T203" s="127">
        <f t="shared" si="43"/>
        <v>0</v>
      </c>
      <c r="U203" s="127">
        <f ca="1">MAX(0, MIN($F$8-SUM($U$154:U202), B203-D203-G203-J203-Q203-M203))</f>
        <v>0</v>
      </c>
      <c r="V203" s="127">
        <f t="shared" si="18"/>
        <v>0</v>
      </c>
      <c r="W203" s="127">
        <f t="shared" ca="1" si="36"/>
        <v>0</v>
      </c>
      <c r="X203" s="129">
        <f t="shared" si="44"/>
        <v>0</v>
      </c>
      <c r="Y203" s="129">
        <f ca="1">MAX(0, MIN($F$9-SUM($Y$154:Y202), B203-D203-G203-J203-U203-Q203-M203))</f>
        <v>0</v>
      </c>
      <c r="Z203" s="129">
        <f t="shared" si="29"/>
        <v>0</v>
      </c>
      <c r="AA203" s="129">
        <f t="shared" ca="1" si="37"/>
        <v>0</v>
      </c>
      <c r="AB203" s="117">
        <f t="shared" si="31"/>
        <v>0</v>
      </c>
      <c r="AC203" s="117">
        <f t="shared" ca="1" si="45"/>
        <v>0</v>
      </c>
      <c r="AD203" s="117">
        <f t="shared" ca="1" si="38"/>
        <v>0</v>
      </c>
      <c r="AE203" s="117">
        <f t="shared" ca="1" si="40"/>
        <v>0</v>
      </c>
      <c r="AF203" s="117">
        <f t="shared" si="33"/>
        <v>0</v>
      </c>
      <c r="AG203" s="117">
        <f t="shared" ca="1" si="41"/>
        <v>0</v>
      </c>
    </row>
    <row r="204" spans="1:33" x14ac:dyDescent="0.2">
      <c r="A204" s="116">
        <v>50</v>
      </c>
      <c r="B204" s="117">
        <f t="shared" ca="1" si="39"/>
        <v>0</v>
      </c>
      <c r="C204" s="121">
        <f t="shared" ca="1" si="23"/>
        <v>0</v>
      </c>
      <c r="D204" s="121">
        <f t="shared" ca="1" si="12"/>
        <v>0</v>
      </c>
      <c r="E204" s="121">
        <f t="shared" ca="1" si="13"/>
        <v>0</v>
      </c>
      <c r="F204" s="123">
        <f t="shared" ca="1" si="24"/>
        <v>0</v>
      </c>
      <c r="G204" s="123">
        <f t="shared" ca="1" si="14"/>
        <v>0</v>
      </c>
      <c r="H204" s="123">
        <f t="shared" ca="1" si="15"/>
        <v>0</v>
      </c>
      <c r="I204" s="125">
        <f t="shared" ca="1" si="25"/>
        <v>0</v>
      </c>
      <c r="J204" s="125">
        <f t="shared" ca="1" si="16"/>
        <v>0</v>
      </c>
      <c r="K204" s="125">
        <f t="shared" ca="1" si="17"/>
        <v>0</v>
      </c>
      <c r="L204" s="309"/>
      <c r="M204" s="309"/>
      <c r="N204" s="309"/>
      <c r="O204" s="309"/>
      <c r="P204" s="131">
        <f t="shared" si="42"/>
        <v>0</v>
      </c>
      <c r="Q204" s="131">
        <f ca="1">MAX(0, MIN($F$10-SUM($Q$154:Q203), B204-D204-G204-J204-M204))</f>
        <v>0</v>
      </c>
      <c r="R204" s="131">
        <f t="shared" si="34"/>
        <v>0</v>
      </c>
      <c r="S204" s="131">
        <f t="shared" ca="1" si="35"/>
        <v>0</v>
      </c>
      <c r="T204" s="127">
        <f t="shared" si="43"/>
        <v>0</v>
      </c>
      <c r="U204" s="127">
        <f ca="1">MAX(0, MIN($F$8-SUM($U$154:U203), B204-D204-G204-J204-Q204-M204))</f>
        <v>0</v>
      </c>
      <c r="V204" s="127">
        <f t="shared" si="18"/>
        <v>0</v>
      </c>
      <c r="W204" s="127">
        <f t="shared" ca="1" si="36"/>
        <v>0</v>
      </c>
      <c r="X204" s="129">
        <f t="shared" si="44"/>
        <v>0</v>
      </c>
      <c r="Y204" s="129">
        <f ca="1">MAX(0, MIN($F$9-SUM($Y$154:Y203), B204-D204-G204-J204-U204-Q204-M204))</f>
        <v>0</v>
      </c>
      <c r="Z204" s="129">
        <f t="shared" si="29"/>
        <v>0</v>
      </c>
      <c r="AA204" s="129">
        <f t="shared" ca="1" si="37"/>
        <v>0</v>
      </c>
      <c r="AB204" s="117">
        <f t="shared" si="31"/>
        <v>0</v>
      </c>
      <c r="AC204" s="117">
        <f t="shared" ca="1" si="45"/>
        <v>0</v>
      </c>
      <c r="AD204" s="117">
        <f t="shared" ca="1" si="38"/>
        <v>0</v>
      </c>
      <c r="AE204" s="117">
        <f t="shared" ca="1" si="40"/>
        <v>0</v>
      </c>
      <c r="AF204" s="117">
        <f t="shared" si="33"/>
        <v>0</v>
      </c>
      <c r="AG204" s="117">
        <f t="shared" ca="1" si="41"/>
        <v>0</v>
      </c>
    </row>
    <row r="205" spans="1:33" x14ac:dyDescent="0.2">
      <c r="A205" s="116">
        <v>51</v>
      </c>
      <c r="B205" s="117">
        <f t="shared" ca="1" si="39"/>
        <v>0</v>
      </c>
      <c r="C205" s="121">
        <f t="shared" ca="1" si="23"/>
        <v>0</v>
      </c>
      <c r="D205" s="121">
        <f t="shared" ca="1" si="12"/>
        <v>0</v>
      </c>
      <c r="E205" s="121">
        <f t="shared" ca="1" si="13"/>
        <v>0</v>
      </c>
      <c r="F205" s="123">
        <f t="shared" ca="1" si="24"/>
        <v>0</v>
      </c>
      <c r="G205" s="123">
        <f t="shared" ca="1" si="14"/>
        <v>0</v>
      </c>
      <c r="H205" s="123">
        <f t="shared" ca="1" si="15"/>
        <v>0</v>
      </c>
      <c r="I205" s="125">
        <f t="shared" ca="1" si="25"/>
        <v>0</v>
      </c>
      <c r="J205" s="125">
        <f t="shared" ca="1" si="16"/>
        <v>0</v>
      </c>
      <c r="K205" s="125">
        <f t="shared" ca="1" si="17"/>
        <v>0</v>
      </c>
      <c r="L205" s="309"/>
      <c r="M205" s="309"/>
      <c r="N205" s="309"/>
      <c r="O205" s="309"/>
      <c r="P205" s="131">
        <f t="shared" si="42"/>
        <v>0</v>
      </c>
      <c r="Q205" s="131">
        <f ca="1">MAX(0, MIN($F$10-SUM($Q$154:Q204), B205-D205-G205-J205-M205))</f>
        <v>0</v>
      </c>
      <c r="R205" s="131">
        <f t="shared" si="34"/>
        <v>0</v>
      </c>
      <c r="S205" s="131">
        <f t="shared" ca="1" si="35"/>
        <v>0</v>
      </c>
      <c r="T205" s="127">
        <f t="shared" si="43"/>
        <v>0</v>
      </c>
      <c r="U205" s="127">
        <f ca="1">MAX(0, MIN($F$8-SUM($U$154:U204), B205-D205-G205-J205-Q205-M205))</f>
        <v>0</v>
      </c>
      <c r="V205" s="127">
        <f t="shared" si="18"/>
        <v>0</v>
      </c>
      <c r="W205" s="127">
        <f t="shared" ca="1" si="36"/>
        <v>0</v>
      </c>
      <c r="X205" s="129">
        <f t="shared" si="44"/>
        <v>0</v>
      </c>
      <c r="Y205" s="129">
        <f ca="1">MAX(0, MIN($F$9-SUM($Y$154:Y204), B205-D205-G205-J205-U205-Q205-M205))</f>
        <v>0</v>
      </c>
      <c r="Z205" s="129">
        <f t="shared" si="29"/>
        <v>0</v>
      </c>
      <c r="AA205" s="129">
        <f t="shared" ca="1" si="37"/>
        <v>0</v>
      </c>
      <c r="AB205" s="117">
        <f t="shared" si="31"/>
        <v>0</v>
      </c>
      <c r="AC205" s="117">
        <f t="shared" ca="1" si="45"/>
        <v>0</v>
      </c>
      <c r="AD205" s="117">
        <f t="shared" ca="1" si="38"/>
        <v>0</v>
      </c>
      <c r="AE205" s="117">
        <f t="shared" ca="1" si="40"/>
        <v>0</v>
      </c>
      <c r="AF205" s="117">
        <f t="shared" si="33"/>
        <v>0</v>
      </c>
      <c r="AG205" s="117">
        <f t="shared" ca="1" si="41"/>
        <v>0</v>
      </c>
    </row>
    <row r="206" spans="1:33" x14ac:dyDescent="0.2">
      <c r="A206" s="116">
        <v>52</v>
      </c>
      <c r="B206" s="117">
        <f t="shared" ca="1" si="39"/>
        <v>0</v>
      </c>
      <c r="C206" s="121">
        <f t="shared" ca="1" si="23"/>
        <v>0</v>
      </c>
      <c r="D206" s="121">
        <f t="shared" ca="1" si="12"/>
        <v>0</v>
      </c>
      <c r="E206" s="121">
        <f t="shared" ca="1" si="13"/>
        <v>0</v>
      </c>
      <c r="F206" s="123">
        <f t="shared" ca="1" si="24"/>
        <v>0</v>
      </c>
      <c r="G206" s="123">
        <f t="shared" ca="1" si="14"/>
        <v>0</v>
      </c>
      <c r="H206" s="123">
        <f t="shared" ca="1" si="15"/>
        <v>0</v>
      </c>
      <c r="I206" s="125">
        <f t="shared" ca="1" si="25"/>
        <v>0</v>
      </c>
      <c r="J206" s="125">
        <f t="shared" ca="1" si="16"/>
        <v>0</v>
      </c>
      <c r="K206" s="125">
        <f t="shared" ca="1" si="17"/>
        <v>0</v>
      </c>
      <c r="L206" s="309"/>
      <c r="M206" s="309"/>
      <c r="N206" s="309"/>
      <c r="O206" s="309"/>
      <c r="P206" s="131">
        <f t="shared" si="42"/>
        <v>0</v>
      </c>
      <c r="Q206" s="131">
        <f ca="1">MAX(0, MIN($F$10-SUM($Q$154:Q205), B206-D206-G206-J206-M206))</f>
        <v>0</v>
      </c>
      <c r="R206" s="131">
        <f t="shared" si="34"/>
        <v>0</v>
      </c>
      <c r="S206" s="131">
        <f t="shared" ca="1" si="35"/>
        <v>0</v>
      </c>
      <c r="T206" s="127">
        <f t="shared" si="43"/>
        <v>0</v>
      </c>
      <c r="U206" s="127">
        <f ca="1">MAX(0, MIN($F$8-SUM($U$154:U205), B206-D206-G206-J206-Q206-M206))</f>
        <v>0</v>
      </c>
      <c r="V206" s="127">
        <f t="shared" si="18"/>
        <v>0</v>
      </c>
      <c r="W206" s="127">
        <f t="shared" ca="1" si="36"/>
        <v>0</v>
      </c>
      <c r="X206" s="129">
        <f t="shared" si="44"/>
        <v>0</v>
      </c>
      <c r="Y206" s="129">
        <f ca="1">MAX(0, MIN($F$9-SUM($Y$154:Y205), B206-D206-G206-J206-U206-Q206-M206))</f>
        <v>0</v>
      </c>
      <c r="Z206" s="129">
        <f t="shared" si="29"/>
        <v>0</v>
      </c>
      <c r="AA206" s="129">
        <f t="shared" ca="1" si="37"/>
        <v>0</v>
      </c>
      <c r="AB206" s="117">
        <f t="shared" si="31"/>
        <v>0</v>
      </c>
      <c r="AC206" s="117">
        <f t="shared" ca="1" si="45"/>
        <v>0</v>
      </c>
      <c r="AD206" s="117">
        <f t="shared" ca="1" si="38"/>
        <v>0</v>
      </c>
      <c r="AE206" s="117">
        <f t="shared" ca="1" si="40"/>
        <v>0</v>
      </c>
      <c r="AF206" s="117">
        <f t="shared" si="33"/>
        <v>0</v>
      </c>
      <c r="AG206" s="117">
        <f t="shared" ca="1" si="41"/>
        <v>0</v>
      </c>
    </row>
    <row r="207" spans="1:33" x14ac:dyDescent="0.2">
      <c r="A207" s="116">
        <v>53</v>
      </c>
      <c r="B207" s="117">
        <f t="shared" ca="1" si="39"/>
        <v>0</v>
      </c>
      <c r="C207" s="121">
        <f t="shared" ca="1" si="23"/>
        <v>0</v>
      </c>
      <c r="D207" s="121">
        <f t="shared" ca="1" si="12"/>
        <v>0</v>
      </c>
      <c r="E207" s="121">
        <f t="shared" ca="1" si="13"/>
        <v>0</v>
      </c>
      <c r="F207" s="123">
        <f t="shared" ca="1" si="24"/>
        <v>0</v>
      </c>
      <c r="G207" s="123">
        <f t="shared" ca="1" si="14"/>
        <v>0</v>
      </c>
      <c r="H207" s="123">
        <f t="shared" ca="1" si="15"/>
        <v>0</v>
      </c>
      <c r="I207" s="125">
        <f t="shared" ca="1" si="25"/>
        <v>0</v>
      </c>
      <c r="J207" s="125">
        <f t="shared" ca="1" si="16"/>
        <v>0</v>
      </c>
      <c r="K207" s="125">
        <f t="shared" ca="1" si="17"/>
        <v>0</v>
      </c>
      <c r="L207" s="309"/>
      <c r="M207" s="309"/>
      <c r="N207" s="309"/>
      <c r="O207" s="309"/>
      <c r="P207" s="131">
        <f t="shared" si="42"/>
        <v>0</v>
      </c>
      <c r="Q207" s="131">
        <f ca="1">MAX(0, MIN($F$10-SUM($Q$154:Q206), B207-D207-G207-J207-M207))</f>
        <v>0</v>
      </c>
      <c r="R207" s="131">
        <f t="shared" si="34"/>
        <v>0</v>
      </c>
      <c r="S207" s="131">
        <f t="shared" ca="1" si="35"/>
        <v>0</v>
      </c>
      <c r="T207" s="127">
        <f t="shared" si="43"/>
        <v>0</v>
      </c>
      <c r="U207" s="127">
        <f ca="1">MAX(0, MIN($F$8-SUM($U$154:U206), B207-D207-G207-J207-Q207-M207))</f>
        <v>0</v>
      </c>
      <c r="V207" s="127">
        <f t="shared" si="18"/>
        <v>0</v>
      </c>
      <c r="W207" s="127">
        <f t="shared" ca="1" si="36"/>
        <v>0</v>
      </c>
      <c r="X207" s="129">
        <f t="shared" si="44"/>
        <v>0</v>
      </c>
      <c r="Y207" s="129">
        <f ca="1">MAX(0, MIN($F$9-SUM($Y$154:Y206), B207-D207-G207-J207-U207-Q207-M207))</f>
        <v>0</v>
      </c>
      <c r="Z207" s="129">
        <f t="shared" si="29"/>
        <v>0</v>
      </c>
      <c r="AA207" s="129">
        <f t="shared" ca="1" si="37"/>
        <v>0</v>
      </c>
      <c r="AB207" s="117">
        <f t="shared" si="31"/>
        <v>0</v>
      </c>
      <c r="AC207" s="117">
        <f t="shared" ca="1" si="45"/>
        <v>0</v>
      </c>
      <c r="AD207" s="117">
        <f t="shared" ca="1" si="38"/>
        <v>0</v>
      </c>
      <c r="AE207" s="117">
        <f t="shared" ca="1" si="40"/>
        <v>0</v>
      </c>
      <c r="AF207" s="117">
        <f t="shared" si="33"/>
        <v>0</v>
      </c>
      <c r="AG207" s="117">
        <f t="shared" ca="1" si="41"/>
        <v>0</v>
      </c>
    </row>
    <row r="208" spans="1:33" x14ac:dyDescent="0.2">
      <c r="A208" s="116">
        <v>54</v>
      </c>
      <c r="B208" s="117">
        <f t="shared" ca="1" si="39"/>
        <v>0</v>
      </c>
      <c r="C208" s="121">
        <f t="shared" ca="1" si="23"/>
        <v>0</v>
      </c>
      <c r="D208" s="121">
        <f t="shared" ca="1" si="12"/>
        <v>0</v>
      </c>
      <c r="E208" s="121">
        <f t="shared" ca="1" si="13"/>
        <v>0</v>
      </c>
      <c r="F208" s="123">
        <f t="shared" ca="1" si="24"/>
        <v>0</v>
      </c>
      <c r="G208" s="123">
        <f t="shared" ca="1" si="14"/>
        <v>0</v>
      </c>
      <c r="H208" s="123">
        <f t="shared" ca="1" si="15"/>
        <v>0</v>
      </c>
      <c r="I208" s="125">
        <f t="shared" ca="1" si="25"/>
        <v>0</v>
      </c>
      <c r="J208" s="125">
        <f t="shared" ca="1" si="16"/>
        <v>0</v>
      </c>
      <c r="K208" s="125">
        <f t="shared" ca="1" si="17"/>
        <v>0</v>
      </c>
      <c r="L208" s="309"/>
      <c r="M208" s="309"/>
      <c r="N208" s="309"/>
      <c r="O208" s="309"/>
      <c r="P208" s="131">
        <f t="shared" si="42"/>
        <v>0</v>
      </c>
      <c r="Q208" s="131">
        <f ca="1">MAX(0, MIN($F$10-SUM($Q$154:Q207), B208-D208-G208-J208-M208))</f>
        <v>0</v>
      </c>
      <c r="R208" s="131">
        <f t="shared" si="34"/>
        <v>0</v>
      </c>
      <c r="S208" s="131">
        <f t="shared" ca="1" si="35"/>
        <v>0</v>
      </c>
      <c r="T208" s="127">
        <f t="shared" si="43"/>
        <v>0</v>
      </c>
      <c r="U208" s="127">
        <f ca="1">MAX(0, MIN($F$8-SUM($U$154:U207), B208-D208-G208-J208-Q208-M208))</f>
        <v>0</v>
      </c>
      <c r="V208" s="127">
        <f t="shared" si="18"/>
        <v>0</v>
      </c>
      <c r="W208" s="127">
        <f t="shared" ca="1" si="36"/>
        <v>0</v>
      </c>
      <c r="X208" s="129">
        <f t="shared" si="44"/>
        <v>0</v>
      </c>
      <c r="Y208" s="129">
        <f ca="1">MAX(0, MIN($F$9-SUM($Y$154:Y207), B208-D208-G208-J208-U208-Q208-M208))</f>
        <v>0</v>
      </c>
      <c r="Z208" s="129">
        <f t="shared" si="29"/>
        <v>0</v>
      </c>
      <c r="AA208" s="129">
        <f t="shared" ca="1" si="37"/>
        <v>0</v>
      </c>
      <c r="AB208" s="117">
        <f t="shared" si="31"/>
        <v>0</v>
      </c>
      <c r="AC208" s="117">
        <f t="shared" ca="1" si="45"/>
        <v>0</v>
      </c>
      <c r="AD208" s="117">
        <f t="shared" ca="1" si="38"/>
        <v>0</v>
      </c>
      <c r="AE208" s="117">
        <f t="shared" ca="1" si="40"/>
        <v>0</v>
      </c>
      <c r="AF208" s="117">
        <f t="shared" si="33"/>
        <v>0</v>
      </c>
      <c r="AG208" s="117">
        <f t="shared" ca="1" si="41"/>
        <v>0</v>
      </c>
    </row>
    <row r="209" spans="1:33" x14ac:dyDescent="0.2">
      <c r="A209" s="116">
        <v>55</v>
      </c>
      <c r="B209" s="117">
        <f t="shared" ca="1" si="39"/>
        <v>0</v>
      </c>
      <c r="C209" s="121">
        <f t="shared" ca="1" si="23"/>
        <v>0</v>
      </c>
      <c r="D209" s="121">
        <f t="shared" ca="1" si="12"/>
        <v>0</v>
      </c>
      <c r="E209" s="121">
        <f t="shared" ca="1" si="13"/>
        <v>0</v>
      </c>
      <c r="F209" s="123">
        <f t="shared" ca="1" si="24"/>
        <v>0</v>
      </c>
      <c r="G209" s="123">
        <f t="shared" ca="1" si="14"/>
        <v>0</v>
      </c>
      <c r="H209" s="123">
        <f t="shared" ca="1" si="15"/>
        <v>0</v>
      </c>
      <c r="I209" s="125">
        <f t="shared" ca="1" si="25"/>
        <v>0</v>
      </c>
      <c r="J209" s="125">
        <f t="shared" ca="1" si="16"/>
        <v>0</v>
      </c>
      <c r="K209" s="125">
        <f t="shared" ca="1" si="17"/>
        <v>0</v>
      </c>
      <c r="L209" s="309"/>
      <c r="M209" s="309"/>
      <c r="N209" s="309"/>
      <c r="O209" s="309"/>
      <c r="P209" s="131">
        <f t="shared" si="42"/>
        <v>0</v>
      </c>
      <c r="Q209" s="131">
        <f ca="1">MAX(0, MIN($F$10-SUM($Q$154:Q208), B209-D209-G209-J209-M209))</f>
        <v>0</v>
      </c>
      <c r="R209" s="131">
        <f t="shared" si="34"/>
        <v>0</v>
      </c>
      <c r="S209" s="131">
        <f t="shared" ca="1" si="35"/>
        <v>0</v>
      </c>
      <c r="T209" s="127">
        <f t="shared" si="43"/>
        <v>0</v>
      </c>
      <c r="U209" s="127">
        <f ca="1">MAX(0, MIN($F$8-SUM($U$154:U208), B209-D209-G209-J209-Q209-M209))</f>
        <v>0</v>
      </c>
      <c r="V209" s="127">
        <f t="shared" si="18"/>
        <v>0</v>
      </c>
      <c r="W209" s="127">
        <f t="shared" ca="1" si="36"/>
        <v>0</v>
      </c>
      <c r="X209" s="129">
        <f t="shared" si="44"/>
        <v>0</v>
      </c>
      <c r="Y209" s="129">
        <f ca="1">MAX(0, MIN($F$9-SUM($Y$154:Y208), B209-D209-G209-J209-U209-Q209-M209))</f>
        <v>0</v>
      </c>
      <c r="Z209" s="129">
        <f t="shared" si="29"/>
        <v>0</v>
      </c>
      <c r="AA209" s="129">
        <f t="shared" ca="1" si="37"/>
        <v>0</v>
      </c>
      <c r="AB209" s="117">
        <f t="shared" si="31"/>
        <v>0</v>
      </c>
      <c r="AC209" s="117">
        <f t="shared" ca="1" si="45"/>
        <v>0</v>
      </c>
      <c r="AD209" s="117">
        <f t="shared" ca="1" si="38"/>
        <v>0</v>
      </c>
      <c r="AE209" s="117">
        <f t="shared" ca="1" si="40"/>
        <v>0</v>
      </c>
      <c r="AF209" s="117">
        <f t="shared" si="33"/>
        <v>0</v>
      </c>
      <c r="AG209" s="117">
        <f t="shared" ca="1" si="41"/>
        <v>0</v>
      </c>
    </row>
    <row r="210" spans="1:33" x14ac:dyDescent="0.2">
      <c r="A210" s="116">
        <v>56</v>
      </c>
      <c r="B210" s="117">
        <f t="shared" ca="1" si="39"/>
        <v>0</v>
      </c>
      <c r="C210" s="121">
        <f t="shared" ca="1" si="23"/>
        <v>0</v>
      </c>
      <c r="D210" s="121">
        <f t="shared" ca="1" si="12"/>
        <v>0</v>
      </c>
      <c r="E210" s="121">
        <f t="shared" ca="1" si="13"/>
        <v>0</v>
      </c>
      <c r="F210" s="123">
        <f t="shared" ca="1" si="24"/>
        <v>0</v>
      </c>
      <c r="G210" s="123">
        <f t="shared" ca="1" si="14"/>
        <v>0</v>
      </c>
      <c r="H210" s="123">
        <f t="shared" ca="1" si="15"/>
        <v>0</v>
      </c>
      <c r="I210" s="125">
        <f t="shared" ca="1" si="25"/>
        <v>0</v>
      </c>
      <c r="J210" s="125">
        <f t="shared" ca="1" si="16"/>
        <v>0</v>
      </c>
      <c r="K210" s="125">
        <f t="shared" ca="1" si="17"/>
        <v>0</v>
      </c>
      <c r="L210" s="309"/>
      <c r="M210" s="309"/>
      <c r="N210" s="309"/>
      <c r="O210" s="309"/>
      <c r="P210" s="131">
        <f t="shared" si="42"/>
        <v>0</v>
      </c>
      <c r="Q210" s="131">
        <f ca="1">MAX(0, MIN($F$10-SUM($Q$154:Q209), B210-D210-G210-J210-M210))</f>
        <v>0</v>
      </c>
      <c r="R210" s="131">
        <f t="shared" si="34"/>
        <v>0</v>
      </c>
      <c r="S210" s="131">
        <f t="shared" ca="1" si="35"/>
        <v>0</v>
      </c>
      <c r="T210" s="127">
        <f t="shared" si="43"/>
        <v>0</v>
      </c>
      <c r="U210" s="127">
        <f ca="1">MAX(0, MIN($F$8-SUM($U$154:U209), B210-D210-G210-J210-Q210-M210))</f>
        <v>0</v>
      </c>
      <c r="V210" s="127">
        <f t="shared" si="18"/>
        <v>0</v>
      </c>
      <c r="W210" s="127">
        <f t="shared" ca="1" si="36"/>
        <v>0</v>
      </c>
      <c r="X210" s="129">
        <f t="shared" si="44"/>
        <v>0</v>
      </c>
      <c r="Y210" s="129">
        <f ca="1">MAX(0, MIN($F$9-SUM($Y$154:Y209), B210-D210-G210-J210-U210-Q210-M210))</f>
        <v>0</v>
      </c>
      <c r="Z210" s="129">
        <f t="shared" si="29"/>
        <v>0</v>
      </c>
      <c r="AA210" s="129">
        <f t="shared" ca="1" si="37"/>
        <v>0</v>
      </c>
      <c r="AB210" s="117">
        <f t="shared" si="31"/>
        <v>0</v>
      </c>
      <c r="AC210" s="117">
        <f t="shared" ca="1" si="45"/>
        <v>0</v>
      </c>
      <c r="AD210" s="117">
        <f t="shared" ca="1" si="38"/>
        <v>0</v>
      </c>
      <c r="AE210" s="117">
        <f t="shared" ca="1" si="40"/>
        <v>0</v>
      </c>
      <c r="AF210" s="117">
        <f t="shared" si="33"/>
        <v>0</v>
      </c>
      <c r="AG210" s="117">
        <f t="shared" ca="1" si="41"/>
        <v>0</v>
      </c>
    </row>
    <row r="211" spans="1:33" x14ac:dyDescent="0.2">
      <c r="A211" s="116">
        <v>57</v>
      </c>
      <c r="B211" s="117">
        <f t="shared" ca="1" si="39"/>
        <v>0</v>
      </c>
      <c r="C211" s="121">
        <f t="shared" ca="1" si="23"/>
        <v>0</v>
      </c>
      <c r="D211" s="121">
        <f t="shared" ca="1" si="12"/>
        <v>0</v>
      </c>
      <c r="E211" s="121">
        <f t="shared" ca="1" si="13"/>
        <v>0</v>
      </c>
      <c r="F211" s="123">
        <f t="shared" ca="1" si="24"/>
        <v>0</v>
      </c>
      <c r="G211" s="123">
        <f t="shared" ca="1" si="14"/>
        <v>0</v>
      </c>
      <c r="H211" s="123">
        <f t="shared" ca="1" si="15"/>
        <v>0</v>
      </c>
      <c r="I211" s="125">
        <f t="shared" ca="1" si="25"/>
        <v>0</v>
      </c>
      <c r="J211" s="125">
        <f t="shared" ca="1" si="16"/>
        <v>0</v>
      </c>
      <c r="K211" s="125">
        <f t="shared" ca="1" si="17"/>
        <v>0</v>
      </c>
      <c r="L211" s="309"/>
      <c r="M211" s="309"/>
      <c r="N211" s="309"/>
      <c r="O211" s="309"/>
      <c r="P211" s="131">
        <f t="shared" si="42"/>
        <v>0</v>
      </c>
      <c r="Q211" s="131">
        <f ca="1">MAX(0, MIN($F$10-SUM($Q$154:Q210), B211-D211-G211-J211-M211))</f>
        <v>0</v>
      </c>
      <c r="R211" s="131">
        <f t="shared" si="34"/>
        <v>0</v>
      </c>
      <c r="S211" s="131">
        <f t="shared" ca="1" si="35"/>
        <v>0</v>
      </c>
      <c r="T211" s="127">
        <f t="shared" si="43"/>
        <v>0</v>
      </c>
      <c r="U211" s="127">
        <f ca="1">MAX(0, MIN($F$8-SUM($U$154:U210), B211-D211-G211-J211-Q211-M211))</f>
        <v>0</v>
      </c>
      <c r="V211" s="127">
        <f t="shared" si="18"/>
        <v>0</v>
      </c>
      <c r="W211" s="127">
        <f t="shared" ca="1" si="36"/>
        <v>0</v>
      </c>
      <c r="X211" s="129">
        <f t="shared" si="44"/>
        <v>0</v>
      </c>
      <c r="Y211" s="129">
        <f ca="1">MAX(0, MIN($F$9-SUM($Y$154:Y210), B211-D211-G211-J211-U211-Q211-M211))</f>
        <v>0</v>
      </c>
      <c r="Z211" s="129">
        <f t="shared" si="29"/>
        <v>0</v>
      </c>
      <c r="AA211" s="129">
        <f t="shared" ca="1" si="37"/>
        <v>0</v>
      </c>
      <c r="AB211" s="117">
        <f t="shared" si="31"/>
        <v>0</v>
      </c>
      <c r="AC211" s="117">
        <f t="shared" ca="1" si="45"/>
        <v>0</v>
      </c>
      <c r="AD211" s="117">
        <f t="shared" ca="1" si="38"/>
        <v>0</v>
      </c>
      <c r="AE211" s="117">
        <f t="shared" ca="1" si="40"/>
        <v>0</v>
      </c>
      <c r="AF211" s="117">
        <f t="shared" si="33"/>
        <v>0</v>
      </c>
      <c r="AG211" s="117">
        <f t="shared" ca="1" si="41"/>
        <v>0</v>
      </c>
    </row>
    <row r="212" spans="1:33" x14ac:dyDescent="0.2">
      <c r="A212" s="116">
        <v>58</v>
      </c>
      <c r="B212" s="117">
        <f t="shared" ca="1" si="39"/>
        <v>0</v>
      </c>
      <c r="C212" s="121">
        <f t="shared" ca="1" si="23"/>
        <v>0</v>
      </c>
      <c r="D212" s="121">
        <f t="shared" ca="1" si="12"/>
        <v>0</v>
      </c>
      <c r="E212" s="121">
        <f t="shared" ca="1" si="13"/>
        <v>0</v>
      </c>
      <c r="F212" s="123">
        <f t="shared" ca="1" si="24"/>
        <v>0</v>
      </c>
      <c r="G212" s="123">
        <f t="shared" ca="1" si="14"/>
        <v>0</v>
      </c>
      <c r="H212" s="123">
        <f t="shared" ca="1" si="15"/>
        <v>0</v>
      </c>
      <c r="I212" s="125">
        <f t="shared" ca="1" si="25"/>
        <v>0</v>
      </c>
      <c r="J212" s="125">
        <f t="shared" ca="1" si="16"/>
        <v>0</v>
      </c>
      <c r="K212" s="125">
        <f t="shared" ca="1" si="17"/>
        <v>0</v>
      </c>
      <c r="L212" s="309"/>
      <c r="M212" s="309"/>
      <c r="N212" s="309"/>
      <c r="O212" s="309"/>
      <c r="P212" s="131">
        <f t="shared" si="42"/>
        <v>0</v>
      </c>
      <c r="Q212" s="131">
        <f ca="1">MAX(0, MIN($F$10-SUM($Q$154:Q211), B212-D212-G212-J212-M212))</f>
        <v>0</v>
      </c>
      <c r="R212" s="131">
        <f t="shared" si="34"/>
        <v>0</v>
      </c>
      <c r="S212" s="131">
        <f t="shared" ca="1" si="35"/>
        <v>0</v>
      </c>
      <c r="T212" s="127">
        <f t="shared" si="43"/>
        <v>0</v>
      </c>
      <c r="U212" s="127">
        <f ca="1">MAX(0, MIN($F$8-SUM($U$154:U211), B212-D212-G212-J212-Q212-M212))</f>
        <v>0</v>
      </c>
      <c r="V212" s="127">
        <f t="shared" si="18"/>
        <v>0</v>
      </c>
      <c r="W212" s="127">
        <f t="shared" ca="1" si="36"/>
        <v>0</v>
      </c>
      <c r="X212" s="129">
        <f t="shared" si="44"/>
        <v>0</v>
      </c>
      <c r="Y212" s="129">
        <f ca="1">MAX(0, MIN($F$9-SUM($Y$154:Y211), B212-D212-G212-J212-U212-Q212-M212))</f>
        <v>0</v>
      </c>
      <c r="Z212" s="129">
        <f t="shared" si="29"/>
        <v>0</v>
      </c>
      <c r="AA212" s="129">
        <f t="shared" ca="1" si="37"/>
        <v>0</v>
      </c>
      <c r="AB212" s="117">
        <f t="shared" si="31"/>
        <v>0</v>
      </c>
      <c r="AC212" s="117">
        <f t="shared" ca="1" si="45"/>
        <v>0</v>
      </c>
      <c r="AD212" s="117">
        <f t="shared" ca="1" si="38"/>
        <v>0</v>
      </c>
      <c r="AE212" s="117">
        <f t="shared" ca="1" si="40"/>
        <v>0</v>
      </c>
      <c r="AF212" s="117">
        <f t="shared" si="33"/>
        <v>0</v>
      </c>
      <c r="AG212" s="117">
        <f t="shared" ca="1" si="41"/>
        <v>0</v>
      </c>
    </row>
    <row r="213" spans="1:33" x14ac:dyDescent="0.2">
      <c r="A213" s="116">
        <v>59</v>
      </c>
      <c r="B213" s="117">
        <f t="shared" ca="1" si="39"/>
        <v>0</v>
      </c>
      <c r="C213" s="121">
        <f t="shared" ca="1" si="23"/>
        <v>0</v>
      </c>
      <c r="D213" s="121">
        <f t="shared" ca="1" si="12"/>
        <v>0</v>
      </c>
      <c r="E213" s="121">
        <f t="shared" ca="1" si="13"/>
        <v>0</v>
      </c>
      <c r="F213" s="123">
        <f t="shared" ca="1" si="24"/>
        <v>0</v>
      </c>
      <c r="G213" s="123">
        <f t="shared" ca="1" si="14"/>
        <v>0</v>
      </c>
      <c r="H213" s="123">
        <f t="shared" ca="1" si="15"/>
        <v>0</v>
      </c>
      <c r="I213" s="125">
        <f t="shared" ca="1" si="25"/>
        <v>0</v>
      </c>
      <c r="J213" s="125">
        <f t="shared" ca="1" si="16"/>
        <v>0</v>
      </c>
      <c r="K213" s="125">
        <f t="shared" ca="1" si="17"/>
        <v>0</v>
      </c>
      <c r="L213" s="309"/>
      <c r="M213" s="309"/>
      <c r="N213" s="309"/>
      <c r="O213" s="309"/>
      <c r="P213" s="131">
        <f t="shared" si="42"/>
        <v>0</v>
      </c>
      <c r="Q213" s="131">
        <f ca="1">MAX(0, MIN($F$10-SUM($Q$154:Q212), B213-D213-G213-J213-M213))</f>
        <v>0</v>
      </c>
      <c r="R213" s="131">
        <f t="shared" si="34"/>
        <v>0</v>
      </c>
      <c r="S213" s="131">
        <f t="shared" ca="1" si="35"/>
        <v>0</v>
      </c>
      <c r="T213" s="127">
        <f t="shared" si="43"/>
        <v>0</v>
      </c>
      <c r="U213" s="127">
        <f ca="1">MAX(0, MIN($F$8-SUM($U$154:U212), B213-D213-G213-J213-Q213-M213))</f>
        <v>0</v>
      </c>
      <c r="V213" s="127">
        <f t="shared" si="18"/>
        <v>0</v>
      </c>
      <c r="W213" s="127">
        <f t="shared" ca="1" si="36"/>
        <v>0</v>
      </c>
      <c r="X213" s="129">
        <f t="shared" si="44"/>
        <v>0</v>
      </c>
      <c r="Y213" s="129">
        <f ca="1">MAX(0, MIN($F$9-SUM($Y$154:Y212), B213-D213-G213-J213-U213-Q213-M213))</f>
        <v>0</v>
      </c>
      <c r="Z213" s="129">
        <f t="shared" si="29"/>
        <v>0</v>
      </c>
      <c r="AA213" s="129">
        <f t="shared" ca="1" si="37"/>
        <v>0</v>
      </c>
      <c r="AB213" s="117">
        <f t="shared" si="31"/>
        <v>0</v>
      </c>
      <c r="AC213" s="117">
        <f t="shared" ca="1" si="45"/>
        <v>0</v>
      </c>
      <c r="AD213" s="117">
        <f t="shared" ca="1" si="38"/>
        <v>0</v>
      </c>
      <c r="AE213" s="117">
        <f t="shared" ca="1" si="40"/>
        <v>0</v>
      </c>
      <c r="AF213" s="117">
        <f t="shared" si="33"/>
        <v>0</v>
      </c>
      <c r="AG213" s="117">
        <f t="shared" ca="1" si="41"/>
        <v>0</v>
      </c>
    </row>
    <row r="214" spans="1:33" x14ac:dyDescent="0.2">
      <c r="A214" s="116">
        <v>60</v>
      </c>
      <c r="B214" s="117">
        <f t="shared" ca="1" si="39"/>
        <v>0</v>
      </c>
      <c r="C214" s="121">
        <f t="shared" ca="1" si="23"/>
        <v>0</v>
      </c>
      <c r="D214" s="121">
        <f t="shared" ca="1" si="12"/>
        <v>0</v>
      </c>
      <c r="E214" s="121">
        <f t="shared" ca="1" si="13"/>
        <v>0</v>
      </c>
      <c r="F214" s="123">
        <f t="shared" ca="1" si="24"/>
        <v>0</v>
      </c>
      <c r="G214" s="123">
        <f t="shared" ca="1" si="14"/>
        <v>0</v>
      </c>
      <c r="H214" s="123">
        <f t="shared" ca="1" si="15"/>
        <v>0</v>
      </c>
      <c r="I214" s="125">
        <f t="shared" ca="1" si="25"/>
        <v>0</v>
      </c>
      <c r="J214" s="125">
        <f t="shared" ca="1" si="16"/>
        <v>0</v>
      </c>
      <c r="K214" s="125">
        <f t="shared" ca="1" si="17"/>
        <v>0</v>
      </c>
      <c r="L214" s="309"/>
      <c r="M214" s="309"/>
      <c r="N214" s="309"/>
      <c r="O214" s="309"/>
      <c r="P214" s="131">
        <f t="shared" si="42"/>
        <v>0</v>
      </c>
      <c r="Q214" s="131">
        <f ca="1">MAX(0, MIN($F$10-SUM($Q$155:Q213), B214-D214-G214-J214-U214-Y214))</f>
        <v>0</v>
      </c>
      <c r="R214" s="131">
        <f t="shared" si="34"/>
        <v>0</v>
      </c>
      <c r="S214" s="131">
        <f t="shared" ca="1" si="35"/>
        <v>0</v>
      </c>
      <c r="T214" s="127">
        <f t="shared" si="43"/>
        <v>0</v>
      </c>
      <c r="U214" s="127">
        <f ca="1">MAX(0, MIN($F$8-SUM($U$155:U213), B214-D214-G214-J214))</f>
        <v>0</v>
      </c>
      <c r="V214" s="127">
        <f t="shared" ref="V214" si="46">$D$17*T214</f>
        <v>0</v>
      </c>
      <c r="W214" s="127">
        <f t="shared" ref="W214" ca="1" si="47">T214+U214+V214</f>
        <v>0</v>
      </c>
      <c r="X214" s="129">
        <f t="shared" si="44"/>
        <v>0</v>
      </c>
      <c r="Y214" s="129">
        <f ca="1">MAX(0, MIN($F$9-X214, B214-D214-G214-J214-U214-V214))</f>
        <v>0</v>
      </c>
      <c r="Z214" s="129">
        <f t="shared" ref="Z214" si="48">$D$18*X214</f>
        <v>0</v>
      </c>
      <c r="AA214" s="129">
        <f t="shared" ref="AA214" ca="1" si="49">X214+Y214+Z214</f>
        <v>0</v>
      </c>
      <c r="AB214" s="117">
        <f t="shared" ref="AB214" si="50">AB213</f>
        <v>0</v>
      </c>
      <c r="AC214" s="117">
        <f t="shared" ca="1" si="45"/>
        <v>0</v>
      </c>
      <c r="AD214" s="117">
        <f t="shared" ref="AD214" ca="1" si="51">AB214-AC214</f>
        <v>0</v>
      </c>
      <c r="AE214" s="117">
        <f t="shared" ca="1" si="40"/>
        <v>0</v>
      </c>
      <c r="AF214" s="117">
        <f>V214+Z214+R214</f>
        <v>0</v>
      </c>
      <c r="AG214" s="117">
        <f t="shared" ca="1" si="41"/>
        <v>0</v>
      </c>
    </row>
    <row r="216" spans="1:33" x14ac:dyDescent="0.2">
      <c r="A216" s="170" t="s">
        <v>295</v>
      </c>
      <c r="B216" s="171"/>
    </row>
    <row r="217" spans="1:33" x14ac:dyDescent="0.2">
      <c r="A217" s="172" t="s">
        <v>278</v>
      </c>
      <c r="B217" s="172" t="s">
        <v>60</v>
      </c>
    </row>
    <row r="218" spans="1:33" x14ac:dyDescent="0.2">
      <c r="A218" s="114">
        <v>1</v>
      </c>
      <c r="B218" s="2">
        <f>Pro_Forma!$S$21/12*(1+Pro_Forma!$S$22)^ROUNDDOWN((A218-1)/12,0)</f>
        <v>0</v>
      </c>
    </row>
    <row r="219" spans="1:33" x14ac:dyDescent="0.2">
      <c r="A219" s="114">
        <f>1+A218</f>
        <v>2</v>
      </c>
      <c r="B219" s="2">
        <f>Pro_Forma!$S$21/12*(1+Pro_Forma!$S$22)^ROUNDDOWN((A219-1)/12,0)</f>
        <v>0</v>
      </c>
    </row>
    <row r="220" spans="1:33" x14ac:dyDescent="0.2">
      <c r="A220" s="114">
        <f t="shared" ref="A220:A283" si="52">1+A219</f>
        <v>3</v>
      </c>
      <c r="B220" s="2">
        <f>Pro_Forma!$S$21/12*(1+Pro_Forma!$S$22)^ROUNDDOWN((A220-1)/12,0)</f>
        <v>0</v>
      </c>
    </row>
    <row r="221" spans="1:33" x14ac:dyDescent="0.2">
      <c r="A221" s="114">
        <f t="shared" si="52"/>
        <v>4</v>
      </c>
      <c r="B221" s="2">
        <f>Pro_Forma!$S$21/12*(1+Pro_Forma!$S$22)^ROUNDDOWN((A221-1)/12,0)</f>
        <v>0</v>
      </c>
    </row>
    <row r="222" spans="1:33" x14ac:dyDescent="0.2">
      <c r="A222" s="114">
        <f t="shared" si="52"/>
        <v>5</v>
      </c>
      <c r="B222" s="2">
        <f>Pro_Forma!$S$21/12*(1+Pro_Forma!$S$22)^ROUNDDOWN((A222-1)/12,0)</f>
        <v>0</v>
      </c>
    </row>
    <row r="223" spans="1:33" x14ac:dyDescent="0.2">
      <c r="A223" s="114">
        <f t="shared" si="52"/>
        <v>6</v>
      </c>
      <c r="B223" s="2">
        <f>Pro_Forma!$S$21/12*(1+Pro_Forma!$S$22)^ROUNDDOWN((A223-1)/12,0)</f>
        <v>0</v>
      </c>
    </row>
    <row r="224" spans="1:33" x14ac:dyDescent="0.2">
      <c r="A224" s="114">
        <f t="shared" si="52"/>
        <v>7</v>
      </c>
      <c r="B224" s="2">
        <f>Pro_Forma!$S$21/12*(1+Pro_Forma!$S$22)^ROUNDDOWN((A224-1)/12,0)</f>
        <v>0</v>
      </c>
    </row>
    <row r="225" spans="1:2" x14ac:dyDescent="0.2">
      <c r="A225" s="114">
        <f t="shared" si="52"/>
        <v>8</v>
      </c>
      <c r="B225" s="2">
        <f>Pro_Forma!$S$21/12*(1+Pro_Forma!$S$22)^ROUNDDOWN((A225-1)/12,0)</f>
        <v>0</v>
      </c>
    </row>
    <row r="226" spans="1:2" x14ac:dyDescent="0.2">
      <c r="A226" s="114">
        <f t="shared" si="52"/>
        <v>9</v>
      </c>
      <c r="B226" s="2">
        <f>Pro_Forma!$S$21/12*(1+Pro_Forma!$S$22)^ROUNDDOWN((A226-1)/12,0)</f>
        <v>0</v>
      </c>
    </row>
    <row r="227" spans="1:2" x14ac:dyDescent="0.2">
      <c r="A227" s="114">
        <f t="shared" si="52"/>
        <v>10</v>
      </c>
      <c r="B227" s="2">
        <f>Pro_Forma!$S$21/12*(1+Pro_Forma!$S$22)^ROUNDDOWN((A227-1)/12,0)</f>
        <v>0</v>
      </c>
    </row>
    <row r="228" spans="1:2" x14ac:dyDescent="0.2">
      <c r="A228" s="114">
        <f t="shared" si="52"/>
        <v>11</v>
      </c>
      <c r="B228" s="2">
        <f>Pro_Forma!$S$21/12*(1+Pro_Forma!$S$22)^ROUNDDOWN((A228-1)/12,0)</f>
        <v>0</v>
      </c>
    </row>
    <row r="229" spans="1:2" x14ac:dyDescent="0.2">
      <c r="A229" s="114">
        <f t="shared" si="52"/>
        <v>12</v>
      </c>
      <c r="B229" s="2">
        <f>Pro_Forma!$S$21/12*(1+Pro_Forma!$S$22)^ROUNDDOWN((A229-1)/12,0)</f>
        <v>0</v>
      </c>
    </row>
    <row r="230" spans="1:2" x14ac:dyDescent="0.2">
      <c r="A230" s="114">
        <f t="shared" si="52"/>
        <v>13</v>
      </c>
      <c r="B230" s="2">
        <f>Pro_Forma!$S$21/12*(1+Pro_Forma!$S$22)^ROUNDDOWN((A230-1)/12,0)</f>
        <v>0</v>
      </c>
    </row>
    <row r="231" spans="1:2" x14ac:dyDescent="0.2">
      <c r="A231" s="114">
        <f t="shared" si="52"/>
        <v>14</v>
      </c>
      <c r="B231" s="2">
        <f>Pro_Forma!$S$21/12*(1+Pro_Forma!$S$22)^ROUNDDOWN((A231-1)/12,0)</f>
        <v>0</v>
      </c>
    </row>
    <row r="232" spans="1:2" x14ac:dyDescent="0.2">
      <c r="A232" s="114">
        <f t="shared" si="52"/>
        <v>15</v>
      </c>
      <c r="B232" s="2">
        <f>Pro_Forma!$S$21/12*(1+Pro_Forma!$S$22)^ROUNDDOWN((A232-1)/12,0)</f>
        <v>0</v>
      </c>
    </row>
    <row r="233" spans="1:2" x14ac:dyDescent="0.2">
      <c r="A233" s="114">
        <f t="shared" si="52"/>
        <v>16</v>
      </c>
      <c r="B233" s="2">
        <f>Pro_Forma!$S$21/12*(1+Pro_Forma!$S$22)^ROUNDDOWN((A233-1)/12,0)</f>
        <v>0</v>
      </c>
    </row>
    <row r="234" spans="1:2" x14ac:dyDescent="0.2">
      <c r="A234" s="114">
        <f t="shared" si="52"/>
        <v>17</v>
      </c>
      <c r="B234" s="2">
        <f>Pro_Forma!$S$21/12*(1+Pro_Forma!$S$22)^ROUNDDOWN((A234-1)/12,0)</f>
        <v>0</v>
      </c>
    </row>
    <row r="235" spans="1:2" x14ac:dyDescent="0.2">
      <c r="A235" s="114">
        <f t="shared" si="52"/>
        <v>18</v>
      </c>
      <c r="B235" s="2">
        <f>Pro_Forma!$S$21/12*(1+Pro_Forma!$S$22)^ROUNDDOWN((A235-1)/12,0)</f>
        <v>0</v>
      </c>
    </row>
    <row r="236" spans="1:2" x14ac:dyDescent="0.2">
      <c r="A236" s="114">
        <f t="shared" si="52"/>
        <v>19</v>
      </c>
      <c r="B236" s="2">
        <f>Pro_Forma!$S$21/12*(1+Pro_Forma!$S$22)^ROUNDDOWN((A236-1)/12,0)</f>
        <v>0</v>
      </c>
    </row>
    <row r="237" spans="1:2" x14ac:dyDescent="0.2">
      <c r="A237" s="114">
        <f t="shared" si="52"/>
        <v>20</v>
      </c>
      <c r="B237" s="2">
        <f>Pro_Forma!$S$21/12*(1+Pro_Forma!$S$22)^ROUNDDOWN((A237-1)/12,0)</f>
        <v>0</v>
      </c>
    </row>
    <row r="238" spans="1:2" x14ac:dyDescent="0.2">
      <c r="A238" s="114">
        <f t="shared" si="52"/>
        <v>21</v>
      </c>
      <c r="B238" s="2">
        <f>Pro_Forma!$S$21/12*(1+Pro_Forma!$S$22)^ROUNDDOWN((A238-1)/12,0)</f>
        <v>0</v>
      </c>
    </row>
    <row r="239" spans="1:2" x14ac:dyDescent="0.2">
      <c r="A239" s="114">
        <f t="shared" si="52"/>
        <v>22</v>
      </c>
      <c r="B239" s="2">
        <f>Pro_Forma!$S$21/12*(1+Pro_Forma!$S$22)^ROUNDDOWN((A239-1)/12,0)</f>
        <v>0</v>
      </c>
    </row>
    <row r="240" spans="1:2" x14ac:dyDescent="0.2">
      <c r="A240" s="114">
        <f t="shared" si="52"/>
        <v>23</v>
      </c>
      <c r="B240" s="2">
        <f>Pro_Forma!$S$21/12*(1+Pro_Forma!$S$22)^ROUNDDOWN((A240-1)/12,0)</f>
        <v>0</v>
      </c>
    </row>
    <row r="241" spans="1:2" x14ac:dyDescent="0.2">
      <c r="A241" s="114">
        <f t="shared" si="52"/>
        <v>24</v>
      </c>
      <c r="B241" s="2">
        <f>Pro_Forma!$S$21/12*(1+Pro_Forma!$S$22)^ROUNDDOWN((A241-1)/12,0)</f>
        <v>0</v>
      </c>
    </row>
    <row r="242" spans="1:2" x14ac:dyDescent="0.2">
      <c r="A242" s="114">
        <f t="shared" si="52"/>
        <v>25</v>
      </c>
      <c r="B242" s="2">
        <f>Pro_Forma!$S$21/12*(1+Pro_Forma!$S$22)^ROUNDDOWN((A242-1)/12,0)</f>
        <v>0</v>
      </c>
    </row>
    <row r="243" spans="1:2" x14ac:dyDescent="0.2">
      <c r="A243" s="114">
        <f t="shared" si="52"/>
        <v>26</v>
      </c>
      <c r="B243" s="2">
        <f>Pro_Forma!$S$21/12*(1+Pro_Forma!$S$22)^ROUNDDOWN((A243-1)/12,0)</f>
        <v>0</v>
      </c>
    </row>
    <row r="244" spans="1:2" x14ac:dyDescent="0.2">
      <c r="A244" s="114">
        <f t="shared" si="52"/>
        <v>27</v>
      </c>
      <c r="B244" s="2">
        <f>Pro_Forma!$S$21/12*(1+Pro_Forma!$S$22)^ROUNDDOWN((A244-1)/12,0)</f>
        <v>0</v>
      </c>
    </row>
    <row r="245" spans="1:2" x14ac:dyDescent="0.2">
      <c r="A245" s="114">
        <f t="shared" si="52"/>
        <v>28</v>
      </c>
      <c r="B245" s="2">
        <f>Pro_Forma!$S$21/12*(1+Pro_Forma!$S$22)^ROUNDDOWN((A245-1)/12,0)</f>
        <v>0</v>
      </c>
    </row>
    <row r="246" spans="1:2" x14ac:dyDescent="0.2">
      <c r="A246" s="114">
        <f t="shared" si="52"/>
        <v>29</v>
      </c>
      <c r="B246" s="2">
        <f>Pro_Forma!$S$21/12*(1+Pro_Forma!$S$22)^ROUNDDOWN((A246-1)/12,0)</f>
        <v>0</v>
      </c>
    </row>
    <row r="247" spans="1:2" x14ac:dyDescent="0.2">
      <c r="A247" s="114">
        <f t="shared" si="52"/>
        <v>30</v>
      </c>
      <c r="B247" s="2">
        <f>Pro_Forma!$S$21/12*(1+Pro_Forma!$S$22)^ROUNDDOWN((A247-1)/12,0)</f>
        <v>0</v>
      </c>
    </row>
    <row r="248" spans="1:2" x14ac:dyDescent="0.2">
      <c r="A248" s="114">
        <f t="shared" si="52"/>
        <v>31</v>
      </c>
      <c r="B248" s="2">
        <f>Pro_Forma!$S$21/12*(1+Pro_Forma!$S$22)^ROUNDDOWN((A248-1)/12,0)</f>
        <v>0</v>
      </c>
    </row>
    <row r="249" spans="1:2" x14ac:dyDescent="0.2">
      <c r="A249" s="114">
        <f t="shared" si="52"/>
        <v>32</v>
      </c>
      <c r="B249" s="2">
        <f>Pro_Forma!$S$21/12*(1+Pro_Forma!$S$22)^ROUNDDOWN((A249-1)/12,0)</f>
        <v>0</v>
      </c>
    </row>
    <row r="250" spans="1:2" x14ac:dyDescent="0.2">
      <c r="A250" s="114">
        <f t="shared" si="52"/>
        <v>33</v>
      </c>
      <c r="B250" s="2">
        <f>Pro_Forma!$S$21/12*(1+Pro_Forma!$S$22)^ROUNDDOWN((A250-1)/12,0)</f>
        <v>0</v>
      </c>
    </row>
    <row r="251" spans="1:2" x14ac:dyDescent="0.2">
      <c r="A251" s="114">
        <f t="shared" si="52"/>
        <v>34</v>
      </c>
      <c r="B251" s="2">
        <f>Pro_Forma!$S$21/12*(1+Pro_Forma!$S$22)^ROUNDDOWN((A251-1)/12,0)</f>
        <v>0</v>
      </c>
    </row>
    <row r="252" spans="1:2" x14ac:dyDescent="0.2">
      <c r="A252" s="114">
        <f t="shared" si="52"/>
        <v>35</v>
      </c>
      <c r="B252" s="2">
        <f>Pro_Forma!$S$21/12*(1+Pro_Forma!$S$22)^ROUNDDOWN((A252-1)/12,0)</f>
        <v>0</v>
      </c>
    </row>
    <row r="253" spans="1:2" x14ac:dyDescent="0.2">
      <c r="A253" s="114">
        <f t="shared" si="52"/>
        <v>36</v>
      </c>
      <c r="B253" s="2">
        <f>Pro_Forma!$S$21/12*(1+Pro_Forma!$S$22)^ROUNDDOWN((A253-1)/12,0)</f>
        <v>0</v>
      </c>
    </row>
    <row r="254" spans="1:2" x14ac:dyDescent="0.2">
      <c r="A254" s="114">
        <f t="shared" si="52"/>
        <v>37</v>
      </c>
      <c r="B254" s="2">
        <f>Pro_Forma!$S$21/12*(1+Pro_Forma!$S$22)^ROUNDDOWN((A254-1)/12,0)</f>
        <v>0</v>
      </c>
    </row>
    <row r="255" spans="1:2" x14ac:dyDescent="0.2">
      <c r="A255" s="114">
        <f t="shared" si="52"/>
        <v>38</v>
      </c>
      <c r="B255" s="2">
        <f>Pro_Forma!$S$21/12*(1+Pro_Forma!$S$22)^ROUNDDOWN((A255-1)/12,0)</f>
        <v>0</v>
      </c>
    </row>
    <row r="256" spans="1:2" x14ac:dyDescent="0.2">
      <c r="A256" s="114">
        <f t="shared" si="52"/>
        <v>39</v>
      </c>
      <c r="B256" s="2">
        <f>Pro_Forma!$S$21/12*(1+Pro_Forma!$S$22)^ROUNDDOWN((A256-1)/12,0)</f>
        <v>0</v>
      </c>
    </row>
    <row r="257" spans="1:2" x14ac:dyDescent="0.2">
      <c r="A257" s="114">
        <f t="shared" si="52"/>
        <v>40</v>
      </c>
      <c r="B257" s="2">
        <f>Pro_Forma!$S$21/12*(1+Pro_Forma!$S$22)^ROUNDDOWN((A257-1)/12,0)</f>
        <v>0</v>
      </c>
    </row>
    <row r="258" spans="1:2" x14ac:dyDescent="0.2">
      <c r="A258" s="114">
        <f t="shared" si="52"/>
        <v>41</v>
      </c>
      <c r="B258" s="2">
        <f>Pro_Forma!$S$21/12*(1+Pro_Forma!$S$22)^ROUNDDOWN((A258-1)/12,0)</f>
        <v>0</v>
      </c>
    </row>
    <row r="259" spans="1:2" x14ac:dyDescent="0.2">
      <c r="A259" s="114">
        <f t="shared" si="52"/>
        <v>42</v>
      </c>
      <c r="B259" s="2">
        <f>Pro_Forma!$S$21/12*(1+Pro_Forma!$S$22)^ROUNDDOWN((A259-1)/12,0)</f>
        <v>0</v>
      </c>
    </row>
    <row r="260" spans="1:2" x14ac:dyDescent="0.2">
      <c r="A260" s="114">
        <f t="shared" si="52"/>
        <v>43</v>
      </c>
      <c r="B260" s="2">
        <f>Pro_Forma!$S$21/12*(1+Pro_Forma!$S$22)^ROUNDDOWN((A260-1)/12,0)</f>
        <v>0</v>
      </c>
    </row>
    <row r="261" spans="1:2" x14ac:dyDescent="0.2">
      <c r="A261" s="114">
        <f t="shared" si="52"/>
        <v>44</v>
      </c>
      <c r="B261" s="2">
        <f>Pro_Forma!$S$21/12*(1+Pro_Forma!$S$22)^ROUNDDOWN((A261-1)/12,0)</f>
        <v>0</v>
      </c>
    </row>
    <row r="262" spans="1:2" x14ac:dyDescent="0.2">
      <c r="A262" s="114">
        <f t="shared" si="52"/>
        <v>45</v>
      </c>
      <c r="B262" s="2">
        <f>Pro_Forma!$S$21/12*(1+Pro_Forma!$S$22)^ROUNDDOWN((A262-1)/12,0)</f>
        <v>0</v>
      </c>
    </row>
    <row r="263" spans="1:2" x14ac:dyDescent="0.2">
      <c r="A263" s="114">
        <f t="shared" si="52"/>
        <v>46</v>
      </c>
      <c r="B263" s="2">
        <f>Pro_Forma!$S$21/12*(1+Pro_Forma!$S$22)^ROUNDDOWN((A263-1)/12,0)</f>
        <v>0</v>
      </c>
    </row>
    <row r="264" spans="1:2" x14ac:dyDescent="0.2">
      <c r="A264" s="114">
        <f t="shared" si="52"/>
        <v>47</v>
      </c>
      <c r="B264" s="2">
        <f>Pro_Forma!$S$21/12*(1+Pro_Forma!$S$22)^ROUNDDOWN((A264-1)/12,0)</f>
        <v>0</v>
      </c>
    </row>
    <row r="265" spans="1:2" x14ac:dyDescent="0.2">
      <c r="A265" s="114">
        <f t="shared" si="52"/>
        <v>48</v>
      </c>
      <c r="B265" s="2">
        <f>Pro_Forma!$S$21/12*(1+Pro_Forma!$S$22)^ROUNDDOWN((A265-1)/12,0)</f>
        <v>0</v>
      </c>
    </row>
    <row r="266" spans="1:2" x14ac:dyDescent="0.2">
      <c r="A266" s="114">
        <f t="shared" si="52"/>
        <v>49</v>
      </c>
      <c r="B266" s="2">
        <f>Pro_Forma!$S$21/12*(1+Pro_Forma!$S$22)^ROUNDDOWN((A266-1)/12,0)</f>
        <v>0</v>
      </c>
    </row>
    <row r="267" spans="1:2" x14ac:dyDescent="0.2">
      <c r="A267" s="114">
        <f t="shared" si="52"/>
        <v>50</v>
      </c>
      <c r="B267" s="2">
        <f>Pro_Forma!$S$21/12*(1+Pro_Forma!$S$22)^ROUNDDOWN((A267-1)/12,0)</f>
        <v>0</v>
      </c>
    </row>
    <row r="268" spans="1:2" x14ac:dyDescent="0.2">
      <c r="A268" s="114">
        <f t="shared" si="52"/>
        <v>51</v>
      </c>
      <c r="B268" s="2">
        <f>Pro_Forma!$S$21/12*(1+Pro_Forma!$S$22)^ROUNDDOWN((A268-1)/12,0)</f>
        <v>0</v>
      </c>
    </row>
    <row r="269" spans="1:2" x14ac:dyDescent="0.2">
      <c r="A269" s="114">
        <f t="shared" si="52"/>
        <v>52</v>
      </c>
      <c r="B269" s="2">
        <f>Pro_Forma!$S$21/12*(1+Pro_Forma!$S$22)^ROUNDDOWN((A269-1)/12,0)</f>
        <v>0</v>
      </c>
    </row>
    <row r="270" spans="1:2" x14ac:dyDescent="0.2">
      <c r="A270" s="114">
        <f t="shared" si="52"/>
        <v>53</v>
      </c>
      <c r="B270" s="2">
        <f>Pro_Forma!$S$21/12*(1+Pro_Forma!$S$22)^ROUNDDOWN((A270-1)/12,0)</f>
        <v>0</v>
      </c>
    </row>
    <row r="271" spans="1:2" x14ac:dyDescent="0.2">
      <c r="A271" s="114">
        <f t="shared" si="52"/>
        <v>54</v>
      </c>
      <c r="B271" s="2">
        <f>Pro_Forma!$S$21/12*(1+Pro_Forma!$S$22)^ROUNDDOWN((A271-1)/12,0)</f>
        <v>0</v>
      </c>
    </row>
    <row r="272" spans="1:2" x14ac:dyDescent="0.2">
      <c r="A272" s="114">
        <f t="shared" si="52"/>
        <v>55</v>
      </c>
      <c r="B272" s="2">
        <f>Pro_Forma!$S$21/12*(1+Pro_Forma!$S$22)^ROUNDDOWN((A272-1)/12,0)</f>
        <v>0</v>
      </c>
    </row>
    <row r="273" spans="1:2" x14ac:dyDescent="0.2">
      <c r="A273" s="114">
        <f t="shared" si="52"/>
        <v>56</v>
      </c>
      <c r="B273" s="2">
        <f>Pro_Forma!$S$21/12*(1+Pro_Forma!$S$22)^ROUNDDOWN((A273-1)/12,0)</f>
        <v>0</v>
      </c>
    </row>
    <row r="274" spans="1:2" x14ac:dyDescent="0.2">
      <c r="A274" s="114">
        <f t="shared" si="52"/>
        <v>57</v>
      </c>
      <c r="B274" s="2">
        <f>Pro_Forma!$S$21/12*(1+Pro_Forma!$S$22)^ROUNDDOWN((A274-1)/12,0)</f>
        <v>0</v>
      </c>
    </row>
    <row r="275" spans="1:2" x14ac:dyDescent="0.2">
      <c r="A275" s="114">
        <f t="shared" si="52"/>
        <v>58</v>
      </c>
      <c r="B275" s="2">
        <f>Pro_Forma!$S$21/12*(1+Pro_Forma!$S$22)^ROUNDDOWN((A275-1)/12,0)</f>
        <v>0</v>
      </c>
    </row>
    <row r="276" spans="1:2" x14ac:dyDescent="0.2">
      <c r="A276" s="114">
        <f t="shared" si="52"/>
        <v>59</v>
      </c>
      <c r="B276" s="2">
        <f>Pro_Forma!$S$21/12*(1+Pro_Forma!$S$22)^ROUNDDOWN((A276-1)/12,0)</f>
        <v>0</v>
      </c>
    </row>
    <row r="277" spans="1:2" x14ac:dyDescent="0.2">
      <c r="A277" s="114">
        <f t="shared" si="52"/>
        <v>60</v>
      </c>
      <c r="B277" s="2">
        <f>Pro_Forma!$S$21/12*(1+Pro_Forma!$S$22)^ROUNDDOWN((A277-1)/12,0)</f>
        <v>0</v>
      </c>
    </row>
    <row r="278" spans="1:2" x14ac:dyDescent="0.2">
      <c r="A278" s="114">
        <f t="shared" si="52"/>
        <v>61</v>
      </c>
      <c r="B278" s="2">
        <f>Pro_Forma!$S$21/12*(1+Pro_Forma!$S$22)^ROUNDDOWN((A278-1)/12,0)</f>
        <v>0</v>
      </c>
    </row>
    <row r="279" spans="1:2" x14ac:dyDescent="0.2">
      <c r="A279" s="114">
        <f t="shared" si="52"/>
        <v>62</v>
      </c>
      <c r="B279" s="2">
        <f>Pro_Forma!$S$21/12*(1+Pro_Forma!$S$22)^ROUNDDOWN((A279-1)/12,0)</f>
        <v>0</v>
      </c>
    </row>
    <row r="280" spans="1:2" x14ac:dyDescent="0.2">
      <c r="A280" s="114">
        <f t="shared" si="52"/>
        <v>63</v>
      </c>
      <c r="B280" s="2">
        <f>Pro_Forma!$S$21/12*(1+Pro_Forma!$S$22)^ROUNDDOWN((A280-1)/12,0)</f>
        <v>0</v>
      </c>
    </row>
    <row r="281" spans="1:2" x14ac:dyDescent="0.2">
      <c r="A281" s="114">
        <f t="shared" si="52"/>
        <v>64</v>
      </c>
      <c r="B281" s="2">
        <f>Pro_Forma!$S$21/12*(1+Pro_Forma!$S$22)^ROUNDDOWN((A281-1)/12,0)</f>
        <v>0</v>
      </c>
    </row>
    <row r="282" spans="1:2" x14ac:dyDescent="0.2">
      <c r="A282" s="114">
        <f t="shared" si="52"/>
        <v>65</v>
      </c>
      <c r="B282" s="2">
        <f>Pro_Forma!$S$21/12*(1+Pro_Forma!$S$22)^ROUNDDOWN((A282-1)/12,0)</f>
        <v>0</v>
      </c>
    </row>
    <row r="283" spans="1:2" x14ac:dyDescent="0.2">
      <c r="A283" s="114">
        <f t="shared" si="52"/>
        <v>66</v>
      </c>
      <c r="B283" s="2">
        <f>Pro_Forma!$S$21/12*(1+Pro_Forma!$S$22)^ROUNDDOWN((A283-1)/12,0)</f>
        <v>0</v>
      </c>
    </row>
    <row r="284" spans="1:2" x14ac:dyDescent="0.2">
      <c r="A284" s="114">
        <f t="shared" ref="A284:A347" si="53">1+A283</f>
        <v>67</v>
      </c>
      <c r="B284" s="2">
        <f>Pro_Forma!$S$21/12*(1+Pro_Forma!$S$22)^ROUNDDOWN((A284-1)/12,0)</f>
        <v>0</v>
      </c>
    </row>
    <row r="285" spans="1:2" x14ac:dyDescent="0.2">
      <c r="A285" s="114">
        <f t="shared" si="53"/>
        <v>68</v>
      </c>
      <c r="B285" s="2">
        <f>Pro_Forma!$S$21/12*(1+Pro_Forma!$S$22)^ROUNDDOWN((A285-1)/12,0)</f>
        <v>0</v>
      </c>
    </row>
    <row r="286" spans="1:2" x14ac:dyDescent="0.2">
      <c r="A286" s="114">
        <f t="shared" si="53"/>
        <v>69</v>
      </c>
      <c r="B286" s="2">
        <f>Pro_Forma!$S$21/12*(1+Pro_Forma!$S$22)^ROUNDDOWN((A286-1)/12,0)</f>
        <v>0</v>
      </c>
    </row>
    <row r="287" spans="1:2" x14ac:dyDescent="0.2">
      <c r="A287" s="114">
        <f t="shared" si="53"/>
        <v>70</v>
      </c>
      <c r="B287" s="2">
        <f>Pro_Forma!$S$21/12*(1+Pro_Forma!$S$22)^ROUNDDOWN((A287-1)/12,0)</f>
        <v>0</v>
      </c>
    </row>
    <row r="288" spans="1:2" x14ac:dyDescent="0.2">
      <c r="A288" s="114">
        <f t="shared" si="53"/>
        <v>71</v>
      </c>
      <c r="B288" s="2">
        <f>Pro_Forma!$S$21/12*(1+Pro_Forma!$S$22)^ROUNDDOWN((A288-1)/12,0)</f>
        <v>0</v>
      </c>
    </row>
    <row r="289" spans="1:2" x14ac:dyDescent="0.2">
      <c r="A289" s="114">
        <f t="shared" si="53"/>
        <v>72</v>
      </c>
      <c r="B289" s="2">
        <f>Pro_Forma!$S$21/12*(1+Pro_Forma!$S$22)^ROUNDDOWN((A289-1)/12,0)</f>
        <v>0</v>
      </c>
    </row>
    <row r="290" spans="1:2" x14ac:dyDescent="0.2">
      <c r="A290" s="114">
        <f t="shared" si="53"/>
        <v>73</v>
      </c>
      <c r="B290" s="2">
        <f>Pro_Forma!$S$21/12*(1+Pro_Forma!$S$22)^ROUNDDOWN((A290-1)/12,0)</f>
        <v>0</v>
      </c>
    </row>
    <row r="291" spans="1:2" x14ac:dyDescent="0.2">
      <c r="A291" s="114">
        <f t="shared" si="53"/>
        <v>74</v>
      </c>
      <c r="B291" s="2">
        <f>Pro_Forma!$S$21/12*(1+Pro_Forma!$S$22)^ROUNDDOWN((A291-1)/12,0)</f>
        <v>0</v>
      </c>
    </row>
    <row r="292" spans="1:2" x14ac:dyDescent="0.2">
      <c r="A292" s="114">
        <f t="shared" si="53"/>
        <v>75</v>
      </c>
      <c r="B292" s="2">
        <f>Pro_Forma!$S$21/12*(1+Pro_Forma!$S$22)^ROUNDDOWN((A292-1)/12,0)</f>
        <v>0</v>
      </c>
    </row>
    <row r="293" spans="1:2" x14ac:dyDescent="0.2">
      <c r="A293" s="114">
        <f t="shared" si="53"/>
        <v>76</v>
      </c>
      <c r="B293" s="2">
        <f>Pro_Forma!$S$21/12*(1+Pro_Forma!$S$22)^ROUNDDOWN((A293-1)/12,0)</f>
        <v>0</v>
      </c>
    </row>
    <row r="294" spans="1:2" x14ac:dyDescent="0.2">
      <c r="A294" s="114">
        <f t="shared" si="53"/>
        <v>77</v>
      </c>
      <c r="B294" s="2">
        <f>Pro_Forma!$S$21/12*(1+Pro_Forma!$S$22)^ROUNDDOWN((A294-1)/12,0)</f>
        <v>0</v>
      </c>
    </row>
    <row r="295" spans="1:2" x14ac:dyDescent="0.2">
      <c r="A295" s="114">
        <f t="shared" si="53"/>
        <v>78</v>
      </c>
      <c r="B295" s="2">
        <f>Pro_Forma!$S$21/12*(1+Pro_Forma!$S$22)^ROUNDDOWN((A295-1)/12,0)</f>
        <v>0</v>
      </c>
    </row>
    <row r="296" spans="1:2" x14ac:dyDescent="0.2">
      <c r="A296" s="114">
        <f t="shared" si="53"/>
        <v>79</v>
      </c>
      <c r="B296" s="2">
        <f>Pro_Forma!$S$21/12*(1+Pro_Forma!$S$22)^ROUNDDOWN((A296-1)/12,0)</f>
        <v>0</v>
      </c>
    </row>
    <row r="297" spans="1:2" x14ac:dyDescent="0.2">
      <c r="A297" s="114">
        <f t="shared" si="53"/>
        <v>80</v>
      </c>
      <c r="B297" s="2">
        <f>Pro_Forma!$S$21/12*(1+Pro_Forma!$S$22)^ROUNDDOWN((A297-1)/12,0)</f>
        <v>0</v>
      </c>
    </row>
    <row r="298" spans="1:2" x14ac:dyDescent="0.2">
      <c r="A298" s="114">
        <f t="shared" si="53"/>
        <v>81</v>
      </c>
      <c r="B298" s="2">
        <f>Pro_Forma!$S$21/12*(1+Pro_Forma!$S$22)^ROUNDDOWN((A298-1)/12,0)</f>
        <v>0</v>
      </c>
    </row>
    <row r="299" spans="1:2" x14ac:dyDescent="0.2">
      <c r="A299" s="114">
        <f t="shared" si="53"/>
        <v>82</v>
      </c>
      <c r="B299" s="2">
        <f>Pro_Forma!$S$21/12*(1+Pro_Forma!$S$22)^ROUNDDOWN((A299-1)/12,0)</f>
        <v>0</v>
      </c>
    </row>
    <row r="300" spans="1:2" x14ac:dyDescent="0.2">
      <c r="A300" s="114">
        <f t="shared" si="53"/>
        <v>83</v>
      </c>
      <c r="B300" s="2">
        <f>Pro_Forma!$S$21/12*(1+Pro_Forma!$S$22)^ROUNDDOWN((A300-1)/12,0)</f>
        <v>0</v>
      </c>
    </row>
    <row r="301" spans="1:2" x14ac:dyDescent="0.2">
      <c r="A301" s="114">
        <f t="shared" si="53"/>
        <v>84</v>
      </c>
      <c r="B301" s="2">
        <f>Pro_Forma!$S$21/12*(1+Pro_Forma!$S$22)^ROUNDDOWN((A301-1)/12,0)</f>
        <v>0</v>
      </c>
    </row>
    <row r="302" spans="1:2" x14ac:dyDescent="0.2">
      <c r="A302" s="114">
        <f t="shared" si="53"/>
        <v>85</v>
      </c>
      <c r="B302" s="2">
        <f>Pro_Forma!$S$21/12*(1+Pro_Forma!$S$22)^ROUNDDOWN((A302-1)/12,0)</f>
        <v>0</v>
      </c>
    </row>
    <row r="303" spans="1:2" x14ac:dyDescent="0.2">
      <c r="A303" s="114">
        <f t="shared" si="53"/>
        <v>86</v>
      </c>
      <c r="B303" s="2">
        <f>Pro_Forma!$S$21/12*(1+Pro_Forma!$S$22)^ROUNDDOWN((A303-1)/12,0)</f>
        <v>0</v>
      </c>
    </row>
    <row r="304" spans="1:2" x14ac:dyDescent="0.2">
      <c r="A304" s="114">
        <f t="shared" si="53"/>
        <v>87</v>
      </c>
      <c r="B304" s="2">
        <f>Pro_Forma!$S$21/12*(1+Pro_Forma!$S$22)^ROUNDDOWN((A304-1)/12,0)</f>
        <v>0</v>
      </c>
    </row>
    <row r="305" spans="1:2" x14ac:dyDescent="0.2">
      <c r="A305" s="114">
        <f t="shared" si="53"/>
        <v>88</v>
      </c>
      <c r="B305" s="2">
        <f>Pro_Forma!$S$21/12*(1+Pro_Forma!$S$22)^ROUNDDOWN((A305-1)/12,0)</f>
        <v>0</v>
      </c>
    </row>
    <row r="306" spans="1:2" x14ac:dyDescent="0.2">
      <c r="A306" s="114">
        <f t="shared" si="53"/>
        <v>89</v>
      </c>
      <c r="B306" s="2">
        <f>Pro_Forma!$S$21/12*(1+Pro_Forma!$S$22)^ROUNDDOWN((A306-1)/12,0)</f>
        <v>0</v>
      </c>
    </row>
    <row r="307" spans="1:2" x14ac:dyDescent="0.2">
      <c r="A307" s="114">
        <f t="shared" si="53"/>
        <v>90</v>
      </c>
      <c r="B307" s="2">
        <f>Pro_Forma!$S$21/12*(1+Pro_Forma!$S$22)^ROUNDDOWN((A307-1)/12,0)</f>
        <v>0</v>
      </c>
    </row>
    <row r="308" spans="1:2" x14ac:dyDescent="0.2">
      <c r="A308" s="114">
        <f t="shared" si="53"/>
        <v>91</v>
      </c>
      <c r="B308" s="2">
        <f>Pro_Forma!$S$21/12*(1+Pro_Forma!$S$22)^ROUNDDOWN((A308-1)/12,0)</f>
        <v>0</v>
      </c>
    </row>
    <row r="309" spans="1:2" x14ac:dyDescent="0.2">
      <c r="A309" s="114">
        <f t="shared" si="53"/>
        <v>92</v>
      </c>
      <c r="B309" s="2">
        <f>Pro_Forma!$S$21/12*(1+Pro_Forma!$S$22)^ROUNDDOWN((A309-1)/12,0)</f>
        <v>0</v>
      </c>
    </row>
    <row r="310" spans="1:2" x14ac:dyDescent="0.2">
      <c r="A310" s="114">
        <f t="shared" si="53"/>
        <v>93</v>
      </c>
      <c r="B310" s="2">
        <f>Pro_Forma!$S$21/12*(1+Pro_Forma!$S$22)^ROUNDDOWN((A310-1)/12,0)</f>
        <v>0</v>
      </c>
    </row>
    <row r="311" spans="1:2" x14ac:dyDescent="0.2">
      <c r="A311" s="114">
        <f t="shared" si="53"/>
        <v>94</v>
      </c>
      <c r="B311" s="2">
        <f>Pro_Forma!$S$21/12*(1+Pro_Forma!$S$22)^ROUNDDOWN((A311-1)/12,0)</f>
        <v>0</v>
      </c>
    </row>
    <row r="312" spans="1:2" x14ac:dyDescent="0.2">
      <c r="A312" s="114">
        <f t="shared" si="53"/>
        <v>95</v>
      </c>
      <c r="B312" s="2">
        <f>Pro_Forma!$S$21/12*(1+Pro_Forma!$S$22)^ROUNDDOWN((A312-1)/12,0)</f>
        <v>0</v>
      </c>
    </row>
    <row r="313" spans="1:2" x14ac:dyDescent="0.2">
      <c r="A313" s="114">
        <f t="shared" si="53"/>
        <v>96</v>
      </c>
      <c r="B313" s="2">
        <f>Pro_Forma!$S$21/12*(1+Pro_Forma!$S$22)^ROUNDDOWN((A313-1)/12,0)</f>
        <v>0</v>
      </c>
    </row>
    <row r="314" spans="1:2" x14ac:dyDescent="0.2">
      <c r="A314" s="114">
        <f t="shared" si="53"/>
        <v>97</v>
      </c>
      <c r="B314" s="2">
        <f>Pro_Forma!$S$21/12*(1+Pro_Forma!$S$22)^ROUNDDOWN((A314-1)/12,0)</f>
        <v>0</v>
      </c>
    </row>
    <row r="315" spans="1:2" x14ac:dyDescent="0.2">
      <c r="A315" s="114">
        <f t="shared" si="53"/>
        <v>98</v>
      </c>
      <c r="B315" s="2">
        <f>Pro_Forma!$S$21/12*(1+Pro_Forma!$S$22)^ROUNDDOWN((A315-1)/12,0)</f>
        <v>0</v>
      </c>
    </row>
    <row r="316" spans="1:2" x14ac:dyDescent="0.2">
      <c r="A316" s="114">
        <f t="shared" si="53"/>
        <v>99</v>
      </c>
      <c r="B316" s="2">
        <f>Pro_Forma!$S$21/12*(1+Pro_Forma!$S$22)^ROUNDDOWN((A316-1)/12,0)</f>
        <v>0</v>
      </c>
    </row>
    <row r="317" spans="1:2" x14ac:dyDescent="0.2">
      <c r="A317" s="114">
        <f t="shared" si="53"/>
        <v>100</v>
      </c>
      <c r="B317" s="2">
        <f>Pro_Forma!$S$21/12*(1+Pro_Forma!$S$22)^ROUNDDOWN((A317-1)/12,0)</f>
        <v>0</v>
      </c>
    </row>
    <row r="318" spans="1:2" x14ac:dyDescent="0.2">
      <c r="A318" s="114">
        <f t="shared" si="53"/>
        <v>101</v>
      </c>
      <c r="B318" s="2">
        <f>Pro_Forma!$S$21/12*(1+Pro_Forma!$S$22)^ROUNDDOWN((A318-1)/12,0)</f>
        <v>0</v>
      </c>
    </row>
    <row r="319" spans="1:2" x14ac:dyDescent="0.2">
      <c r="A319" s="114">
        <f t="shared" si="53"/>
        <v>102</v>
      </c>
      <c r="B319" s="2">
        <f>Pro_Forma!$S$21/12*(1+Pro_Forma!$S$22)^ROUNDDOWN((A319-1)/12,0)</f>
        <v>0</v>
      </c>
    </row>
    <row r="320" spans="1:2" x14ac:dyDescent="0.2">
      <c r="A320" s="114">
        <f t="shared" si="53"/>
        <v>103</v>
      </c>
      <c r="B320" s="2">
        <f>Pro_Forma!$S$21/12*(1+Pro_Forma!$S$22)^ROUNDDOWN((A320-1)/12,0)</f>
        <v>0</v>
      </c>
    </row>
    <row r="321" spans="1:2" x14ac:dyDescent="0.2">
      <c r="A321" s="114">
        <f t="shared" si="53"/>
        <v>104</v>
      </c>
      <c r="B321" s="2">
        <f>Pro_Forma!$S$21/12*(1+Pro_Forma!$S$22)^ROUNDDOWN((A321-1)/12,0)</f>
        <v>0</v>
      </c>
    </row>
    <row r="322" spans="1:2" x14ac:dyDescent="0.2">
      <c r="A322" s="114">
        <f t="shared" si="53"/>
        <v>105</v>
      </c>
      <c r="B322" s="2">
        <f>Pro_Forma!$S$21/12*(1+Pro_Forma!$S$22)^ROUNDDOWN((A322-1)/12,0)</f>
        <v>0</v>
      </c>
    </row>
    <row r="323" spans="1:2" x14ac:dyDescent="0.2">
      <c r="A323" s="114">
        <f t="shared" si="53"/>
        <v>106</v>
      </c>
      <c r="B323" s="2">
        <f>Pro_Forma!$S$21/12*(1+Pro_Forma!$S$22)^ROUNDDOWN((A323-1)/12,0)</f>
        <v>0</v>
      </c>
    </row>
    <row r="324" spans="1:2" x14ac:dyDescent="0.2">
      <c r="A324" s="114">
        <f t="shared" si="53"/>
        <v>107</v>
      </c>
      <c r="B324" s="2">
        <f>Pro_Forma!$S$21/12*(1+Pro_Forma!$S$22)^ROUNDDOWN((A324-1)/12,0)</f>
        <v>0</v>
      </c>
    </row>
    <row r="325" spans="1:2" x14ac:dyDescent="0.2">
      <c r="A325" s="114">
        <f t="shared" si="53"/>
        <v>108</v>
      </c>
      <c r="B325" s="2">
        <f>Pro_Forma!$S$21/12*(1+Pro_Forma!$S$22)^ROUNDDOWN((A325-1)/12,0)</f>
        <v>0</v>
      </c>
    </row>
    <row r="326" spans="1:2" x14ac:dyDescent="0.2">
      <c r="A326" s="114">
        <f t="shared" si="53"/>
        <v>109</v>
      </c>
      <c r="B326" s="2">
        <f>Pro_Forma!$S$21/12*(1+Pro_Forma!$S$22)^ROUNDDOWN((A326-1)/12,0)</f>
        <v>0</v>
      </c>
    </row>
    <row r="327" spans="1:2" x14ac:dyDescent="0.2">
      <c r="A327" s="114">
        <f t="shared" si="53"/>
        <v>110</v>
      </c>
      <c r="B327" s="2">
        <f>Pro_Forma!$S$21/12*(1+Pro_Forma!$S$22)^ROUNDDOWN((A327-1)/12,0)</f>
        <v>0</v>
      </c>
    </row>
    <row r="328" spans="1:2" x14ac:dyDescent="0.2">
      <c r="A328" s="114">
        <f t="shared" si="53"/>
        <v>111</v>
      </c>
      <c r="B328" s="2">
        <f>Pro_Forma!$S$21/12*(1+Pro_Forma!$S$22)^ROUNDDOWN((A328-1)/12,0)</f>
        <v>0</v>
      </c>
    </row>
    <row r="329" spans="1:2" x14ac:dyDescent="0.2">
      <c r="A329" s="114">
        <f t="shared" si="53"/>
        <v>112</v>
      </c>
      <c r="B329" s="2">
        <f>Pro_Forma!$S$21/12*(1+Pro_Forma!$S$22)^ROUNDDOWN((A329-1)/12,0)</f>
        <v>0</v>
      </c>
    </row>
    <row r="330" spans="1:2" x14ac:dyDescent="0.2">
      <c r="A330" s="114">
        <f t="shared" si="53"/>
        <v>113</v>
      </c>
      <c r="B330" s="2">
        <f>Pro_Forma!$S$21/12*(1+Pro_Forma!$S$22)^ROUNDDOWN((A330-1)/12,0)</f>
        <v>0</v>
      </c>
    </row>
    <row r="331" spans="1:2" x14ac:dyDescent="0.2">
      <c r="A331" s="114">
        <f t="shared" si="53"/>
        <v>114</v>
      </c>
      <c r="B331" s="2">
        <f>Pro_Forma!$S$21/12*(1+Pro_Forma!$S$22)^ROUNDDOWN((A331-1)/12,0)</f>
        <v>0</v>
      </c>
    </row>
    <row r="332" spans="1:2" x14ac:dyDescent="0.2">
      <c r="A332" s="114">
        <f t="shared" si="53"/>
        <v>115</v>
      </c>
      <c r="B332" s="2">
        <f>Pro_Forma!$S$21/12*(1+Pro_Forma!$S$22)^ROUNDDOWN((A332-1)/12,0)</f>
        <v>0</v>
      </c>
    </row>
    <row r="333" spans="1:2" x14ac:dyDescent="0.2">
      <c r="A333" s="114">
        <f t="shared" si="53"/>
        <v>116</v>
      </c>
      <c r="B333" s="2">
        <f>Pro_Forma!$S$21/12*(1+Pro_Forma!$S$22)^ROUNDDOWN((A333-1)/12,0)</f>
        <v>0</v>
      </c>
    </row>
    <row r="334" spans="1:2" x14ac:dyDescent="0.2">
      <c r="A334" s="114">
        <f t="shared" si="53"/>
        <v>117</v>
      </c>
      <c r="B334" s="2">
        <f>Pro_Forma!$S$21/12*(1+Pro_Forma!$S$22)^ROUNDDOWN((A334-1)/12,0)</f>
        <v>0</v>
      </c>
    </row>
    <row r="335" spans="1:2" x14ac:dyDescent="0.2">
      <c r="A335" s="114">
        <f t="shared" si="53"/>
        <v>118</v>
      </c>
      <c r="B335" s="2">
        <f>Pro_Forma!$S$21/12*(1+Pro_Forma!$S$22)^ROUNDDOWN((A335-1)/12,0)</f>
        <v>0</v>
      </c>
    </row>
    <row r="336" spans="1:2" x14ac:dyDescent="0.2">
      <c r="A336" s="114">
        <f t="shared" si="53"/>
        <v>119</v>
      </c>
      <c r="B336" s="2">
        <f>Pro_Forma!$S$21/12*(1+Pro_Forma!$S$22)^ROUNDDOWN((A336-1)/12,0)</f>
        <v>0</v>
      </c>
    </row>
    <row r="337" spans="1:2" x14ac:dyDescent="0.2">
      <c r="A337" s="114">
        <f t="shared" si="53"/>
        <v>120</v>
      </c>
      <c r="B337" s="2">
        <f>Pro_Forma!$S$21/12*(1+Pro_Forma!$S$22)^ROUNDDOWN((A337-1)/12,0)</f>
        <v>0</v>
      </c>
    </row>
    <row r="338" spans="1:2" x14ac:dyDescent="0.2">
      <c r="A338" s="114">
        <f t="shared" si="53"/>
        <v>121</v>
      </c>
      <c r="B338" s="2">
        <f>Pro_Forma!$S$21/12*(1+Pro_Forma!$S$22)^ROUNDDOWN((A338-1)/12,0)</f>
        <v>0</v>
      </c>
    </row>
    <row r="339" spans="1:2" x14ac:dyDescent="0.2">
      <c r="A339" s="114">
        <f t="shared" si="53"/>
        <v>122</v>
      </c>
      <c r="B339" s="2">
        <f>Pro_Forma!$S$21/12*(1+Pro_Forma!$S$22)^ROUNDDOWN((A339-1)/12,0)</f>
        <v>0</v>
      </c>
    </row>
    <row r="340" spans="1:2" x14ac:dyDescent="0.2">
      <c r="A340" s="114">
        <f t="shared" si="53"/>
        <v>123</v>
      </c>
      <c r="B340" s="2">
        <f>Pro_Forma!$S$21/12*(1+Pro_Forma!$S$22)^ROUNDDOWN((A340-1)/12,0)</f>
        <v>0</v>
      </c>
    </row>
    <row r="341" spans="1:2" x14ac:dyDescent="0.2">
      <c r="A341" s="114">
        <f t="shared" si="53"/>
        <v>124</v>
      </c>
      <c r="B341" s="2">
        <f>Pro_Forma!$S$21/12*(1+Pro_Forma!$S$22)^ROUNDDOWN((A341-1)/12,0)</f>
        <v>0</v>
      </c>
    </row>
    <row r="342" spans="1:2" x14ac:dyDescent="0.2">
      <c r="A342" s="114">
        <f t="shared" si="53"/>
        <v>125</v>
      </c>
      <c r="B342" s="2">
        <f>Pro_Forma!$S$21/12*(1+Pro_Forma!$S$22)^ROUNDDOWN((A342-1)/12,0)</f>
        <v>0</v>
      </c>
    </row>
    <row r="343" spans="1:2" x14ac:dyDescent="0.2">
      <c r="A343" s="114">
        <f t="shared" si="53"/>
        <v>126</v>
      </c>
      <c r="B343" s="2">
        <f>Pro_Forma!$S$21/12*(1+Pro_Forma!$S$22)^ROUNDDOWN((A343-1)/12,0)</f>
        <v>0</v>
      </c>
    </row>
    <row r="344" spans="1:2" x14ac:dyDescent="0.2">
      <c r="A344" s="114">
        <f t="shared" si="53"/>
        <v>127</v>
      </c>
      <c r="B344" s="2">
        <f>Pro_Forma!$S$21/12*(1+Pro_Forma!$S$22)^ROUNDDOWN((A344-1)/12,0)</f>
        <v>0</v>
      </c>
    </row>
    <row r="345" spans="1:2" x14ac:dyDescent="0.2">
      <c r="A345" s="114">
        <f t="shared" si="53"/>
        <v>128</v>
      </c>
      <c r="B345" s="2">
        <f>Pro_Forma!$S$21/12*(1+Pro_Forma!$S$22)^ROUNDDOWN((A345-1)/12,0)</f>
        <v>0</v>
      </c>
    </row>
    <row r="346" spans="1:2" x14ac:dyDescent="0.2">
      <c r="A346" s="114">
        <f t="shared" si="53"/>
        <v>129</v>
      </c>
      <c r="B346" s="2">
        <f>Pro_Forma!$S$21/12*(1+Pro_Forma!$S$22)^ROUNDDOWN((A346-1)/12,0)</f>
        <v>0</v>
      </c>
    </row>
    <row r="347" spans="1:2" x14ac:dyDescent="0.2">
      <c r="A347" s="114">
        <f t="shared" si="53"/>
        <v>130</v>
      </c>
      <c r="B347" s="2">
        <f>Pro_Forma!$S$21/12*(1+Pro_Forma!$S$22)^ROUNDDOWN((A347-1)/12,0)</f>
        <v>0</v>
      </c>
    </row>
    <row r="348" spans="1:2" x14ac:dyDescent="0.2">
      <c r="A348" s="114">
        <f t="shared" ref="A348:A411" si="54">1+A347</f>
        <v>131</v>
      </c>
      <c r="B348" s="2">
        <f>Pro_Forma!$S$21/12*(1+Pro_Forma!$S$22)^ROUNDDOWN((A348-1)/12,0)</f>
        <v>0</v>
      </c>
    </row>
    <row r="349" spans="1:2" x14ac:dyDescent="0.2">
      <c r="A349" s="114">
        <f t="shared" si="54"/>
        <v>132</v>
      </c>
      <c r="B349" s="2">
        <f>Pro_Forma!$S$21/12*(1+Pro_Forma!$S$22)^ROUNDDOWN((A349-1)/12,0)</f>
        <v>0</v>
      </c>
    </row>
    <row r="350" spans="1:2" x14ac:dyDescent="0.2">
      <c r="A350" s="114">
        <f t="shared" si="54"/>
        <v>133</v>
      </c>
      <c r="B350" s="2">
        <f>Pro_Forma!$S$21/12*(1+Pro_Forma!$S$22)^ROUNDDOWN((A350-1)/12,0)</f>
        <v>0</v>
      </c>
    </row>
    <row r="351" spans="1:2" x14ac:dyDescent="0.2">
      <c r="A351" s="114">
        <f t="shared" si="54"/>
        <v>134</v>
      </c>
      <c r="B351" s="2">
        <f>Pro_Forma!$S$21/12*(1+Pro_Forma!$S$22)^ROUNDDOWN((A351-1)/12,0)</f>
        <v>0</v>
      </c>
    </row>
    <row r="352" spans="1:2" x14ac:dyDescent="0.2">
      <c r="A352" s="114">
        <f t="shared" si="54"/>
        <v>135</v>
      </c>
      <c r="B352" s="2">
        <f>Pro_Forma!$S$21/12*(1+Pro_Forma!$S$22)^ROUNDDOWN((A352-1)/12,0)</f>
        <v>0</v>
      </c>
    </row>
    <row r="353" spans="1:2" x14ac:dyDescent="0.2">
      <c r="A353" s="114">
        <f t="shared" si="54"/>
        <v>136</v>
      </c>
      <c r="B353" s="2">
        <f>Pro_Forma!$S$21/12*(1+Pro_Forma!$S$22)^ROUNDDOWN((A353-1)/12,0)</f>
        <v>0</v>
      </c>
    </row>
    <row r="354" spans="1:2" x14ac:dyDescent="0.2">
      <c r="A354" s="114">
        <f t="shared" si="54"/>
        <v>137</v>
      </c>
      <c r="B354" s="2">
        <f>Pro_Forma!$S$21/12*(1+Pro_Forma!$S$22)^ROUNDDOWN((A354-1)/12,0)</f>
        <v>0</v>
      </c>
    </row>
    <row r="355" spans="1:2" x14ac:dyDescent="0.2">
      <c r="A355" s="114">
        <f t="shared" si="54"/>
        <v>138</v>
      </c>
      <c r="B355" s="2">
        <f>Pro_Forma!$S$21/12*(1+Pro_Forma!$S$22)^ROUNDDOWN((A355-1)/12,0)</f>
        <v>0</v>
      </c>
    </row>
    <row r="356" spans="1:2" x14ac:dyDescent="0.2">
      <c r="A356" s="114">
        <f t="shared" si="54"/>
        <v>139</v>
      </c>
      <c r="B356" s="2">
        <f>Pro_Forma!$S$21/12*(1+Pro_Forma!$S$22)^ROUNDDOWN((A356-1)/12,0)</f>
        <v>0</v>
      </c>
    </row>
    <row r="357" spans="1:2" x14ac:dyDescent="0.2">
      <c r="A357" s="114">
        <f t="shared" si="54"/>
        <v>140</v>
      </c>
      <c r="B357" s="2">
        <f>Pro_Forma!$S$21/12*(1+Pro_Forma!$S$22)^ROUNDDOWN((A357-1)/12,0)</f>
        <v>0</v>
      </c>
    </row>
    <row r="358" spans="1:2" x14ac:dyDescent="0.2">
      <c r="A358" s="114">
        <f t="shared" si="54"/>
        <v>141</v>
      </c>
      <c r="B358" s="2">
        <f>Pro_Forma!$S$21/12*(1+Pro_Forma!$S$22)^ROUNDDOWN((A358-1)/12,0)</f>
        <v>0</v>
      </c>
    </row>
    <row r="359" spans="1:2" x14ac:dyDescent="0.2">
      <c r="A359" s="114">
        <f t="shared" si="54"/>
        <v>142</v>
      </c>
      <c r="B359" s="2">
        <f>Pro_Forma!$S$21/12*(1+Pro_Forma!$S$22)^ROUNDDOWN((A359-1)/12,0)</f>
        <v>0</v>
      </c>
    </row>
    <row r="360" spans="1:2" x14ac:dyDescent="0.2">
      <c r="A360" s="114">
        <f t="shared" si="54"/>
        <v>143</v>
      </c>
      <c r="B360" s="2">
        <f>Pro_Forma!$S$21/12*(1+Pro_Forma!$S$22)^ROUNDDOWN((A360-1)/12,0)</f>
        <v>0</v>
      </c>
    </row>
    <row r="361" spans="1:2" x14ac:dyDescent="0.2">
      <c r="A361" s="114">
        <f t="shared" si="54"/>
        <v>144</v>
      </c>
      <c r="B361" s="2">
        <f>Pro_Forma!$S$21/12*(1+Pro_Forma!$S$22)^ROUNDDOWN((A361-1)/12,0)</f>
        <v>0</v>
      </c>
    </row>
    <row r="362" spans="1:2" x14ac:dyDescent="0.2">
      <c r="A362" s="114">
        <f t="shared" si="54"/>
        <v>145</v>
      </c>
      <c r="B362" s="2">
        <f>Pro_Forma!$S$21/12*(1+Pro_Forma!$S$22)^ROUNDDOWN((A362-1)/12,0)</f>
        <v>0</v>
      </c>
    </row>
    <row r="363" spans="1:2" x14ac:dyDescent="0.2">
      <c r="A363" s="114">
        <f t="shared" si="54"/>
        <v>146</v>
      </c>
      <c r="B363" s="2">
        <f>Pro_Forma!$S$21/12*(1+Pro_Forma!$S$22)^ROUNDDOWN((A363-1)/12,0)</f>
        <v>0</v>
      </c>
    </row>
    <row r="364" spans="1:2" x14ac:dyDescent="0.2">
      <c r="A364" s="114">
        <f t="shared" si="54"/>
        <v>147</v>
      </c>
      <c r="B364" s="2">
        <f>Pro_Forma!$S$21/12*(1+Pro_Forma!$S$22)^ROUNDDOWN((A364-1)/12,0)</f>
        <v>0</v>
      </c>
    </row>
    <row r="365" spans="1:2" x14ac:dyDescent="0.2">
      <c r="A365" s="114">
        <f t="shared" si="54"/>
        <v>148</v>
      </c>
      <c r="B365" s="2">
        <f>Pro_Forma!$S$21/12*(1+Pro_Forma!$S$22)^ROUNDDOWN((A365-1)/12,0)</f>
        <v>0</v>
      </c>
    </row>
    <row r="366" spans="1:2" x14ac:dyDescent="0.2">
      <c r="A366" s="114">
        <f t="shared" si="54"/>
        <v>149</v>
      </c>
      <c r="B366" s="2">
        <f>Pro_Forma!$S$21/12*(1+Pro_Forma!$S$22)^ROUNDDOWN((A366-1)/12,0)</f>
        <v>0</v>
      </c>
    </row>
    <row r="367" spans="1:2" x14ac:dyDescent="0.2">
      <c r="A367" s="114">
        <f t="shared" si="54"/>
        <v>150</v>
      </c>
      <c r="B367" s="2">
        <f>Pro_Forma!$S$21/12*(1+Pro_Forma!$S$22)^ROUNDDOWN((A367-1)/12,0)</f>
        <v>0</v>
      </c>
    </row>
    <row r="368" spans="1:2" x14ac:dyDescent="0.2">
      <c r="A368" s="114">
        <f t="shared" si="54"/>
        <v>151</v>
      </c>
      <c r="B368" s="2">
        <f>Pro_Forma!$S$21/12*(1+Pro_Forma!$S$22)^ROUNDDOWN((A368-1)/12,0)</f>
        <v>0</v>
      </c>
    </row>
    <row r="369" spans="1:2" x14ac:dyDescent="0.2">
      <c r="A369" s="114">
        <f t="shared" si="54"/>
        <v>152</v>
      </c>
      <c r="B369" s="2">
        <f>Pro_Forma!$S$21/12*(1+Pro_Forma!$S$22)^ROUNDDOWN((A369-1)/12,0)</f>
        <v>0</v>
      </c>
    </row>
    <row r="370" spans="1:2" x14ac:dyDescent="0.2">
      <c r="A370" s="114">
        <f t="shared" si="54"/>
        <v>153</v>
      </c>
      <c r="B370" s="2">
        <f>Pro_Forma!$S$21/12*(1+Pro_Forma!$S$22)^ROUNDDOWN((A370-1)/12,0)</f>
        <v>0</v>
      </c>
    </row>
    <row r="371" spans="1:2" x14ac:dyDescent="0.2">
      <c r="A371" s="114">
        <f t="shared" si="54"/>
        <v>154</v>
      </c>
      <c r="B371" s="2">
        <f>Pro_Forma!$S$21/12*(1+Pro_Forma!$S$22)^ROUNDDOWN((A371-1)/12,0)</f>
        <v>0</v>
      </c>
    </row>
    <row r="372" spans="1:2" x14ac:dyDescent="0.2">
      <c r="A372" s="114">
        <f t="shared" si="54"/>
        <v>155</v>
      </c>
      <c r="B372" s="2">
        <f>Pro_Forma!$S$21/12*(1+Pro_Forma!$S$22)^ROUNDDOWN((A372-1)/12,0)</f>
        <v>0</v>
      </c>
    </row>
    <row r="373" spans="1:2" x14ac:dyDescent="0.2">
      <c r="A373" s="114">
        <f t="shared" si="54"/>
        <v>156</v>
      </c>
      <c r="B373" s="2">
        <f>Pro_Forma!$S$21/12*(1+Pro_Forma!$S$22)^ROUNDDOWN((A373-1)/12,0)</f>
        <v>0</v>
      </c>
    </row>
    <row r="374" spans="1:2" x14ac:dyDescent="0.2">
      <c r="A374" s="114">
        <f t="shared" si="54"/>
        <v>157</v>
      </c>
      <c r="B374" s="2">
        <f>Pro_Forma!$S$21/12*(1+Pro_Forma!$S$22)^ROUNDDOWN((A374-1)/12,0)</f>
        <v>0</v>
      </c>
    </row>
    <row r="375" spans="1:2" x14ac:dyDescent="0.2">
      <c r="A375" s="114">
        <f t="shared" si="54"/>
        <v>158</v>
      </c>
      <c r="B375" s="2">
        <f>Pro_Forma!$S$21/12*(1+Pro_Forma!$S$22)^ROUNDDOWN((A375-1)/12,0)</f>
        <v>0</v>
      </c>
    </row>
    <row r="376" spans="1:2" x14ac:dyDescent="0.2">
      <c r="A376" s="114">
        <f t="shared" si="54"/>
        <v>159</v>
      </c>
      <c r="B376" s="2">
        <f>Pro_Forma!$S$21/12*(1+Pro_Forma!$S$22)^ROUNDDOWN((A376-1)/12,0)</f>
        <v>0</v>
      </c>
    </row>
    <row r="377" spans="1:2" x14ac:dyDescent="0.2">
      <c r="A377" s="114">
        <f t="shared" si="54"/>
        <v>160</v>
      </c>
      <c r="B377" s="2">
        <f>Pro_Forma!$S$21/12*(1+Pro_Forma!$S$22)^ROUNDDOWN((A377-1)/12,0)</f>
        <v>0</v>
      </c>
    </row>
    <row r="378" spans="1:2" x14ac:dyDescent="0.2">
      <c r="A378" s="114">
        <f t="shared" si="54"/>
        <v>161</v>
      </c>
      <c r="B378" s="2">
        <f>Pro_Forma!$S$21/12*(1+Pro_Forma!$S$22)^ROUNDDOWN((A378-1)/12,0)</f>
        <v>0</v>
      </c>
    </row>
    <row r="379" spans="1:2" x14ac:dyDescent="0.2">
      <c r="A379" s="114">
        <f t="shared" si="54"/>
        <v>162</v>
      </c>
      <c r="B379" s="2">
        <f>Pro_Forma!$S$21/12*(1+Pro_Forma!$S$22)^ROUNDDOWN((A379-1)/12,0)</f>
        <v>0</v>
      </c>
    </row>
    <row r="380" spans="1:2" x14ac:dyDescent="0.2">
      <c r="A380" s="114">
        <f t="shared" si="54"/>
        <v>163</v>
      </c>
      <c r="B380" s="2">
        <f>Pro_Forma!$S$21/12*(1+Pro_Forma!$S$22)^ROUNDDOWN((A380-1)/12,0)</f>
        <v>0</v>
      </c>
    </row>
    <row r="381" spans="1:2" x14ac:dyDescent="0.2">
      <c r="A381" s="114">
        <f t="shared" si="54"/>
        <v>164</v>
      </c>
      <c r="B381" s="2">
        <f>Pro_Forma!$S$21/12*(1+Pro_Forma!$S$22)^ROUNDDOWN((A381-1)/12,0)</f>
        <v>0</v>
      </c>
    </row>
    <row r="382" spans="1:2" x14ac:dyDescent="0.2">
      <c r="A382" s="114">
        <f t="shared" si="54"/>
        <v>165</v>
      </c>
      <c r="B382" s="2">
        <f>Pro_Forma!$S$21/12*(1+Pro_Forma!$S$22)^ROUNDDOWN((A382-1)/12,0)</f>
        <v>0</v>
      </c>
    </row>
    <row r="383" spans="1:2" x14ac:dyDescent="0.2">
      <c r="A383" s="114">
        <f t="shared" si="54"/>
        <v>166</v>
      </c>
      <c r="B383" s="2">
        <f>Pro_Forma!$S$21/12*(1+Pro_Forma!$S$22)^ROUNDDOWN((A383-1)/12,0)</f>
        <v>0</v>
      </c>
    </row>
    <row r="384" spans="1:2" x14ac:dyDescent="0.2">
      <c r="A384" s="114">
        <f t="shared" si="54"/>
        <v>167</v>
      </c>
      <c r="B384" s="2">
        <f>Pro_Forma!$S$21/12*(1+Pro_Forma!$S$22)^ROUNDDOWN((A384-1)/12,0)</f>
        <v>0</v>
      </c>
    </row>
    <row r="385" spans="1:2" x14ac:dyDescent="0.2">
      <c r="A385" s="114">
        <f t="shared" si="54"/>
        <v>168</v>
      </c>
      <c r="B385" s="2">
        <f>Pro_Forma!$S$21/12*(1+Pro_Forma!$S$22)^ROUNDDOWN((A385-1)/12,0)</f>
        <v>0</v>
      </c>
    </row>
    <row r="386" spans="1:2" x14ac:dyDescent="0.2">
      <c r="A386" s="114">
        <f t="shared" si="54"/>
        <v>169</v>
      </c>
      <c r="B386" s="2">
        <f>Pro_Forma!$S$21/12*(1+Pro_Forma!$S$22)^ROUNDDOWN((A386-1)/12,0)</f>
        <v>0</v>
      </c>
    </row>
    <row r="387" spans="1:2" x14ac:dyDescent="0.2">
      <c r="A387" s="114">
        <f t="shared" si="54"/>
        <v>170</v>
      </c>
      <c r="B387" s="2">
        <f>Pro_Forma!$S$21/12*(1+Pro_Forma!$S$22)^ROUNDDOWN((A387-1)/12,0)</f>
        <v>0</v>
      </c>
    </row>
    <row r="388" spans="1:2" x14ac:dyDescent="0.2">
      <c r="A388" s="114">
        <f t="shared" si="54"/>
        <v>171</v>
      </c>
      <c r="B388" s="2">
        <f>Pro_Forma!$S$21/12*(1+Pro_Forma!$S$22)^ROUNDDOWN((A388-1)/12,0)</f>
        <v>0</v>
      </c>
    </row>
    <row r="389" spans="1:2" x14ac:dyDescent="0.2">
      <c r="A389" s="114">
        <f t="shared" si="54"/>
        <v>172</v>
      </c>
      <c r="B389" s="2">
        <f>Pro_Forma!$S$21/12*(1+Pro_Forma!$S$22)^ROUNDDOWN((A389-1)/12,0)</f>
        <v>0</v>
      </c>
    </row>
    <row r="390" spans="1:2" x14ac:dyDescent="0.2">
      <c r="A390" s="114">
        <f t="shared" si="54"/>
        <v>173</v>
      </c>
      <c r="B390" s="2">
        <f>Pro_Forma!$S$21/12*(1+Pro_Forma!$S$22)^ROUNDDOWN((A390-1)/12,0)</f>
        <v>0</v>
      </c>
    </row>
    <row r="391" spans="1:2" x14ac:dyDescent="0.2">
      <c r="A391" s="114">
        <f t="shared" si="54"/>
        <v>174</v>
      </c>
      <c r="B391" s="2">
        <f>Pro_Forma!$S$21/12*(1+Pro_Forma!$S$22)^ROUNDDOWN((A391-1)/12,0)</f>
        <v>0</v>
      </c>
    </row>
    <row r="392" spans="1:2" x14ac:dyDescent="0.2">
      <c r="A392" s="114">
        <f t="shared" si="54"/>
        <v>175</v>
      </c>
      <c r="B392" s="2">
        <f>Pro_Forma!$S$21/12*(1+Pro_Forma!$S$22)^ROUNDDOWN((A392-1)/12,0)</f>
        <v>0</v>
      </c>
    </row>
    <row r="393" spans="1:2" x14ac:dyDescent="0.2">
      <c r="A393" s="114">
        <f t="shared" si="54"/>
        <v>176</v>
      </c>
      <c r="B393" s="2">
        <f>Pro_Forma!$S$21/12*(1+Pro_Forma!$S$22)^ROUNDDOWN((A393-1)/12,0)</f>
        <v>0</v>
      </c>
    </row>
    <row r="394" spans="1:2" x14ac:dyDescent="0.2">
      <c r="A394" s="114">
        <f t="shared" si="54"/>
        <v>177</v>
      </c>
      <c r="B394" s="2">
        <f>Pro_Forma!$S$21/12*(1+Pro_Forma!$S$22)^ROUNDDOWN((A394-1)/12,0)</f>
        <v>0</v>
      </c>
    </row>
    <row r="395" spans="1:2" x14ac:dyDescent="0.2">
      <c r="A395" s="114">
        <f t="shared" si="54"/>
        <v>178</v>
      </c>
      <c r="B395" s="2">
        <f>Pro_Forma!$S$21/12*(1+Pro_Forma!$S$22)^ROUNDDOWN((A395-1)/12,0)</f>
        <v>0</v>
      </c>
    </row>
    <row r="396" spans="1:2" x14ac:dyDescent="0.2">
      <c r="A396" s="114">
        <f t="shared" si="54"/>
        <v>179</v>
      </c>
      <c r="B396" s="2">
        <f>Pro_Forma!$S$21/12*(1+Pro_Forma!$S$22)^ROUNDDOWN((A396-1)/12,0)</f>
        <v>0</v>
      </c>
    </row>
    <row r="397" spans="1:2" x14ac:dyDescent="0.2">
      <c r="A397" s="114">
        <f t="shared" si="54"/>
        <v>180</v>
      </c>
      <c r="B397" s="2">
        <f>Pro_Forma!$S$21/12*(1+Pro_Forma!$S$22)^ROUNDDOWN((A397-1)/12,0)</f>
        <v>0</v>
      </c>
    </row>
    <row r="398" spans="1:2" x14ac:dyDescent="0.2">
      <c r="A398" s="114">
        <f t="shared" si="54"/>
        <v>181</v>
      </c>
      <c r="B398" s="2">
        <f>Pro_Forma!$S$21/12*(1+Pro_Forma!$S$22)^ROUNDDOWN((A398-1)/12,0)</f>
        <v>0</v>
      </c>
    </row>
    <row r="399" spans="1:2" x14ac:dyDescent="0.2">
      <c r="A399" s="114">
        <f t="shared" si="54"/>
        <v>182</v>
      </c>
      <c r="B399" s="2">
        <f>Pro_Forma!$S$21/12*(1+Pro_Forma!$S$22)^ROUNDDOWN((A399-1)/12,0)</f>
        <v>0</v>
      </c>
    </row>
    <row r="400" spans="1:2" x14ac:dyDescent="0.2">
      <c r="A400" s="114">
        <f t="shared" si="54"/>
        <v>183</v>
      </c>
      <c r="B400" s="2">
        <f>Pro_Forma!$S$21/12*(1+Pro_Forma!$S$22)^ROUNDDOWN((A400-1)/12,0)</f>
        <v>0</v>
      </c>
    </row>
    <row r="401" spans="1:2" x14ac:dyDescent="0.2">
      <c r="A401" s="114">
        <f t="shared" si="54"/>
        <v>184</v>
      </c>
      <c r="B401" s="2">
        <f>Pro_Forma!$S$21/12*(1+Pro_Forma!$S$22)^ROUNDDOWN((A401-1)/12,0)</f>
        <v>0</v>
      </c>
    </row>
    <row r="402" spans="1:2" x14ac:dyDescent="0.2">
      <c r="A402" s="114">
        <f t="shared" si="54"/>
        <v>185</v>
      </c>
      <c r="B402" s="2">
        <f>Pro_Forma!$S$21/12*(1+Pro_Forma!$S$22)^ROUNDDOWN((A402-1)/12,0)</f>
        <v>0</v>
      </c>
    </row>
    <row r="403" spans="1:2" x14ac:dyDescent="0.2">
      <c r="A403" s="114">
        <f t="shared" si="54"/>
        <v>186</v>
      </c>
      <c r="B403" s="2">
        <f>Pro_Forma!$S$21/12*(1+Pro_Forma!$S$22)^ROUNDDOWN((A403-1)/12,0)</f>
        <v>0</v>
      </c>
    </row>
    <row r="404" spans="1:2" x14ac:dyDescent="0.2">
      <c r="A404" s="114">
        <f t="shared" si="54"/>
        <v>187</v>
      </c>
      <c r="B404" s="2">
        <f>Pro_Forma!$S$21/12*(1+Pro_Forma!$S$22)^ROUNDDOWN((A404-1)/12,0)</f>
        <v>0</v>
      </c>
    </row>
    <row r="405" spans="1:2" x14ac:dyDescent="0.2">
      <c r="A405" s="114">
        <f t="shared" si="54"/>
        <v>188</v>
      </c>
      <c r="B405" s="2">
        <f>Pro_Forma!$S$21/12*(1+Pro_Forma!$S$22)^ROUNDDOWN((A405-1)/12,0)</f>
        <v>0</v>
      </c>
    </row>
    <row r="406" spans="1:2" x14ac:dyDescent="0.2">
      <c r="A406" s="114">
        <f t="shared" si="54"/>
        <v>189</v>
      </c>
      <c r="B406" s="2">
        <f>Pro_Forma!$S$21/12*(1+Pro_Forma!$S$22)^ROUNDDOWN((A406-1)/12,0)</f>
        <v>0</v>
      </c>
    </row>
    <row r="407" spans="1:2" x14ac:dyDescent="0.2">
      <c r="A407" s="114">
        <f t="shared" si="54"/>
        <v>190</v>
      </c>
      <c r="B407" s="2">
        <f>Pro_Forma!$S$21/12*(1+Pro_Forma!$S$22)^ROUNDDOWN((A407-1)/12,0)</f>
        <v>0</v>
      </c>
    </row>
    <row r="408" spans="1:2" x14ac:dyDescent="0.2">
      <c r="A408" s="114">
        <f t="shared" si="54"/>
        <v>191</v>
      </c>
      <c r="B408" s="2">
        <f>Pro_Forma!$S$21/12*(1+Pro_Forma!$S$22)^ROUNDDOWN((A408-1)/12,0)</f>
        <v>0</v>
      </c>
    </row>
    <row r="409" spans="1:2" x14ac:dyDescent="0.2">
      <c r="A409" s="114">
        <f t="shared" si="54"/>
        <v>192</v>
      </c>
      <c r="B409" s="2">
        <f>Pro_Forma!$S$21/12*(1+Pro_Forma!$S$22)^ROUNDDOWN((A409-1)/12,0)</f>
        <v>0</v>
      </c>
    </row>
    <row r="410" spans="1:2" x14ac:dyDescent="0.2">
      <c r="A410" s="114">
        <f t="shared" si="54"/>
        <v>193</v>
      </c>
      <c r="B410" s="2">
        <f>Pro_Forma!$S$21/12*(1+Pro_Forma!$S$22)^ROUNDDOWN((A410-1)/12,0)</f>
        <v>0</v>
      </c>
    </row>
    <row r="411" spans="1:2" x14ac:dyDescent="0.2">
      <c r="A411" s="114">
        <f t="shared" si="54"/>
        <v>194</v>
      </c>
      <c r="B411" s="2">
        <f>Pro_Forma!$S$21/12*(1+Pro_Forma!$S$22)^ROUNDDOWN((A411-1)/12,0)</f>
        <v>0</v>
      </c>
    </row>
    <row r="412" spans="1:2" x14ac:dyDescent="0.2">
      <c r="A412" s="114">
        <f t="shared" ref="A412:A475" si="55">1+A411</f>
        <v>195</v>
      </c>
      <c r="B412" s="2">
        <f>Pro_Forma!$S$21/12*(1+Pro_Forma!$S$22)^ROUNDDOWN((A412-1)/12,0)</f>
        <v>0</v>
      </c>
    </row>
    <row r="413" spans="1:2" x14ac:dyDescent="0.2">
      <c r="A413" s="114">
        <f t="shared" si="55"/>
        <v>196</v>
      </c>
      <c r="B413" s="2">
        <f>Pro_Forma!$S$21/12*(1+Pro_Forma!$S$22)^ROUNDDOWN((A413-1)/12,0)</f>
        <v>0</v>
      </c>
    </row>
    <row r="414" spans="1:2" x14ac:dyDescent="0.2">
      <c r="A414" s="114">
        <f t="shared" si="55"/>
        <v>197</v>
      </c>
      <c r="B414" s="2">
        <f>Pro_Forma!$S$21/12*(1+Pro_Forma!$S$22)^ROUNDDOWN((A414-1)/12,0)</f>
        <v>0</v>
      </c>
    </row>
    <row r="415" spans="1:2" x14ac:dyDescent="0.2">
      <c r="A415" s="114">
        <f t="shared" si="55"/>
        <v>198</v>
      </c>
      <c r="B415" s="2">
        <f>Pro_Forma!$S$21/12*(1+Pro_Forma!$S$22)^ROUNDDOWN((A415-1)/12,0)</f>
        <v>0</v>
      </c>
    </row>
    <row r="416" spans="1:2" x14ac:dyDescent="0.2">
      <c r="A416" s="114">
        <f t="shared" si="55"/>
        <v>199</v>
      </c>
      <c r="B416" s="2">
        <f>Pro_Forma!$S$21/12*(1+Pro_Forma!$S$22)^ROUNDDOWN((A416-1)/12,0)</f>
        <v>0</v>
      </c>
    </row>
    <row r="417" spans="1:2" x14ac:dyDescent="0.2">
      <c r="A417" s="114">
        <f t="shared" si="55"/>
        <v>200</v>
      </c>
      <c r="B417" s="2">
        <f>Pro_Forma!$S$21/12*(1+Pro_Forma!$S$22)^ROUNDDOWN((A417-1)/12,0)</f>
        <v>0</v>
      </c>
    </row>
    <row r="418" spans="1:2" x14ac:dyDescent="0.2">
      <c r="A418" s="114">
        <f t="shared" si="55"/>
        <v>201</v>
      </c>
      <c r="B418" s="2">
        <f>Pro_Forma!$S$21/12*(1+Pro_Forma!$S$22)^ROUNDDOWN((A418-1)/12,0)</f>
        <v>0</v>
      </c>
    </row>
    <row r="419" spans="1:2" x14ac:dyDescent="0.2">
      <c r="A419" s="114">
        <f t="shared" si="55"/>
        <v>202</v>
      </c>
      <c r="B419" s="2">
        <f>Pro_Forma!$S$21/12*(1+Pro_Forma!$S$22)^ROUNDDOWN((A419-1)/12,0)</f>
        <v>0</v>
      </c>
    </row>
    <row r="420" spans="1:2" x14ac:dyDescent="0.2">
      <c r="A420" s="114">
        <f t="shared" si="55"/>
        <v>203</v>
      </c>
      <c r="B420" s="2">
        <f>Pro_Forma!$S$21/12*(1+Pro_Forma!$S$22)^ROUNDDOWN((A420-1)/12,0)</f>
        <v>0</v>
      </c>
    </row>
    <row r="421" spans="1:2" x14ac:dyDescent="0.2">
      <c r="A421" s="114">
        <f t="shared" si="55"/>
        <v>204</v>
      </c>
      <c r="B421" s="2">
        <f>Pro_Forma!$S$21/12*(1+Pro_Forma!$S$22)^ROUNDDOWN((A421-1)/12,0)</f>
        <v>0</v>
      </c>
    </row>
    <row r="422" spans="1:2" x14ac:dyDescent="0.2">
      <c r="A422" s="114">
        <f t="shared" si="55"/>
        <v>205</v>
      </c>
      <c r="B422" s="2">
        <f>Pro_Forma!$S$21/12*(1+Pro_Forma!$S$22)^ROUNDDOWN((A422-1)/12,0)</f>
        <v>0</v>
      </c>
    </row>
    <row r="423" spans="1:2" x14ac:dyDescent="0.2">
      <c r="A423" s="114">
        <f t="shared" si="55"/>
        <v>206</v>
      </c>
      <c r="B423" s="2">
        <f>Pro_Forma!$S$21/12*(1+Pro_Forma!$S$22)^ROUNDDOWN((A423-1)/12,0)</f>
        <v>0</v>
      </c>
    </row>
    <row r="424" spans="1:2" x14ac:dyDescent="0.2">
      <c r="A424" s="114">
        <f t="shared" si="55"/>
        <v>207</v>
      </c>
      <c r="B424" s="2">
        <f>Pro_Forma!$S$21/12*(1+Pro_Forma!$S$22)^ROUNDDOWN((A424-1)/12,0)</f>
        <v>0</v>
      </c>
    </row>
    <row r="425" spans="1:2" x14ac:dyDescent="0.2">
      <c r="A425" s="114">
        <f t="shared" si="55"/>
        <v>208</v>
      </c>
      <c r="B425" s="2">
        <f>Pro_Forma!$S$21/12*(1+Pro_Forma!$S$22)^ROUNDDOWN((A425-1)/12,0)</f>
        <v>0</v>
      </c>
    </row>
    <row r="426" spans="1:2" x14ac:dyDescent="0.2">
      <c r="A426" s="114">
        <f t="shared" si="55"/>
        <v>209</v>
      </c>
      <c r="B426" s="2">
        <f>Pro_Forma!$S$21/12*(1+Pro_Forma!$S$22)^ROUNDDOWN((A426-1)/12,0)</f>
        <v>0</v>
      </c>
    </row>
    <row r="427" spans="1:2" x14ac:dyDescent="0.2">
      <c r="A427" s="114">
        <f t="shared" si="55"/>
        <v>210</v>
      </c>
      <c r="B427" s="2">
        <f>Pro_Forma!$S$21/12*(1+Pro_Forma!$S$22)^ROUNDDOWN((A427-1)/12,0)</f>
        <v>0</v>
      </c>
    </row>
    <row r="428" spans="1:2" x14ac:dyDescent="0.2">
      <c r="A428" s="114">
        <f t="shared" si="55"/>
        <v>211</v>
      </c>
      <c r="B428" s="2">
        <f>Pro_Forma!$S$21/12*(1+Pro_Forma!$S$22)^ROUNDDOWN((A428-1)/12,0)</f>
        <v>0</v>
      </c>
    </row>
    <row r="429" spans="1:2" x14ac:dyDescent="0.2">
      <c r="A429" s="114">
        <f t="shared" si="55"/>
        <v>212</v>
      </c>
      <c r="B429" s="2">
        <f>Pro_Forma!$S$21/12*(1+Pro_Forma!$S$22)^ROUNDDOWN((A429-1)/12,0)</f>
        <v>0</v>
      </c>
    </row>
    <row r="430" spans="1:2" x14ac:dyDescent="0.2">
      <c r="A430" s="114">
        <f t="shared" si="55"/>
        <v>213</v>
      </c>
      <c r="B430" s="2">
        <f>Pro_Forma!$S$21/12*(1+Pro_Forma!$S$22)^ROUNDDOWN((A430-1)/12,0)</f>
        <v>0</v>
      </c>
    </row>
    <row r="431" spans="1:2" x14ac:dyDescent="0.2">
      <c r="A431" s="114">
        <f t="shared" si="55"/>
        <v>214</v>
      </c>
      <c r="B431" s="2">
        <f>Pro_Forma!$S$21/12*(1+Pro_Forma!$S$22)^ROUNDDOWN((A431-1)/12,0)</f>
        <v>0</v>
      </c>
    </row>
    <row r="432" spans="1:2" x14ac:dyDescent="0.2">
      <c r="A432" s="114">
        <f t="shared" si="55"/>
        <v>215</v>
      </c>
      <c r="B432" s="2">
        <f>Pro_Forma!$S$21/12*(1+Pro_Forma!$S$22)^ROUNDDOWN((A432-1)/12,0)</f>
        <v>0</v>
      </c>
    </row>
    <row r="433" spans="1:2" x14ac:dyDescent="0.2">
      <c r="A433" s="114">
        <f t="shared" si="55"/>
        <v>216</v>
      </c>
      <c r="B433" s="2">
        <f>Pro_Forma!$S$21/12*(1+Pro_Forma!$S$22)^ROUNDDOWN((A433-1)/12,0)</f>
        <v>0</v>
      </c>
    </row>
    <row r="434" spans="1:2" x14ac:dyDescent="0.2">
      <c r="A434" s="114">
        <f t="shared" si="55"/>
        <v>217</v>
      </c>
      <c r="B434" s="2">
        <f>Pro_Forma!$S$21/12*(1+Pro_Forma!$S$22)^ROUNDDOWN((A434-1)/12,0)</f>
        <v>0</v>
      </c>
    </row>
    <row r="435" spans="1:2" x14ac:dyDescent="0.2">
      <c r="A435" s="114">
        <f t="shared" si="55"/>
        <v>218</v>
      </c>
      <c r="B435" s="2">
        <f>Pro_Forma!$S$21/12*(1+Pro_Forma!$S$22)^ROUNDDOWN((A435-1)/12,0)</f>
        <v>0</v>
      </c>
    </row>
    <row r="436" spans="1:2" x14ac:dyDescent="0.2">
      <c r="A436" s="114">
        <f t="shared" si="55"/>
        <v>219</v>
      </c>
      <c r="B436" s="2">
        <f>Pro_Forma!$S$21/12*(1+Pro_Forma!$S$22)^ROUNDDOWN((A436-1)/12,0)</f>
        <v>0</v>
      </c>
    </row>
    <row r="437" spans="1:2" x14ac:dyDescent="0.2">
      <c r="A437" s="114">
        <f t="shared" si="55"/>
        <v>220</v>
      </c>
      <c r="B437" s="2">
        <f>Pro_Forma!$S$21/12*(1+Pro_Forma!$S$22)^ROUNDDOWN((A437-1)/12,0)</f>
        <v>0</v>
      </c>
    </row>
    <row r="438" spans="1:2" x14ac:dyDescent="0.2">
      <c r="A438" s="114">
        <f t="shared" si="55"/>
        <v>221</v>
      </c>
      <c r="B438" s="2">
        <f>Pro_Forma!$S$21/12*(1+Pro_Forma!$S$22)^ROUNDDOWN((A438-1)/12,0)</f>
        <v>0</v>
      </c>
    </row>
    <row r="439" spans="1:2" x14ac:dyDescent="0.2">
      <c r="A439" s="114">
        <f t="shared" si="55"/>
        <v>222</v>
      </c>
      <c r="B439" s="2">
        <f>Pro_Forma!$S$21/12*(1+Pro_Forma!$S$22)^ROUNDDOWN((A439-1)/12,0)</f>
        <v>0</v>
      </c>
    </row>
    <row r="440" spans="1:2" x14ac:dyDescent="0.2">
      <c r="A440" s="114">
        <f t="shared" si="55"/>
        <v>223</v>
      </c>
      <c r="B440" s="2">
        <f>Pro_Forma!$S$21/12*(1+Pro_Forma!$S$22)^ROUNDDOWN((A440-1)/12,0)</f>
        <v>0</v>
      </c>
    </row>
    <row r="441" spans="1:2" x14ac:dyDescent="0.2">
      <c r="A441" s="114">
        <f t="shared" si="55"/>
        <v>224</v>
      </c>
      <c r="B441" s="2">
        <f>Pro_Forma!$S$21/12*(1+Pro_Forma!$S$22)^ROUNDDOWN((A441-1)/12,0)</f>
        <v>0</v>
      </c>
    </row>
    <row r="442" spans="1:2" x14ac:dyDescent="0.2">
      <c r="A442" s="114">
        <f t="shared" si="55"/>
        <v>225</v>
      </c>
      <c r="B442" s="2">
        <f>Pro_Forma!$S$21/12*(1+Pro_Forma!$S$22)^ROUNDDOWN((A442-1)/12,0)</f>
        <v>0</v>
      </c>
    </row>
    <row r="443" spans="1:2" x14ac:dyDescent="0.2">
      <c r="A443" s="114">
        <f t="shared" si="55"/>
        <v>226</v>
      </c>
      <c r="B443" s="2">
        <f>Pro_Forma!$S$21/12*(1+Pro_Forma!$S$22)^ROUNDDOWN((A443-1)/12,0)</f>
        <v>0</v>
      </c>
    </row>
    <row r="444" spans="1:2" x14ac:dyDescent="0.2">
      <c r="A444" s="114">
        <f t="shared" si="55"/>
        <v>227</v>
      </c>
      <c r="B444" s="2">
        <f>Pro_Forma!$S$21/12*(1+Pro_Forma!$S$22)^ROUNDDOWN((A444-1)/12,0)</f>
        <v>0</v>
      </c>
    </row>
    <row r="445" spans="1:2" x14ac:dyDescent="0.2">
      <c r="A445" s="114">
        <f t="shared" si="55"/>
        <v>228</v>
      </c>
      <c r="B445" s="2">
        <f>Pro_Forma!$S$21/12*(1+Pro_Forma!$S$22)^ROUNDDOWN((A445-1)/12,0)</f>
        <v>0</v>
      </c>
    </row>
    <row r="446" spans="1:2" x14ac:dyDescent="0.2">
      <c r="A446" s="114">
        <f t="shared" si="55"/>
        <v>229</v>
      </c>
      <c r="B446" s="2">
        <f>Pro_Forma!$S$21/12*(1+Pro_Forma!$S$22)^ROUNDDOWN((A446-1)/12,0)</f>
        <v>0</v>
      </c>
    </row>
    <row r="447" spans="1:2" x14ac:dyDescent="0.2">
      <c r="A447" s="114">
        <f t="shared" si="55"/>
        <v>230</v>
      </c>
      <c r="B447" s="2">
        <f>Pro_Forma!$S$21/12*(1+Pro_Forma!$S$22)^ROUNDDOWN((A447-1)/12,0)</f>
        <v>0</v>
      </c>
    </row>
    <row r="448" spans="1:2" x14ac:dyDescent="0.2">
      <c r="A448" s="114">
        <f t="shared" si="55"/>
        <v>231</v>
      </c>
      <c r="B448" s="2">
        <f>Pro_Forma!$S$21/12*(1+Pro_Forma!$S$22)^ROUNDDOWN((A448-1)/12,0)</f>
        <v>0</v>
      </c>
    </row>
    <row r="449" spans="1:2" x14ac:dyDescent="0.2">
      <c r="A449" s="114">
        <f t="shared" si="55"/>
        <v>232</v>
      </c>
      <c r="B449" s="2">
        <f>Pro_Forma!$S$21/12*(1+Pro_Forma!$S$22)^ROUNDDOWN((A449-1)/12,0)</f>
        <v>0</v>
      </c>
    </row>
    <row r="450" spans="1:2" x14ac:dyDescent="0.2">
      <c r="A450" s="114">
        <f t="shared" si="55"/>
        <v>233</v>
      </c>
      <c r="B450" s="2">
        <f>Pro_Forma!$S$21/12*(1+Pro_Forma!$S$22)^ROUNDDOWN((A450-1)/12,0)</f>
        <v>0</v>
      </c>
    </row>
    <row r="451" spans="1:2" x14ac:dyDescent="0.2">
      <c r="A451" s="114">
        <f t="shared" si="55"/>
        <v>234</v>
      </c>
      <c r="B451" s="2">
        <f>Pro_Forma!$S$21/12*(1+Pro_Forma!$S$22)^ROUNDDOWN((A451-1)/12,0)</f>
        <v>0</v>
      </c>
    </row>
    <row r="452" spans="1:2" x14ac:dyDescent="0.2">
      <c r="A452" s="114">
        <f t="shared" si="55"/>
        <v>235</v>
      </c>
      <c r="B452" s="2">
        <f>Pro_Forma!$S$21/12*(1+Pro_Forma!$S$22)^ROUNDDOWN((A452-1)/12,0)</f>
        <v>0</v>
      </c>
    </row>
    <row r="453" spans="1:2" x14ac:dyDescent="0.2">
      <c r="A453" s="114">
        <f t="shared" si="55"/>
        <v>236</v>
      </c>
      <c r="B453" s="2">
        <f>Pro_Forma!$S$21/12*(1+Pro_Forma!$S$22)^ROUNDDOWN((A453-1)/12,0)</f>
        <v>0</v>
      </c>
    </row>
    <row r="454" spans="1:2" x14ac:dyDescent="0.2">
      <c r="A454" s="114">
        <f t="shared" si="55"/>
        <v>237</v>
      </c>
      <c r="B454" s="2">
        <f>Pro_Forma!$S$21/12*(1+Pro_Forma!$S$22)^ROUNDDOWN((A454-1)/12,0)</f>
        <v>0</v>
      </c>
    </row>
    <row r="455" spans="1:2" x14ac:dyDescent="0.2">
      <c r="A455" s="114">
        <f t="shared" si="55"/>
        <v>238</v>
      </c>
      <c r="B455" s="2">
        <f>Pro_Forma!$S$21/12*(1+Pro_Forma!$S$22)^ROUNDDOWN((A455-1)/12,0)</f>
        <v>0</v>
      </c>
    </row>
    <row r="456" spans="1:2" x14ac:dyDescent="0.2">
      <c r="A456" s="114">
        <f t="shared" si="55"/>
        <v>239</v>
      </c>
      <c r="B456" s="2">
        <f>Pro_Forma!$S$21/12*(1+Pro_Forma!$S$22)^ROUNDDOWN((A456-1)/12,0)</f>
        <v>0</v>
      </c>
    </row>
    <row r="457" spans="1:2" x14ac:dyDescent="0.2">
      <c r="A457" s="114">
        <f t="shared" si="55"/>
        <v>240</v>
      </c>
      <c r="B457" s="2">
        <f>Pro_Forma!$S$21/12*(1+Pro_Forma!$S$22)^ROUNDDOWN((A457-1)/12,0)</f>
        <v>0</v>
      </c>
    </row>
    <row r="458" spans="1:2" x14ac:dyDescent="0.2">
      <c r="A458" s="114">
        <f t="shared" si="55"/>
        <v>241</v>
      </c>
      <c r="B458" s="2">
        <f>Pro_Forma!$S$21/12*(1+Pro_Forma!$S$22)^ROUNDDOWN((A458-1)/12,0)</f>
        <v>0</v>
      </c>
    </row>
    <row r="459" spans="1:2" x14ac:dyDescent="0.2">
      <c r="A459" s="114">
        <f t="shared" si="55"/>
        <v>242</v>
      </c>
      <c r="B459" s="2">
        <f>Pro_Forma!$S$21/12*(1+Pro_Forma!$S$22)^ROUNDDOWN((A459-1)/12,0)</f>
        <v>0</v>
      </c>
    </row>
    <row r="460" spans="1:2" x14ac:dyDescent="0.2">
      <c r="A460" s="114">
        <f t="shared" si="55"/>
        <v>243</v>
      </c>
      <c r="B460" s="2">
        <f>Pro_Forma!$S$21/12*(1+Pro_Forma!$S$22)^ROUNDDOWN((A460-1)/12,0)</f>
        <v>0</v>
      </c>
    </row>
    <row r="461" spans="1:2" x14ac:dyDescent="0.2">
      <c r="A461" s="114">
        <f t="shared" si="55"/>
        <v>244</v>
      </c>
      <c r="B461" s="2">
        <f>Pro_Forma!$S$21/12*(1+Pro_Forma!$S$22)^ROUNDDOWN((A461-1)/12,0)</f>
        <v>0</v>
      </c>
    </row>
    <row r="462" spans="1:2" x14ac:dyDescent="0.2">
      <c r="A462" s="114">
        <f t="shared" si="55"/>
        <v>245</v>
      </c>
      <c r="B462" s="2">
        <f>Pro_Forma!$S$21/12*(1+Pro_Forma!$S$22)^ROUNDDOWN((A462-1)/12,0)</f>
        <v>0</v>
      </c>
    </row>
    <row r="463" spans="1:2" x14ac:dyDescent="0.2">
      <c r="A463" s="114">
        <f t="shared" si="55"/>
        <v>246</v>
      </c>
      <c r="B463" s="2">
        <f>Pro_Forma!$S$21/12*(1+Pro_Forma!$S$22)^ROUNDDOWN((A463-1)/12,0)</f>
        <v>0</v>
      </c>
    </row>
    <row r="464" spans="1:2" x14ac:dyDescent="0.2">
      <c r="A464" s="114">
        <f t="shared" si="55"/>
        <v>247</v>
      </c>
      <c r="B464" s="2">
        <f>Pro_Forma!$S$21/12*(1+Pro_Forma!$S$22)^ROUNDDOWN((A464-1)/12,0)</f>
        <v>0</v>
      </c>
    </row>
    <row r="465" spans="1:2" x14ac:dyDescent="0.2">
      <c r="A465" s="114">
        <f t="shared" si="55"/>
        <v>248</v>
      </c>
      <c r="B465" s="2">
        <f>Pro_Forma!$S$21/12*(1+Pro_Forma!$S$22)^ROUNDDOWN((A465-1)/12,0)</f>
        <v>0</v>
      </c>
    </row>
    <row r="466" spans="1:2" x14ac:dyDescent="0.2">
      <c r="A466" s="114">
        <f t="shared" si="55"/>
        <v>249</v>
      </c>
      <c r="B466" s="2">
        <f>Pro_Forma!$S$21/12*(1+Pro_Forma!$S$22)^ROUNDDOWN((A466-1)/12,0)</f>
        <v>0</v>
      </c>
    </row>
    <row r="467" spans="1:2" x14ac:dyDescent="0.2">
      <c r="A467" s="114">
        <f t="shared" si="55"/>
        <v>250</v>
      </c>
      <c r="B467" s="2">
        <f>Pro_Forma!$S$21/12*(1+Pro_Forma!$S$22)^ROUNDDOWN((A467-1)/12,0)</f>
        <v>0</v>
      </c>
    </row>
    <row r="468" spans="1:2" x14ac:dyDescent="0.2">
      <c r="A468" s="114">
        <f t="shared" si="55"/>
        <v>251</v>
      </c>
      <c r="B468" s="2">
        <f>Pro_Forma!$S$21/12*(1+Pro_Forma!$S$22)^ROUNDDOWN((A468-1)/12,0)</f>
        <v>0</v>
      </c>
    </row>
    <row r="469" spans="1:2" x14ac:dyDescent="0.2">
      <c r="A469" s="114">
        <f t="shared" si="55"/>
        <v>252</v>
      </c>
      <c r="B469" s="2">
        <f>Pro_Forma!$S$21/12*(1+Pro_Forma!$S$22)^ROUNDDOWN((A469-1)/12,0)</f>
        <v>0</v>
      </c>
    </row>
    <row r="470" spans="1:2" x14ac:dyDescent="0.2">
      <c r="A470" s="114">
        <f t="shared" si="55"/>
        <v>253</v>
      </c>
      <c r="B470" s="2">
        <f>Pro_Forma!$S$21/12*(1+Pro_Forma!$S$22)^ROUNDDOWN((A470-1)/12,0)</f>
        <v>0</v>
      </c>
    </row>
    <row r="471" spans="1:2" x14ac:dyDescent="0.2">
      <c r="A471" s="114">
        <f t="shared" si="55"/>
        <v>254</v>
      </c>
      <c r="B471" s="2">
        <f>Pro_Forma!$S$21/12*(1+Pro_Forma!$S$22)^ROUNDDOWN((A471-1)/12,0)</f>
        <v>0</v>
      </c>
    </row>
    <row r="472" spans="1:2" x14ac:dyDescent="0.2">
      <c r="A472" s="114">
        <f t="shared" si="55"/>
        <v>255</v>
      </c>
      <c r="B472" s="2">
        <f>Pro_Forma!$S$21/12*(1+Pro_Forma!$S$22)^ROUNDDOWN((A472-1)/12,0)</f>
        <v>0</v>
      </c>
    </row>
    <row r="473" spans="1:2" x14ac:dyDescent="0.2">
      <c r="A473" s="114">
        <f t="shared" si="55"/>
        <v>256</v>
      </c>
      <c r="B473" s="2">
        <f>Pro_Forma!$S$21/12*(1+Pro_Forma!$S$22)^ROUNDDOWN((A473-1)/12,0)</f>
        <v>0</v>
      </c>
    </row>
    <row r="474" spans="1:2" x14ac:dyDescent="0.2">
      <c r="A474" s="114">
        <f t="shared" si="55"/>
        <v>257</v>
      </c>
      <c r="B474" s="2">
        <f>Pro_Forma!$S$21/12*(1+Pro_Forma!$S$22)^ROUNDDOWN((A474-1)/12,0)</f>
        <v>0</v>
      </c>
    </row>
    <row r="475" spans="1:2" x14ac:dyDescent="0.2">
      <c r="A475" s="114">
        <f t="shared" si="55"/>
        <v>258</v>
      </c>
      <c r="B475" s="2">
        <f>Pro_Forma!$S$21/12*(1+Pro_Forma!$S$22)^ROUNDDOWN((A475-1)/12,0)</f>
        <v>0</v>
      </c>
    </row>
    <row r="476" spans="1:2" x14ac:dyDescent="0.2">
      <c r="A476" s="114">
        <f t="shared" ref="A476:A539" si="56">1+A475</f>
        <v>259</v>
      </c>
      <c r="B476" s="2">
        <f>Pro_Forma!$S$21/12*(1+Pro_Forma!$S$22)^ROUNDDOWN((A476-1)/12,0)</f>
        <v>0</v>
      </c>
    </row>
    <row r="477" spans="1:2" x14ac:dyDescent="0.2">
      <c r="A477" s="114">
        <f t="shared" si="56"/>
        <v>260</v>
      </c>
      <c r="B477" s="2">
        <f>Pro_Forma!$S$21/12*(1+Pro_Forma!$S$22)^ROUNDDOWN((A477-1)/12,0)</f>
        <v>0</v>
      </c>
    </row>
    <row r="478" spans="1:2" x14ac:dyDescent="0.2">
      <c r="A478" s="114">
        <f t="shared" si="56"/>
        <v>261</v>
      </c>
      <c r="B478" s="2">
        <f>Pro_Forma!$S$21/12*(1+Pro_Forma!$S$22)^ROUNDDOWN((A478-1)/12,0)</f>
        <v>0</v>
      </c>
    </row>
    <row r="479" spans="1:2" x14ac:dyDescent="0.2">
      <c r="A479" s="114">
        <f t="shared" si="56"/>
        <v>262</v>
      </c>
      <c r="B479" s="2">
        <f>Pro_Forma!$S$21/12*(1+Pro_Forma!$S$22)^ROUNDDOWN((A479-1)/12,0)</f>
        <v>0</v>
      </c>
    </row>
    <row r="480" spans="1:2" x14ac:dyDescent="0.2">
      <c r="A480" s="114">
        <f t="shared" si="56"/>
        <v>263</v>
      </c>
      <c r="B480" s="2">
        <f>Pro_Forma!$S$21/12*(1+Pro_Forma!$S$22)^ROUNDDOWN((A480-1)/12,0)</f>
        <v>0</v>
      </c>
    </row>
    <row r="481" spans="1:2" x14ac:dyDescent="0.2">
      <c r="A481" s="114">
        <f t="shared" si="56"/>
        <v>264</v>
      </c>
      <c r="B481" s="2">
        <f>Pro_Forma!$S$21/12*(1+Pro_Forma!$S$22)^ROUNDDOWN((A481-1)/12,0)</f>
        <v>0</v>
      </c>
    </row>
    <row r="482" spans="1:2" x14ac:dyDescent="0.2">
      <c r="A482" s="114">
        <f t="shared" si="56"/>
        <v>265</v>
      </c>
      <c r="B482" s="2">
        <f>Pro_Forma!$S$21/12*(1+Pro_Forma!$S$22)^ROUNDDOWN((A482-1)/12,0)</f>
        <v>0</v>
      </c>
    </row>
    <row r="483" spans="1:2" x14ac:dyDescent="0.2">
      <c r="A483" s="114">
        <f t="shared" si="56"/>
        <v>266</v>
      </c>
      <c r="B483" s="2">
        <f>Pro_Forma!$S$21/12*(1+Pro_Forma!$S$22)^ROUNDDOWN((A483-1)/12,0)</f>
        <v>0</v>
      </c>
    </row>
    <row r="484" spans="1:2" x14ac:dyDescent="0.2">
      <c r="A484" s="114">
        <f t="shared" si="56"/>
        <v>267</v>
      </c>
      <c r="B484" s="2">
        <f>Pro_Forma!$S$21/12*(1+Pro_Forma!$S$22)^ROUNDDOWN((A484-1)/12,0)</f>
        <v>0</v>
      </c>
    </row>
    <row r="485" spans="1:2" x14ac:dyDescent="0.2">
      <c r="A485" s="114">
        <f t="shared" si="56"/>
        <v>268</v>
      </c>
      <c r="B485" s="2">
        <f>Pro_Forma!$S$21/12*(1+Pro_Forma!$S$22)^ROUNDDOWN((A485-1)/12,0)</f>
        <v>0</v>
      </c>
    </row>
    <row r="486" spans="1:2" x14ac:dyDescent="0.2">
      <c r="A486" s="114">
        <f t="shared" si="56"/>
        <v>269</v>
      </c>
      <c r="B486" s="2">
        <f>Pro_Forma!$S$21/12*(1+Pro_Forma!$S$22)^ROUNDDOWN((A486-1)/12,0)</f>
        <v>0</v>
      </c>
    </row>
    <row r="487" spans="1:2" x14ac:dyDescent="0.2">
      <c r="A487" s="114">
        <f t="shared" si="56"/>
        <v>270</v>
      </c>
      <c r="B487" s="2">
        <f>Pro_Forma!$S$21/12*(1+Pro_Forma!$S$22)^ROUNDDOWN((A487-1)/12,0)</f>
        <v>0</v>
      </c>
    </row>
    <row r="488" spans="1:2" x14ac:dyDescent="0.2">
      <c r="A488" s="114">
        <f t="shared" si="56"/>
        <v>271</v>
      </c>
      <c r="B488" s="2">
        <f>Pro_Forma!$S$21/12*(1+Pro_Forma!$S$22)^ROUNDDOWN((A488-1)/12,0)</f>
        <v>0</v>
      </c>
    </row>
    <row r="489" spans="1:2" x14ac:dyDescent="0.2">
      <c r="A489" s="114">
        <f t="shared" si="56"/>
        <v>272</v>
      </c>
      <c r="B489" s="2">
        <f>Pro_Forma!$S$21/12*(1+Pro_Forma!$S$22)^ROUNDDOWN((A489-1)/12,0)</f>
        <v>0</v>
      </c>
    </row>
    <row r="490" spans="1:2" x14ac:dyDescent="0.2">
      <c r="A490" s="114">
        <f t="shared" si="56"/>
        <v>273</v>
      </c>
      <c r="B490" s="2">
        <f>Pro_Forma!$S$21/12*(1+Pro_Forma!$S$22)^ROUNDDOWN((A490-1)/12,0)</f>
        <v>0</v>
      </c>
    </row>
    <row r="491" spans="1:2" x14ac:dyDescent="0.2">
      <c r="A491" s="114">
        <f t="shared" si="56"/>
        <v>274</v>
      </c>
      <c r="B491" s="2">
        <f>Pro_Forma!$S$21/12*(1+Pro_Forma!$S$22)^ROUNDDOWN((A491-1)/12,0)</f>
        <v>0</v>
      </c>
    </row>
    <row r="492" spans="1:2" x14ac:dyDescent="0.2">
      <c r="A492" s="114">
        <f t="shared" si="56"/>
        <v>275</v>
      </c>
      <c r="B492" s="2">
        <f>Pro_Forma!$S$21/12*(1+Pro_Forma!$S$22)^ROUNDDOWN((A492-1)/12,0)</f>
        <v>0</v>
      </c>
    </row>
    <row r="493" spans="1:2" x14ac:dyDescent="0.2">
      <c r="A493" s="114">
        <f t="shared" si="56"/>
        <v>276</v>
      </c>
      <c r="B493" s="2">
        <f>Pro_Forma!$S$21/12*(1+Pro_Forma!$S$22)^ROUNDDOWN((A493-1)/12,0)</f>
        <v>0</v>
      </c>
    </row>
    <row r="494" spans="1:2" x14ac:dyDescent="0.2">
      <c r="A494" s="114">
        <f t="shared" si="56"/>
        <v>277</v>
      </c>
      <c r="B494" s="2">
        <f>Pro_Forma!$S$21/12*(1+Pro_Forma!$S$22)^ROUNDDOWN((A494-1)/12,0)</f>
        <v>0</v>
      </c>
    </row>
    <row r="495" spans="1:2" x14ac:dyDescent="0.2">
      <c r="A495" s="114">
        <f t="shared" si="56"/>
        <v>278</v>
      </c>
      <c r="B495" s="2">
        <f>Pro_Forma!$S$21/12*(1+Pro_Forma!$S$22)^ROUNDDOWN((A495-1)/12,0)</f>
        <v>0</v>
      </c>
    </row>
    <row r="496" spans="1:2" x14ac:dyDescent="0.2">
      <c r="A496" s="114">
        <f t="shared" si="56"/>
        <v>279</v>
      </c>
      <c r="B496" s="2">
        <f>Pro_Forma!$S$21/12*(1+Pro_Forma!$S$22)^ROUNDDOWN((A496-1)/12,0)</f>
        <v>0</v>
      </c>
    </row>
    <row r="497" spans="1:2" x14ac:dyDescent="0.2">
      <c r="A497" s="114">
        <f t="shared" si="56"/>
        <v>280</v>
      </c>
      <c r="B497" s="2">
        <f>Pro_Forma!$S$21/12*(1+Pro_Forma!$S$22)^ROUNDDOWN((A497-1)/12,0)</f>
        <v>0</v>
      </c>
    </row>
    <row r="498" spans="1:2" x14ac:dyDescent="0.2">
      <c r="A498" s="114">
        <f t="shared" si="56"/>
        <v>281</v>
      </c>
      <c r="B498" s="2">
        <f>Pro_Forma!$S$21/12*(1+Pro_Forma!$S$22)^ROUNDDOWN((A498-1)/12,0)</f>
        <v>0</v>
      </c>
    </row>
    <row r="499" spans="1:2" x14ac:dyDescent="0.2">
      <c r="A499" s="114">
        <f t="shared" si="56"/>
        <v>282</v>
      </c>
      <c r="B499" s="2">
        <f>Pro_Forma!$S$21/12*(1+Pro_Forma!$S$22)^ROUNDDOWN((A499-1)/12,0)</f>
        <v>0</v>
      </c>
    </row>
    <row r="500" spans="1:2" x14ac:dyDescent="0.2">
      <c r="A500" s="114">
        <f t="shared" si="56"/>
        <v>283</v>
      </c>
      <c r="B500" s="2">
        <f>Pro_Forma!$S$21/12*(1+Pro_Forma!$S$22)^ROUNDDOWN((A500-1)/12,0)</f>
        <v>0</v>
      </c>
    </row>
    <row r="501" spans="1:2" x14ac:dyDescent="0.2">
      <c r="A501" s="114">
        <f t="shared" si="56"/>
        <v>284</v>
      </c>
      <c r="B501" s="2">
        <f>Pro_Forma!$S$21/12*(1+Pro_Forma!$S$22)^ROUNDDOWN((A501-1)/12,0)</f>
        <v>0</v>
      </c>
    </row>
    <row r="502" spans="1:2" x14ac:dyDescent="0.2">
      <c r="A502" s="114">
        <f t="shared" si="56"/>
        <v>285</v>
      </c>
      <c r="B502" s="2">
        <f>Pro_Forma!$S$21/12*(1+Pro_Forma!$S$22)^ROUNDDOWN((A502-1)/12,0)</f>
        <v>0</v>
      </c>
    </row>
    <row r="503" spans="1:2" x14ac:dyDescent="0.2">
      <c r="A503" s="114">
        <f t="shared" si="56"/>
        <v>286</v>
      </c>
      <c r="B503" s="2">
        <f>Pro_Forma!$S$21/12*(1+Pro_Forma!$S$22)^ROUNDDOWN((A503-1)/12,0)</f>
        <v>0</v>
      </c>
    </row>
    <row r="504" spans="1:2" x14ac:dyDescent="0.2">
      <c r="A504" s="114">
        <f t="shared" si="56"/>
        <v>287</v>
      </c>
      <c r="B504" s="2">
        <f>Pro_Forma!$S$21/12*(1+Pro_Forma!$S$22)^ROUNDDOWN((A504-1)/12,0)</f>
        <v>0</v>
      </c>
    </row>
    <row r="505" spans="1:2" x14ac:dyDescent="0.2">
      <c r="A505" s="114">
        <f t="shared" si="56"/>
        <v>288</v>
      </c>
      <c r="B505" s="2">
        <f>Pro_Forma!$S$21/12*(1+Pro_Forma!$S$22)^ROUNDDOWN((A505-1)/12,0)</f>
        <v>0</v>
      </c>
    </row>
    <row r="506" spans="1:2" x14ac:dyDescent="0.2">
      <c r="A506" s="114">
        <f t="shared" si="56"/>
        <v>289</v>
      </c>
      <c r="B506" s="2">
        <f>Pro_Forma!$S$21/12*(1+Pro_Forma!$S$22)^ROUNDDOWN((A506-1)/12,0)</f>
        <v>0</v>
      </c>
    </row>
    <row r="507" spans="1:2" x14ac:dyDescent="0.2">
      <c r="A507" s="114">
        <f t="shared" si="56"/>
        <v>290</v>
      </c>
      <c r="B507" s="2">
        <f>Pro_Forma!$S$21/12*(1+Pro_Forma!$S$22)^ROUNDDOWN((A507-1)/12,0)</f>
        <v>0</v>
      </c>
    </row>
    <row r="508" spans="1:2" x14ac:dyDescent="0.2">
      <c r="A508" s="114">
        <f t="shared" si="56"/>
        <v>291</v>
      </c>
      <c r="B508" s="2">
        <f>Pro_Forma!$S$21/12*(1+Pro_Forma!$S$22)^ROUNDDOWN((A508-1)/12,0)</f>
        <v>0</v>
      </c>
    </row>
    <row r="509" spans="1:2" x14ac:dyDescent="0.2">
      <c r="A509" s="114">
        <f t="shared" si="56"/>
        <v>292</v>
      </c>
      <c r="B509" s="2">
        <f>Pro_Forma!$S$21/12*(1+Pro_Forma!$S$22)^ROUNDDOWN((A509-1)/12,0)</f>
        <v>0</v>
      </c>
    </row>
    <row r="510" spans="1:2" x14ac:dyDescent="0.2">
      <c r="A510" s="114">
        <f t="shared" si="56"/>
        <v>293</v>
      </c>
      <c r="B510" s="2">
        <f>Pro_Forma!$S$21/12*(1+Pro_Forma!$S$22)^ROUNDDOWN((A510-1)/12,0)</f>
        <v>0</v>
      </c>
    </row>
    <row r="511" spans="1:2" x14ac:dyDescent="0.2">
      <c r="A511" s="114">
        <f t="shared" si="56"/>
        <v>294</v>
      </c>
      <c r="B511" s="2">
        <f>Pro_Forma!$S$21/12*(1+Pro_Forma!$S$22)^ROUNDDOWN((A511-1)/12,0)</f>
        <v>0</v>
      </c>
    </row>
    <row r="512" spans="1:2" x14ac:dyDescent="0.2">
      <c r="A512" s="114">
        <f t="shared" si="56"/>
        <v>295</v>
      </c>
      <c r="B512" s="2">
        <f>Pro_Forma!$S$21/12*(1+Pro_Forma!$S$22)^ROUNDDOWN((A512-1)/12,0)</f>
        <v>0</v>
      </c>
    </row>
    <row r="513" spans="1:2" x14ac:dyDescent="0.2">
      <c r="A513" s="114">
        <f t="shared" si="56"/>
        <v>296</v>
      </c>
      <c r="B513" s="2">
        <f>Pro_Forma!$S$21/12*(1+Pro_Forma!$S$22)^ROUNDDOWN((A513-1)/12,0)</f>
        <v>0</v>
      </c>
    </row>
    <row r="514" spans="1:2" x14ac:dyDescent="0.2">
      <c r="A514" s="114">
        <f t="shared" si="56"/>
        <v>297</v>
      </c>
      <c r="B514" s="2">
        <f>Pro_Forma!$S$21/12*(1+Pro_Forma!$S$22)^ROUNDDOWN((A514-1)/12,0)</f>
        <v>0</v>
      </c>
    </row>
    <row r="515" spans="1:2" x14ac:dyDescent="0.2">
      <c r="A515" s="114">
        <f t="shared" si="56"/>
        <v>298</v>
      </c>
      <c r="B515" s="2">
        <f>Pro_Forma!$S$21/12*(1+Pro_Forma!$S$22)^ROUNDDOWN((A515-1)/12,0)</f>
        <v>0</v>
      </c>
    </row>
    <row r="516" spans="1:2" x14ac:dyDescent="0.2">
      <c r="A516" s="114">
        <f t="shared" si="56"/>
        <v>299</v>
      </c>
      <c r="B516" s="2">
        <f>Pro_Forma!$S$21/12*(1+Pro_Forma!$S$22)^ROUNDDOWN((A516-1)/12,0)</f>
        <v>0</v>
      </c>
    </row>
    <row r="517" spans="1:2" x14ac:dyDescent="0.2">
      <c r="A517" s="114">
        <f t="shared" si="56"/>
        <v>300</v>
      </c>
      <c r="B517" s="2">
        <f>Pro_Forma!$S$21/12*(1+Pro_Forma!$S$22)^ROUNDDOWN((A517-1)/12,0)</f>
        <v>0</v>
      </c>
    </row>
    <row r="518" spans="1:2" x14ac:dyDescent="0.2">
      <c r="A518" s="114">
        <f t="shared" si="56"/>
        <v>301</v>
      </c>
      <c r="B518" s="2">
        <f>Pro_Forma!$S$21/12*(1+Pro_Forma!$S$22)^ROUNDDOWN((A518-1)/12,0)</f>
        <v>0</v>
      </c>
    </row>
    <row r="519" spans="1:2" x14ac:dyDescent="0.2">
      <c r="A519" s="114">
        <f t="shared" si="56"/>
        <v>302</v>
      </c>
      <c r="B519" s="2">
        <f>Pro_Forma!$S$21/12*(1+Pro_Forma!$S$22)^ROUNDDOWN((A519-1)/12,0)</f>
        <v>0</v>
      </c>
    </row>
    <row r="520" spans="1:2" x14ac:dyDescent="0.2">
      <c r="A520" s="114">
        <f t="shared" si="56"/>
        <v>303</v>
      </c>
      <c r="B520" s="2">
        <f>Pro_Forma!$S$21/12*(1+Pro_Forma!$S$22)^ROUNDDOWN((A520-1)/12,0)</f>
        <v>0</v>
      </c>
    </row>
    <row r="521" spans="1:2" x14ac:dyDescent="0.2">
      <c r="A521" s="114">
        <f t="shared" si="56"/>
        <v>304</v>
      </c>
      <c r="B521" s="2">
        <f>Pro_Forma!$S$21/12*(1+Pro_Forma!$S$22)^ROUNDDOWN((A521-1)/12,0)</f>
        <v>0</v>
      </c>
    </row>
    <row r="522" spans="1:2" x14ac:dyDescent="0.2">
      <c r="A522" s="114">
        <f t="shared" si="56"/>
        <v>305</v>
      </c>
      <c r="B522" s="2">
        <f>Pro_Forma!$S$21/12*(1+Pro_Forma!$S$22)^ROUNDDOWN((A522-1)/12,0)</f>
        <v>0</v>
      </c>
    </row>
    <row r="523" spans="1:2" x14ac:dyDescent="0.2">
      <c r="A523" s="114">
        <f t="shared" si="56"/>
        <v>306</v>
      </c>
      <c r="B523" s="2">
        <f>Pro_Forma!$S$21/12*(1+Pro_Forma!$S$22)^ROUNDDOWN((A523-1)/12,0)</f>
        <v>0</v>
      </c>
    </row>
    <row r="524" spans="1:2" x14ac:dyDescent="0.2">
      <c r="A524" s="114">
        <f t="shared" si="56"/>
        <v>307</v>
      </c>
      <c r="B524" s="2">
        <f>Pro_Forma!$S$21/12*(1+Pro_Forma!$S$22)^ROUNDDOWN((A524-1)/12,0)</f>
        <v>0</v>
      </c>
    </row>
    <row r="525" spans="1:2" x14ac:dyDescent="0.2">
      <c r="A525" s="114">
        <f t="shared" si="56"/>
        <v>308</v>
      </c>
      <c r="B525" s="2">
        <f>Pro_Forma!$S$21/12*(1+Pro_Forma!$S$22)^ROUNDDOWN((A525-1)/12,0)</f>
        <v>0</v>
      </c>
    </row>
    <row r="526" spans="1:2" x14ac:dyDescent="0.2">
      <c r="A526" s="114">
        <f t="shared" si="56"/>
        <v>309</v>
      </c>
      <c r="B526" s="2">
        <f>Pro_Forma!$S$21/12*(1+Pro_Forma!$S$22)^ROUNDDOWN((A526-1)/12,0)</f>
        <v>0</v>
      </c>
    </row>
    <row r="527" spans="1:2" x14ac:dyDescent="0.2">
      <c r="A527" s="114">
        <f t="shared" si="56"/>
        <v>310</v>
      </c>
      <c r="B527" s="2">
        <f>Pro_Forma!$S$21/12*(1+Pro_Forma!$S$22)^ROUNDDOWN((A527-1)/12,0)</f>
        <v>0</v>
      </c>
    </row>
    <row r="528" spans="1:2" x14ac:dyDescent="0.2">
      <c r="A528" s="114">
        <f t="shared" si="56"/>
        <v>311</v>
      </c>
      <c r="B528" s="2">
        <f>Pro_Forma!$S$21/12*(1+Pro_Forma!$S$22)^ROUNDDOWN((A528-1)/12,0)</f>
        <v>0</v>
      </c>
    </row>
    <row r="529" spans="1:2" x14ac:dyDescent="0.2">
      <c r="A529" s="114">
        <f t="shared" si="56"/>
        <v>312</v>
      </c>
      <c r="B529" s="2">
        <f>Pro_Forma!$S$21/12*(1+Pro_Forma!$S$22)^ROUNDDOWN((A529-1)/12,0)</f>
        <v>0</v>
      </c>
    </row>
    <row r="530" spans="1:2" x14ac:dyDescent="0.2">
      <c r="A530" s="114">
        <f t="shared" si="56"/>
        <v>313</v>
      </c>
      <c r="B530" s="2">
        <f>Pro_Forma!$S$21/12*(1+Pro_Forma!$S$22)^ROUNDDOWN((A530-1)/12,0)</f>
        <v>0</v>
      </c>
    </row>
    <row r="531" spans="1:2" x14ac:dyDescent="0.2">
      <c r="A531" s="114">
        <f t="shared" si="56"/>
        <v>314</v>
      </c>
      <c r="B531" s="2">
        <f>Pro_Forma!$S$21/12*(1+Pro_Forma!$S$22)^ROUNDDOWN((A531-1)/12,0)</f>
        <v>0</v>
      </c>
    </row>
    <row r="532" spans="1:2" x14ac:dyDescent="0.2">
      <c r="A532" s="114">
        <f t="shared" si="56"/>
        <v>315</v>
      </c>
      <c r="B532" s="2">
        <f>Pro_Forma!$S$21/12*(1+Pro_Forma!$S$22)^ROUNDDOWN((A532-1)/12,0)</f>
        <v>0</v>
      </c>
    </row>
    <row r="533" spans="1:2" x14ac:dyDescent="0.2">
      <c r="A533" s="114">
        <f t="shared" si="56"/>
        <v>316</v>
      </c>
      <c r="B533" s="2">
        <f>Pro_Forma!$S$21/12*(1+Pro_Forma!$S$22)^ROUNDDOWN((A533-1)/12,0)</f>
        <v>0</v>
      </c>
    </row>
    <row r="534" spans="1:2" x14ac:dyDescent="0.2">
      <c r="A534" s="114">
        <f t="shared" si="56"/>
        <v>317</v>
      </c>
      <c r="B534" s="2">
        <f>Pro_Forma!$S$21/12*(1+Pro_Forma!$S$22)^ROUNDDOWN((A534-1)/12,0)</f>
        <v>0</v>
      </c>
    </row>
    <row r="535" spans="1:2" x14ac:dyDescent="0.2">
      <c r="A535" s="114">
        <f t="shared" si="56"/>
        <v>318</v>
      </c>
      <c r="B535" s="2">
        <f>Pro_Forma!$S$21/12*(1+Pro_Forma!$S$22)^ROUNDDOWN((A535-1)/12,0)</f>
        <v>0</v>
      </c>
    </row>
    <row r="536" spans="1:2" x14ac:dyDescent="0.2">
      <c r="A536" s="114">
        <f t="shared" si="56"/>
        <v>319</v>
      </c>
      <c r="B536" s="2">
        <f>Pro_Forma!$S$21/12*(1+Pro_Forma!$S$22)^ROUNDDOWN((A536-1)/12,0)</f>
        <v>0</v>
      </c>
    </row>
    <row r="537" spans="1:2" x14ac:dyDescent="0.2">
      <c r="A537" s="114">
        <f t="shared" si="56"/>
        <v>320</v>
      </c>
      <c r="B537" s="2">
        <f>Pro_Forma!$S$21/12*(1+Pro_Forma!$S$22)^ROUNDDOWN((A537-1)/12,0)</f>
        <v>0</v>
      </c>
    </row>
    <row r="538" spans="1:2" x14ac:dyDescent="0.2">
      <c r="A538" s="114">
        <f t="shared" si="56"/>
        <v>321</v>
      </c>
      <c r="B538" s="2">
        <f>Pro_Forma!$S$21/12*(1+Pro_Forma!$S$22)^ROUNDDOWN((A538-1)/12,0)</f>
        <v>0</v>
      </c>
    </row>
    <row r="539" spans="1:2" x14ac:dyDescent="0.2">
      <c r="A539" s="114">
        <f t="shared" si="56"/>
        <v>322</v>
      </c>
      <c r="B539" s="2">
        <f>Pro_Forma!$S$21/12*(1+Pro_Forma!$S$22)^ROUNDDOWN((A539-1)/12,0)</f>
        <v>0</v>
      </c>
    </row>
    <row r="540" spans="1:2" x14ac:dyDescent="0.2">
      <c r="A540" s="114">
        <f t="shared" ref="A540:A603" si="57">1+A539</f>
        <v>323</v>
      </c>
      <c r="B540" s="2">
        <f>Pro_Forma!$S$21/12*(1+Pro_Forma!$S$22)^ROUNDDOWN((A540-1)/12,0)</f>
        <v>0</v>
      </c>
    </row>
    <row r="541" spans="1:2" x14ac:dyDescent="0.2">
      <c r="A541" s="114">
        <f t="shared" si="57"/>
        <v>324</v>
      </c>
      <c r="B541" s="2">
        <f>Pro_Forma!$S$21/12*(1+Pro_Forma!$S$22)^ROUNDDOWN((A541-1)/12,0)</f>
        <v>0</v>
      </c>
    </row>
    <row r="542" spans="1:2" x14ac:dyDescent="0.2">
      <c r="A542" s="114">
        <f t="shared" si="57"/>
        <v>325</v>
      </c>
      <c r="B542" s="2">
        <f>Pro_Forma!$S$21/12*(1+Pro_Forma!$S$22)^ROUNDDOWN((A542-1)/12,0)</f>
        <v>0</v>
      </c>
    </row>
    <row r="543" spans="1:2" x14ac:dyDescent="0.2">
      <c r="A543" s="114">
        <f t="shared" si="57"/>
        <v>326</v>
      </c>
      <c r="B543" s="2">
        <f>Pro_Forma!$S$21/12*(1+Pro_Forma!$S$22)^ROUNDDOWN((A543-1)/12,0)</f>
        <v>0</v>
      </c>
    </row>
    <row r="544" spans="1:2" x14ac:dyDescent="0.2">
      <c r="A544" s="114">
        <f t="shared" si="57"/>
        <v>327</v>
      </c>
      <c r="B544" s="2">
        <f>Pro_Forma!$S$21/12*(1+Pro_Forma!$S$22)^ROUNDDOWN((A544-1)/12,0)</f>
        <v>0</v>
      </c>
    </row>
    <row r="545" spans="1:2" x14ac:dyDescent="0.2">
      <c r="A545" s="114">
        <f t="shared" si="57"/>
        <v>328</v>
      </c>
      <c r="B545" s="2">
        <f>Pro_Forma!$S$21/12*(1+Pro_Forma!$S$22)^ROUNDDOWN((A545-1)/12,0)</f>
        <v>0</v>
      </c>
    </row>
    <row r="546" spans="1:2" x14ac:dyDescent="0.2">
      <c r="A546" s="114">
        <f t="shared" si="57"/>
        <v>329</v>
      </c>
      <c r="B546" s="2">
        <f>Pro_Forma!$S$21/12*(1+Pro_Forma!$S$22)^ROUNDDOWN((A546-1)/12,0)</f>
        <v>0</v>
      </c>
    </row>
    <row r="547" spans="1:2" x14ac:dyDescent="0.2">
      <c r="A547" s="114">
        <f t="shared" si="57"/>
        <v>330</v>
      </c>
      <c r="B547" s="2">
        <f>Pro_Forma!$S$21/12*(1+Pro_Forma!$S$22)^ROUNDDOWN((A547-1)/12,0)</f>
        <v>0</v>
      </c>
    </row>
    <row r="548" spans="1:2" x14ac:dyDescent="0.2">
      <c r="A548" s="114">
        <f t="shared" si="57"/>
        <v>331</v>
      </c>
      <c r="B548" s="2">
        <f>Pro_Forma!$S$21/12*(1+Pro_Forma!$S$22)^ROUNDDOWN((A548-1)/12,0)</f>
        <v>0</v>
      </c>
    </row>
    <row r="549" spans="1:2" x14ac:dyDescent="0.2">
      <c r="A549" s="114">
        <f t="shared" si="57"/>
        <v>332</v>
      </c>
      <c r="B549" s="2">
        <f>Pro_Forma!$S$21/12*(1+Pro_Forma!$S$22)^ROUNDDOWN((A549-1)/12,0)</f>
        <v>0</v>
      </c>
    </row>
    <row r="550" spans="1:2" x14ac:dyDescent="0.2">
      <c r="A550" s="114">
        <f t="shared" si="57"/>
        <v>333</v>
      </c>
      <c r="B550" s="2">
        <f>Pro_Forma!$S$21/12*(1+Pro_Forma!$S$22)^ROUNDDOWN((A550-1)/12,0)</f>
        <v>0</v>
      </c>
    </row>
    <row r="551" spans="1:2" x14ac:dyDescent="0.2">
      <c r="A551" s="114">
        <f t="shared" si="57"/>
        <v>334</v>
      </c>
      <c r="B551" s="2">
        <f>Pro_Forma!$S$21/12*(1+Pro_Forma!$S$22)^ROUNDDOWN((A551-1)/12,0)</f>
        <v>0</v>
      </c>
    </row>
    <row r="552" spans="1:2" x14ac:dyDescent="0.2">
      <c r="A552" s="114">
        <f t="shared" si="57"/>
        <v>335</v>
      </c>
      <c r="B552" s="2">
        <f>Pro_Forma!$S$21/12*(1+Pro_Forma!$S$22)^ROUNDDOWN((A552-1)/12,0)</f>
        <v>0</v>
      </c>
    </row>
    <row r="553" spans="1:2" x14ac:dyDescent="0.2">
      <c r="A553" s="114">
        <f t="shared" si="57"/>
        <v>336</v>
      </c>
      <c r="B553" s="2">
        <f>Pro_Forma!$S$21/12*(1+Pro_Forma!$S$22)^ROUNDDOWN((A553-1)/12,0)</f>
        <v>0</v>
      </c>
    </row>
    <row r="554" spans="1:2" x14ac:dyDescent="0.2">
      <c r="A554" s="114">
        <f t="shared" si="57"/>
        <v>337</v>
      </c>
      <c r="B554" s="2">
        <f>Pro_Forma!$S$21/12*(1+Pro_Forma!$S$22)^ROUNDDOWN((A554-1)/12,0)</f>
        <v>0</v>
      </c>
    </row>
    <row r="555" spans="1:2" x14ac:dyDescent="0.2">
      <c r="A555" s="114">
        <f t="shared" si="57"/>
        <v>338</v>
      </c>
      <c r="B555" s="2">
        <f>Pro_Forma!$S$21/12*(1+Pro_Forma!$S$22)^ROUNDDOWN((A555-1)/12,0)</f>
        <v>0</v>
      </c>
    </row>
    <row r="556" spans="1:2" x14ac:dyDescent="0.2">
      <c r="A556" s="114">
        <f t="shared" si="57"/>
        <v>339</v>
      </c>
      <c r="B556" s="2">
        <f>Pro_Forma!$S$21/12*(1+Pro_Forma!$S$22)^ROUNDDOWN((A556-1)/12,0)</f>
        <v>0</v>
      </c>
    </row>
    <row r="557" spans="1:2" x14ac:dyDescent="0.2">
      <c r="A557" s="114">
        <f t="shared" si="57"/>
        <v>340</v>
      </c>
      <c r="B557" s="2">
        <f>Pro_Forma!$S$21/12*(1+Pro_Forma!$S$22)^ROUNDDOWN((A557-1)/12,0)</f>
        <v>0</v>
      </c>
    </row>
    <row r="558" spans="1:2" x14ac:dyDescent="0.2">
      <c r="A558" s="114">
        <f t="shared" si="57"/>
        <v>341</v>
      </c>
      <c r="B558" s="2">
        <f>Pro_Forma!$S$21/12*(1+Pro_Forma!$S$22)^ROUNDDOWN((A558-1)/12,0)</f>
        <v>0</v>
      </c>
    </row>
    <row r="559" spans="1:2" x14ac:dyDescent="0.2">
      <c r="A559" s="114">
        <f t="shared" si="57"/>
        <v>342</v>
      </c>
      <c r="B559" s="2">
        <f>Pro_Forma!$S$21/12*(1+Pro_Forma!$S$22)^ROUNDDOWN((A559-1)/12,0)</f>
        <v>0</v>
      </c>
    </row>
    <row r="560" spans="1:2" x14ac:dyDescent="0.2">
      <c r="A560" s="114">
        <f t="shared" si="57"/>
        <v>343</v>
      </c>
      <c r="B560" s="2">
        <f>Pro_Forma!$S$21/12*(1+Pro_Forma!$S$22)^ROUNDDOWN((A560-1)/12,0)</f>
        <v>0</v>
      </c>
    </row>
    <row r="561" spans="1:2" x14ac:dyDescent="0.2">
      <c r="A561" s="114">
        <f t="shared" si="57"/>
        <v>344</v>
      </c>
      <c r="B561" s="2">
        <f>Pro_Forma!$S$21/12*(1+Pro_Forma!$S$22)^ROUNDDOWN((A561-1)/12,0)</f>
        <v>0</v>
      </c>
    </row>
    <row r="562" spans="1:2" x14ac:dyDescent="0.2">
      <c r="A562" s="114">
        <f t="shared" si="57"/>
        <v>345</v>
      </c>
      <c r="B562" s="2">
        <f>Pro_Forma!$S$21/12*(1+Pro_Forma!$S$22)^ROUNDDOWN((A562-1)/12,0)</f>
        <v>0</v>
      </c>
    </row>
    <row r="563" spans="1:2" x14ac:dyDescent="0.2">
      <c r="A563" s="114">
        <f t="shared" si="57"/>
        <v>346</v>
      </c>
      <c r="B563" s="2">
        <f>Pro_Forma!$S$21/12*(1+Pro_Forma!$S$22)^ROUNDDOWN((A563-1)/12,0)</f>
        <v>0</v>
      </c>
    </row>
    <row r="564" spans="1:2" x14ac:dyDescent="0.2">
      <c r="A564" s="114">
        <f t="shared" si="57"/>
        <v>347</v>
      </c>
      <c r="B564" s="2">
        <f>Pro_Forma!$S$21/12*(1+Pro_Forma!$S$22)^ROUNDDOWN((A564-1)/12,0)</f>
        <v>0</v>
      </c>
    </row>
    <row r="565" spans="1:2" x14ac:dyDescent="0.2">
      <c r="A565" s="114">
        <f t="shared" si="57"/>
        <v>348</v>
      </c>
      <c r="B565" s="2">
        <f>Pro_Forma!$S$21/12*(1+Pro_Forma!$S$22)^ROUNDDOWN((A565-1)/12,0)</f>
        <v>0</v>
      </c>
    </row>
    <row r="566" spans="1:2" x14ac:dyDescent="0.2">
      <c r="A566" s="114">
        <f t="shared" si="57"/>
        <v>349</v>
      </c>
      <c r="B566" s="2">
        <f>Pro_Forma!$S$21/12*(1+Pro_Forma!$S$22)^ROUNDDOWN((A566-1)/12,0)</f>
        <v>0</v>
      </c>
    </row>
    <row r="567" spans="1:2" x14ac:dyDescent="0.2">
      <c r="A567" s="114">
        <f t="shared" si="57"/>
        <v>350</v>
      </c>
      <c r="B567" s="2">
        <f>Pro_Forma!$S$21/12*(1+Pro_Forma!$S$22)^ROUNDDOWN((A567-1)/12,0)</f>
        <v>0</v>
      </c>
    </row>
    <row r="568" spans="1:2" x14ac:dyDescent="0.2">
      <c r="A568" s="114">
        <f t="shared" si="57"/>
        <v>351</v>
      </c>
      <c r="B568" s="2">
        <f>Pro_Forma!$S$21/12*(1+Pro_Forma!$S$22)^ROUNDDOWN((A568-1)/12,0)</f>
        <v>0</v>
      </c>
    </row>
    <row r="569" spans="1:2" x14ac:dyDescent="0.2">
      <c r="A569" s="114">
        <f t="shared" si="57"/>
        <v>352</v>
      </c>
      <c r="B569" s="2">
        <f>Pro_Forma!$S$21/12*(1+Pro_Forma!$S$22)^ROUNDDOWN((A569-1)/12,0)</f>
        <v>0</v>
      </c>
    </row>
    <row r="570" spans="1:2" x14ac:dyDescent="0.2">
      <c r="A570" s="114">
        <f t="shared" si="57"/>
        <v>353</v>
      </c>
      <c r="B570" s="2">
        <f>Pro_Forma!$S$21/12*(1+Pro_Forma!$S$22)^ROUNDDOWN((A570-1)/12,0)</f>
        <v>0</v>
      </c>
    </row>
    <row r="571" spans="1:2" x14ac:dyDescent="0.2">
      <c r="A571" s="114">
        <f t="shared" si="57"/>
        <v>354</v>
      </c>
      <c r="B571" s="2">
        <f>Pro_Forma!$S$21/12*(1+Pro_Forma!$S$22)^ROUNDDOWN((A571-1)/12,0)</f>
        <v>0</v>
      </c>
    </row>
    <row r="572" spans="1:2" x14ac:dyDescent="0.2">
      <c r="A572" s="114">
        <f t="shared" si="57"/>
        <v>355</v>
      </c>
      <c r="B572" s="2">
        <f>Pro_Forma!$S$21/12*(1+Pro_Forma!$S$22)^ROUNDDOWN((A572-1)/12,0)</f>
        <v>0</v>
      </c>
    </row>
    <row r="573" spans="1:2" x14ac:dyDescent="0.2">
      <c r="A573" s="114">
        <f t="shared" si="57"/>
        <v>356</v>
      </c>
      <c r="B573" s="2">
        <f>Pro_Forma!$S$21/12*(1+Pro_Forma!$S$22)^ROUNDDOWN((A573-1)/12,0)</f>
        <v>0</v>
      </c>
    </row>
    <row r="574" spans="1:2" x14ac:dyDescent="0.2">
      <c r="A574" s="114">
        <f t="shared" si="57"/>
        <v>357</v>
      </c>
      <c r="B574" s="2">
        <f>Pro_Forma!$S$21/12*(1+Pro_Forma!$S$22)^ROUNDDOWN((A574-1)/12,0)</f>
        <v>0</v>
      </c>
    </row>
    <row r="575" spans="1:2" x14ac:dyDescent="0.2">
      <c r="A575" s="114">
        <f t="shared" si="57"/>
        <v>358</v>
      </c>
      <c r="B575" s="2">
        <f>Pro_Forma!$S$21/12*(1+Pro_Forma!$S$22)^ROUNDDOWN((A575-1)/12,0)</f>
        <v>0</v>
      </c>
    </row>
    <row r="576" spans="1:2" x14ac:dyDescent="0.2">
      <c r="A576" s="114">
        <f t="shared" si="57"/>
        <v>359</v>
      </c>
      <c r="B576" s="2">
        <f>Pro_Forma!$S$21/12*(1+Pro_Forma!$S$22)^ROUNDDOWN((A576-1)/12,0)</f>
        <v>0</v>
      </c>
    </row>
    <row r="577" spans="1:2" x14ac:dyDescent="0.2">
      <c r="A577" s="114">
        <f t="shared" si="57"/>
        <v>360</v>
      </c>
      <c r="B577" s="2">
        <f>Pro_Forma!$S$21/12*(1+Pro_Forma!$S$22)^ROUNDDOWN((A577-1)/12,0)</f>
        <v>0</v>
      </c>
    </row>
    <row r="578" spans="1:2" x14ac:dyDescent="0.2">
      <c r="A578" s="114">
        <f t="shared" si="57"/>
        <v>361</v>
      </c>
      <c r="B578" s="2">
        <f>Pro_Forma!$S$21/12*(1+Pro_Forma!$S$22)^ROUNDDOWN((A578-1)/12,0)</f>
        <v>0</v>
      </c>
    </row>
    <row r="579" spans="1:2" x14ac:dyDescent="0.2">
      <c r="A579" s="114">
        <f t="shared" si="57"/>
        <v>362</v>
      </c>
      <c r="B579" s="2">
        <f>Pro_Forma!$S$21/12*(1+Pro_Forma!$S$22)^ROUNDDOWN((A579-1)/12,0)</f>
        <v>0</v>
      </c>
    </row>
    <row r="580" spans="1:2" x14ac:dyDescent="0.2">
      <c r="A580" s="114">
        <f t="shared" si="57"/>
        <v>363</v>
      </c>
      <c r="B580" s="2">
        <f>Pro_Forma!$S$21/12*(1+Pro_Forma!$S$22)^ROUNDDOWN((A580-1)/12,0)</f>
        <v>0</v>
      </c>
    </row>
    <row r="581" spans="1:2" x14ac:dyDescent="0.2">
      <c r="A581" s="114">
        <f t="shared" si="57"/>
        <v>364</v>
      </c>
      <c r="B581" s="2">
        <f>Pro_Forma!$S$21/12*(1+Pro_Forma!$S$22)^ROUNDDOWN((A581-1)/12,0)</f>
        <v>0</v>
      </c>
    </row>
    <row r="582" spans="1:2" x14ac:dyDescent="0.2">
      <c r="A582" s="114">
        <f t="shared" si="57"/>
        <v>365</v>
      </c>
      <c r="B582" s="2">
        <f>Pro_Forma!$S$21/12*(1+Pro_Forma!$S$22)^ROUNDDOWN((A582-1)/12,0)</f>
        <v>0</v>
      </c>
    </row>
    <row r="583" spans="1:2" x14ac:dyDescent="0.2">
      <c r="A583" s="114">
        <f t="shared" si="57"/>
        <v>366</v>
      </c>
      <c r="B583" s="2">
        <f>Pro_Forma!$S$21/12*(1+Pro_Forma!$S$22)^ROUNDDOWN((A583-1)/12,0)</f>
        <v>0</v>
      </c>
    </row>
    <row r="584" spans="1:2" x14ac:dyDescent="0.2">
      <c r="A584" s="114">
        <f t="shared" si="57"/>
        <v>367</v>
      </c>
      <c r="B584" s="2">
        <f>Pro_Forma!$S$21/12*(1+Pro_Forma!$S$22)^ROUNDDOWN((A584-1)/12,0)</f>
        <v>0</v>
      </c>
    </row>
    <row r="585" spans="1:2" x14ac:dyDescent="0.2">
      <c r="A585" s="114">
        <f t="shared" si="57"/>
        <v>368</v>
      </c>
      <c r="B585" s="2">
        <f>Pro_Forma!$S$21/12*(1+Pro_Forma!$S$22)^ROUNDDOWN((A585-1)/12,0)</f>
        <v>0</v>
      </c>
    </row>
    <row r="586" spans="1:2" x14ac:dyDescent="0.2">
      <c r="A586" s="114">
        <f t="shared" si="57"/>
        <v>369</v>
      </c>
      <c r="B586" s="2">
        <f>Pro_Forma!$S$21/12*(1+Pro_Forma!$S$22)^ROUNDDOWN((A586-1)/12,0)</f>
        <v>0</v>
      </c>
    </row>
    <row r="587" spans="1:2" x14ac:dyDescent="0.2">
      <c r="A587" s="114">
        <f t="shared" si="57"/>
        <v>370</v>
      </c>
      <c r="B587" s="2">
        <f>Pro_Forma!$S$21/12*(1+Pro_Forma!$S$22)^ROUNDDOWN((A587-1)/12,0)</f>
        <v>0</v>
      </c>
    </row>
    <row r="588" spans="1:2" x14ac:dyDescent="0.2">
      <c r="A588" s="114">
        <f t="shared" si="57"/>
        <v>371</v>
      </c>
      <c r="B588" s="2">
        <f>Pro_Forma!$S$21/12*(1+Pro_Forma!$S$22)^ROUNDDOWN((A588-1)/12,0)</f>
        <v>0</v>
      </c>
    </row>
    <row r="589" spans="1:2" x14ac:dyDescent="0.2">
      <c r="A589" s="114">
        <f t="shared" si="57"/>
        <v>372</v>
      </c>
      <c r="B589" s="2">
        <f>Pro_Forma!$S$21/12*(1+Pro_Forma!$S$22)^ROUNDDOWN((A589-1)/12,0)</f>
        <v>0</v>
      </c>
    </row>
    <row r="590" spans="1:2" x14ac:dyDescent="0.2">
      <c r="A590" s="114">
        <f t="shared" si="57"/>
        <v>373</v>
      </c>
      <c r="B590" s="2">
        <f>Pro_Forma!$S$21/12*(1+Pro_Forma!$S$22)^ROUNDDOWN((A590-1)/12,0)</f>
        <v>0</v>
      </c>
    </row>
    <row r="591" spans="1:2" x14ac:dyDescent="0.2">
      <c r="A591" s="114">
        <f t="shared" si="57"/>
        <v>374</v>
      </c>
      <c r="B591" s="2">
        <f>Pro_Forma!$S$21/12*(1+Pro_Forma!$S$22)^ROUNDDOWN((A591-1)/12,0)</f>
        <v>0</v>
      </c>
    </row>
    <row r="592" spans="1:2" x14ac:dyDescent="0.2">
      <c r="A592" s="114">
        <f t="shared" si="57"/>
        <v>375</v>
      </c>
      <c r="B592" s="2">
        <f>Pro_Forma!$S$21/12*(1+Pro_Forma!$S$22)^ROUNDDOWN((A592-1)/12,0)</f>
        <v>0</v>
      </c>
    </row>
    <row r="593" spans="1:2" x14ac:dyDescent="0.2">
      <c r="A593" s="114">
        <f t="shared" si="57"/>
        <v>376</v>
      </c>
      <c r="B593" s="2">
        <f>Pro_Forma!$S$21/12*(1+Pro_Forma!$S$22)^ROUNDDOWN((A593-1)/12,0)</f>
        <v>0</v>
      </c>
    </row>
    <row r="594" spans="1:2" x14ac:dyDescent="0.2">
      <c r="A594" s="114">
        <f t="shared" si="57"/>
        <v>377</v>
      </c>
      <c r="B594" s="2">
        <f>Pro_Forma!$S$21/12*(1+Pro_Forma!$S$22)^ROUNDDOWN((A594-1)/12,0)</f>
        <v>0</v>
      </c>
    </row>
    <row r="595" spans="1:2" x14ac:dyDescent="0.2">
      <c r="A595" s="114">
        <f t="shared" si="57"/>
        <v>378</v>
      </c>
      <c r="B595" s="2">
        <f>Pro_Forma!$S$21/12*(1+Pro_Forma!$S$22)^ROUNDDOWN((A595-1)/12,0)</f>
        <v>0</v>
      </c>
    </row>
    <row r="596" spans="1:2" x14ac:dyDescent="0.2">
      <c r="A596" s="114">
        <f t="shared" si="57"/>
        <v>379</v>
      </c>
      <c r="B596" s="2">
        <f>Pro_Forma!$S$21/12*(1+Pro_Forma!$S$22)^ROUNDDOWN((A596-1)/12,0)</f>
        <v>0</v>
      </c>
    </row>
    <row r="597" spans="1:2" x14ac:dyDescent="0.2">
      <c r="A597" s="114">
        <f t="shared" si="57"/>
        <v>380</v>
      </c>
      <c r="B597" s="2">
        <f>Pro_Forma!$S$21/12*(1+Pro_Forma!$S$22)^ROUNDDOWN((A597-1)/12,0)</f>
        <v>0</v>
      </c>
    </row>
    <row r="598" spans="1:2" x14ac:dyDescent="0.2">
      <c r="A598" s="114">
        <f t="shared" si="57"/>
        <v>381</v>
      </c>
      <c r="B598" s="2">
        <f>Pro_Forma!$S$21/12*(1+Pro_Forma!$S$22)^ROUNDDOWN((A598-1)/12,0)</f>
        <v>0</v>
      </c>
    </row>
    <row r="599" spans="1:2" x14ac:dyDescent="0.2">
      <c r="A599" s="114">
        <f t="shared" si="57"/>
        <v>382</v>
      </c>
      <c r="B599" s="2">
        <f>Pro_Forma!$S$21/12*(1+Pro_Forma!$S$22)^ROUNDDOWN((A599-1)/12,0)</f>
        <v>0</v>
      </c>
    </row>
    <row r="600" spans="1:2" x14ac:dyDescent="0.2">
      <c r="A600" s="114">
        <f t="shared" si="57"/>
        <v>383</v>
      </c>
      <c r="B600" s="2">
        <f>Pro_Forma!$S$21/12*(1+Pro_Forma!$S$22)^ROUNDDOWN((A600-1)/12,0)</f>
        <v>0</v>
      </c>
    </row>
    <row r="601" spans="1:2" x14ac:dyDescent="0.2">
      <c r="A601" s="114">
        <f t="shared" si="57"/>
        <v>384</v>
      </c>
      <c r="B601" s="2">
        <f>Pro_Forma!$S$21/12*(1+Pro_Forma!$S$22)^ROUNDDOWN((A601-1)/12,0)</f>
        <v>0</v>
      </c>
    </row>
    <row r="602" spans="1:2" x14ac:dyDescent="0.2">
      <c r="A602" s="114">
        <f t="shared" si="57"/>
        <v>385</v>
      </c>
      <c r="B602" s="2">
        <f>Pro_Forma!$S$21/12*(1+Pro_Forma!$S$22)^ROUNDDOWN((A602-1)/12,0)</f>
        <v>0</v>
      </c>
    </row>
    <row r="603" spans="1:2" x14ac:dyDescent="0.2">
      <c r="A603" s="114">
        <f t="shared" si="57"/>
        <v>386</v>
      </c>
      <c r="B603" s="2">
        <f>Pro_Forma!$S$21/12*(1+Pro_Forma!$S$22)^ROUNDDOWN((A603-1)/12,0)</f>
        <v>0</v>
      </c>
    </row>
    <row r="604" spans="1:2" x14ac:dyDescent="0.2">
      <c r="A604" s="114">
        <f t="shared" ref="A604:A661" si="58">1+A603</f>
        <v>387</v>
      </c>
      <c r="B604" s="2">
        <f>Pro_Forma!$S$21/12*(1+Pro_Forma!$S$22)^ROUNDDOWN((A604-1)/12,0)</f>
        <v>0</v>
      </c>
    </row>
    <row r="605" spans="1:2" x14ac:dyDescent="0.2">
      <c r="A605" s="114">
        <f t="shared" si="58"/>
        <v>388</v>
      </c>
      <c r="B605" s="2">
        <f>Pro_Forma!$S$21/12*(1+Pro_Forma!$S$22)^ROUNDDOWN((A605-1)/12,0)</f>
        <v>0</v>
      </c>
    </row>
    <row r="606" spans="1:2" x14ac:dyDescent="0.2">
      <c r="A606" s="114">
        <f t="shared" si="58"/>
        <v>389</v>
      </c>
      <c r="B606" s="2">
        <f>Pro_Forma!$S$21/12*(1+Pro_Forma!$S$22)^ROUNDDOWN((A606-1)/12,0)</f>
        <v>0</v>
      </c>
    </row>
    <row r="607" spans="1:2" x14ac:dyDescent="0.2">
      <c r="A607" s="114">
        <f t="shared" si="58"/>
        <v>390</v>
      </c>
      <c r="B607" s="2">
        <f>Pro_Forma!$S$21/12*(1+Pro_Forma!$S$22)^ROUNDDOWN((A607-1)/12,0)</f>
        <v>0</v>
      </c>
    </row>
    <row r="608" spans="1:2" x14ac:dyDescent="0.2">
      <c r="A608" s="114">
        <f t="shared" si="58"/>
        <v>391</v>
      </c>
      <c r="B608" s="2">
        <f>Pro_Forma!$S$21/12*(1+Pro_Forma!$S$22)^ROUNDDOWN((A608-1)/12,0)</f>
        <v>0</v>
      </c>
    </row>
    <row r="609" spans="1:2" x14ac:dyDescent="0.2">
      <c r="A609" s="114">
        <f t="shared" si="58"/>
        <v>392</v>
      </c>
      <c r="B609" s="2">
        <f>Pro_Forma!$S$21/12*(1+Pro_Forma!$S$22)^ROUNDDOWN((A609-1)/12,0)</f>
        <v>0</v>
      </c>
    </row>
    <row r="610" spans="1:2" x14ac:dyDescent="0.2">
      <c r="A610" s="114">
        <f t="shared" si="58"/>
        <v>393</v>
      </c>
      <c r="B610" s="2">
        <f>Pro_Forma!$S$21/12*(1+Pro_Forma!$S$22)^ROUNDDOWN((A610-1)/12,0)</f>
        <v>0</v>
      </c>
    </row>
    <row r="611" spans="1:2" x14ac:dyDescent="0.2">
      <c r="A611" s="114">
        <f t="shared" si="58"/>
        <v>394</v>
      </c>
      <c r="B611" s="2">
        <f>Pro_Forma!$S$21/12*(1+Pro_Forma!$S$22)^ROUNDDOWN((A611-1)/12,0)</f>
        <v>0</v>
      </c>
    </row>
    <row r="612" spans="1:2" x14ac:dyDescent="0.2">
      <c r="A612" s="114">
        <f t="shared" si="58"/>
        <v>395</v>
      </c>
      <c r="B612" s="2">
        <f>Pro_Forma!$S$21/12*(1+Pro_Forma!$S$22)^ROUNDDOWN((A612-1)/12,0)</f>
        <v>0</v>
      </c>
    </row>
    <row r="613" spans="1:2" x14ac:dyDescent="0.2">
      <c r="A613" s="114">
        <f t="shared" si="58"/>
        <v>396</v>
      </c>
      <c r="B613" s="2">
        <f>Pro_Forma!$S$21/12*(1+Pro_Forma!$S$22)^ROUNDDOWN((A613-1)/12,0)</f>
        <v>0</v>
      </c>
    </row>
    <row r="614" spans="1:2" x14ac:dyDescent="0.2">
      <c r="A614" s="114">
        <f t="shared" si="58"/>
        <v>397</v>
      </c>
      <c r="B614" s="2">
        <f>Pro_Forma!$S$21/12*(1+Pro_Forma!$S$22)^ROUNDDOWN((A614-1)/12,0)</f>
        <v>0</v>
      </c>
    </row>
    <row r="615" spans="1:2" x14ac:dyDescent="0.2">
      <c r="A615" s="114">
        <f t="shared" si="58"/>
        <v>398</v>
      </c>
      <c r="B615" s="2">
        <f>Pro_Forma!$S$21/12*(1+Pro_Forma!$S$22)^ROUNDDOWN((A615-1)/12,0)</f>
        <v>0</v>
      </c>
    </row>
    <row r="616" spans="1:2" x14ac:dyDescent="0.2">
      <c r="A616" s="114">
        <f t="shared" si="58"/>
        <v>399</v>
      </c>
      <c r="B616" s="2">
        <f>Pro_Forma!$S$21/12*(1+Pro_Forma!$S$22)^ROUNDDOWN((A616-1)/12,0)</f>
        <v>0</v>
      </c>
    </row>
    <row r="617" spans="1:2" x14ac:dyDescent="0.2">
      <c r="A617" s="114">
        <f t="shared" si="58"/>
        <v>400</v>
      </c>
      <c r="B617" s="2">
        <f>Pro_Forma!$S$21/12*(1+Pro_Forma!$S$22)^ROUNDDOWN((A617-1)/12,0)</f>
        <v>0</v>
      </c>
    </row>
    <row r="618" spans="1:2" x14ac:dyDescent="0.2">
      <c r="A618" s="114">
        <f t="shared" si="58"/>
        <v>401</v>
      </c>
      <c r="B618" s="2">
        <f>Pro_Forma!$S$21/12*(1+Pro_Forma!$S$22)^ROUNDDOWN((A618-1)/12,0)</f>
        <v>0</v>
      </c>
    </row>
    <row r="619" spans="1:2" x14ac:dyDescent="0.2">
      <c r="A619" s="114">
        <f t="shared" si="58"/>
        <v>402</v>
      </c>
      <c r="B619" s="2">
        <f>Pro_Forma!$S$21/12*(1+Pro_Forma!$S$22)^ROUNDDOWN((A619-1)/12,0)</f>
        <v>0</v>
      </c>
    </row>
    <row r="620" spans="1:2" x14ac:dyDescent="0.2">
      <c r="A620" s="114">
        <f t="shared" si="58"/>
        <v>403</v>
      </c>
      <c r="B620" s="2">
        <f>Pro_Forma!$S$21/12*(1+Pro_Forma!$S$22)^ROUNDDOWN((A620-1)/12,0)</f>
        <v>0</v>
      </c>
    </row>
    <row r="621" spans="1:2" x14ac:dyDescent="0.2">
      <c r="A621" s="114">
        <f t="shared" si="58"/>
        <v>404</v>
      </c>
      <c r="B621" s="2">
        <f>Pro_Forma!$S$21/12*(1+Pro_Forma!$S$22)^ROUNDDOWN((A621-1)/12,0)</f>
        <v>0</v>
      </c>
    </row>
    <row r="622" spans="1:2" x14ac:dyDescent="0.2">
      <c r="A622" s="114">
        <f t="shared" si="58"/>
        <v>405</v>
      </c>
      <c r="B622" s="2">
        <f>Pro_Forma!$S$21/12*(1+Pro_Forma!$S$22)^ROUNDDOWN((A622-1)/12,0)</f>
        <v>0</v>
      </c>
    </row>
    <row r="623" spans="1:2" x14ac:dyDescent="0.2">
      <c r="A623" s="114">
        <f t="shared" si="58"/>
        <v>406</v>
      </c>
      <c r="B623" s="2">
        <f>Pro_Forma!$S$21/12*(1+Pro_Forma!$S$22)^ROUNDDOWN((A623-1)/12,0)</f>
        <v>0</v>
      </c>
    </row>
    <row r="624" spans="1:2" x14ac:dyDescent="0.2">
      <c r="A624" s="114">
        <f t="shared" si="58"/>
        <v>407</v>
      </c>
      <c r="B624" s="2">
        <f>Pro_Forma!$S$21/12*(1+Pro_Forma!$S$22)^ROUNDDOWN((A624-1)/12,0)</f>
        <v>0</v>
      </c>
    </row>
    <row r="625" spans="1:2" x14ac:dyDescent="0.2">
      <c r="A625" s="114">
        <f t="shared" si="58"/>
        <v>408</v>
      </c>
      <c r="B625" s="2">
        <f>Pro_Forma!$S$21/12*(1+Pro_Forma!$S$22)^ROUNDDOWN((A625-1)/12,0)</f>
        <v>0</v>
      </c>
    </row>
    <row r="626" spans="1:2" x14ac:dyDescent="0.2">
      <c r="A626" s="114">
        <f t="shared" si="58"/>
        <v>409</v>
      </c>
      <c r="B626" s="2">
        <f>Pro_Forma!$S$21/12*(1+Pro_Forma!$S$22)^ROUNDDOWN((A626-1)/12,0)</f>
        <v>0</v>
      </c>
    </row>
    <row r="627" spans="1:2" x14ac:dyDescent="0.2">
      <c r="A627" s="114">
        <f t="shared" si="58"/>
        <v>410</v>
      </c>
      <c r="B627" s="2">
        <f>Pro_Forma!$S$21/12*(1+Pro_Forma!$S$22)^ROUNDDOWN((A627-1)/12,0)</f>
        <v>0</v>
      </c>
    </row>
    <row r="628" spans="1:2" x14ac:dyDescent="0.2">
      <c r="A628" s="114">
        <f t="shared" si="58"/>
        <v>411</v>
      </c>
      <c r="B628" s="2">
        <f>Pro_Forma!$S$21/12*(1+Pro_Forma!$S$22)^ROUNDDOWN((A628-1)/12,0)</f>
        <v>0</v>
      </c>
    </row>
    <row r="629" spans="1:2" x14ac:dyDescent="0.2">
      <c r="A629" s="114">
        <f t="shared" si="58"/>
        <v>412</v>
      </c>
      <c r="B629" s="2">
        <f>Pro_Forma!$S$21/12*(1+Pro_Forma!$S$22)^ROUNDDOWN((A629-1)/12,0)</f>
        <v>0</v>
      </c>
    </row>
    <row r="630" spans="1:2" x14ac:dyDescent="0.2">
      <c r="A630" s="114">
        <f t="shared" si="58"/>
        <v>413</v>
      </c>
      <c r="B630" s="2">
        <f>Pro_Forma!$S$21/12*(1+Pro_Forma!$S$22)^ROUNDDOWN((A630-1)/12,0)</f>
        <v>0</v>
      </c>
    </row>
    <row r="631" spans="1:2" x14ac:dyDescent="0.2">
      <c r="A631" s="114">
        <f t="shared" si="58"/>
        <v>414</v>
      </c>
      <c r="B631" s="2">
        <f>Pro_Forma!$S$21/12*(1+Pro_Forma!$S$22)^ROUNDDOWN((A631-1)/12,0)</f>
        <v>0</v>
      </c>
    </row>
    <row r="632" spans="1:2" x14ac:dyDescent="0.2">
      <c r="A632" s="114">
        <f t="shared" si="58"/>
        <v>415</v>
      </c>
      <c r="B632" s="2">
        <f>Pro_Forma!$S$21/12*(1+Pro_Forma!$S$22)^ROUNDDOWN((A632-1)/12,0)</f>
        <v>0</v>
      </c>
    </row>
    <row r="633" spans="1:2" x14ac:dyDescent="0.2">
      <c r="A633" s="114">
        <f t="shared" si="58"/>
        <v>416</v>
      </c>
      <c r="B633" s="2">
        <f>Pro_Forma!$S$21/12*(1+Pro_Forma!$S$22)^ROUNDDOWN((A633-1)/12,0)</f>
        <v>0</v>
      </c>
    </row>
    <row r="634" spans="1:2" x14ac:dyDescent="0.2">
      <c r="A634" s="114">
        <f t="shared" si="58"/>
        <v>417</v>
      </c>
      <c r="B634" s="2">
        <f>Pro_Forma!$S$21/12*(1+Pro_Forma!$S$22)^ROUNDDOWN((A634-1)/12,0)</f>
        <v>0</v>
      </c>
    </row>
    <row r="635" spans="1:2" x14ac:dyDescent="0.2">
      <c r="A635" s="114">
        <f t="shared" si="58"/>
        <v>418</v>
      </c>
      <c r="B635" s="2">
        <f>Pro_Forma!$S$21/12*(1+Pro_Forma!$S$22)^ROUNDDOWN((A635-1)/12,0)</f>
        <v>0</v>
      </c>
    </row>
    <row r="636" spans="1:2" x14ac:dyDescent="0.2">
      <c r="A636" s="114">
        <f t="shared" si="58"/>
        <v>419</v>
      </c>
      <c r="B636" s="2">
        <f>Pro_Forma!$S$21/12*(1+Pro_Forma!$S$22)^ROUNDDOWN((A636-1)/12,0)</f>
        <v>0</v>
      </c>
    </row>
    <row r="637" spans="1:2" x14ac:dyDescent="0.2">
      <c r="A637" s="114">
        <f t="shared" si="58"/>
        <v>420</v>
      </c>
      <c r="B637" s="2">
        <f>Pro_Forma!$S$21/12*(1+Pro_Forma!$S$22)^ROUNDDOWN((A637-1)/12,0)</f>
        <v>0</v>
      </c>
    </row>
    <row r="638" spans="1:2" x14ac:dyDescent="0.2">
      <c r="A638" s="114">
        <f t="shared" si="58"/>
        <v>421</v>
      </c>
      <c r="B638" s="2">
        <f>Pro_Forma!$S$21/12*(1+Pro_Forma!$S$22)^ROUNDDOWN((A638-1)/12,0)</f>
        <v>0</v>
      </c>
    </row>
    <row r="639" spans="1:2" x14ac:dyDescent="0.2">
      <c r="A639" s="114">
        <f t="shared" si="58"/>
        <v>422</v>
      </c>
      <c r="B639" s="2">
        <f>Pro_Forma!$S$21/12*(1+Pro_Forma!$S$22)^ROUNDDOWN((A639-1)/12,0)</f>
        <v>0</v>
      </c>
    </row>
    <row r="640" spans="1:2" x14ac:dyDescent="0.2">
      <c r="A640" s="114">
        <f t="shared" si="58"/>
        <v>423</v>
      </c>
      <c r="B640" s="2">
        <f>Pro_Forma!$S$21/12*(1+Pro_Forma!$S$22)^ROUNDDOWN((A640-1)/12,0)</f>
        <v>0</v>
      </c>
    </row>
    <row r="641" spans="1:2" x14ac:dyDescent="0.2">
      <c r="A641" s="114">
        <f t="shared" si="58"/>
        <v>424</v>
      </c>
      <c r="B641" s="2">
        <f>Pro_Forma!$S$21/12*(1+Pro_Forma!$S$22)^ROUNDDOWN((A641-1)/12,0)</f>
        <v>0</v>
      </c>
    </row>
    <row r="642" spans="1:2" x14ac:dyDescent="0.2">
      <c r="A642" s="114">
        <f t="shared" si="58"/>
        <v>425</v>
      </c>
      <c r="B642" s="2">
        <f>Pro_Forma!$S$21/12*(1+Pro_Forma!$S$22)^ROUNDDOWN((A642-1)/12,0)</f>
        <v>0</v>
      </c>
    </row>
    <row r="643" spans="1:2" x14ac:dyDescent="0.2">
      <c r="A643" s="114">
        <f t="shared" si="58"/>
        <v>426</v>
      </c>
      <c r="B643" s="2">
        <f>Pro_Forma!$S$21/12*(1+Pro_Forma!$S$22)^ROUNDDOWN((A643-1)/12,0)</f>
        <v>0</v>
      </c>
    </row>
    <row r="644" spans="1:2" x14ac:dyDescent="0.2">
      <c r="A644" s="114">
        <f t="shared" si="58"/>
        <v>427</v>
      </c>
      <c r="B644" s="2">
        <f>Pro_Forma!$S$21/12*(1+Pro_Forma!$S$22)^ROUNDDOWN((A644-1)/12,0)</f>
        <v>0</v>
      </c>
    </row>
    <row r="645" spans="1:2" x14ac:dyDescent="0.2">
      <c r="A645" s="114">
        <f t="shared" si="58"/>
        <v>428</v>
      </c>
      <c r="B645" s="2">
        <f>Pro_Forma!$S$21/12*(1+Pro_Forma!$S$22)^ROUNDDOWN((A645-1)/12,0)</f>
        <v>0</v>
      </c>
    </row>
    <row r="646" spans="1:2" x14ac:dyDescent="0.2">
      <c r="A646" s="114">
        <f t="shared" si="58"/>
        <v>429</v>
      </c>
      <c r="B646" s="2">
        <f>Pro_Forma!$S$21/12*(1+Pro_Forma!$S$22)^ROUNDDOWN((A646-1)/12,0)</f>
        <v>0</v>
      </c>
    </row>
    <row r="647" spans="1:2" x14ac:dyDescent="0.2">
      <c r="A647" s="114">
        <f t="shared" si="58"/>
        <v>430</v>
      </c>
      <c r="B647" s="2">
        <f>Pro_Forma!$S$21/12*(1+Pro_Forma!$S$22)^ROUNDDOWN((A647-1)/12,0)</f>
        <v>0</v>
      </c>
    </row>
    <row r="648" spans="1:2" x14ac:dyDescent="0.2">
      <c r="A648" s="114">
        <f t="shared" si="58"/>
        <v>431</v>
      </c>
      <c r="B648" s="2">
        <f>Pro_Forma!$S$21/12*(1+Pro_Forma!$S$22)^ROUNDDOWN((A648-1)/12,0)</f>
        <v>0</v>
      </c>
    </row>
    <row r="649" spans="1:2" x14ac:dyDescent="0.2">
      <c r="A649" s="114">
        <f t="shared" si="58"/>
        <v>432</v>
      </c>
      <c r="B649" s="2">
        <f>Pro_Forma!$S$21/12*(1+Pro_Forma!$S$22)^ROUNDDOWN((A649-1)/12,0)</f>
        <v>0</v>
      </c>
    </row>
    <row r="650" spans="1:2" x14ac:dyDescent="0.2">
      <c r="A650" s="114">
        <f t="shared" si="58"/>
        <v>433</v>
      </c>
      <c r="B650" s="2">
        <f>Pro_Forma!$S$21/12*(1+Pro_Forma!$S$22)^ROUNDDOWN((A650-1)/12,0)</f>
        <v>0</v>
      </c>
    </row>
    <row r="651" spans="1:2" x14ac:dyDescent="0.2">
      <c r="A651" s="114">
        <f t="shared" si="58"/>
        <v>434</v>
      </c>
      <c r="B651" s="2">
        <f>Pro_Forma!$S$21/12*(1+Pro_Forma!$S$22)^ROUNDDOWN((A651-1)/12,0)</f>
        <v>0</v>
      </c>
    </row>
    <row r="652" spans="1:2" x14ac:dyDescent="0.2">
      <c r="A652" s="114">
        <f t="shared" si="58"/>
        <v>435</v>
      </c>
      <c r="B652" s="2">
        <f>Pro_Forma!$S$21/12*(1+Pro_Forma!$S$22)^ROUNDDOWN((A652-1)/12,0)</f>
        <v>0</v>
      </c>
    </row>
    <row r="653" spans="1:2" x14ac:dyDescent="0.2">
      <c r="A653" s="114">
        <f t="shared" si="58"/>
        <v>436</v>
      </c>
      <c r="B653" s="2">
        <f>Pro_Forma!$S$21/12*(1+Pro_Forma!$S$22)^ROUNDDOWN((A653-1)/12,0)</f>
        <v>0</v>
      </c>
    </row>
    <row r="654" spans="1:2" x14ac:dyDescent="0.2">
      <c r="A654" s="114">
        <f t="shared" si="58"/>
        <v>437</v>
      </c>
      <c r="B654" s="2">
        <f>Pro_Forma!$S$21/12*(1+Pro_Forma!$S$22)^ROUNDDOWN((A654-1)/12,0)</f>
        <v>0</v>
      </c>
    </row>
    <row r="655" spans="1:2" x14ac:dyDescent="0.2">
      <c r="A655" s="114">
        <f t="shared" si="58"/>
        <v>438</v>
      </c>
      <c r="B655" s="2">
        <f>Pro_Forma!$S$21/12*(1+Pro_Forma!$S$22)^ROUNDDOWN((A655-1)/12,0)</f>
        <v>0</v>
      </c>
    </row>
    <row r="656" spans="1:2" x14ac:dyDescent="0.2">
      <c r="A656" s="114">
        <f t="shared" si="58"/>
        <v>439</v>
      </c>
      <c r="B656" s="2">
        <f>Pro_Forma!$S$21/12*(1+Pro_Forma!$S$22)^ROUNDDOWN((A656-1)/12,0)</f>
        <v>0</v>
      </c>
    </row>
    <row r="657" spans="1:2" x14ac:dyDescent="0.2">
      <c r="A657" s="114">
        <f t="shared" si="58"/>
        <v>440</v>
      </c>
      <c r="B657" s="2">
        <f>Pro_Forma!$S$21/12*(1+Pro_Forma!$S$22)^ROUNDDOWN((A657-1)/12,0)</f>
        <v>0</v>
      </c>
    </row>
    <row r="658" spans="1:2" x14ac:dyDescent="0.2">
      <c r="A658" s="114">
        <f t="shared" si="58"/>
        <v>441</v>
      </c>
      <c r="B658" s="2">
        <f>Pro_Forma!$S$21/12*(1+Pro_Forma!$S$22)^ROUNDDOWN((A658-1)/12,0)</f>
        <v>0</v>
      </c>
    </row>
    <row r="659" spans="1:2" x14ac:dyDescent="0.2">
      <c r="A659" s="114">
        <f t="shared" si="58"/>
        <v>442</v>
      </c>
      <c r="B659" s="2">
        <f>Pro_Forma!$S$21/12*(1+Pro_Forma!$S$22)^ROUNDDOWN((A659-1)/12,0)</f>
        <v>0</v>
      </c>
    </row>
    <row r="660" spans="1:2" x14ac:dyDescent="0.2">
      <c r="A660" s="114">
        <f t="shared" si="58"/>
        <v>443</v>
      </c>
      <c r="B660" s="2">
        <f>Pro_Forma!$S$21/12*(1+Pro_Forma!$S$22)^ROUNDDOWN((A660-1)/12,0)</f>
        <v>0</v>
      </c>
    </row>
    <row r="661" spans="1:2" x14ac:dyDescent="0.2">
      <c r="A661" s="114">
        <f t="shared" si="58"/>
        <v>444</v>
      </c>
      <c r="B661" s="2">
        <f>Pro_Forma!$S$21/12*(1+Pro_Forma!$S$22)^ROUNDDOWN((A661-1)/12,0)</f>
        <v>0</v>
      </c>
    </row>
    <row r="662" spans="1:2" x14ac:dyDescent="0.2">
      <c r="A662" s="114">
        <f>1+A661</f>
        <v>445</v>
      </c>
      <c r="B662" s="2">
        <f>Pro_Forma!$S$21/12*(1+Pro_Forma!$S$22)^ROUNDDOWN((A662-1)/12,0)</f>
        <v>0</v>
      </c>
    </row>
    <row r="663" spans="1:2" x14ac:dyDescent="0.2">
      <c r="A663" s="114">
        <f t="shared" ref="A663:A721" si="59">1+A662</f>
        <v>446</v>
      </c>
      <c r="B663" s="2">
        <f>Pro_Forma!$S$21/12*(1+Pro_Forma!$S$22)^ROUNDDOWN((A663-1)/12,0)</f>
        <v>0</v>
      </c>
    </row>
    <row r="664" spans="1:2" x14ac:dyDescent="0.2">
      <c r="A664" s="114">
        <f t="shared" si="59"/>
        <v>447</v>
      </c>
      <c r="B664" s="2">
        <f>Pro_Forma!$S$21/12*(1+Pro_Forma!$S$22)^ROUNDDOWN((A664-1)/12,0)</f>
        <v>0</v>
      </c>
    </row>
    <row r="665" spans="1:2" x14ac:dyDescent="0.2">
      <c r="A665" s="114">
        <f t="shared" si="59"/>
        <v>448</v>
      </c>
      <c r="B665" s="2">
        <f>Pro_Forma!$S$21/12*(1+Pro_Forma!$S$22)^ROUNDDOWN((A665-1)/12,0)</f>
        <v>0</v>
      </c>
    </row>
    <row r="666" spans="1:2" x14ac:dyDescent="0.2">
      <c r="A666" s="114">
        <f t="shared" si="59"/>
        <v>449</v>
      </c>
      <c r="B666" s="2">
        <f>Pro_Forma!$S$21/12*(1+Pro_Forma!$S$22)^ROUNDDOWN((A666-1)/12,0)</f>
        <v>0</v>
      </c>
    </row>
    <row r="667" spans="1:2" x14ac:dyDescent="0.2">
      <c r="A667" s="114">
        <f t="shared" si="59"/>
        <v>450</v>
      </c>
      <c r="B667" s="2">
        <f>Pro_Forma!$S$21/12*(1+Pro_Forma!$S$22)^ROUNDDOWN((A667-1)/12,0)</f>
        <v>0</v>
      </c>
    </row>
    <row r="668" spans="1:2" x14ac:dyDescent="0.2">
      <c r="A668" s="114">
        <f t="shared" si="59"/>
        <v>451</v>
      </c>
      <c r="B668" s="2">
        <f>Pro_Forma!$S$21/12*(1+Pro_Forma!$S$22)^ROUNDDOWN((A668-1)/12,0)</f>
        <v>0</v>
      </c>
    </row>
    <row r="669" spans="1:2" x14ac:dyDescent="0.2">
      <c r="A669" s="114">
        <f t="shared" si="59"/>
        <v>452</v>
      </c>
      <c r="B669" s="2">
        <f>Pro_Forma!$S$21/12*(1+Pro_Forma!$S$22)^ROUNDDOWN((A669-1)/12,0)</f>
        <v>0</v>
      </c>
    </row>
    <row r="670" spans="1:2" x14ac:dyDescent="0.2">
      <c r="A670" s="114">
        <f t="shared" si="59"/>
        <v>453</v>
      </c>
      <c r="B670" s="2">
        <f>Pro_Forma!$S$21/12*(1+Pro_Forma!$S$22)^ROUNDDOWN((A670-1)/12,0)</f>
        <v>0</v>
      </c>
    </row>
    <row r="671" spans="1:2" x14ac:dyDescent="0.2">
      <c r="A671" s="114">
        <f t="shared" si="59"/>
        <v>454</v>
      </c>
      <c r="B671" s="2">
        <f>Pro_Forma!$S$21/12*(1+Pro_Forma!$S$22)^ROUNDDOWN((A671-1)/12,0)</f>
        <v>0</v>
      </c>
    </row>
    <row r="672" spans="1:2" x14ac:dyDescent="0.2">
      <c r="A672" s="114">
        <f t="shared" si="59"/>
        <v>455</v>
      </c>
      <c r="B672" s="2">
        <f>Pro_Forma!$S$21/12*(1+Pro_Forma!$S$22)^ROUNDDOWN((A672-1)/12,0)</f>
        <v>0</v>
      </c>
    </row>
    <row r="673" spans="1:2" x14ac:dyDescent="0.2">
      <c r="A673" s="114">
        <f t="shared" si="59"/>
        <v>456</v>
      </c>
      <c r="B673" s="2">
        <f>Pro_Forma!$S$21/12*(1+Pro_Forma!$S$22)^ROUNDDOWN((A673-1)/12,0)</f>
        <v>0</v>
      </c>
    </row>
    <row r="674" spans="1:2" x14ac:dyDescent="0.2">
      <c r="A674" s="114">
        <f t="shared" si="59"/>
        <v>457</v>
      </c>
      <c r="B674" s="2">
        <f>Pro_Forma!$S$21/12*(1+Pro_Forma!$S$22)^ROUNDDOWN((A674-1)/12,0)</f>
        <v>0</v>
      </c>
    </row>
    <row r="675" spans="1:2" x14ac:dyDescent="0.2">
      <c r="A675" s="114">
        <f t="shared" si="59"/>
        <v>458</v>
      </c>
      <c r="B675" s="2">
        <f>Pro_Forma!$S$21/12*(1+Pro_Forma!$S$22)^ROUNDDOWN((A675-1)/12,0)</f>
        <v>0</v>
      </c>
    </row>
    <row r="676" spans="1:2" x14ac:dyDescent="0.2">
      <c r="A676" s="114">
        <f t="shared" si="59"/>
        <v>459</v>
      </c>
      <c r="B676" s="2">
        <f>Pro_Forma!$S$21/12*(1+Pro_Forma!$S$22)^ROUNDDOWN((A676-1)/12,0)</f>
        <v>0</v>
      </c>
    </row>
    <row r="677" spans="1:2" x14ac:dyDescent="0.2">
      <c r="A677" s="114">
        <f t="shared" si="59"/>
        <v>460</v>
      </c>
      <c r="B677" s="2">
        <f>Pro_Forma!$S$21/12*(1+Pro_Forma!$S$22)^ROUNDDOWN((A677-1)/12,0)</f>
        <v>0</v>
      </c>
    </row>
    <row r="678" spans="1:2" x14ac:dyDescent="0.2">
      <c r="A678" s="114">
        <f t="shared" si="59"/>
        <v>461</v>
      </c>
      <c r="B678" s="2">
        <f>Pro_Forma!$S$21/12*(1+Pro_Forma!$S$22)^ROUNDDOWN((A678-1)/12,0)</f>
        <v>0</v>
      </c>
    </row>
    <row r="679" spans="1:2" x14ac:dyDescent="0.2">
      <c r="A679" s="114">
        <f t="shared" si="59"/>
        <v>462</v>
      </c>
      <c r="B679" s="2">
        <f>Pro_Forma!$S$21/12*(1+Pro_Forma!$S$22)^ROUNDDOWN((A679-1)/12,0)</f>
        <v>0</v>
      </c>
    </row>
    <row r="680" spans="1:2" x14ac:dyDescent="0.2">
      <c r="A680" s="114">
        <f t="shared" si="59"/>
        <v>463</v>
      </c>
      <c r="B680" s="2">
        <f>Pro_Forma!$S$21/12*(1+Pro_Forma!$S$22)^ROUNDDOWN((A680-1)/12,0)</f>
        <v>0</v>
      </c>
    </row>
    <row r="681" spans="1:2" x14ac:dyDescent="0.2">
      <c r="A681" s="114">
        <f t="shared" si="59"/>
        <v>464</v>
      </c>
      <c r="B681" s="2">
        <f>Pro_Forma!$S$21/12*(1+Pro_Forma!$S$22)^ROUNDDOWN((A681-1)/12,0)</f>
        <v>0</v>
      </c>
    </row>
    <row r="682" spans="1:2" x14ac:dyDescent="0.2">
      <c r="A682" s="114">
        <f t="shared" si="59"/>
        <v>465</v>
      </c>
      <c r="B682" s="2">
        <f>Pro_Forma!$S$21/12*(1+Pro_Forma!$S$22)^ROUNDDOWN((A682-1)/12,0)</f>
        <v>0</v>
      </c>
    </row>
    <row r="683" spans="1:2" x14ac:dyDescent="0.2">
      <c r="A683" s="114">
        <f t="shared" si="59"/>
        <v>466</v>
      </c>
      <c r="B683" s="2">
        <f>Pro_Forma!$S$21/12*(1+Pro_Forma!$S$22)^ROUNDDOWN((A683-1)/12,0)</f>
        <v>0</v>
      </c>
    </row>
    <row r="684" spans="1:2" x14ac:dyDescent="0.2">
      <c r="A684" s="114">
        <f t="shared" si="59"/>
        <v>467</v>
      </c>
      <c r="B684" s="2">
        <f>Pro_Forma!$S$21/12*(1+Pro_Forma!$S$22)^ROUNDDOWN((A684-1)/12,0)</f>
        <v>0</v>
      </c>
    </row>
    <row r="685" spans="1:2" x14ac:dyDescent="0.2">
      <c r="A685" s="114">
        <f t="shared" si="59"/>
        <v>468</v>
      </c>
      <c r="B685" s="2">
        <f>Pro_Forma!$S$21/12*(1+Pro_Forma!$S$22)^ROUNDDOWN((A685-1)/12,0)</f>
        <v>0</v>
      </c>
    </row>
    <row r="686" spans="1:2" x14ac:dyDescent="0.2">
      <c r="A686" s="114">
        <f t="shared" si="59"/>
        <v>469</v>
      </c>
      <c r="B686" s="2">
        <f>Pro_Forma!$S$21/12*(1+Pro_Forma!$S$22)^ROUNDDOWN((A686-1)/12,0)</f>
        <v>0</v>
      </c>
    </row>
    <row r="687" spans="1:2" x14ac:dyDescent="0.2">
      <c r="A687" s="114">
        <f t="shared" si="59"/>
        <v>470</v>
      </c>
      <c r="B687" s="2">
        <f>Pro_Forma!$S$21/12*(1+Pro_Forma!$S$22)^ROUNDDOWN((A687-1)/12,0)</f>
        <v>0</v>
      </c>
    </row>
    <row r="688" spans="1:2" x14ac:dyDescent="0.2">
      <c r="A688" s="114">
        <f t="shared" si="59"/>
        <v>471</v>
      </c>
      <c r="B688" s="2">
        <f>Pro_Forma!$S$21/12*(1+Pro_Forma!$S$22)^ROUNDDOWN((A688-1)/12,0)</f>
        <v>0</v>
      </c>
    </row>
    <row r="689" spans="1:2" x14ac:dyDescent="0.2">
      <c r="A689" s="114">
        <f t="shared" si="59"/>
        <v>472</v>
      </c>
      <c r="B689" s="2">
        <f>Pro_Forma!$S$21/12*(1+Pro_Forma!$S$22)^ROUNDDOWN((A689-1)/12,0)</f>
        <v>0</v>
      </c>
    </row>
    <row r="690" spans="1:2" x14ac:dyDescent="0.2">
      <c r="A690" s="114">
        <f t="shared" si="59"/>
        <v>473</v>
      </c>
      <c r="B690" s="2">
        <f>Pro_Forma!$S$21/12*(1+Pro_Forma!$S$22)^ROUNDDOWN((A690-1)/12,0)</f>
        <v>0</v>
      </c>
    </row>
    <row r="691" spans="1:2" x14ac:dyDescent="0.2">
      <c r="A691" s="114">
        <f t="shared" si="59"/>
        <v>474</v>
      </c>
      <c r="B691" s="2">
        <f>Pro_Forma!$S$21/12*(1+Pro_Forma!$S$22)^ROUNDDOWN((A691-1)/12,0)</f>
        <v>0</v>
      </c>
    </row>
    <row r="692" spans="1:2" x14ac:dyDescent="0.2">
      <c r="A692" s="114">
        <f t="shared" si="59"/>
        <v>475</v>
      </c>
      <c r="B692" s="2">
        <f>Pro_Forma!$S$21/12*(1+Pro_Forma!$S$22)^ROUNDDOWN((A692-1)/12,0)</f>
        <v>0</v>
      </c>
    </row>
    <row r="693" spans="1:2" x14ac:dyDescent="0.2">
      <c r="A693" s="114">
        <f t="shared" si="59"/>
        <v>476</v>
      </c>
      <c r="B693" s="2">
        <f>Pro_Forma!$S$21/12*(1+Pro_Forma!$S$22)^ROUNDDOWN((A693-1)/12,0)</f>
        <v>0</v>
      </c>
    </row>
    <row r="694" spans="1:2" x14ac:dyDescent="0.2">
      <c r="A694" s="114">
        <f t="shared" si="59"/>
        <v>477</v>
      </c>
      <c r="B694" s="2">
        <f>Pro_Forma!$S$21/12*(1+Pro_Forma!$S$22)^ROUNDDOWN((A694-1)/12,0)</f>
        <v>0</v>
      </c>
    </row>
    <row r="695" spans="1:2" x14ac:dyDescent="0.2">
      <c r="A695" s="114">
        <f t="shared" si="59"/>
        <v>478</v>
      </c>
      <c r="B695" s="2">
        <f>Pro_Forma!$S$21/12*(1+Pro_Forma!$S$22)^ROUNDDOWN((A695-1)/12,0)</f>
        <v>0</v>
      </c>
    </row>
    <row r="696" spans="1:2" x14ac:dyDescent="0.2">
      <c r="A696" s="114">
        <f t="shared" si="59"/>
        <v>479</v>
      </c>
      <c r="B696" s="2">
        <f>Pro_Forma!$S$21/12*(1+Pro_Forma!$S$22)^ROUNDDOWN((A696-1)/12,0)</f>
        <v>0</v>
      </c>
    </row>
    <row r="697" spans="1:2" x14ac:dyDescent="0.2">
      <c r="A697" s="114">
        <f t="shared" si="59"/>
        <v>480</v>
      </c>
      <c r="B697" s="2">
        <f>Pro_Forma!$S$21/12*(1+Pro_Forma!$S$22)^ROUNDDOWN((A697-1)/12,0)</f>
        <v>0</v>
      </c>
    </row>
    <row r="698" spans="1:2" x14ac:dyDescent="0.2">
      <c r="A698" s="114">
        <f t="shared" si="59"/>
        <v>481</v>
      </c>
      <c r="B698" s="2">
        <f>Pro_Forma!$S$21/12*(1+Pro_Forma!$S$22)^ROUNDDOWN((A698-1)/12,0)</f>
        <v>0</v>
      </c>
    </row>
    <row r="699" spans="1:2" x14ac:dyDescent="0.2">
      <c r="A699" s="114">
        <f t="shared" si="59"/>
        <v>482</v>
      </c>
      <c r="B699" s="2">
        <f>Pro_Forma!$S$21/12*(1+Pro_Forma!$S$22)^ROUNDDOWN((A699-1)/12,0)</f>
        <v>0</v>
      </c>
    </row>
    <row r="700" spans="1:2" x14ac:dyDescent="0.2">
      <c r="A700" s="114">
        <f t="shared" si="59"/>
        <v>483</v>
      </c>
      <c r="B700" s="2">
        <f>Pro_Forma!$S$21/12*(1+Pro_Forma!$S$22)^ROUNDDOWN((A700-1)/12,0)</f>
        <v>0</v>
      </c>
    </row>
    <row r="701" spans="1:2" x14ac:dyDescent="0.2">
      <c r="A701" s="114">
        <f t="shared" si="59"/>
        <v>484</v>
      </c>
      <c r="B701" s="2">
        <f>Pro_Forma!$S$21/12*(1+Pro_Forma!$S$22)^ROUNDDOWN((A701-1)/12,0)</f>
        <v>0</v>
      </c>
    </row>
    <row r="702" spans="1:2" x14ac:dyDescent="0.2">
      <c r="A702" s="114">
        <f t="shared" si="59"/>
        <v>485</v>
      </c>
      <c r="B702" s="2">
        <f>Pro_Forma!$S$21/12*(1+Pro_Forma!$S$22)^ROUNDDOWN((A702-1)/12,0)</f>
        <v>0</v>
      </c>
    </row>
    <row r="703" spans="1:2" x14ac:dyDescent="0.2">
      <c r="A703" s="114">
        <f t="shared" si="59"/>
        <v>486</v>
      </c>
      <c r="B703" s="2">
        <f>Pro_Forma!$S$21/12*(1+Pro_Forma!$S$22)^ROUNDDOWN((A703-1)/12,0)</f>
        <v>0</v>
      </c>
    </row>
    <row r="704" spans="1:2" x14ac:dyDescent="0.2">
      <c r="A704" s="114">
        <f t="shared" si="59"/>
        <v>487</v>
      </c>
      <c r="B704" s="2">
        <f>Pro_Forma!$S$21/12*(1+Pro_Forma!$S$22)^ROUNDDOWN((A704-1)/12,0)</f>
        <v>0</v>
      </c>
    </row>
    <row r="705" spans="1:2" x14ac:dyDescent="0.2">
      <c r="A705" s="114">
        <f t="shared" si="59"/>
        <v>488</v>
      </c>
      <c r="B705" s="2">
        <f>Pro_Forma!$S$21/12*(1+Pro_Forma!$S$22)^ROUNDDOWN((A705-1)/12,0)</f>
        <v>0</v>
      </c>
    </row>
    <row r="706" spans="1:2" x14ac:dyDescent="0.2">
      <c r="A706" s="114">
        <f t="shared" si="59"/>
        <v>489</v>
      </c>
      <c r="B706" s="2">
        <f>Pro_Forma!$S$21/12*(1+Pro_Forma!$S$22)^ROUNDDOWN((A706-1)/12,0)</f>
        <v>0</v>
      </c>
    </row>
    <row r="707" spans="1:2" x14ac:dyDescent="0.2">
      <c r="A707" s="114">
        <f t="shared" si="59"/>
        <v>490</v>
      </c>
      <c r="B707" s="2">
        <f>Pro_Forma!$S$21/12*(1+Pro_Forma!$S$22)^ROUNDDOWN((A707-1)/12,0)</f>
        <v>0</v>
      </c>
    </row>
    <row r="708" spans="1:2" x14ac:dyDescent="0.2">
      <c r="A708" s="114">
        <f t="shared" si="59"/>
        <v>491</v>
      </c>
      <c r="B708" s="2">
        <f>Pro_Forma!$S$21/12*(1+Pro_Forma!$S$22)^ROUNDDOWN((A708-1)/12,0)</f>
        <v>0</v>
      </c>
    </row>
    <row r="709" spans="1:2" x14ac:dyDescent="0.2">
      <c r="A709" s="114">
        <f t="shared" si="59"/>
        <v>492</v>
      </c>
      <c r="B709" s="2">
        <f>Pro_Forma!$S$21/12*(1+Pro_Forma!$S$22)^ROUNDDOWN((A709-1)/12,0)</f>
        <v>0</v>
      </c>
    </row>
    <row r="710" spans="1:2" x14ac:dyDescent="0.2">
      <c r="A710" s="114">
        <f t="shared" si="59"/>
        <v>493</v>
      </c>
      <c r="B710" s="2">
        <f>Pro_Forma!$S$21/12*(1+Pro_Forma!$S$22)^ROUNDDOWN((A710-1)/12,0)</f>
        <v>0</v>
      </c>
    </row>
    <row r="711" spans="1:2" x14ac:dyDescent="0.2">
      <c r="A711" s="114">
        <f t="shared" si="59"/>
        <v>494</v>
      </c>
      <c r="B711" s="2">
        <f>Pro_Forma!$S$21/12*(1+Pro_Forma!$S$22)^ROUNDDOWN((A711-1)/12,0)</f>
        <v>0</v>
      </c>
    </row>
    <row r="712" spans="1:2" x14ac:dyDescent="0.2">
      <c r="A712" s="114">
        <f t="shared" si="59"/>
        <v>495</v>
      </c>
      <c r="B712" s="2">
        <f>Pro_Forma!$S$21/12*(1+Pro_Forma!$S$22)^ROUNDDOWN((A712-1)/12,0)</f>
        <v>0</v>
      </c>
    </row>
    <row r="713" spans="1:2" x14ac:dyDescent="0.2">
      <c r="A713" s="114">
        <f t="shared" si="59"/>
        <v>496</v>
      </c>
      <c r="B713" s="2">
        <f>Pro_Forma!$S$21/12*(1+Pro_Forma!$S$22)^ROUNDDOWN((A713-1)/12,0)</f>
        <v>0</v>
      </c>
    </row>
    <row r="714" spans="1:2" x14ac:dyDescent="0.2">
      <c r="A714" s="114">
        <f t="shared" si="59"/>
        <v>497</v>
      </c>
      <c r="B714" s="2">
        <f>Pro_Forma!$S$21/12*(1+Pro_Forma!$S$22)^ROUNDDOWN((A714-1)/12,0)</f>
        <v>0</v>
      </c>
    </row>
    <row r="715" spans="1:2" x14ac:dyDescent="0.2">
      <c r="A715" s="114">
        <f t="shared" si="59"/>
        <v>498</v>
      </c>
      <c r="B715" s="2">
        <f>Pro_Forma!$S$21/12*(1+Pro_Forma!$S$22)^ROUNDDOWN((A715-1)/12,0)</f>
        <v>0</v>
      </c>
    </row>
    <row r="716" spans="1:2" x14ac:dyDescent="0.2">
      <c r="A716" s="114">
        <f t="shared" si="59"/>
        <v>499</v>
      </c>
      <c r="B716" s="2">
        <f>Pro_Forma!$S$21/12*(1+Pro_Forma!$S$22)^ROUNDDOWN((A716-1)/12,0)</f>
        <v>0</v>
      </c>
    </row>
    <row r="717" spans="1:2" x14ac:dyDescent="0.2">
      <c r="A717" s="114">
        <f t="shared" si="59"/>
        <v>500</v>
      </c>
      <c r="B717" s="2">
        <f>Pro_Forma!$S$21/12*(1+Pro_Forma!$S$22)^ROUNDDOWN((A717-1)/12,0)</f>
        <v>0</v>
      </c>
    </row>
    <row r="718" spans="1:2" x14ac:dyDescent="0.2">
      <c r="A718" s="114">
        <f t="shared" si="59"/>
        <v>501</v>
      </c>
      <c r="B718" s="2">
        <f>Pro_Forma!$S$21/12*(1+Pro_Forma!$S$22)^ROUNDDOWN((A718-1)/12,0)</f>
        <v>0</v>
      </c>
    </row>
    <row r="719" spans="1:2" x14ac:dyDescent="0.2">
      <c r="A719" s="114">
        <f t="shared" si="59"/>
        <v>502</v>
      </c>
      <c r="B719" s="2">
        <f>Pro_Forma!$S$21/12*(1+Pro_Forma!$S$22)^ROUNDDOWN((A719-1)/12,0)</f>
        <v>0</v>
      </c>
    </row>
    <row r="720" spans="1:2" x14ac:dyDescent="0.2">
      <c r="A720" s="114">
        <f t="shared" si="59"/>
        <v>503</v>
      </c>
      <c r="B720" s="2">
        <f>Pro_Forma!$S$21/12*(1+Pro_Forma!$S$22)^ROUNDDOWN((A720-1)/12,0)</f>
        <v>0</v>
      </c>
    </row>
    <row r="721" spans="1:2" x14ac:dyDescent="0.2">
      <c r="A721" s="114">
        <f t="shared" si="59"/>
        <v>504</v>
      </c>
      <c r="B721" s="2">
        <f>Pro_Forma!$S$21/12*(1+Pro_Forma!$S$22)^ROUNDDOWN((A721-1)/12,0)</f>
        <v>0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DE893-766E-4E49-B8C8-52B230A2EBAF}">
  <sheetPr codeName="Sheet2"/>
  <dimension ref="B2:C136"/>
  <sheetViews>
    <sheetView topLeftCell="A7" workbookViewId="0">
      <selection activeCell="E42" sqref="E42"/>
    </sheetView>
  </sheetViews>
  <sheetFormatPr baseColWidth="10" defaultColWidth="8.83203125" defaultRowHeight="15" x14ac:dyDescent="0.2"/>
  <cols>
    <col min="2" max="2" width="38.6640625" customWidth="1"/>
    <col min="3" max="3" width="14.5" customWidth="1"/>
  </cols>
  <sheetData>
    <row r="2" spans="2:3" x14ac:dyDescent="0.2">
      <c r="C2" t="s">
        <v>398</v>
      </c>
    </row>
    <row r="4" spans="2:3" x14ac:dyDescent="0.2">
      <c r="B4" t="s">
        <v>166</v>
      </c>
      <c r="C4" t="str">
        <f>+ADDRESS(ROW(Pro_Forma!B2),COLUMN(Pro_Forma!B2))</f>
        <v>$B$2</v>
      </c>
    </row>
    <row r="5" spans="2:3" x14ac:dyDescent="0.2">
      <c r="B5" t="s">
        <v>297</v>
      </c>
      <c r="C5" t="str">
        <f>+ADDRESS(ROW(Pro_Forma!C3),COLUMN(Pro_Forma!C3))</f>
        <v>$C$3</v>
      </c>
    </row>
    <row r="6" spans="2:3" x14ac:dyDescent="0.2">
      <c r="B6" t="s">
        <v>159</v>
      </c>
      <c r="C6" t="str">
        <f>+ADDRESS(ROW(Pro_Forma!D12),COLUMN(Pro_Forma!D12))</f>
        <v>$D$12</v>
      </c>
    </row>
    <row r="7" spans="2:3" x14ac:dyDescent="0.2">
      <c r="B7" t="s">
        <v>160</v>
      </c>
      <c r="C7" t="str">
        <f>+ADDRESS(ROW(Pro_Forma!C13),COLUMN(Pro_Forma!C13))</f>
        <v>$C$13</v>
      </c>
    </row>
    <row r="8" spans="2:3" x14ac:dyDescent="0.2">
      <c r="B8" t="s">
        <v>367</v>
      </c>
      <c r="C8" t="str">
        <f>+ADDRESS(ROW(Pro_Forma!C14),COLUMN(Pro_Forma!C14))</f>
        <v>$C$14</v>
      </c>
    </row>
    <row r="9" spans="2:3" x14ac:dyDescent="0.2">
      <c r="B9" t="s">
        <v>66</v>
      </c>
      <c r="C9" t="str">
        <f>+ADDRESS(ROW(Pro_Forma!C19),COLUMN(Pro_Forma!C19))</f>
        <v>$C$19</v>
      </c>
    </row>
    <row r="10" spans="2:3" x14ac:dyDescent="0.2">
      <c r="B10" t="s">
        <v>142</v>
      </c>
      <c r="C10" t="str">
        <f>+ADDRESS(ROW(Pro_Forma!C21),COLUMN(Pro_Forma!C21))</f>
        <v>$C$21</v>
      </c>
    </row>
    <row r="12" spans="2:3" x14ac:dyDescent="0.2">
      <c r="B12" s="1" t="s">
        <v>126</v>
      </c>
      <c r="C12" t="str">
        <f>C13&amp;":"&amp;C18</f>
        <v>$C$24:$C$30</v>
      </c>
    </row>
    <row r="13" spans="2:3" x14ac:dyDescent="0.2">
      <c r="B13" t="s">
        <v>187</v>
      </c>
      <c r="C13" t="str">
        <f>+ADDRESS(ROW(Pro_Forma!C24),COLUMN(Pro_Forma!C24))</f>
        <v>$C$24</v>
      </c>
    </row>
    <row r="14" spans="2:3" x14ac:dyDescent="0.2">
      <c r="B14" t="s">
        <v>129</v>
      </c>
      <c r="C14" t="str">
        <f>+ADDRESS(ROW(Pro_Forma!C25),COLUMN(Pro_Forma!C25))</f>
        <v>$C$25</v>
      </c>
    </row>
    <row r="15" spans="2:3" x14ac:dyDescent="0.2">
      <c r="B15" t="s">
        <v>127</v>
      </c>
      <c r="C15" t="str">
        <f>+ADDRESS(ROW(Pro_Forma!C26),COLUMN(Pro_Forma!C26))</f>
        <v>$C$26</v>
      </c>
    </row>
    <row r="16" spans="2:3" x14ac:dyDescent="0.2">
      <c r="B16" t="s">
        <v>128</v>
      </c>
      <c r="C16" t="str">
        <f>+ADDRESS(ROW(Pro_Forma!C27),COLUMN(Pro_Forma!C27))</f>
        <v>$C$27</v>
      </c>
    </row>
    <row r="17" spans="2:3" x14ac:dyDescent="0.2">
      <c r="B17" t="s">
        <v>163</v>
      </c>
      <c r="C17" t="str">
        <f>+ADDRESS(ROW(Pro_Forma!C28),COLUMN(Pro_Forma!C28))</f>
        <v>$C$28</v>
      </c>
    </row>
    <row r="18" spans="2:3" x14ac:dyDescent="0.2">
      <c r="B18" t="s">
        <v>133</v>
      </c>
      <c r="C18" t="str">
        <f>+ADDRESS(ROW(Pro_Forma!C30),COLUMN(Pro_Forma!C30))</f>
        <v>$C$30</v>
      </c>
    </row>
    <row r="20" spans="2:3" x14ac:dyDescent="0.2">
      <c r="B20" s="1" t="s">
        <v>0</v>
      </c>
      <c r="C20" t="str">
        <f>C21&amp;":"&amp;C40</f>
        <v>$D$33:$D$57</v>
      </c>
    </row>
    <row r="21" spans="2:3" x14ac:dyDescent="0.2">
      <c r="B21" t="s">
        <v>1</v>
      </c>
      <c r="C21" t="str">
        <f>+ADDRESS(ROW(Pro_Forma!D33),COLUMN(Pro_Forma!D33))</f>
        <v>$D$33</v>
      </c>
    </row>
    <row r="22" spans="2:3" x14ac:dyDescent="0.2">
      <c r="B22" t="s">
        <v>149</v>
      </c>
      <c r="C22" t="str">
        <f>+ADDRESS(ROW(Pro_Forma!D35),COLUMN(Pro_Forma!D35))</f>
        <v>$D$35</v>
      </c>
    </row>
    <row r="23" spans="2:3" x14ac:dyDescent="0.2">
      <c r="B23" t="s">
        <v>2</v>
      </c>
      <c r="C23" t="str">
        <f>+ADDRESS(ROW(Pro_Forma!D36),COLUMN(Pro_Forma!D36))</f>
        <v>$D$36</v>
      </c>
    </row>
    <row r="24" spans="2:3" x14ac:dyDescent="0.2">
      <c r="B24" t="s">
        <v>3</v>
      </c>
      <c r="C24" t="str">
        <f>+ADDRESS(ROW(Pro_Forma!D37),COLUMN(Pro_Forma!D37))</f>
        <v>$D$37</v>
      </c>
    </row>
    <row r="25" spans="2:3" x14ac:dyDescent="0.2">
      <c r="B25" t="s">
        <v>4</v>
      </c>
      <c r="C25" t="str">
        <f>+ADDRESS(ROW(Pro_Forma!D38),COLUMN(Pro_Forma!D38))</f>
        <v>$D$38</v>
      </c>
    </row>
    <row r="26" spans="2:3" x14ac:dyDescent="0.2">
      <c r="B26" t="s">
        <v>5</v>
      </c>
      <c r="C26" t="str">
        <f>+ADDRESS(ROW(Pro_Forma!D39),COLUMN(Pro_Forma!D39))</f>
        <v>$D$39</v>
      </c>
    </row>
    <row r="27" spans="2:3" x14ac:dyDescent="0.2">
      <c r="B27" t="s">
        <v>6</v>
      </c>
      <c r="C27" t="str">
        <f>+ADDRESS(ROW(Pro_Forma!D40),COLUMN(Pro_Forma!D40))</f>
        <v>$D$40</v>
      </c>
    </row>
    <row r="28" spans="2:3" x14ac:dyDescent="0.2">
      <c r="B28" t="s">
        <v>130</v>
      </c>
      <c r="C28" t="str">
        <f>+ADDRESS(ROW(Pro_Forma!D43),COLUMN(Pro_Forma!D43))</f>
        <v>$D$43</v>
      </c>
    </row>
    <row r="29" spans="2:3" x14ac:dyDescent="0.2">
      <c r="B29" t="s">
        <v>7</v>
      </c>
      <c r="C29" t="str">
        <f>+ADDRESS(ROW(Pro_Forma!D46),COLUMN(Pro_Forma!D46))</f>
        <v>$D$46</v>
      </c>
    </row>
    <row r="30" spans="2:3" x14ac:dyDescent="0.2">
      <c r="B30" t="s">
        <v>8</v>
      </c>
      <c r="C30" t="str">
        <f>+ADDRESS(ROW(Pro_Forma!D47),COLUMN(Pro_Forma!D47))</f>
        <v>$D$47</v>
      </c>
    </row>
    <row r="31" spans="2:3" x14ac:dyDescent="0.2">
      <c r="B31" t="s">
        <v>52</v>
      </c>
      <c r="C31" t="str">
        <f>+ADDRESS(ROW(Pro_Forma!D48),COLUMN(Pro_Forma!D48))</f>
        <v>$D$48</v>
      </c>
    </row>
    <row r="32" spans="2:3" x14ac:dyDescent="0.2">
      <c r="B32" t="s">
        <v>9</v>
      </c>
      <c r="C32" t="str">
        <f>+ADDRESS(ROW(Pro_Forma!D49),COLUMN(Pro_Forma!D49))</f>
        <v>$D$49</v>
      </c>
    </row>
    <row r="33" spans="2:3" x14ac:dyDescent="0.2">
      <c r="B33" t="s">
        <v>10</v>
      </c>
      <c r="C33" t="str">
        <f>+ADDRESS(ROW(Pro_Forma!D50),COLUMN(Pro_Forma!D50))</f>
        <v>$D$50</v>
      </c>
    </row>
    <row r="34" spans="2:3" x14ac:dyDescent="0.2">
      <c r="B34" t="s">
        <v>164</v>
      </c>
      <c r="C34" t="str">
        <f>+ADDRESS(ROW(Pro_Forma!D51),COLUMN(Pro_Forma!D51))</f>
        <v>$D$51</v>
      </c>
    </row>
    <row r="35" spans="2:3" x14ac:dyDescent="0.2">
      <c r="B35" t="s">
        <v>285</v>
      </c>
      <c r="C35" t="str">
        <f>+ADDRESS(ROW(Pro_Forma!D52),COLUMN(Pro_Forma!D52))</f>
        <v>$D$52</v>
      </c>
    </row>
    <row r="36" spans="2:3" x14ac:dyDescent="0.2">
      <c r="B36" t="s">
        <v>286</v>
      </c>
      <c r="C36" t="str">
        <f>+ADDRESS(ROW(Pro_Forma!D53),COLUMN(Pro_Forma!D53))</f>
        <v>$D$53</v>
      </c>
    </row>
    <row r="37" spans="2:3" x14ac:dyDescent="0.2">
      <c r="B37" t="s">
        <v>165</v>
      </c>
      <c r="C37" t="str">
        <f>+ADDRESS(ROW(Pro_Forma!D54),COLUMN(Pro_Forma!D54))</f>
        <v>$D$54</v>
      </c>
    </row>
    <row r="38" spans="2:3" x14ac:dyDescent="0.2">
      <c r="B38" t="s">
        <v>224</v>
      </c>
      <c r="C38" t="str">
        <f>+ADDRESS(ROW(Pro_Forma!D55),COLUMN(Pro_Forma!D55))</f>
        <v>$D$55</v>
      </c>
    </row>
    <row r="39" spans="2:3" x14ac:dyDescent="0.2">
      <c r="B39" t="s">
        <v>42</v>
      </c>
      <c r="C39" t="str">
        <f>+ADDRESS(ROW(Pro_Forma!D56),COLUMN(Pro_Forma!D56))</f>
        <v>$D$56</v>
      </c>
    </row>
    <row r="40" spans="2:3" x14ac:dyDescent="0.2">
      <c r="B40" t="s">
        <v>141</v>
      </c>
      <c r="C40" t="str">
        <f>+ADDRESS(ROW(Pro_Forma!D57),COLUMN(Pro_Forma!D57))</f>
        <v>$D$57</v>
      </c>
    </row>
    <row r="42" spans="2:3" x14ac:dyDescent="0.2">
      <c r="B42" s="1" t="s">
        <v>15</v>
      </c>
      <c r="C42" t="str">
        <f>C43&amp;":"&amp;C52</f>
        <v>$D$62:$D$72</v>
      </c>
    </row>
    <row r="43" spans="2:3" x14ac:dyDescent="0.2">
      <c r="B43" t="s">
        <v>35</v>
      </c>
      <c r="C43" t="str">
        <f>+ADDRESS(ROW(Pro_Forma!D62),COLUMN(Pro_Forma!D62))</f>
        <v>$D$62</v>
      </c>
    </row>
    <row r="44" spans="2:3" x14ac:dyDescent="0.2">
      <c r="B44" t="s">
        <v>36</v>
      </c>
      <c r="C44" t="str">
        <f>+ADDRESS(ROW(Pro_Forma!D63),COLUMN(Pro_Forma!D63))</f>
        <v>$D$63</v>
      </c>
    </row>
    <row r="45" spans="2:3" x14ac:dyDescent="0.2">
      <c r="B45" t="s">
        <v>167</v>
      </c>
      <c r="C45" t="e">
        <f>+ADDRESS(ROW(Pro_Forma!#REF!),COLUMN(Pro_Forma!#REF!))</f>
        <v>#REF!</v>
      </c>
    </row>
    <row r="46" spans="2:3" x14ac:dyDescent="0.2">
      <c r="B46" t="s">
        <v>78</v>
      </c>
      <c r="C46" t="str">
        <f>+ADDRESS(ROW(Pro_Forma!D65),COLUMN(Pro_Forma!D65))</f>
        <v>$D$65</v>
      </c>
    </row>
    <row r="47" spans="2:3" x14ac:dyDescent="0.2">
      <c r="B47" t="s">
        <v>80</v>
      </c>
      <c r="C47" t="str">
        <f>+ADDRESS(ROW(Pro_Forma!D66),COLUMN(Pro_Forma!D66))</f>
        <v>$D$66</v>
      </c>
    </row>
    <row r="48" spans="2:3" x14ac:dyDescent="0.2">
      <c r="B48" t="s">
        <v>143</v>
      </c>
      <c r="C48" t="str">
        <f>+ADDRESS(ROW(Pro_Forma!D67),COLUMN(Pro_Forma!D67))</f>
        <v>$D$67</v>
      </c>
    </row>
    <row r="49" spans="2:3" x14ac:dyDescent="0.2">
      <c r="B49" t="s">
        <v>38</v>
      </c>
      <c r="C49" t="str">
        <f>+ADDRESS(ROW(Pro_Forma!D69),COLUMN(Pro_Forma!D69))</f>
        <v>$D$69</v>
      </c>
    </row>
    <row r="50" spans="2:3" x14ac:dyDescent="0.2">
      <c r="B50" t="s">
        <v>371</v>
      </c>
      <c r="C50" t="str">
        <f>+ADDRESS(ROW(Pro_Forma!D70),COLUMN(Pro_Forma!D70))</f>
        <v>$D$70</v>
      </c>
    </row>
    <row r="51" spans="2:3" x14ac:dyDescent="0.2">
      <c r="B51" t="s">
        <v>39</v>
      </c>
      <c r="C51" t="str">
        <f>+ADDRESS(ROW(Pro_Forma!D71),COLUMN(Pro_Forma!D71))</f>
        <v>$D$71</v>
      </c>
    </row>
    <row r="52" spans="2:3" x14ac:dyDescent="0.2">
      <c r="B52" t="s">
        <v>394</v>
      </c>
      <c r="C52" t="str">
        <f>+ADDRESS(ROW(Pro_Forma!D72),COLUMN(Pro_Forma!D72))</f>
        <v>$D$72</v>
      </c>
    </row>
    <row r="54" spans="2:3" x14ac:dyDescent="0.2">
      <c r="B54" s="1" t="s">
        <v>40</v>
      </c>
      <c r="C54" t="str">
        <f>C55&amp;":"&amp;C61</f>
        <v>$D$75:$D$82</v>
      </c>
    </row>
    <row r="55" spans="2:3" x14ac:dyDescent="0.2">
      <c r="B55" t="s">
        <v>41</v>
      </c>
      <c r="C55" t="str">
        <f>+ADDRESS(ROW(Pro_Forma!D75),COLUMN(Pro_Forma!D75))</f>
        <v>$D$75</v>
      </c>
    </row>
    <row r="56" spans="2:3" x14ac:dyDescent="0.2">
      <c r="B56" t="s">
        <v>167</v>
      </c>
      <c r="C56" t="str">
        <f>+ADDRESS(ROW(Pro_Forma!D76),COLUMN(Pro_Forma!D76))</f>
        <v>$D$76</v>
      </c>
    </row>
    <row r="57" spans="2:3" x14ac:dyDescent="0.2">
      <c r="B57" t="s">
        <v>37</v>
      </c>
      <c r="C57" t="str">
        <f>+ADDRESS(ROW(Pro_Forma!D77),COLUMN(Pro_Forma!D77))</f>
        <v>$D$77</v>
      </c>
    </row>
    <row r="58" spans="2:3" x14ac:dyDescent="0.2">
      <c r="B58" t="s">
        <v>143</v>
      </c>
      <c r="C58" t="str">
        <f>+ADDRESS(ROW(Pro_Forma!D78),COLUMN(Pro_Forma!D78))</f>
        <v>$D$78</v>
      </c>
    </row>
    <row r="59" spans="2:3" x14ac:dyDescent="0.2">
      <c r="B59" t="s">
        <v>38</v>
      </c>
      <c r="C59" t="str">
        <f>+ADDRESS(ROW(Pro_Forma!D80),COLUMN(Pro_Forma!D80))</f>
        <v>$D$80</v>
      </c>
    </row>
    <row r="60" spans="2:3" x14ac:dyDescent="0.2">
      <c r="B60" t="s">
        <v>39</v>
      </c>
      <c r="C60" t="str">
        <f>+ADDRESS(ROW(Pro_Forma!D81),COLUMN(Pro_Forma!D81))</f>
        <v>$D$81</v>
      </c>
    </row>
    <row r="61" spans="2:3" x14ac:dyDescent="0.2">
      <c r="B61" t="s">
        <v>395</v>
      </c>
      <c r="C61" t="str">
        <f>+ADDRESS(ROW(Pro_Forma!D82),COLUMN(Pro_Forma!D82))</f>
        <v>$D$82</v>
      </c>
    </row>
    <row r="63" spans="2:3" x14ac:dyDescent="0.2">
      <c r="B63" s="1" t="s">
        <v>55</v>
      </c>
      <c r="C63" t="str">
        <f>C64&amp;":"&amp;C68</f>
        <v>$D$86:$D$94</v>
      </c>
    </row>
    <row r="64" spans="2:3" x14ac:dyDescent="0.2">
      <c r="B64" t="s">
        <v>42</v>
      </c>
      <c r="C64" t="str">
        <f>+ADDRESS(ROW(Pro_Forma!D86),COLUMN(Pro_Forma!D86))</f>
        <v>$D$86</v>
      </c>
    </row>
    <row r="65" spans="2:3" x14ac:dyDescent="0.2">
      <c r="B65" t="s">
        <v>56</v>
      </c>
      <c r="C65" t="str">
        <f>+ADDRESS(ROW(Pro_Forma!D87),COLUMN(Pro_Forma!D87))</f>
        <v>$D$87</v>
      </c>
    </row>
    <row r="66" spans="2:3" x14ac:dyDescent="0.2">
      <c r="B66" t="s">
        <v>79</v>
      </c>
      <c r="C66" t="str">
        <f>+ADDRESS(ROW(Pro_Forma!D88),COLUMN(Pro_Forma!D88))</f>
        <v>$D$88</v>
      </c>
    </row>
    <row r="67" spans="2:3" x14ac:dyDescent="0.2">
      <c r="B67" t="s">
        <v>57</v>
      </c>
      <c r="C67" t="str">
        <f>+ADDRESS(ROW(Pro_Forma!D89),COLUMN(Pro_Forma!D89))</f>
        <v>$D$89</v>
      </c>
    </row>
    <row r="68" spans="2:3" x14ac:dyDescent="0.2">
      <c r="B68" t="s">
        <v>372</v>
      </c>
      <c r="C68" t="str">
        <f>+ADDRESS(ROW(Pro_Forma!D94),COLUMN(Pro_Forma!D94))</f>
        <v>$D$94</v>
      </c>
    </row>
    <row r="70" spans="2:3" x14ac:dyDescent="0.2">
      <c r="B70" s="1" t="s">
        <v>181</v>
      </c>
      <c r="C70" t="str">
        <f>C71&amp;":"&amp;C73</f>
        <v>$D$97:$D$101</v>
      </c>
    </row>
    <row r="71" spans="2:3" x14ac:dyDescent="0.2">
      <c r="B71" t="s">
        <v>77</v>
      </c>
      <c r="C71" t="str">
        <f>+ADDRESS(ROW(Pro_Forma!D97),COLUMN(Pro_Forma!D97))</f>
        <v>$D$97</v>
      </c>
    </row>
    <row r="72" spans="2:3" x14ac:dyDescent="0.2">
      <c r="B72" t="s">
        <v>134</v>
      </c>
      <c r="C72" t="str">
        <f>+ADDRESS(ROW(Pro_Forma!D100),COLUMN(Pro_Forma!D100))</f>
        <v>$D$100</v>
      </c>
    </row>
    <row r="73" spans="2:3" x14ac:dyDescent="0.2">
      <c r="B73" t="s">
        <v>396</v>
      </c>
      <c r="C73" t="str">
        <f>+ADDRESS(ROW(Pro_Forma!D101),COLUMN(Pro_Forma!D101))</f>
        <v>$D$101</v>
      </c>
    </row>
    <row r="75" spans="2:3" x14ac:dyDescent="0.2">
      <c r="B75" t="s">
        <v>186</v>
      </c>
      <c r="C75" t="str">
        <f>C76&amp;":"&amp;C80</f>
        <v>$D$105:$D$110</v>
      </c>
    </row>
    <row r="76" spans="2:3" x14ac:dyDescent="0.2">
      <c r="B76" t="s">
        <v>182</v>
      </c>
      <c r="C76" t="str">
        <f>+ADDRESS(ROW(Pro_Forma!D105),COLUMN(Pro_Forma!D105))</f>
        <v>$D$105</v>
      </c>
    </row>
    <row r="77" spans="2:3" x14ac:dyDescent="0.2">
      <c r="B77" t="s">
        <v>183</v>
      </c>
      <c r="C77" t="str">
        <f>+ADDRESS(ROW(Pro_Forma!D106),COLUMN(Pro_Forma!D106))</f>
        <v>$D$106</v>
      </c>
    </row>
    <row r="78" spans="2:3" x14ac:dyDescent="0.2">
      <c r="B78" t="s">
        <v>184</v>
      </c>
      <c r="C78" t="str">
        <f>+ADDRESS(ROW(Pro_Forma!D108),COLUMN(Pro_Forma!D108))</f>
        <v>$D$108</v>
      </c>
    </row>
    <row r="79" spans="2:3" x14ac:dyDescent="0.2">
      <c r="B79" t="s">
        <v>185</v>
      </c>
      <c r="C79" t="str">
        <f>+ADDRESS(ROW(Pro_Forma!D109),COLUMN(Pro_Forma!D109))</f>
        <v>$D$109</v>
      </c>
    </row>
    <row r="80" spans="2:3" x14ac:dyDescent="0.2">
      <c r="B80" t="s">
        <v>397</v>
      </c>
      <c r="C80" t="str">
        <f>+ADDRESS(ROW(Pro_Forma!D110),COLUMN(Pro_Forma!D110))</f>
        <v>$D$110</v>
      </c>
    </row>
    <row r="82" spans="2:3" x14ac:dyDescent="0.2">
      <c r="B82" s="1" t="s">
        <v>192</v>
      </c>
      <c r="C82" t="str">
        <f>C83&amp;":"&amp;C89</f>
        <v>$D$121:$D$127</v>
      </c>
    </row>
    <row r="83" spans="2:3" x14ac:dyDescent="0.2">
      <c r="B83" t="s">
        <v>193</v>
      </c>
      <c r="C83" t="str">
        <f>+ADDRESS(ROW(Pro_Forma!D121),COLUMN(Pro_Forma!D121))</f>
        <v>$D$121</v>
      </c>
    </row>
    <row r="84" spans="2:3" x14ac:dyDescent="0.2">
      <c r="B84" t="s">
        <v>194</v>
      </c>
      <c r="C84" t="str">
        <f>+ADDRESS(ROW(Pro_Forma!D122),COLUMN(Pro_Forma!D122))</f>
        <v>$D$122</v>
      </c>
    </row>
    <row r="85" spans="2:3" x14ac:dyDescent="0.2">
      <c r="B85" t="s">
        <v>199</v>
      </c>
      <c r="C85" t="str">
        <f>+ADDRESS(ROW(Pro_Forma!D123),COLUMN(Pro_Forma!D123))</f>
        <v>$D$123</v>
      </c>
    </row>
    <row r="86" spans="2:3" x14ac:dyDescent="0.2">
      <c r="B86" t="s">
        <v>195</v>
      </c>
      <c r="C86" t="str">
        <f>+ADDRESS(ROW(Pro_Forma!D124),COLUMN(Pro_Forma!D124))</f>
        <v>$D$124</v>
      </c>
    </row>
    <row r="87" spans="2:3" x14ac:dyDescent="0.2">
      <c r="B87" t="s">
        <v>196</v>
      </c>
      <c r="C87" t="str">
        <f>+ADDRESS(ROW(Pro_Forma!D125),COLUMN(Pro_Forma!D125))</f>
        <v>$D$125</v>
      </c>
    </row>
    <row r="88" spans="2:3" x14ac:dyDescent="0.2">
      <c r="B88" t="s">
        <v>197</v>
      </c>
      <c r="C88" t="str">
        <f>+ADDRESS(ROW(Pro_Forma!D126),COLUMN(Pro_Forma!D126))</f>
        <v>$D$126</v>
      </c>
    </row>
    <row r="89" spans="2:3" x14ac:dyDescent="0.2">
      <c r="B89" t="s">
        <v>198</v>
      </c>
      <c r="C89" t="str">
        <f>+ADDRESS(ROW(Pro_Forma!D127),COLUMN(Pro_Forma!D127))</f>
        <v>$D$127</v>
      </c>
    </row>
    <row r="91" spans="2:3" x14ac:dyDescent="0.2">
      <c r="B91" s="1" t="s">
        <v>180</v>
      </c>
      <c r="C91" t="str">
        <f>C92&amp;":"&amp;C98</f>
        <v>$D$130:$D$136</v>
      </c>
    </row>
    <row r="92" spans="2:3" x14ac:dyDescent="0.2">
      <c r="B92" t="s">
        <v>177</v>
      </c>
      <c r="C92" t="str">
        <f>+ADDRESS(ROW(Pro_Forma!D130),COLUMN(Pro_Forma!D130))</f>
        <v>$D$130</v>
      </c>
    </row>
    <row r="93" spans="2:3" x14ac:dyDescent="0.2">
      <c r="B93" t="s">
        <v>178</v>
      </c>
      <c r="C93" t="str">
        <f>+ADDRESS(ROW(Pro_Forma!D131),COLUMN(Pro_Forma!D131))</f>
        <v>$D$131</v>
      </c>
    </row>
    <row r="94" spans="2:3" x14ac:dyDescent="0.2">
      <c r="B94" t="s">
        <v>179</v>
      </c>
      <c r="C94" t="str">
        <f>+ADDRESS(ROW(Pro_Forma!D132),COLUMN(Pro_Forma!D132))</f>
        <v>$D$132</v>
      </c>
    </row>
    <row r="95" spans="2:3" x14ac:dyDescent="0.2">
      <c r="B95" t="s">
        <v>188</v>
      </c>
      <c r="C95" t="str">
        <f>+ADDRESS(ROW(Pro_Forma!D133),COLUMN(Pro_Forma!D133))</f>
        <v>$D$133</v>
      </c>
    </row>
    <row r="96" spans="2:3" x14ac:dyDescent="0.2">
      <c r="B96" t="s">
        <v>189</v>
      </c>
      <c r="C96" t="str">
        <f>+ADDRESS(ROW(Pro_Forma!D134),COLUMN(Pro_Forma!D134))</f>
        <v>$D$134</v>
      </c>
    </row>
    <row r="97" spans="2:3" x14ac:dyDescent="0.2">
      <c r="B97" t="s">
        <v>190</v>
      </c>
      <c r="C97" t="str">
        <f>+ADDRESS(ROW(Pro_Forma!D135),COLUMN(Pro_Forma!D135))</f>
        <v>$D$135</v>
      </c>
    </row>
    <row r="98" spans="2:3" x14ac:dyDescent="0.2">
      <c r="B98" t="s">
        <v>191</v>
      </c>
      <c r="C98" t="str">
        <f>+ADDRESS(ROW(Pro_Forma!D136),COLUMN(Pro_Forma!D136))</f>
        <v>$D$136</v>
      </c>
    </row>
    <row r="100" spans="2:3" x14ac:dyDescent="0.2">
      <c r="B100" t="s">
        <v>368</v>
      </c>
      <c r="C100" t="str">
        <f>+ADDRESS(ROW(Pro_Forma!H3),COLUMN(Pro_Forma!H3))</f>
        <v>$H$3</v>
      </c>
    </row>
    <row r="101" spans="2:3" x14ac:dyDescent="0.2">
      <c r="B101" t="s">
        <v>369</v>
      </c>
      <c r="C101" t="str">
        <f>+ADDRESS(ROW(Pro_Forma!H6),COLUMN(Pro_Forma!H6))</f>
        <v>$H$6</v>
      </c>
    </row>
    <row r="102" spans="2:3" x14ac:dyDescent="0.2">
      <c r="B102" t="s">
        <v>370</v>
      </c>
      <c r="C102" t="str">
        <f>C100&amp;":"&amp;C101</f>
        <v>$H$3:$H$6</v>
      </c>
    </row>
    <row r="104" spans="2:3" x14ac:dyDescent="0.2">
      <c r="B104" t="s">
        <v>384</v>
      </c>
      <c r="C104" t="str">
        <f>+ADDRESS(ROW(Pro_Forma!L11),COLUMN(Pro_Forma!L11))</f>
        <v>$L$11</v>
      </c>
    </row>
    <row r="105" spans="2:3" x14ac:dyDescent="0.2">
      <c r="B105" t="s">
        <v>385</v>
      </c>
      <c r="C105" t="str">
        <f>+ADDRESS(ROW(Pro_Forma!L13),COLUMN(Pro_Forma!L13))</f>
        <v>$L$13</v>
      </c>
    </row>
    <row r="106" spans="2:3" x14ac:dyDescent="0.2">
      <c r="B106" t="s">
        <v>386</v>
      </c>
      <c r="C106" t="str">
        <f>C104&amp;":"&amp;C105</f>
        <v>$L$11:$L$13</v>
      </c>
    </row>
    <row r="107" spans="2:3" x14ac:dyDescent="0.2">
      <c r="B107" t="s">
        <v>387</v>
      </c>
      <c r="C107" t="str">
        <f>+ADDRESS(ROW(Pro_Forma!L14),COLUMN(Pro_Forma!L14))</f>
        <v>$L$14</v>
      </c>
    </row>
    <row r="108" spans="2:3" x14ac:dyDescent="0.2">
      <c r="B108" t="s">
        <v>388</v>
      </c>
      <c r="C108" t="str">
        <f>+ADDRESS(ROW(Pro_Forma!L17),COLUMN(Pro_Forma!L17))</f>
        <v>$L$17</v>
      </c>
    </row>
    <row r="109" spans="2:3" x14ac:dyDescent="0.2">
      <c r="B109" t="s">
        <v>389</v>
      </c>
      <c r="C109" t="str">
        <f>C107&amp;":"&amp;C108</f>
        <v>$L$14:$L$17</v>
      </c>
    </row>
    <row r="110" spans="2:3" x14ac:dyDescent="0.2">
      <c r="B110" t="s">
        <v>390</v>
      </c>
      <c r="C110" t="str">
        <f>+ADDRESS(ROW(Pro_Forma!L18),COLUMN(Pro_Forma!L18))</f>
        <v>$L$18</v>
      </c>
    </row>
    <row r="111" spans="2:3" x14ac:dyDescent="0.2">
      <c r="B111" t="s">
        <v>391</v>
      </c>
      <c r="C111" t="str">
        <f>+ADDRESS(ROW(Pro_Forma!L21),COLUMN(Pro_Forma!L21))</f>
        <v>$L$21</v>
      </c>
    </row>
    <row r="112" spans="2:3" x14ac:dyDescent="0.2">
      <c r="B112" t="s">
        <v>392</v>
      </c>
      <c r="C112" t="str">
        <f>C110&amp;":"&amp;C111</f>
        <v>$L$18:$L$21</v>
      </c>
    </row>
    <row r="113" spans="2:3" x14ac:dyDescent="0.2">
      <c r="B113" t="s">
        <v>401</v>
      </c>
      <c r="C113" t="str">
        <f>+ADDRESS(ROW(Pro_Forma!L22),COLUMN(Pro_Forma!L22))</f>
        <v>$L$22</v>
      </c>
    </row>
    <row r="114" spans="2:3" x14ac:dyDescent="0.2">
      <c r="B114" t="s">
        <v>402</v>
      </c>
      <c r="C114" t="str">
        <f>+ADDRESS(ROW(Pro_Forma!L25),COLUMN(Pro_Forma!L25))</f>
        <v>$L$25</v>
      </c>
    </row>
    <row r="115" spans="2:3" x14ac:dyDescent="0.2">
      <c r="B115" t="s">
        <v>403</v>
      </c>
      <c r="C115" t="str">
        <f>C113&amp;":"&amp;C114</f>
        <v>$L$22:$L$25</v>
      </c>
    </row>
    <row r="116" spans="2:3" x14ac:dyDescent="0.2">
      <c r="B116" t="s">
        <v>393</v>
      </c>
      <c r="C116" t="str">
        <f>+ADDRESS(ROW(Pro_Forma!L26),COLUMN(Pro_Forma!L26))</f>
        <v>$L$26</v>
      </c>
    </row>
    <row r="118" spans="2:3" x14ac:dyDescent="0.2">
      <c r="B118" t="s">
        <v>374</v>
      </c>
      <c r="C118" t="str">
        <f>+ADDRESS(ROW(Pro_Forma!I11),COLUMN(Pro_Forma!I11))</f>
        <v>$I$11</v>
      </c>
    </row>
    <row r="119" spans="2:3" x14ac:dyDescent="0.2">
      <c r="B119" t="s">
        <v>375</v>
      </c>
      <c r="C119" t="str">
        <f>+ADDRESS(ROW(Pro_Forma!I13),COLUMN(Pro_Forma!I13))</f>
        <v>$I$13</v>
      </c>
    </row>
    <row r="120" spans="2:3" x14ac:dyDescent="0.2">
      <c r="B120" t="s">
        <v>377</v>
      </c>
      <c r="C120" t="str">
        <f>C118&amp;":"&amp;C119</f>
        <v>$I$11:$I$13</v>
      </c>
    </row>
    <row r="121" spans="2:3" x14ac:dyDescent="0.2">
      <c r="B121" t="s">
        <v>378</v>
      </c>
      <c r="C121" t="str">
        <f>+ADDRESS(ROW(Pro_Forma!I14),COLUMN(Pro_Forma!I14))</f>
        <v>$I$14</v>
      </c>
    </row>
    <row r="122" spans="2:3" x14ac:dyDescent="0.2">
      <c r="B122" t="s">
        <v>379</v>
      </c>
      <c r="C122" t="str">
        <f>+ADDRESS(ROW(Pro_Forma!I17),COLUMN(Pro_Forma!I17))</f>
        <v>$I$17</v>
      </c>
    </row>
    <row r="123" spans="2:3" x14ac:dyDescent="0.2">
      <c r="B123" t="s">
        <v>376</v>
      </c>
      <c r="C123" t="str">
        <f>C121&amp;":"&amp;C122</f>
        <v>$I$14:$I$17</v>
      </c>
    </row>
    <row r="124" spans="2:3" x14ac:dyDescent="0.2">
      <c r="B124" t="s">
        <v>380</v>
      </c>
      <c r="C124" t="str">
        <f>+ADDRESS(ROW(Pro_Forma!I18),COLUMN(Pro_Forma!I18))</f>
        <v>$I$18</v>
      </c>
    </row>
    <row r="125" spans="2:3" x14ac:dyDescent="0.2">
      <c r="B125" t="s">
        <v>381</v>
      </c>
      <c r="C125" t="str">
        <f>+ADDRESS(ROW(Pro_Forma!I21),COLUMN(Pro_Forma!I21))</f>
        <v>$I$21</v>
      </c>
    </row>
    <row r="126" spans="2:3" x14ac:dyDescent="0.2">
      <c r="B126" t="s">
        <v>382</v>
      </c>
      <c r="C126" t="str">
        <f>C124&amp;":"&amp;C125</f>
        <v>$I$18:$I$21</v>
      </c>
    </row>
    <row r="127" spans="2:3" x14ac:dyDescent="0.2">
      <c r="B127" t="s">
        <v>404</v>
      </c>
      <c r="C127" t="str">
        <f>+ADDRESS(ROW(Pro_Forma!I22),COLUMN(Pro_Forma!I22))</f>
        <v>$I$22</v>
      </c>
    </row>
    <row r="128" spans="2:3" x14ac:dyDescent="0.2">
      <c r="B128" t="s">
        <v>405</v>
      </c>
      <c r="C128" t="str">
        <f>+ADDRESS(ROW(Pro_Forma!I25),COLUMN(Pro_Forma!I25))</f>
        <v>$I$25</v>
      </c>
    </row>
    <row r="129" spans="2:3" x14ac:dyDescent="0.2">
      <c r="B129" t="s">
        <v>406</v>
      </c>
      <c r="C129" t="str">
        <f>C127&amp;":"&amp;C128</f>
        <v>$I$22:$I$25</v>
      </c>
    </row>
    <row r="130" spans="2:3" x14ac:dyDescent="0.2">
      <c r="B130" t="s">
        <v>383</v>
      </c>
      <c r="C130" t="str">
        <f>+ADDRESS(ROW(Pro_Forma!I26),COLUMN(Pro_Forma!I26))</f>
        <v>$I$26</v>
      </c>
    </row>
    <row r="136" spans="2:3" x14ac:dyDescent="0.2">
      <c r="B136" t="s">
        <v>373</v>
      </c>
      <c r="C136" t="str">
        <f>ADDRESS(ROW(Pro_Forma!S16),COLUMN(Pro_Forma!S16))</f>
        <v>$S$16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39DD-308D-4EE7-BDE1-7BE49C787D6B}">
  <sheetPr codeName="Sheet6"/>
  <dimension ref="A1:R718"/>
  <sheetViews>
    <sheetView topLeftCell="A679" workbookViewId="0">
      <selection activeCell="E131" sqref="E131:E155"/>
    </sheetView>
  </sheetViews>
  <sheetFormatPr baseColWidth="10" defaultColWidth="8.83203125" defaultRowHeight="15" x14ac:dyDescent="0.2"/>
  <cols>
    <col min="1" max="1" width="50.5" bestFit="1" customWidth="1"/>
    <col min="2" max="2" width="24.33203125" bestFit="1" customWidth="1"/>
    <col min="3" max="3" width="13.5" bestFit="1" customWidth="1"/>
    <col min="4" max="4" width="31.5" bestFit="1" customWidth="1"/>
    <col min="5" max="5" width="23.5" bestFit="1" customWidth="1"/>
    <col min="6" max="6" width="17.33203125" bestFit="1" customWidth="1"/>
    <col min="7" max="7" width="27.5" bestFit="1" customWidth="1"/>
    <col min="8" max="8" width="42.6640625" bestFit="1" customWidth="1"/>
  </cols>
  <sheetData>
    <row r="1" spans="1:18" x14ac:dyDescent="0.2">
      <c r="A1" s="344" t="s">
        <v>411</v>
      </c>
      <c r="B1" s="344" t="s">
        <v>412</v>
      </c>
      <c r="C1" s="344" t="s">
        <v>413</v>
      </c>
      <c r="D1" s="344" t="s">
        <v>414</v>
      </c>
      <c r="E1" s="344" t="s">
        <v>415</v>
      </c>
      <c r="F1" s="344" t="s">
        <v>416</v>
      </c>
      <c r="G1" s="344" t="s">
        <v>417</v>
      </c>
      <c r="H1" s="344" t="s">
        <v>418</v>
      </c>
      <c r="I1" s="344" t="s">
        <v>419</v>
      </c>
      <c r="J1" s="344" t="s">
        <v>420</v>
      </c>
      <c r="K1" s="344" t="s">
        <v>421</v>
      </c>
      <c r="L1" s="344" t="s">
        <v>422</v>
      </c>
      <c r="M1" s="344" t="s">
        <v>423</v>
      </c>
      <c r="N1" s="344" t="s">
        <v>424</v>
      </c>
      <c r="O1" s="344" t="s">
        <v>425</v>
      </c>
      <c r="P1" s="344" t="s">
        <v>426</v>
      </c>
      <c r="Q1" s="344" t="s">
        <v>427</v>
      </c>
      <c r="R1" s="344" t="s">
        <v>428</v>
      </c>
    </row>
    <row r="2" spans="1:18" x14ac:dyDescent="0.2">
      <c r="A2" s="345" t="s">
        <v>429</v>
      </c>
      <c r="B2" s="345" t="s">
        <v>323</v>
      </c>
      <c r="C2" s="345" t="s">
        <v>790</v>
      </c>
      <c r="D2" s="345" t="s">
        <v>491</v>
      </c>
      <c r="E2" s="345" t="s">
        <v>430</v>
      </c>
      <c r="F2" s="345" t="s">
        <v>431</v>
      </c>
      <c r="G2" s="345" t="s">
        <v>432</v>
      </c>
      <c r="H2" s="345" t="s">
        <v>433</v>
      </c>
      <c r="I2" s="345">
        <v>8</v>
      </c>
      <c r="J2" s="345">
        <v>11</v>
      </c>
      <c r="K2" s="345">
        <v>14</v>
      </c>
      <c r="L2" s="345">
        <v>17</v>
      </c>
      <c r="M2" s="345">
        <v>22</v>
      </c>
      <c r="N2" s="345">
        <v>25</v>
      </c>
      <c r="O2" s="345">
        <v>28</v>
      </c>
      <c r="P2" s="345">
        <v>31</v>
      </c>
      <c r="Q2" s="345" t="s">
        <v>791</v>
      </c>
      <c r="R2" s="345" t="s">
        <v>434</v>
      </c>
    </row>
    <row r="3" spans="1:18" x14ac:dyDescent="0.2">
      <c r="A3" s="345" t="s">
        <v>429</v>
      </c>
      <c r="B3" s="345" t="s">
        <v>323</v>
      </c>
      <c r="C3" s="345" t="s">
        <v>790</v>
      </c>
      <c r="D3" s="345" t="s">
        <v>491</v>
      </c>
      <c r="E3" s="345" t="s">
        <v>430</v>
      </c>
      <c r="F3" s="345" t="s">
        <v>431</v>
      </c>
      <c r="G3" s="345" t="s">
        <v>435</v>
      </c>
      <c r="H3" s="345" t="s">
        <v>436</v>
      </c>
      <c r="I3" s="345">
        <v>0</v>
      </c>
      <c r="J3" s="345">
        <v>0</v>
      </c>
      <c r="K3" s="345">
        <v>0</v>
      </c>
      <c r="L3" s="345">
        <v>0</v>
      </c>
      <c r="M3" s="345">
        <v>0</v>
      </c>
      <c r="N3" s="345">
        <v>0</v>
      </c>
      <c r="O3" s="345">
        <v>0</v>
      </c>
      <c r="P3" s="345">
        <v>0</v>
      </c>
      <c r="Q3" s="346" t="s">
        <v>791</v>
      </c>
      <c r="R3" s="345" t="s">
        <v>437</v>
      </c>
    </row>
    <row r="4" spans="1:18" x14ac:dyDescent="0.2">
      <c r="A4" s="345" t="s">
        <v>429</v>
      </c>
      <c r="B4" s="345" t="s">
        <v>323</v>
      </c>
      <c r="C4" s="345" t="s">
        <v>790</v>
      </c>
      <c r="D4" s="345" t="s">
        <v>491</v>
      </c>
      <c r="E4" s="345" t="s">
        <v>430</v>
      </c>
      <c r="F4" s="345" t="s">
        <v>438</v>
      </c>
      <c r="G4" s="345" t="s">
        <v>432</v>
      </c>
      <c r="H4" s="345" t="s">
        <v>439</v>
      </c>
      <c r="I4" s="345">
        <v>3</v>
      </c>
      <c r="J4" s="345">
        <v>4</v>
      </c>
      <c r="K4" s="345">
        <v>6</v>
      </c>
      <c r="L4" s="345">
        <v>7</v>
      </c>
      <c r="M4" s="345">
        <v>9</v>
      </c>
      <c r="N4" s="345">
        <v>10</v>
      </c>
      <c r="O4" s="345">
        <v>11</v>
      </c>
      <c r="P4" s="345">
        <v>12</v>
      </c>
      <c r="Q4" s="345" t="s">
        <v>791</v>
      </c>
      <c r="R4" s="345" t="s">
        <v>434</v>
      </c>
    </row>
    <row r="5" spans="1:18" x14ac:dyDescent="0.2">
      <c r="A5" s="345" t="s">
        <v>429</v>
      </c>
      <c r="B5" s="345" t="s">
        <v>323</v>
      </c>
      <c r="C5" s="345" t="s">
        <v>790</v>
      </c>
      <c r="D5" s="345" t="s">
        <v>491</v>
      </c>
      <c r="E5" s="345" t="s">
        <v>430</v>
      </c>
      <c r="F5" s="345" t="s">
        <v>438</v>
      </c>
      <c r="G5" s="345" t="s">
        <v>440</v>
      </c>
      <c r="H5" s="345" t="s">
        <v>441</v>
      </c>
      <c r="I5" s="345">
        <v>3</v>
      </c>
      <c r="J5" s="345">
        <v>4</v>
      </c>
      <c r="K5" s="345">
        <v>5</v>
      </c>
      <c r="L5" s="345">
        <v>7</v>
      </c>
      <c r="M5" s="345">
        <v>8</v>
      </c>
      <c r="N5" s="345">
        <v>10</v>
      </c>
      <c r="O5" s="345">
        <v>11</v>
      </c>
      <c r="P5" s="345">
        <v>12</v>
      </c>
      <c r="Q5" s="345" t="s">
        <v>791</v>
      </c>
      <c r="R5" s="345" t="s">
        <v>434</v>
      </c>
    </row>
    <row r="6" spans="1:18" x14ac:dyDescent="0.2">
      <c r="A6" s="345" t="s">
        <v>429</v>
      </c>
      <c r="B6" s="345" t="s">
        <v>323</v>
      </c>
      <c r="C6" s="345" t="s">
        <v>790</v>
      </c>
      <c r="D6" s="345" t="s">
        <v>491</v>
      </c>
      <c r="E6" s="345" t="s">
        <v>430</v>
      </c>
      <c r="F6" s="345" t="s">
        <v>442</v>
      </c>
      <c r="G6" s="345" t="s">
        <v>443</v>
      </c>
      <c r="H6" s="345" t="s">
        <v>444</v>
      </c>
      <c r="I6" s="345">
        <v>0</v>
      </c>
      <c r="J6" s="345">
        <v>0</v>
      </c>
      <c r="K6" s="345">
        <v>0</v>
      </c>
      <c r="L6" s="345">
        <v>0</v>
      </c>
      <c r="M6" s="345">
        <v>0</v>
      </c>
      <c r="N6" s="345">
        <v>0</v>
      </c>
      <c r="O6" s="345">
        <v>0</v>
      </c>
      <c r="P6" s="345">
        <v>0</v>
      </c>
      <c r="Q6" s="346" t="s">
        <v>791</v>
      </c>
      <c r="R6" s="345" t="s">
        <v>437</v>
      </c>
    </row>
    <row r="7" spans="1:18" x14ac:dyDescent="0.2">
      <c r="A7" s="345" t="s">
        <v>429</v>
      </c>
      <c r="B7" s="345" t="s">
        <v>323</v>
      </c>
      <c r="C7" s="345" t="s">
        <v>790</v>
      </c>
      <c r="D7" s="345" t="s">
        <v>491</v>
      </c>
      <c r="E7" s="345" t="s">
        <v>430</v>
      </c>
      <c r="F7" s="345" t="s">
        <v>445</v>
      </c>
      <c r="G7" s="345" t="s">
        <v>443</v>
      </c>
      <c r="H7" s="345" t="s">
        <v>446</v>
      </c>
      <c r="I7" s="345">
        <v>0</v>
      </c>
      <c r="J7" s="345">
        <v>0</v>
      </c>
      <c r="K7" s="345">
        <v>0</v>
      </c>
      <c r="L7" s="345">
        <v>0</v>
      </c>
      <c r="M7" s="345">
        <v>0</v>
      </c>
      <c r="N7" s="345">
        <v>0</v>
      </c>
      <c r="O7" s="345">
        <v>0</v>
      </c>
      <c r="P7" s="345">
        <v>0</v>
      </c>
      <c r="Q7" s="346" t="s">
        <v>791</v>
      </c>
      <c r="R7" s="345" t="s">
        <v>437</v>
      </c>
    </row>
    <row r="8" spans="1:18" x14ac:dyDescent="0.2">
      <c r="A8" s="345" t="s">
        <v>429</v>
      </c>
      <c r="B8" s="345" t="s">
        <v>323</v>
      </c>
      <c r="C8" s="345" t="s">
        <v>790</v>
      </c>
      <c r="D8" s="345" t="s">
        <v>491</v>
      </c>
      <c r="E8" s="345" t="s">
        <v>430</v>
      </c>
      <c r="F8" s="345" t="s">
        <v>447</v>
      </c>
      <c r="G8" s="345" t="s">
        <v>443</v>
      </c>
      <c r="H8" s="345" t="s">
        <v>448</v>
      </c>
      <c r="I8" s="345">
        <v>0</v>
      </c>
      <c r="J8" s="345">
        <v>0</v>
      </c>
      <c r="K8" s="345">
        <v>0</v>
      </c>
      <c r="L8" s="345">
        <v>0</v>
      </c>
      <c r="M8" s="345">
        <v>0</v>
      </c>
      <c r="N8" s="345">
        <v>0</v>
      </c>
      <c r="O8" s="345">
        <v>0</v>
      </c>
      <c r="P8" s="345">
        <v>0</v>
      </c>
      <c r="Q8" s="346" t="s">
        <v>791</v>
      </c>
      <c r="R8" s="345" t="s">
        <v>437</v>
      </c>
    </row>
    <row r="9" spans="1:18" x14ac:dyDescent="0.2">
      <c r="A9" s="345" t="s">
        <v>429</v>
      </c>
      <c r="B9" s="345" t="s">
        <v>323</v>
      </c>
      <c r="C9" s="345" t="s">
        <v>790</v>
      </c>
      <c r="D9" s="345" t="s">
        <v>491</v>
      </c>
      <c r="E9" s="345" t="s">
        <v>430</v>
      </c>
      <c r="F9" s="345" t="s">
        <v>449</v>
      </c>
      <c r="G9" s="345" t="s">
        <v>450</v>
      </c>
      <c r="H9" s="345" t="s">
        <v>451</v>
      </c>
      <c r="I9" s="345">
        <v>0</v>
      </c>
      <c r="J9" s="345">
        <v>0</v>
      </c>
      <c r="K9" s="345">
        <v>0</v>
      </c>
      <c r="L9" s="345">
        <v>0</v>
      </c>
      <c r="M9" s="345">
        <v>0</v>
      </c>
      <c r="N9" s="345">
        <v>0</v>
      </c>
      <c r="O9" s="345">
        <v>0</v>
      </c>
      <c r="P9" s="345">
        <v>0</v>
      </c>
      <c r="Q9" s="346" t="s">
        <v>791</v>
      </c>
      <c r="R9" s="345" t="s">
        <v>437</v>
      </c>
    </row>
    <row r="10" spans="1:18" x14ac:dyDescent="0.2">
      <c r="A10" s="345" t="s">
        <v>429</v>
      </c>
      <c r="B10" s="345" t="s">
        <v>323</v>
      </c>
      <c r="C10" s="345" t="s">
        <v>790</v>
      </c>
      <c r="D10" s="345" t="s">
        <v>491</v>
      </c>
      <c r="E10" s="345" t="s">
        <v>430</v>
      </c>
      <c r="F10" s="345" t="s">
        <v>449</v>
      </c>
      <c r="G10" s="345" t="s">
        <v>452</v>
      </c>
      <c r="H10" s="345" t="s">
        <v>453</v>
      </c>
      <c r="I10" s="345">
        <v>0</v>
      </c>
      <c r="J10" s="345">
        <v>0</v>
      </c>
      <c r="K10" s="345">
        <v>0</v>
      </c>
      <c r="L10" s="345">
        <v>0</v>
      </c>
      <c r="M10" s="345">
        <v>0</v>
      </c>
      <c r="N10" s="345">
        <v>0</v>
      </c>
      <c r="O10" s="345">
        <v>0</v>
      </c>
      <c r="P10" s="345">
        <v>0</v>
      </c>
      <c r="Q10" s="346" t="s">
        <v>791</v>
      </c>
      <c r="R10" s="345" t="s">
        <v>437</v>
      </c>
    </row>
    <row r="11" spans="1:18" x14ac:dyDescent="0.2">
      <c r="A11" s="345" t="s">
        <v>429</v>
      </c>
      <c r="B11" s="345" t="s">
        <v>323</v>
      </c>
      <c r="C11" s="345" t="s">
        <v>790</v>
      </c>
      <c r="D11" s="345" t="s">
        <v>491</v>
      </c>
      <c r="E11" s="345" t="s">
        <v>430</v>
      </c>
      <c r="F11" s="345" t="s">
        <v>449</v>
      </c>
      <c r="G11" s="345" t="s">
        <v>454</v>
      </c>
      <c r="H11" s="345" t="s">
        <v>455</v>
      </c>
      <c r="I11" s="345">
        <v>0</v>
      </c>
      <c r="J11" s="345">
        <v>0</v>
      </c>
      <c r="K11" s="345">
        <v>0</v>
      </c>
      <c r="L11" s="345">
        <v>0</v>
      </c>
      <c r="M11" s="345">
        <v>0</v>
      </c>
      <c r="N11" s="345">
        <v>0</v>
      </c>
      <c r="O11" s="345">
        <v>0</v>
      </c>
      <c r="P11" s="345">
        <v>0</v>
      </c>
      <c r="Q11" s="346" t="s">
        <v>791</v>
      </c>
      <c r="R11" s="345" t="s">
        <v>437</v>
      </c>
    </row>
    <row r="12" spans="1:18" x14ac:dyDescent="0.2">
      <c r="A12" s="345" t="s">
        <v>429</v>
      </c>
      <c r="B12" s="345" t="s">
        <v>323</v>
      </c>
      <c r="C12" s="345" t="s">
        <v>790</v>
      </c>
      <c r="D12" s="345" t="s">
        <v>491</v>
      </c>
      <c r="E12" s="345" t="s">
        <v>430</v>
      </c>
      <c r="F12" s="345" t="s">
        <v>456</v>
      </c>
      <c r="G12" s="345" t="s">
        <v>457</v>
      </c>
      <c r="H12" s="345" t="s">
        <v>458</v>
      </c>
      <c r="I12" s="345">
        <v>17</v>
      </c>
      <c r="J12" s="345">
        <v>24</v>
      </c>
      <c r="K12" s="345">
        <v>30</v>
      </c>
      <c r="L12" s="345">
        <v>37</v>
      </c>
      <c r="M12" s="345">
        <v>47</v>
      </c>
      <c r="N12" s="345">
        <v>54</v>
      </c>
      <c r="O12" s="345">
        <v>61</v>
      </c>
      <c r="P12" s="345">
        <v>67</v>
      </c>
      <c r="Q12" s="345" t="s">
        <v>791</v>
      </c>
      <c r="R12" s="345" t="s">
        <v>434</v>
      </c>
    </row>
    <row r="13" spans="1:18" x14ac:dyDescent="0.2">
      <c r="A13" s="345" t="s">
        <v>429</v>
      </c>
      <c r="B13" s="345" t="s">
        <v>323</v>
      </c>
      <c r="C13" s="345" t="s">
        <v>790</v>
      </c>
      <c r="D13" s="345" t="s">
        <v>491</v>
      </c>
      <c r="E13" s="345" t="s">
        <v>430</v>
      </c>
      <c r="F13" s="345" t="s">
        <v>459</v>
      </c>
      <c r="G13" s="345" t="s">
        <v>443</v>
      </c>
      <c r="H13" s="345" t="s">
        <v>460</v>
      </c>
      <c r="I13" s="345">
        <v>12</v>
      </c>
      <c r="J13" s="345">
        <v>12</v>
      </c>
      <c r="K13" s="345">
        <v>12</v>
      </c>
      <c r="L13" s="345">
        <v>12</v>
      </c>
      <c r="M13" s="345">
        <v>12</v>
      </c>
      <c r="N13" s="345">
        <v>12</v>
      </c>
      <c r="O13" s="345">
        <v>12</v>
      </c>
      <c r="P13" s="345">
        <v>12</v>
      </c>
      <c r="Q13" s="346" t="s">
        <v>791</v>
      </c>
      <c r="R13" s="345" t="s">
        <v>434</v>
      </c>
    </row>
    <row r="14" spans="1:18" x14ac:dyDescent="0.2">
      <c r="A14" s="345" t="s">
        <v>429</v>
      </c>
      <c r="B14" s="345" t="s">
        <v>323</v>
      </c>
      <c r="C14" s="345" t="s">
        <v>790</v>
      </c>
      <c r="D14" s="345" t="s">
        <v>491</v>
      </c>
      <c r="E14" s="345" t="s">
        <v>430</v>
      </c>
      <c r="F14" s="345" t="s">
        <v>461</v>
      </c>
      <c r="G14" s="345" t="s">
        <v>443</v>
      </c>
      <c r="H14" s="345" t="s">
        <v>462</v>
      </c>
      <c r="I14" s="345">
        <v>10</v>
      </c>
      <c r="J14" s="345">
        <v>10</v>
      </c>
      <c r="K14" s="345">
        <v>10</v>
      </c>
      <c r="L14" s="345">
        <v>10</v>
      </c>
      <c r="M14" s="345">
        <v>10</v>
      </c>
      <c r="N14" s="345">
        <v>10</v>
      </c>
      <c r="O14" s="345">
        <v>10</v>
      </c>
      <c r="P14" s="345">
        <v>10</v>
      </c>
      <c r="Q14" s="345" t="s">
        <v>791</v>
      </c>
      <c r="R14" s="345" t="s">
        <v>434</v>
      </c>
    </row>
    <row r="15" spans="1:18" x14ac:dyDescent="0.2">
      <c r="A15" s="345" t="s">
        <v>429</v>
      </c>
      <c r="B15" s="345" t="s">
        <v>323</v>
      </c>
      <c r="C15" s="345" t="s">
        <v>790</v>
      </c>
      <c r="D15" s="345" t="s">
        <v>491</v>
      </c>
      <c r="E15" s="345" t="s">
        <v>430</v>
      </c>
      <c r="F15" s="345" t="s">
        <v>463</v>
      </c>
      <c r="G15" s="345" t="s">
        <v>464</v>
      </c>
      <c r="H15" s="345" t="s">
        <v>463</v>
      </c>
      <c r="I15" s="345">
        <v>0</v>
      </c>
      <c r="J15" s="345">
        <v>0</v>
      </c>
      <c r="K15" s="345">
        <v>0</v>
      </c>
      <c r="L15" s="345">
        <v>0</v>
      </c>
      <c r="M15" s="345">
        <v>0</v>
      </c>
      <c r="N15" s="345">
        <v>0</v>
      </c>
      <c r="O15" s="345">
        <v>0</v>
      </c>
      <c r="P15" s="345">
        <v>0</v>
      </c>
      <c r="Q15" s="346" t="s">
        <v>791</v>
      </c>
      <c r="R15" s="345" t="s">
        <v>437</v>
      </c>
    </row>
    <row r="16" spans="1:18" x14ac:dyDescent="0.2">
      <c r="A16" s="345" t="s">
        <v>429</v>
      </c>
      <c r="B16" s="345" t="s">
        <v>323</v>
      </c>
      <c r="C16" s="345" t="s">
        <v>790</v>
      </c>
      <c r="D16" s="345" t="s">
        <v>491</v>
      </c>
      <c r="E16" s="345" t="s">
        <v>430</v>
      </c>
      <c r="F16" s="345" t="s">
        <v>465</v>
      </c>
      <c r="G16" s="345" t="s">
        <v>432</v>
      </c>
      <c r="H16" s="345" t="s">
        <v>466</v>
      </c>
      <c r="I16" s="345">
        <v>7</v>
      </c>
      <c r="J16" s="345">
        <v>9</v>
      </c>
      <c r="K16" s="345">
        <v>12</v>
      </c>
      <c r="L16" s="345">
        <v>15</v>
      </c>
      <c r="M16" s="345">
        <v>19</v>
      </c>
      <c r="N16" s="345">
        <v>21</v>
      </c>
      <c r="O16" s="345">
        <v>24</v>
      </c>
      <c r="P16" s="345">
        <v>27</v>
      </c>
      <c r="Q16" s="345" t="s">
        <v>791</v>
      </c>
      <c r="R16" s="345" t="s">
        <v>434</v>
      </c>
    </row>
    <row r="17" spans="1:18" x14ac:dyDescent="0.2">
      <c r="A17" s="345" t="s">
        <v>429</v>
      </c>
      <c r="B17" s="345" t="s">
        <v>323</v>
      </c>
      <c r="C17" s="345" t="s">
        <v>790</v>
      </c>
      <c r="D17" s="345" t="s">
        <v>491</v>
      </c>
      <c r="E17" s="345" t="s">
        <v>430</v>
      </c>
      <c r="F17" s="345" t="s">
        <v>465</v>
      </c>
      <c r="G17" s="345" t="s">
        <v>467</v>
      </c>
      <c r="H17" s="345" t="s">
        <v>468</v>
      </c>
      <c r="I17" s="345">
        <v>0</v>
      </c>
      <c r="J17" s="345">
        <v>0</v>
      </c>
      <c r="K17" s="345">
        <v>0</v>
      </c>
      <c r="L17" s="345">
        <v>0</v>
      </c>
      <c r="M17" s="345">
        <v>0</v>
      </c>
      <c r="N17" s="345">
        <v>0</v>
      </c>
      <c r="O17" s="345">
        <v>0</v>
      </c>
      <c r="P17" s="345">
        <v>0</v>
      </c>
      <c r="Q17" s="346" t="s">
        <v>791</v>
      </c>
      <c r="R17" s="345" t="s">
        <v>437</v>
      </c>
    </row>
    <row r="18" spans="1:18" x14ac:dyDescent="0.2">
      <c r="A18" s="345" t="s">
        <v>429</v>
      </c>
      <c r="B18" s="345" t="s">
        <v>323</v>
      </c>
      <c r="C18" s="345" t="s">
        <v>790</v>
      </c>
      <c r="D18" s="345" t="s">
        <v>491</v>
      </c>
      <c r="E18" s="345" t="s">
        <v>430</v>
      </c>
      <c r="F18" s="345" t="s">
        <v>465</v>
      </c>
      <c r="G18" s="345" t="s">
        <v>440</v>
      </c>
      <c r="H18" s="345" t="s">
        <v>469</v>
      </c>
      <c r="I18" s="345">
        <v>9</v>
      </c>
      <c r="J18" s="345">
        <v>12</v>
      </c>
      <c r="K18" s="345">
        <v>16</v>
      </c>
      <c r="L18" s="345">
        <v>19</v>
      </c>
      <c r="M18" s="345">
        <v>24</v>
      </c>
      <c r="N18" s="345">
        <v>28</v>
      </c>
      <c r="O18" s="345">
        <v>31</v>
      </c>
      <c r="P18" s="345">
        <v>35</v>
      </c>
      <c r="Q18" s="346" t="s">
        <v>791</v>
      </c>
      <c r="R18" s="345" t="s">
        <v>434</v>
      </c>
    </row>
    <row r="19" spans="1:18" x14ac:dyDescent="0.2">
      <c r="A19" s="345" t="s">
        <v>429</v>
      </c>
      <c r="B19" s="345" t="s">
        <v>323</v>
      </c>
      <c r="C19" s="345" t="s">
        <v>790</v>
      </c>
      <c r="D19" s="345" t="s">
        <v>491</v>
      </c>
      <c r="E19" s="345" t="s">
        <v>430</v>
      </c>
      <c r="F19" s="345" t="s">
        <v>465</v>
      </c>
      <c r="G19" s="345" t="s">
        <v>470</v>
      </c>
      <c r="H19" s="345" t="s">
        <v>471</v>
      </c>
      <c r="I19" s="345">
        <v>0</v>
      </c>
      <c r="J19" s="345">
        <v>0</v>
      </c>
      <c r="K19" s="345">
        <v>0</v>
      </c>
      <c r="L19" s="345">
        <v>0</v>
      </c>
      <c r="M19" s="345">
        <v>0</v>
      </c>
      <c r="N19" s="345">
        <v>0</v>
      </c>
      <c r="O19" s="345">
        <v>0</v>
      </c>
      <c r="P19" s="345">
        <v>0</v>
      </c>
      <c r="Q19" s="345" t="s">
        <v>791</v>
      </c>
      <c r="R19" s="345" t="s">
        <v>437</v>
      </c>
    </row>
    <row r="20" spans="1:18" x14ac:dyDescent="0.2">
      <c r="A20" s="345" t="s">
        <v>429</v>
      </c>
      <c r="B20" s="345" t="s">
        <v>323</v>
      </c>
      <c r="C20" s="345" t="s">
        <v>790</v>
      </c>
      <c r="D20" s="345" t="s">
        <v>491</v>
      </c>
      <c r="E20" s="345" t="s">
        <v>430</v>
      </c>
      <c r="F20" s="345" t="s">
        <v>465</v>
      </c>
      <c r="G20" s="345" t="s">
        <v>472</v>
      </c>
      <c r="H20" s="345" t="s">
        <v>473</v>
      </c>
      <c r="I20" s="345">
        <v>0</v>
      </c>
      <c r="J20" s="345">
        <v>0</v>
      </c>
      <c r="K20" s="345">
        <v>0</v>
      </c>
      <c r="L20" s="345">
        <v>0</v>
      </c>
      <c r="M20" s="345">
        <v>0</v>
      </c>
      <c r="N20" s="345">
        <v>0</v>
      </c>
      <c r="O20" s="345">
        <v>0</v>
      </c>
      <c r="P20" s="345">
        <v>0</v>
      </c>
      <c r="Q20" s="346" t="s">
        <v>791</v>
      </c>
      <c r="R20" s="345" t="s">
        <v>437</v>
      </c>
    </row>
    <row r="21" spans="1:18" x14ac:dyDescent="0.2">
      <c r="A21" s="345" t="s">
        <v>429</v>
      </c>
      <c r="B21" s="345" t="s">
        <v>323</v>
      </c>
      <c r="C21" s="345" t="s">
        <v>790</v>
      </c>
      <c r="D21" s="345" t="s">
        <v>491</v>
      </c>
      <c r="E21" s="345" t="s">
        <v>430</v>
      </c>
      <c r="F21" s="345" t="s">
        <v>474</v>
      </c>
      <c r="G21" s="345" t="s">
        <v>464</v>
      </c>
      <c r="H21" s="345" t="s">
        <v>474</v>
      </c>
      <c r="I21" s="345">
        <v>56</v>
      </c>
      <c r="J21" s="345">
        <v>56</v>
      </c>
      <c r="K21" s="345">
        <v>56</v>
      </c>
      <c r="L21" s="345">
        <v>56</v>
      </c>
      <c r="M21" s="345">
        <v>56</v>
      </c>
      <c r="N21" s="345">
        <v>56</v>
      </c>
      <c r="O21" s="345">
        <v>56</v>
      </c>
      <c r="P21" s="345">
        <v>56</v>
      </c>
      <c r="Q21" s="345" t="s">
        <v>791</v>
      </c>
      <c r="R21" s="345" t="s">
        <v>434</v>
      </c>
    </row>
    <row r="22" spans="1:18" x14ac:dyDescent="0.2">
      <c r="A22" s="345" t="s">
        <v>429</v>
      </c>
      <c r="B22" s="345" t="s">
        <v>323</v>
      </c>
      <c r="C22" s="345" t="s">
        <v>790</v>
      </c>
      <c r="D22" s="345" t="s">
        <v>491</v>
      </c>
      <c r="E22" s="345" t="s">
        <v>430</v>
      </c>
      <c r="F22" s="345" t="s">
        <v>475</v>
      </c>
      <c r="G22" s="345" t="s">
        <v>443</v>
      </c>
      <c r="H22" s="345" t="s">
        <v>476</v>
      </c>
      <c r="I22" s="345">
        <v>0</v>
      </c>
      <c r="J22" s="345">
        <v>0</v>
      </c>
      <c r="K22" s="345">
        <v>0</v>
      </c>
      <c r="L22" s="345">
        <v>0</v>
      </c>
      <c r="M22" s="345">
        <v>0</v>
      </c>
      <c r="N22" s="345">
        <v>0</v>
      </c>
      <c r="O22" s="345">
        <v>0</v>
      </c>
      <c r="P22" s="345">
        <v>0</v>
      </c>
      <c r="Q22" s="345" t="s">
        <v>791</v>
      </c>
      <c r="R22" s="345" t="s">
        <v>437</v>
      </c>
    </row>
    <row r="23" spans="1:18" x14ac:dyDescent="0.2">
      <c r="A23" s="345" t="s">
        <v>429</v>
      </c>
      <c r="B23" s="345" t="s">
        <v>323</v>
      </c>
      <c r="C23" s="345" t="s">
        <v>790</v>
      </c>
      <c r="D23" s="345" t="s">
        <v>491</v>
      </c>
      <c r="E23" s="345" t="s">
        <v>430</v>
      </c>
      <c r="F23" s="345" t="s">
        <v>477</v>
      </c>
      <c r="G23" s="345" t="s">
        <v>464</v>
      </c>
      <c r="H23" s="345" t="s">
        <v>477</v>
      </c>
      <c r="I23" s="345">
        <v>61</v>
      </c>
      <c r="J23" s="345">
        <v>85</v>
      </c>
      <c r="K23" s="345">
        <v>109</v>
      </c>
      <c r="L23" s="345">
        <v>133</v>
      </c>
      <c r="M23" s="345">
        <v>169</v>
      </c>
      <c r="N23" s="345">
        <v>194</v>
      </c>
      <c r="O23" s="345">
        <v>218</v>
      </c>
      <c r="P23" s="345">
        <v>242</v>
      </c>
      <c r="Q23" s="345" t="s">
        <v>791</v>
      </c>
      <c r="R23" s="345" t="s">
        <v>434</v>
      </c>
    </row>
    <row r="24" spans="1:18" x14ac:dyDescent="0.2">
      <c r="A24" s="345" t="s">
        <v>429</v>
      </c>
      <c r="B24" s="345" t="s">
        <v>323</v>
      </c>
      <c r="C24" s="345" t="s">
        <v>790</v>
      </c>
      <c r="D24" s="345" t="s">
        <v>491</v>
      </c>
      <c r="E24" s="345" t="s">
        <v>430</v>
      </c>
      <c r="F24" s="345" t="s">
        <v>478</v>
      </c>
      <c r="G24" s="345" t="s">
        <v>432</v>
      </c>
      <c r="H24" s="345" t="s">
        <v>479</v>
      </c>
      <c r="I24" s="345">
        <v>14</v>
      </c>
      <c r="J24" s="345">
        <v>20</v>
      </c>
      <c r="K24" s="345">
        <v>25</v>
      </c>
      <c r="L24" s="345">
        <v>31</v>
      </c>
      <c r="M24" s="345">
        <v>39</v>
      </c>
      <c r="N24" s="345">
        <v>45</v>
      </c>
      <c r="O24" s="345">
        <v>50</v>
      </c>
      <c r="P24" s="345">
        <v>56</v>
      </c>
      <c r="Q24" s="346" t="s">
        <v>791</v>
      </c>
      <c r="R24" s="345" t="s">
        <v>434</v>
      </c>
    </row>
    <row r="25" spans="1:18" x14ac:dyDescent="0.2">
      <c r="A25" s="345" t="s">
        <v>429</v>
      </c>
      <c r="B25" s="345" t="s">
        <v>323</v>
      </c>
      <c r="C25" s="345" t="s">
        <v>790</v>
      </c>
      <c r="D25" s="345" t="s">
        <v>491</v>
      </c>
      <c r="E25" s="345" t="s">
        <v>430</v>
      </c>
      <c r="F25" s="345" t="s">
        <v>478</v>
      </c>
      <c r="G25" s="345" t="s">
        <v>440</v>
      </c>
      <c r="H25" s="345" t="s">
        <v>480</v>
      </c>
      <c r="I25" s="345">
        <v>10</v>
      </c>
      <c r="J25" s="345">
        <v>14</v>
      </c>
      <c r="K25" s="345">
        <v>18</v>
      </c>
      <c r="L25" s="345">
        <v>22</v>
      </c>
      <c r="M25" s="345">
        <v>28</v>
      </c>
      <c r="N25" s="345">
        <v>32</v>
      </c>
      <c r="O25" s="345">
        <v>36</v>
      </c>
      <c r="P25" s="345">
        <v>40</v>
      </c>
      <c r="Q25" s="345" t="s">
        <v>791</v>
      </c>
      <c r="R25" s="345" t="s">
        <v>434</v>
      </c>
    </row>
    <row r="26" spans="1:18" x14ac:dyDescent="0.2">
      <c r="A26" s="345" t="s">
        <v>429</v>
      </c>
      <c r="B26" s="345" t="s">
        <v>323</v>
      </c>
      <c r="C26" s="345" t="s">
        <v>790</v>
      </c>
      <c r="D26" s="345" t="s">
        <v>491</v>
      </c>
      <c r="E26" s="345" t="s">
        <v>430</v>
      </c>
      <c r="F26" s="345" t="s">
        <v>478</v>
      </c>
      <c r="G26" s="345" t="s">
        <v>470</v>
      </c>
      <c r="H26" s="345" t="s">
        <v>481</v>
      </c>
      <c r="I26" s="345">
        <v>0</v>
      </c>
      <c r="J26" s="345">
        <v>0</v>
      </c>
      <c r="K26" s="345">
        <v>0</v>
      </c>
      <c r="L26" s="345">
        <v>0</v>
      </c>
      <c r="M26" s="345">
        <v>0</v>
      </c>
      <c r="N26" s="345">
        <v>0</v>
      </c>
      <c r="O26" s="345">
        <v>0</v>
      </c>
      <c r="P26" s="345">
        <v>0</v>
      </c>
      <c r="Q26" s="346" t="s">
        <v>791</v>
      </c>
      <c r="R26" s="345" t="s">
        <v>437</v>
      </c>
    </row>
    <row r="27" spans="1:18" x14ac:dyDescent="0.2">
      <c r="A27" s="345" t="s">
        <v>429</v>
      </c>
      <c r="B27" s="345" t="s">
        <v>323</v>
      </c>
      <c r="C27" s="345" t="s">
        <v>790</v>
      </c>
      <c r="D27" s="345" t="s">
        <v>491</v>
      </c>
      <c r="E27" s="345" t="s">
        <v>430</v>
      </c>
      <c r="F27" s="345" t="s">
        <v>449</v>
      </c>
      <c r="G27" s="345" t="s">
        <v>520</v>
      </c>
      <c r="H27" s="345" t="s">
        <v>521</v>
      </c>
      <c r="I27" s="345">
        <v>3</v>
      </c>
      <c r="J27" s="345">
        <v>3</v>
      </c>
      <c r="K27" s="345">
        <v>3</v>
      </c>
      <c r="L27" s="345">
        <v>3</v>
      </c>
      <c r="M27" s="345">
        <v>3</v>
      </c>
      <c r="N27" s="345">
        <v>3</v>
      </c>
      <c r="O27" s="345">
        <v>3</v>
      </c>
      <c r="P27" s="345">
        <v>3</v>
      </c>
      <c r="Q27" s="345" t="s">
        <v>791</v>
      </c>
      <c r="R27" s="345" t="s">
        <v>434</v>
      </c>
    </row>
    <row r="28" spans="1:18" x14ac:dyDescent="0.2">
      <c r="A28" s="345" t="s">
        <v>429</v>
      </c>
      <c r="B28" s="345" t="s">
        <v>323</v>
      </c>
      <c r="C28" s="345" t="s">
        <v>790</v>
      </c>
      <c r="D28" s="345" t="s">
        <v>491</v>
      </c>
      <c r="E28" s="345" t="s">
        <v>430</v>
      </c>
      <c r="F28" s="345" t="s">
        <v>449</v>
      </c>
      <c r="G28" s="345" t="s">
        <v>522</v>
      </c>
      <c r="H28" s="345" t="s">
        <v>523</v>
      </c>
      <c r="I28" s="345">
        <v>2</v>
      </c>
      <c r="J28" s="345">
        <v>2</v>
      </c>
      <c r="K28" s="345">
        <v>2</v>
      </c>
      <c r="L28" s="345">
        <v>2</v>
      </c>
      <c r="M28" s="345">
        <v>2</v>
      </c>
      <c r="N28" s="345">
        <v>2</v>
      </c>
      <c r="O28" s="345">
        <v>2</v>
      </c>
      <c r="P28" s="345">
        <v>2</v>
      </c>
      <c r="Q28" s="345" t="s">
        <v>791</v>
      </c>
      <c r="R28" s="345" t="s">
        <v>434</v>
      </c>
    </row>
    <row r="29" spans="1:18" x14ac:dyDescent="0.2">
      <c r="A29" s="345" t="s">
        <v>429</v>
      </c>
      <c r="B29" s="345" t="s">
        <v>323</v>
      </c>
      <c r="C29" s="345" t="s">
        <v>790</v>
      </c>
      <c r="D29" s="345" t="s">
        <v>482</v>
      </c>
      <c r="E29" s="345" t="s">
        <v>483</v>
      </c>
      <c r="F29" s="345" t="s">
        <v>431</v>
      </c>
      <c r="G29" s="345" t="s">
        <v>432</v>
      </c>
      <c r="H29" s="345" t="s">
        <v>433</v>
      </c>
      <c r="I29" s="345">
        <v>17</v>
      </c>
      <c r="J29" s="345">
        <v>24</v>
      </c>
      <c r="K29" s="345">
        <v>31</v>
      </c>
      <c r="L29" s="345">
        <v>38</v>
      </c>
      <c r="M29" s="345">
        <v>49</v>
      </c>
      <c r="N29" s="345">
        <v>56</v>
      </c>
      <c r="O29" s="345">
        <v>63</v>
      </c>
      <c r="P29" s="345">
        <v>69</v>
      </c>
      <c r="Q29" s="346" t="s">
        <v>791</v>
      </c>
      <c r="R29" s="345" t="s">
        <v>434</v>
      </c>
    </row>
    <row r="30" spans="1:18" x14ac:dyDescent="0.2">
      <c r="A30" s="345" t="s">
        <v>429</v>
      </c>
      <c r="B30" s="345" t="s">
        <v>323</v>
      </c>
      <c r="C30" s="345" t="s">
        <v>790</v>
      </c>
      <c r="D30" s="345" t="s">
        <v>482</v>
      </c>
      <c r="E30" s="345" t="s">
        <v>483</v>
      </c>
      <c r="F30" s="345" t="s">
        <v>431</v>
      </c>
      <c r="G30" s="345" t="s">
        <v>435</v>
      </c>
      <c r="H30" s="345" t="s">
        <v>436</v>
      </c>
      <c r="I30" s="345">
        <v>0</v>
      </c>
      <c r="J30" s="345">
        <v>0</v>
      </c>
      <c r="K30" s="345">
        <v>0</v>
      </c>
      <c r="L30" s="345">
        <v>0</v>
      </c>
      <c r="M30" s="345">
        <v>0</v>
      </c>
      <c r="N30" s="345">
        <v>0</v>
      </c>
      <c r="O30" s="345">
        <v>0</v>
      </c>
      <c r="P30" s="345">
        <v>0</v>
      </c>
      <c r="Q30" s="346" t="s">
        <v>791</v>
      </c>
      <c r="R30" s="345" t="s">
        <v>437</v>
      </c>
    </row>
    <row r="31" spans="1:18" x14ac:dyDescent="0.2">
      <c r="A31" s="345" t="s">
        <v>429</v>
      </c>
      <c r="B31" s="345" t="s">
        <v>323</v>
      </c>
      <c r="C31" s="345" t="s">
        <v>790</v>
      </c>
      <c r="D31" s="345" t="s">
        <v>482</v>
      </c>
      <c r="E31" s="345" t="s">
        <v>483</v>
      </c>
      <c r="F31" s="345" t="s">
        <v>438</v>
      </c>
      <c r="G31" s="345" t="s">
        <v>432</v>
      </c>
      <c r="H31" s="345" t="s">
        <v>439</v>
      </c>
      <c r="I31" s="345">
        <v>4</v>
      </c>
      <c r="J31" s="345">
        <v>6</v>
      </c>
      <c r="K31" s="345">
        <v>7</v>
      </c>
      <c r="L31" s="345">
        <v>9</v>
      </c>
      <c r="M31" s="345">
        <v>12</v>
      </c>
      <c r="N31" s="345">
        <v>13</v>
      </c>
      <c r="O31" s="345">
        <v>15</v>
      </c>
      <c r="P31" s="345">
        <v>17</v>
      </c>
      <c r="Q31" s="346" t="s">
        <v>791</v>
      </c>
      <c r="R31" s="345" t="s">
        <v>434</v>
      </c>
    </row>
    <row r="32" spans="1:18" x14ac:dyDescent="0.2">
      <c r="A32" s="345" t="s">
        <v>429</v>
      </c>
      <c r="B32" s="345" t="s">
        <v>323</v>
      </c>
      <c r="C32" s="345" t="s">
        <v>790</v>
      </c>
      <c r="D32" s="345" t="s">
        <v>482</v>
      </c>
      <c r="E32" s="345" t="s">
        <v>483</v>
      </c>
      <c r="F32" s="345" t="s">
        <v>438</v>
      </c>
      <c r="G32" s="345" t="s">
        <v>440</v>
      </c>
      <c r="H32" s="345" t="s">
        <v>441</v>
      </c>
      <c r="I32" s="345">
        <v>3</v>
      </c>
      <c r="J32" s="345">
        <v>4</v>
      </c>
      <c r="K32" s="345">
        <v>5</v>
      </c>
      <c r="L32" s="345">
        <v>7</v>
      </c>
      <c r="M32" s="345">
        <v>8</v>
      </c>
      <c r="N32" s="345">
        <v>10</v>
      </c>
      <c r="O32" s="345">
        <v>11</v>
      </c>
      <c r="P32" s="345">
        <v>12</v>
      </c>
      <c r="Q32" s="346" t="s">
        <v>791</v>
      </c>
      <c r="R32" s="345" t="s">
        <v>434</v>
      </c>
    </row>
    <row r="33" spans="1:18" x14ac:dyDescent="0.2">
      <c r="A33" s="345" t="s">
        <v>429</v>
      </c>
      <c r="B33" s="345" t="s">
        <v>323</v>
      </c>
      <c r="C33" s="345" t="s">
        <v>790</v>
      </c>
      <c r="D33" s="345" t="s">
        <v>482</v>
      </c>
      <c r="E33" s="345" t="s">
        <v>483</v>
      </c>
      <c r="F33" s="345" t="s">
        <v>442</v>
      </c>
      <c r="G33" s="345" t="s">
        <v>443</v>
      </c>
      <c r="H33" s="345" t="s">
        <v>444</v>
      </c>
      <c r="I33" s="345">
        <v>0</v>
      </c>
      <c r="J33" s="345">
        <v>0</v>
      </c>
      <c r="K33" s="345">
        <v>0</v>
      </c>
      <c r="L33" s="345">
        <v>0</v>
      </c>
      <c r="M33" s="345">
        <v>0</v>
      </c>
      <c r="N33" s="345">
        <v>0</v>
      </c>
      <c r="O33" s="345">
        <v>0</v>
      </c>
      <c r="P33" s="345">
        <v>0</v>
      </c>
      <c r="Q33" s="346" t="s">
        <v>791</v>
      </c>
      <c r="R33" s="345" t="s">
        <v>437</v>
      </c>
    </row>
    <row r="34" spans="1:18" x14ac:dyDescent="0.2">
      <c r="A34" s="345" t="s">
        <v>429</v>
      </c>
      <c r="B34" s="345" t="s">
        <v>323</v>
      </c>
      <c r="C34" s="345" t="s">
        <v>790</v>
      </c>
      <c r="D34" s="345" t="s">
        <v>482</v>
      </c>
      <c r="E34" s="345" t="s">
        <v>483</v>
      </c>
      <c r="F34" s="345" t="s">
        <v>445</v>
      </c>
      <c r="G34" s="345" t="s">
        <v>443</v>
      </c>
      <c r="H34" s="345" t="s">
        <v>446</v>
      </c>
      <c r="I34" s="345">
        <v>0</v>
      </c>
      <c r="J34" s="345">
        <v>0</v>
      </c>
      <c r="K34" s="345">
        <v>0</v>
      </c>
      <c r="L34" s="345">
        <v>0</v>
      </c>
      <c r="M34" s="345">
        <v>0</v>
      </c>
      <c r="N34" s="345">
        <v>0</v>
      </c>
      <c r="O34" s="345">
        <v>0</v>
      </c>
      <c r="P34" s="345">
        <v>0</v>
      </c>
      <c r="Q34" s="346" t="s">
        <v>791</v>
      </c>
      <c r="R34" s="345" t="s">
        <v>437</v>
      </c>
    </row>
    <row r="35" spans="1:18" x14ac:dyDescent="0.2">
      <c r="A35" s="345" t="s">
        <v>429</v>
      </c>
      <c r="B35" s="345" t="s">
        <v>323</v>
      </c>
      <c r="C35" s="345" t="s">
        <v>790</v>
      </c>
      <c r="D35" s="345" t="s">
        <v>482</v>
      </c>
      <c r="E35" s="345" t="s">
        <v>483</v>
      </c>
      <c r="F35" s="345" t="s">
        <v>447</v>
      </c>
      <c r="G35" s="345" t="s">
        <v>443</v>
      </c>
      <c r="H35" s="345" t="s">
        <v>448</v>
      </c>
      <c r="I35" s="345">
        <v>0</v>
      </c>
      <c r="J35" s="345">
        <v>0</v>
      </c>
      <c r="K35" s="345">
        <v>0</v>
      </c>
      <c r="L35" s="345">
        <v>0</v>
      </c>
      <c r="M35" s="345">
        <v>0</v>
      </c>
      <c r="N35" s="345">
        <v>0</v>
      </c>
      <c r="O35" s="345">
        <v>0</v>
      </c>
      <c r="P35" s="345">
        <v>0</v>
      </c>
      <c r="Q35" s="345" t="s">
        <v>791</v>
      </c>
      <c r="R35" s="345" t="s">
        <v>437</v>
      </c>
    </row>
    <row r="36" spans="1:18" x14ac:dyDescent="0.2">
      <c r="A36" s="345" t="s">
        <v>429</v>
      </c>
      <c r="B36" s="345" t="s">
        <v>323</v>
      </c>
      <c r="C36" s="345" t="s">
        <v>790</v>
      </c>
      <c r="D36" s="345" t="s">
        <v>482</v>
      </c>
      <c r="E36" s="345" t="s">
        <v>483</v>
      </c>
      <c r="F36" s="345" t="s">
        <v>449</v>
      </c>
      <c r="G36" s="345" t="s">
        <v>450</v>
      </c>
      <c r="H36" s="345" t="s">
        <v>451</v>
      </c>
      <c r="I36" s="345">
        <v>0</v>
      </c>
      <c r="J36" s="345">
        <v>0</v>
      </c>
      <c r="K36" s="345">
        <v>0</v>
      </c>
      <c r="L36" s="345">
        <v>0</v>
      </c>
      <c r="M36" s="345">
        <v>0</v>
      </c>
      <c r="N36" s="345">
        <v>0</v>
      </c>
      <c r="O36" s="345">
        <v>0</v>
      </c>
      <c r="P36" s="345">
        <v>0</v>
      </c>
      <c r="Q36" s="345" t="s">
        <v>791</v>
      </c>
      <c r="R36" s="345" t="s">
        <v>437</v>
      </c>
    </row>
    <row r="37" spans="1:18" x14ac:dyDescent="0.2">
      <c r="A37" s="345" t="s">
        <v>429</v>
      </c>
      <c r="B37" s="345" t="s">
        <v>323</v>
      </c>
      <c r="C37" s="345" t="s">
        <v>790</v>
      </c>
      <c r="D37" s="345" t="s">
        <v>482</v>
      </c>
      <c r="E37" s="345" t="s">
        <v>483</v>
      </c>
      <c r="F37" s="345" t="s">
        <v>449</v>
      </c>
      <c r="G37" s="345" t="s">
        <v>452</v>
      </c>
      <c r="H37" s="345" t="s">
        <v>453</v>
      </c>
      <c r="I37" s="345">
        <v>0</v>
      </c>
      <c r="J37" s="345">
        <v>0</v>
      </c>
      <c r="K37" s="345">
        <v>0</v>
      </c>
      <c r="L37" s="345">
        <v>0</v>
      </c>
      <c r="M37" s="345">
        <v>0</v>
      </c>
      <c r="N37" s="345">
        <v>0</v>
      </c>
      <c r="O37" s="345">
        <v>0</v>
      </c>
      <c r="P37" s="345">
        <v>0</v>
      </c>
      <c r="Q37" s="345" t="s">
        <v>791</v>
      </c>
      <c r="R37" s="345" t="s">
        <v>437</v>
      </c>
    </row>
    <row r="38" spans="1:18" x14ac:dyDescent="0.2">
      <c r="A38" s="345" t="s">
        <v>429</v>
      </c>
      <c r="B38" s="345" t="s">
        <v>323</v>
      </c>
      <c r="C38" s="345" t="s">
        <v>790</v>
      </c>
      <c r="D38" s="345" t="s">
        <v>482</v>
      </c>
      <c r="E38" s="345" t="s">
        <v>483</v>
      </c>
      <c r="F38" s="345" t="s">
        <v>449</v>
      </c>
      <c r="G38" s="345" t="s">
        <v>454</v>
      </c>
      <c r="H38" s="345" t="s">
        <v>455</v>
      </c>
      <c r="I38" s="345">
        <v>0</v>
      </c>
      <c r="J38" s="345">
        <v>0</v>
      </c>
      <c r="K38" s="345">
        <v>0</v>
      </c>
      <c r="L38" s="345">
        <v>0</v>
      </c>
      <c r="M38" s="345">
        <v>0</v>
      </c>
      <c r="N38" s="345">
        <v>0</v>
      </c>
      <c r="O38" s="345">
        <v>0</v>
      </c>
      <c r="P38" s="345">
        <v>0</v>
      </c>
      <c r="Q38" s="346" t="s">
        <v>791</v>
      </c>
      <c r="R38" s="345" t="s">
        <v>437</v>
      </c>
    </row>
    <row r="39" spans="1:18" x14ac:dyDescent="0.2">
      <c r="A39" s="345" t="s">
        <v>429</v>
      </c>
      <c r="B39" s="345" t="s">
        <v>323</v>
      </c>
      <c r="C39" s="345" t="s">
        <v>790</v>
      </c>
      <c r="D39" s="345" t="s">
        <v>482</v>
      </c>
      <c r="E39" s="345" t="s">
        <v>483</v>
      </c>
      <c r="F39" s="345" t="s">
        <v>456</v>
      </c>
      <c r="G39" s="345" t="s">
        <v>457</v>
      </c>
      <c r="H39" s="345" t="s">
        <v>458</v>
      </c>
      <c r="I39" s="345">
        <v>22</v>
      </c>
      <c r="J39" s="345">
        <v>31</v>
      </c>
      <c r="K39" s="345">
        <v>40</v>
      </c>
      <c r="L39" s="345">
        <v>49</v>
      </c>
      <c r="M39" s="345">
        <v>62</v>
      </c>
      <c r="N39" s="345">
        <v>71</v>
      </c>
      <c r="O39" s="345">
        <v>80</v>
      </c>
      <c r="P39" s="345">
        <v>89</v>
      </c>
      <c r="Q39" s="345" t="s">
        <v>791</v>
      </c>
      <c r="R39" s="345" t="s">
        <v>434</v>
      </c>
    </row>
    <row r="40" spans="1:18" x14ac:dyDescent="0.2">
      <c r="A40" s="345" t="s">
        <v>429</v>
      </c>
      <c r="B40" s="345" t="s">
        <v>323</v>
      </c>
      <c r="C40" s="345" t="s">
        <v>790</v>
      </c>
      <c r="D40" s="345" t="s">
        <v>482</v>
      </c>
      <c r="E40" s="345" t="s">
        <v>483</v>
      </c>
      <c r="F40" s="345" t="s">
        <v>459</v>
      </c>
      <c r="G40" s="345" t="s">
        <v>443</v>
      </c>
      <c r="H40" s="345" t="s">
        <v>460</v>
      </c>
      <c r="I40" s="345">
        <v>12</v>
      </c>
      <c r="J40" s="345">
        <v>12</v>
      </c>
      <c r="K40" s="345">
        <v>12</v>
      </c>
      <c r="L40" s="345">
        <v>12</v>
      </c>
      <c r="M40" s="345">
        <v>12</v>
      </c>
      <c r="N40" s="345">
        <v>12</v>
      </c>
      <c r="O40" s="345">
        <v>12</v>
      </c>
      <c r="P40" s="345">
        <v>12</v>
      </c>
      <c r="Q40" s="346" t="s">
        <v>791</v>
      </c>
      <c r="R40" s="345" t="s">
        <v>434</v>
      </c>
    </row>
    <row r="41" spans="1:18" x14ac:dyDescent="0.2">
      <c r="A41" s="345" t="s">
        <v>429</v>
      </c>
      <c r="B41" s="345" t="s">
        <v>323</v>
      </c>
      <c r="C41" s="345" t="s">
        <v>790</v>
      </c>
      <c r="D41" s="345" t="s">
        <v>482</v>
      </c>
      <c r="E41" s="345" t="s">
        <v>483</v>
      </c>
      <c r="F41" s="345" t="s">
        <v>461</v>
      </c>
      <c r="G41" s="345" t="s">
        <v>443</v>
      </c>
      <c r="H41" s="345" t="s">
        <v>462</v>
      </c>
      <c r="I41" s="345">
        <v>10</v>
      </c>
      <c r="J41" s="345">
        <v>10</v>
      </c>
      <c r="K41" s="345">
        <v>10</v>
      </c>
      <c r="L41" s="345">
        <v>10</v>
      </c>
      <c r="M41" s="345">
        <v>10</v>
      </c>
      <c r="N41" s="345">
        <v>10</v>
      </c>
      <c r="O41" s="345">
        <v>10</v>
      </c>
      <c r="P41" s="345">
        <v>10</v>
      </c>
      <c r="Q41" s="345" t="s">
        <v>791</v>
      </c>
      <c r="R41" s="345" t="s">
        <v>434</v>
      </c>
    </row>
    <row r="42" spans="1:18" x14ac:dyDescent="0.2">
      <c r="A42" s="345" t="s">
        <v>429</v>
      </c>
      <c r="B42" s="345" t="s">
        <v>323</v>
      </c>
      <c r="C42" s="345" t="s">
        <v>790</v>
      </c>
      <c r="D42" s="345" t="s">
        <v>482</v>
      </c>
      <c r="E42" s="345" t="s">
        <v>483</v>
      </c>
      <c r="F42" s="345" t="s">
        <v>463</v>
      </c>
      <c r="G42" s="345" t="s">
        <v>464</v>
      </c>
      <c r="H42" s="345" t="s">
        <v>463</v>
      </c>
      <c r="I42" s="345">
        <v>0</v>
      </c>
      <c r="J42" s="345">
        <v>0</v>
      </c>
      <c r="K42" s="345">
        <v>0</v>
      </c>
      <c r="L42" s="345">
        <v>0</v>
      </c>
      <c r="M42" s="345">
        <v>0</v>
      </c>
      <c r="N42" s="345">
        <v>0</v>
      </c>
      <c r="O42" s="345">
        <v>0</v>
      </c>
      <c r="P42" s="345">
        <v>0</v>
      </c>
      <c r="Q42" s="346" t="s">
        <v>791</v>
      </c>
      <c r="R42" s="345" t="s">
        <v>437</v>
      </c>
    </row>
    <row r="43" spans="1:18" x14ac:dyDescent="0.2">
      <c r="A43" s="345" t="s">
        <v>429</v>
      </c>
      <c r="B43" s="345" t="s">
        <v>323</v>
      </c>
      <c r="C43" s="345" t="s">
        <v>790</v>
      </c>
      <c r="D43" s="345" t="s">
        <v>482</v>
      </c>
      <c r="E43" s="345" t="s">
        <v>483</v>
      </c>
      <c r="F43" s="345" t="s">
        <v>465</v>
      </c>
      <c r="G43" s="345" t="s">
        <v>432</v>
      </c>
      <c r="H43" s="345" t="s">
        <v>466</v>
      </c>
      <c r="I43" s="345">
        <v>15</v>
      </c>
      <c r="J43" s="345">
        <v>21</v>
      </c>
      <c r="K43" s="345">
        <v>27</v>
      </c>
      <c r="L43" s="345">
        <v>33</v>
      </c>
      <c r="M43" s="345">
        <v>42</v>
      </c>
      <c r="N43" s="345">
        <v>48</v>
      </c>
      <c r="O43" s="345">
        <v>54</v>
      </c>
      <c r="P43" s="345">
        <v>60</v>
      </c>
      <c r="Q43" s="346" t="s">
        <v>791</v>
      </c>
      <c r="R43" s="345" t="s">
        <v>434</v>
      </c>
    </row>
    <row r="44" spans="1:18" x14ac:dyDescent="0.2">
      <c r="A44" s="345" t="s">
        <v>429</v>
      </c>
      <c r="B44" s="345" t="s">
        <v>323</v>
      </c>
      <c r="C44" s="345" t="s">
        <v>790</v>
      </c>
      <c r="D44" s="345" t="s">
        <v>482</v>
      </c>
      <c r="E44" s="345" t="s">
        <v>483</v>
      </c>
      <c r="F44" s="345" t="s">
        <v>465</v>
      </c>
      <c r="G44" s="345" t="s">
        <v>467</v>
      </c>
      <c r="H44" s="345" t="s">
        <v>468</v>
      </c>
      <c r="I44" s="345">
        <v>0</v>
      </c>
      <c r="J44" s="345">
        <v>0</v>
      </c>
      <c r="K44" s="345">
        <v>0</v>
      </c>
      <c r="L44" s="345">
        <v>0</v>
      </c>
      <c r="M44" s="345">
        <v>0</v>
      </c>
      <c r="N44" s="345">
        <v>0</v>
      </c>
      <c r="O44" s="345">
        <v>0</v>
      </c>
      <c r="P44" s="345">
        <v>0</v>
      </c>
      <c r="Q44" s="345" t="s">
        <v>791</v>
      </c>
      <c r="R44" s="345" t="s">
        <v>437</v>
      </c>
    </row>
    <row r="45" spans="1:18" x14ac:dyDescent="0.2">
      <c r="A45" s="345" t="s">
        <v>429</v>
      </c>
      <c r="B45" s="345" t="s">
        <v>323</v>
      </c>
      <c r="C45" s="345" t="s">
        <v>790</v>
      </c>
      <c r="D45" s="345" t="s">
        <v>482</v>
      </c>
      <c r="E45" s="345" t="s">
        <v>483</v>
      </c>
      <c r="F45" s="345" t="s">
        <v>465</v>
      </c>
      <c r="G45" s="345" t="s">
        <v>440</v>
      </c>
      <c r="H45" s="345" t="s">
        <v>469</v>
      </c>
      <c r="I45" s="345">
        <v>9</v>
      </c>
      <c r="J45" s="345">
        <v>12</v>
      </c>
      <c r="K45" s="345">
        <v>16</v>
      </c>
      <c r="L45" s="345">
        <v>19</v>
      </c>
      <c r="M45" s="345">
        <v>24</v>
      </c>
      <c r="N45" s="345">
        <v>28</v>
      </c>
      <c r="O45" s="345">
        <v>31</v>
      </c>
      <c r="P45" s="345">
        <v>35</v>
      </c>
      <c r="Q45" s="346" t="s">
        <v>791</v>
      </c>
      <c r="R45" s="345" t="s">
        <v>434</v>
      </c>
    </row>
    <row r="46" spans="1:18" x14ac:dyDescent="0.2">
      <c r="A46" s="345" t="s">
        <v>429</v>
      </c>
      <c r="B46" s="345" t="s">
        <v>323</v>
      </c>
      <c r="C46" s="345" t="s">
        <v>790</v>
      </c>
      <c r="D46" s="345" t="s">
        <v>482</v>
      </c>
      <c r="E46" s="345" t="s">
        <v>483</v>
      </c>
      <c r="F46" s="345" t="s">
        <v>465</v>
      </c>
      <c r="G46" s="345" t="s">
        <v>470</v>
      </c>
      <c r="H46" s="345" t="s">
        <v>471</v>
      </c>
      <c r="I46" s="345">
        <v>0</v>
      </c>
      <c r="J46" s="345">
        <v>0</v>
      </c>
      <c r="K46" s="345">
        <v>0</v>
      </c>
      <c r="L46" s="345">
        <v>0</v>
      </c>
      <c r="M46" s="345">
        <v>0</v>
      </c>
      <c r="N46" s="345">
        <v>0</v>
      </c>
      <c r="O46" s="345">
        <v>0</v>
      </c>
      <c r="P46" s="345">
        <v>0</v>
      </c>
      <c r="Q46" s="345" t="s">
        <v>791</v>
      </c>
      <c r="R46" s="345" t="s">
        <v>437</v>
      </c>
    </row>
    <row r="47" spans="1:18" x14ac:dyDescent="0.2">
      <c r="A47" s="345" t="s">
        <v>429</v>
      </c>
      <c r="B47" s="345" t="s">
        <v>323</v>
      </c>
      <c r="C47" s="345" t="s">
        <v>790</v>
      </c>
      <c r="D47" s="345" t="s">
        <v>482</v>
      </c>
      <c r="E47" s="345" t="s">
        <v>483</v>
      </c>
      <c r="F47" s="345" t="s">
        <v>465</v>
      </c>
      <c r="G47" s="345" t="s">
        <v>472</v>
      </c>
      <c r="H47" s="345" t="s">
        <v>473</v>
      </c>
      <c r="I47" s="345">
        <v>0</v>
      </c>
      <c r="J47" s="345">
        <v>0</v>
      </c>
      <c r="K47" s="345">
        <v>0</v>
      </c>
      <c r="L47" s="345">
        <v>0</v>
      </c>
      <c r="M47" s="345">
        <v>0</v>
      </c>
      <c r="N47" s="345">
        <v>0</v>
      </c>
      <c r="O47" s="345">
        <v>0</v>
      </c>
      <c r="P47" s="345">
        <v>0</v>
      </c>
      <c r="Q47" s="345" t="s">
        <v>791</v>
      </c>
      <c r="R47" s="345" t="s">
        <v>437</v>
      </c>
    </row>
    <row r="48" spans="1:18" x14ac:dyDescent="0.2">
      <c r="A48" s="345" t="s">
        <v>429</v>
      </c>
      <c r="B48" s="345" t="s">
        <v>323</v>
      </c>
      <c r="C48" s="345" t="s">
        <v>790</v>
      </c>
      <c r="D48" s="345" t="s">
        <v>482</v>
      </c>
      <c r="E48" s="345" t="s">
        <v>483</v>
      </c>
      <c r="F48" s="345" t="s">
        <v>474</v>
      </c>
      <c r="G48" s="345" t="s">
        <v>464</v>
      </c>
      <c r="H48" s="345" t="s">
        <v>474</v>
      </c>
      <c r="I48" s="345">
        <v>56</v>
      </c>
      <c r="J48" s="345">
        <v>56</v>
      </c>
      <c r="K48" s="345">
        <v>56</v>
      </c>
      <c r="L48" s="345">
        <v>56</v>
      </c>
      <c r="M48" s="345">
        <v>56</v>
      </c>
      <c r="N48" s="345">
        <v>56</v>
      </c>
      <c r="O48" s="345">
        <v>56</v>
      </c>
      <c r="P48" s="345">
        <v>56</v>
      </c>
      <c r="Q48" s="345" t="s">
        <v>791</v>
      </c>
      <c r="R48" s="345" t="s">
        <v>434</v>
      </c>
    </row>
    <row r="49" spans="1:18" x14ac:dyDescent="0.2">
      <c r="A49" s="345" t="s">
        <v>429</v>
      </c>
      <c r="B49" s="345" t="s">
        <v>323</v>
      </c>
      <c r="C49" s="345" t="s">
        <v>790</v>
      </c>
      <c r="D49" s="345" t="s">
        <v>482</v>
      </c>
      <c r="E49" s="345" t="s">
        <v>483</v>
      </c>
      <c r="F49" s="345" t="s">
        <v>475</v>
      </c>
      <c r="G49" s="345" t="s">
        <v>443</v>
      </c>
      <c r="H49" s="345" t="s">
        <v>476</v>
      </c>
      <c r="I49" s="345">
        <v>0</v>
      </c>
      <c r="J49" s="345">
        <v>0</v>
      </c>
      <c r="K49" s="345">
        <v>0</v>
      </c>
      <c r="L49" s="345">
        <v>0</v>
      </c>
      <c r="M49" s="345">
        <v>0</v>
      </c>
      <c r="N49" s="345">
        <v>0</v>
      </c>
      <c r="O49" s="345">
        <v>0</v>
      </c>
      <c r="P49" s="345">
        <v>0</v>
      </c>
      <c r="Q49" s="346" t="s">
        <v>791</v>
      </c>
      <c r="R49" s="345" t="s">
        <v>437</v>
      </c>
    </row>
    <row r="50" spans="1:18" x14ac:dyDescent="0.2">
      <c r="A50" s="345" t="s">
        <v>429</v>
      </c>
      <c r="B50" s="345" t="s">
        <v>323</v>
      </c>
      <c r="C50" s="345" t="s">
        <v>790</v>
      </c>
      <c r="D50" s="345" t="s">
        <v>482</v>
      </c>
      <c r="E50" s="345" t="s">
        <v>483</v>
      </c>
      <c r="F50" s="345" t="s">
        <v>477</v>
      </c>
      <c r="G50" s="345" t="s">
        <v>464</v>
      </c>
      <c r="H50" s="345" t="s">
        <v>477</v>
      </c>
      <c r="I50" s="345">
        <v>121</v>
      </c>
      <c r="J50" s="345">
        <v>169</v>
      </c>
      <c r="K50" s="345">
        <v>218</v>
      </c>
      <c r="L50" s="345">
        <v>266</v>
      </c>
      <c r="M50" s="345">
        <v>339</v>
      </c>
      <c r="N50" s="345">
        <v>387</v>
      </c>
      <c r="O50" s="345">
        <v>436</v>
      </c>
      <c r="P50" s="345">
        <v>484</v>
      </c>
      <c r="Q50" s="346" t="s">
        <v>791</v>
      </c>
      <c r="R50" s="345" t="s">
        <v>434</v>
      </c>
    </row>
    <row r="51" spans="1:18" x14ac:dyDescent="0.2">
      <c r="A51" s="345" t="s">
        <v>429</v>
      </c>
      <c r="B51" s="345" t="s">
        <v>323</v>
      </c>
      <c r="C51" s="345" t="s">
        <v>790</v>
      </c>
      <c r="D51" s="345" t="s">
        <v>482</v>
      </c>
      <c r="E51" s="345" t="s">
        <v>483</v>
      </c>
      <c r="F51" s="345" t="s">
        <v>478</v>
      </c>
      <c r="G51" s="345" t="s">
        <v>432</v>
      </c>
      <c r="H51" s="345" t="s">
        <v>479</v>
      </c>
      <c r="I51" s="345">
        <v>25</v>
      </c>
      <c r="J51" s="345">
        <v>36</v>
      </c>
      <c r="K51" s="345">
        <v>46</v>
      </c>
      <c r="L51" s="345">
        <v>56</v>
      </c>
      <c r="M51" s="345">
        <v>71</v>
      </c>
      <c r="N51" s="345">
        <v>81</v>
      </c>
      <c r="O51" s="345">
        <v>91</v>
      </c>
      <c r="P51" s="345">
        <v>102</v>
      </c>
      <c r="Q51" s="346" t="s">
        <v>791</v>
      </c>
      <c r="R51" s="345" t="s">
        <v>434</v>
      </c>
    </row>
    <row r="52" spans="1:18" x14ac:dyDescent="0.2">
      <c r="A52" s="345" t="s">
        <v>429</v>
      </c>
      <c r="B52" s="345" t="s">
        <v>323</v>
      </c>
      <c r="C52" s="345" t="s">
        <v>790</v>
      </c>
      <c r="D52" s="345" t="s">
        <v>482</v>
      </c>
      <c r="E52" s="345" t="s">
        <v>483</v>
      </c>
      <c r="F52" s="345" t="s">
        <v>478</v>
      </c>
      <c r="G52" s="345" t="s">
        <v>440</v>
      </c>
      <c r="H52" s="345" t="s">
        <v>480</v>
      </c>
      <c r="I52" s="345">
        <v>10</v>
      </c>
      <c r="J52" s="345">
        <v>14</v>
      </c>
      <c r="K52" s="345">
        <v>18</v>
      </c>
      <c r="L52" s="345">
        <v>22</v>
      </c>
      <c r="M52" s="345">
        <v>28</v>
      </c>
      <c r="N52" s="345">
        <v>32</v>
      </c>
      <c r="O52" s="345">
        <v>36</v>
      </c>
      <c r="P52" s="345">
        <v>40</v>
      </c>
      <c r="Q52" s="346" t="s">
        <v>791</v>
      </c>
      <c r="R52" s="345" t="s">
        <v>434</v>
      </c>
    </row>
    <row r="53" spans="1:18" x14ac:dyDescent="0.2">
      <c r="A53" s="345" t="s">
        <v>429</v>
      </c>
      <c r="B53" s="345" t="s">
        <v>323</v>
      </c>
      <c r="C53" s="345" t="s">
        <v>790</v>
      </c>
      <c r="D53" s="345" t="s">
        <v>482</v>
      </c>
      <c r="E53" s="345" t="s">
        <v>483</v>
      </c>
      <c r="F53" s="345" t="s">
        <v>478</v>
      </c>
      <c r="G53" s="345" t="s">
        <v>470</v>
      </c>
      <c r="H53" s="345" t="s">
        <v>481</v>
      </c>
      <c r="I53" s="345">
        <v>0</v>
      </c>
      <c r="J53" s="345">
        <v>0</v>
      </c>
      <c r="K53" s="345">
        <v>0</v>
      </c>
      <c r="L53" s="345">
        <v>0</v>
      </c>
      <c r="M53" s="345">
        <v>0</v>
      </c>
      <c r="N53" s="345">
        <v>0</v>
      </c>
      <c r="O53" s="345">
        <v>0</v>
      </c>
      <c r="P53" s="345">
        <v>0</v>
      </c>
      <c r="Q53" s="346" t="s">
        <v>791</v>
      </c>
      <c r="R53" s="345" t="s">
        <v>437</v>
      </c>
    </row>
    <row r="54" spans="1:18" x14ac:dyDescent="0.2">
      <c r="A54" s="345" t="s">
        <v>429</v>
      </c>
      <c r="B54" s="345" t="s">
        <v>323</v>
      </c>
      <c r="C54" s="345" t="s">
        <v>790</v>
      </c>
      <c r="D54" s="345" t="s">
        <v>482</v>
      </c>
      <c r="E54" s="345" t="s">
        <v>483</v>
      </c>
      <c r="F54" s="345" t="s">
        <v>449</v>
      </c>
      <c r="G54" s="345" t="s">
        <v>520</v>
      </c>
      <c r="H54" s="345" t="s">
        <v>521</v>
      </c>
      <c r="I54" s="345">
        <v>3</v>
      </c>
      <c r="J54" s="345">
        <v>3</v>
      </c>
      <c r="K54" s="345">
        <v>3</v>
      </c>
      <c r="L54" s="345">
        <v>3</v>
      </c>
      <c r="M54" s="345">
        <v>3</v>
      </c>
      <c r="N54" s="345">
        <v>3</v>
      </c>
      <c r="O54" s="345">
        <v>3</v>
      </c>
      <c r="P54" s="345">
        <v>3</v>
      </c>
      <c r="Q54" s="346" t="s">
        <v>791</v>
      </c>
      <c r="R54" s="345" t="s">
        <v>434</v>
      </c>
    </row>
    <row r="55" spans="1:18" x14ac:dyDescent="0.2">
      <c r="A55" s="345" t="s">
        <v>429</v>
      </c>
      <c r="B55" s="345" t="s">
        <v>323</v>
      </c>
      <c r="C55" s="345" t="s">
        <v>790</v>
      </c>
      <c r="D55" s="345" t="s">
        <v>482</v>
      </c>
      <c r="E55" s="345" t="s">
        <v>483</v>
      </c>
      <c r="F55" s="345" t="s">
        <v>449</v>
      </c>
      <c r="G55" s="345" t="s">
        <v>522</v>
      </c>
      <c r="H55" s="345" t="s">
        <v>523</v>
      </c>
      <c r="I55" s="345">
        <v>2</v>
      </c>
      <c r="J55" s="345">
        <v>2</v>
      </c>
      <c r="K55" s="345">
        <v>2</v>
      </c>
      <c r="L55" s="345">
        <v>2</v>
      </c>
      <c r="M55" s="345">
        <v>2</v>
      </c>
      <c r="N55" s="345">
        <v>2</v>
      </c>
      <c r="O55" s="345">
        <v>2</v>
      </c>
      <c r="P55" s="345">
        <v>2</v>
      </c>
      <c r="Q55" s="346" t="s">
        <v>791</v>
      </c>
      <c r="R55" s="345" t="s">
        <v>434</v>
      </c>
    </row>
    <row r="56" spans="1:18" x14ac:dyDescent="0.2">
      <c r="A56" s="345" t="s">
        <v>484</v>
      </c>
      <c r="B56" s="345" t="s">
        <v>485</v>
      </c>
      <c r="C56" s="345" t="s">
        <v>486</v>
      </c>
      <c r="D56" s="345" t="s">
        <v>491</v>
      </c>
      <c r="E56" s="345" t="s">
        <v>430</v>
      </c>
      <c r="F56" s="345" t="s">
        <v>431</v>
      </c>
      <c r="G56" s="345" t="s">
        <v>432</v>
      </c>
      <c r="H56" s="345" t="s">
        <v>433</v>
      </c>
      <c r="I56" s="345">
        <v>24</v>
      </c>
      <c r="J56" s="345">
        <v>28</v>
      </c>
      <c r="K56" s="345">
        <v>36</v>
      </c>
      <c r="L56" s="345">
        <v>50</v>
      </c>
      <c r="M56" s="345">
        <v>66</v>
      </c>
      <c r="N56" s="345">
        <v>80</v>
      </c>
      <c r="O56" s="345">
        <v>0</v>
      </c>
      <c r="P56" s="345">
        <v>0</v>
      </c>
      <c r="Q56" s="346" t="s">
        <v>487</v>
      </c>
      <c r="R56" s="345" t="s">
        <v>434</v>
      </c>
    </row>
    <row r="57" spans="1:18" x14ac:dyDescent="0.2">
      <c r="A57" s="345" t="s">
        <v>484</v>
      </c>
      <c r="B57" s="345" t="s">
        <v>485</v>
      </c>
      <c r="C57" s="345" t="s">
        <v>486</v>
      </c>
      <c r="D57" s="345" t="s">
        <v>491</v>
      </c>
      <c r="E57" s="345" t="s">
        <v>430</v>
      </c>
      <c r="F57" s="345" t="s">
        <v>431</v>
      </c>
      <c r="G57" s="345" t="s">
        <v>435</v>
      </c>
      <c r="H57" s="345" t="s">
        <v>436</v>
      </c>
      <c r="I57" s="345">
        <v>0</v>
      </c>
      <c r="J57" s="345">
        <v>0</v>
      </c>
      <c r="K57" s="345">
        <v>0</v>
      </c>
      <c r="L57" s="345">
        <v>0</v>
      </c>
      <c r="M57" s="345">
        <v>0</v>
      </c>
      <c r="N57" s="345">
        <v>0</v>
      </c>
      <c r="O57" s="345">
        <v>0</v>
      </c>
      <c r="P57" s="345">
        <v>0</v>
      </c>
      <c r="Q57" s="346" t="s">
        <v>487</v>
      </c>
      <c r="R57" s="345" t="s">
        <v>437</v>
      </c>
    </row>
    <row r="58" spans="1:18" x14ac:dyDescent="0.2">
      <c r="A58" s="345" t="s">
        <v>484</v>
      </c>
      <c r="B58" s="345" t="s">
        <v>485</v>
      </c>
      <c r="C58" s="345" t="s">
        <v>486</v>
      </c>
      <c r="D58" s="345" t="s">
        <v>491</v>
      </c>
      <c r="E58" s="345" t="s">
        <v>430</v>
      </c>
      <c r="F58" s="345" t="s">
        <v>438</v>
      </c>
      <c r="G58" s="345" t="s">
        <v>432</v>
      </c>
      <c r="H58" s="345" t="s">
        <v>439</v>
      </c>
      <c r="I58" s="345">
        <v>9</v>
      </c>
      <c r="J58" s="345">
        <v>11</v>
      </c>
      <c r="K58" s="345">
        <v>21</v>
      </c>
      <c r="L58" s="345">
        <v>27</v>
      </c>
      <c r="M58" s="345">
        <v>32</v>
      </c>
      <c r="N58" s="345">
        <v>38</v>
      </c>
      <c r="O58" s="345">
        <v>0</v>
      </c>
      <c r="P58" s="345">
        <v>0</v>
      </c>
      <c r="Q58" s="346" t="s">
        <v>487</v>
      </c>
      <c r="R58" s="345" t="s">
        <v>434</v>
      </c>
    </row>
    <row r="59" spans="1:18" x14ac:dyDescent="0.2">
      <c r="A59" s="345" t="s">
        <v>484</v>
      </c>
      <c r="B59" s="345" t="s">
        <v>485</v>
      </c>
      <c r="C59" s="345" t="s">
        <v>486</v>
      </c>
      <c r="D59" s="345" t="s">
        <v>491</v>
      </c>
      <c r="E59" s="345" t="s">
        <v>430</v>
      </c>
      <c r="F59" s="345" t="s">
        <v>438</v>
      </c>
      <c r="G59" s="345" t="s">
        <v>440</v>
      </c>
      <c r="H59" s="345" t="s">
        <v>441</v>
      </c>
      <c r="I59" s="345">
        <v>0</v>
      </c>
      <c r="J59" s="345">
        <v>0</v>
      </c>
      <c r="K59" s="345">
        <v>0</v>
      </c>
      <c r="L59" s="345">
        <v>0</v>
      </c>
      <c r="M59" s="345">
        <v>0</v>
      </c>
      <c r="N59" s="345">
        <v>0</v>
      </c>
      <c r="O59" s="345">
        <v>0</v>
      </c>
      <c r="P59" s="345">
        <v>0</v>
      </c>
      <c r="Q59" s="346" t="s">
        <v>487</v>
      </c>
      <c r="R59" s="345" t="s">
        <v>437</v>
      </c>
    </row>
    <row r="60" spans="1:18" x14ac:dyDescent="0.2">
      <c r="A60" s="345" t="s">
        <v>484</v>
      </c>
      <c r="B60" s="345" t="s">
        <v>485</v>
      </c>
      <c r="C60" s="345" t="s">
        <v>486</v>
      </c>
      <c r="D60" s="345" t="s">
        <v>491</v>
      </c>
      <c r="E60" s="345" t="s">
        <v>430</v>
      </c>
      <c r="F60" s="345" t="s">
        <v>442</v>
      </c>
      <c r="G60" s="345" t="s">
        <v>443</v>
      </c>
      <c r="H60" s="345" t="s">
        <v>444</v>
      </c>
      <c r="I60" s="345">
        <v>0</v>
      </c>
      <c r="J60" s="345">
        <v>0</v>
      </c>
      <c r="K60" s="345">
        <v>0</v>
      </c>
      <c r="L60" s="345">
        <v>0</v>
      </c>
      <c r="M60" s="345">
        <v>0</v>
      </c>
      <c r="N60" s="345">
        <v>0</v>
      </c>
      <c r="O60" s="345">
        <v>0</v>
      </c>
      <c r="P60" s="345">
        <v>0</v>
      </c>
      <c r="Q60" s="346" t="s">
        <v>487</v>
      </c>
      <c r="R60" s="345" t="s">
        <v>437</v>
      </c>
    </row>
    <row r="61" spans="1:18" x14ac:dyDescent="0.2">
      <c r="A61" s="345" t="s">
        <v>484</v>
      </c>
      <c r="B61" s="345" t="s">
        <v>485</v>
      </c>
      <c r="C61" s="345" t="s">
        <v>486</v>
      </c>
      <c r="D61" s="345" t="s">
        <v>491</v>
      </c>
      <c r="E61" s="345" t="s">
        <v>430</v>
      </c>
      <c r="F61" s="345" t="s">
        <v>445</v>
      </c>
      <c r="G61" s="345" t="s">
        <v>443</v>
      </c>
      <c r="H61" s="345" t="s">
        <v>446</v>
      </c>
      <c r="I61" s="345">
        <v>0</v>
      </c>
      <c r="J61" s="345">
        <v>0</v>
      </c>
      <c r="K61" s="345">
        <v>0</v>
      </c>
      <c r="L61" s="345">
        <v>0</v>
      </c>
      <c r="M61" s="345">
        <v>0</v>
      </c>
      <c r="N61" s="345">
        <v>0</v>
      </c>
      <c r="O61" s="345">
        <v>0</v>
      </c>
      <c r="P61" s="345">
        <v>0</v>
      </c>
      <c r="Q61" s="346" t="s">
        <v>487</v>
      </c>
      <c r="R61" s="345" t="s">
        <v>437</v>
      </c>
    </row>
    <row r="62" spans="1:18" x14ac:dyDescent="0.2">
      <c r="A62" s="345" t="s">
        <v>484</v>
      </c>
      <c r="B62" s="345" t="s">
        <v>485</v>
      </c>
      <c r="C62" s="345" t="s">
        <v>486</v>
      </c>
      <c r="D62" s="345" t="s">
        <v>491</v>
      </c>
      <c r="E62" s="345" t="s">
        <v>430</v>
      </c>
      <c r="F62" s="345" t="s">
        <v>447</v>
      </c>
      <c r="G62" s="345" t="s">
        <v>443</v>
      </c>
      <c r="H62" s="345" t="s">
        <v>448</v>
      </c>
      <c r="I62" s="345">
        <v>0</v>
      </c>
      <c r="J62" s="345">
        <v>0</v>
      </c>
      <c r="K62" s="345">
        <v>0</v>
      </c>
      <c r="L62" s="345">
        <v>0</v>
      </c>
      <c r="M62" s="345">
        <v>0</v>
      </c>
      <c r="N62" s="345">
        <v>0</v>
      </c>
      <c r="O62" s="345">
        <v>0</v>
      </c>
      <c r="P62" s="345">
        <v>0</v>
      </c>
      <c r="Q62" s="346" t="s">
        <v>487</v>
      </c>
      <c r="R62" s="345" t="s">
        <v>437</v>
      </c>
    </row>
    <row r="63" spans="1:18" x14ac:dyDescent="0.2">
      <c r="A63" s="345" t="s">
        <v>484</v>
      </c>
      <c r="B63" s="345" t="s">
        <v>485</v>
      </c>
      <c r="C63" s="345" t="s">
        <v>486</v>
      </c>
      <c r="D63" s="345" t="s">
        <v>491</v>
      </c>
      <c r="E63" s="345" t="s">
        <v>430</v>
      </c>
      <c r="F63" s="345" t="s">
        <v>449</v>
      </c>
      <c r="G63" s="345" t="s">
        <v>450</v>
      </c>
      <c r="H63" s="345" t="s">
        <v>451</v>
      </c>
      <c r="I63" s="345">
        <v>0</v>
      </c>
      <c r="J63" s="345">
        <v>0</v>
      </c>
      <c r="K63" s="345">
        <v>0</v>
      </c>
      <c r="L63" s="345">
        <v>0</v>
      </c>
      <c r="M63" s="345">
        <v>0</v>
      </c>
      <c r="N63" s="345">
        <v>0</v>
      </c>
      <c r="O63" s="345">
        <v>0</v>
      </c>
      <c r="P63" s="345">
        <v>0</v>
      </c>
      <c r="Q63" s="346" t="s">
        <v>487</v>
      </c>
      <c r="R63" s="345" t="s">
        <v>437</v>
      </c>
    </row>
    <row r="64" spans="1:18" x14ac:dyDescent="0.2">
      <c r="A64" s="345" t="s">
        <v>484</v>
      </c>
      <c r="B64" s="345" t="s">
        <v>485</v>
      </c>
      <c r="C64" s="345" t="s">
        <v>486</v>
      </c>
      <c r="D64" s="345" t="s">
        <v>491</v>
      </c>
      <c r="E64" s="345" t="s">
        <v>430</v>
      </c>
      <c r="F64" s="345" t="s">
        <v>449</v>
      </c>
      <c r="G64" s="345" t="s">
        <v>452</v>
      </c>
      <c r="H64" s="345" t="s">
        <v>453</v>
      </c>
      <c r="I64" s="345">
        <v>0</v>
      </c>
      <c r="J64" s="345">
        <v>0</v>
      </c>
      <c r="K64" s="345">
        <v>0</v>
      </c>
      <c r="L64" s="345">
        <v>0</v>
      </c>
      <c r="M64" s="345">
        <v>0</v>
      </c>
      <c r="N64" s="345">
        <v>0</v>
      </c>
      <c r="O64" s="345">
        <v>0</v>
      </c>
      <c r="P64" s="345">
        <v>0</v>
      </c>
      <c r="Q64" s="346" t="s">
        <v>487</v>
      </c>
      <c r="R64" s="345" t="s">
        <v>437</v>
      </c>
    </row>
    <row r="65" spans="1:18" x14ac:dyDescent="0.2">
      <c r="A65" s="345" t="s">
        <v>484</v>
      </c>
      <c r="B65" s="345" t="s">
        <v>485</v>
      </c>
      <c r="C65" s="345" t="s">
        <v>486</v>
      </c>
      <c r="D65" s="345" t="s">
        <v>491</v>
      </c>
      <c r="E65" s="345" t="s">
        <v>430</v>
      </c>
      <c r="F65" s="345" t="s">
        <v>449</v>
      </c>
      <c r="G65" s="345" t="s">
        <v>454</v>
      </c>
      <c r="H65" s="345" t="s">
        <v>455</v>
      </c>
      <c r="I65" s="345">
        <v>0</v>
      </c>
      <c r="J65" s="345">
        <v>0</v>
      </c>
      <c r="K65" s="345">
        <v>0</v>
      </c>
      <c r="L65" s="345">
        <v>0</v>
      </c>
      <c r="M65" s="345">
        <v>0</v>
      </c>
      <c r="N65" s="345">
        <v>0</v>
      </c>
      <c r="O65" s="345">
        <v>0</v>
      </c>
      <c r="P65" s="345">
        <v>0</v>
      </c>
      <c r="Q65" s="346" t="s">
        <v>487</v>
      </c>
      <c r="R65" s="345" t="s">
        <v>437</v>
      </c>
    </row>
    <row r="66" spans="1:18" x14ac:dyDescent="0.2">
      <c r="A66" s="345" t="s">
        <v>484</v>
      </c>
      <c r="B66" s="345" t="s">
        <v>485</v>
      </c>
      <c r="C66" s="345" t="s">
        <v>486</v>
      </c>
      <c r="D66" s="345" t="s">
        <v>491</v>
      </c>
      <c r="E66" s="345" t="s">
        <v>430</v>
      </c>
      <c r="F66" s="345" t="s">
        <v>456</v>
      </c>
      <c r="G66" s="345" t="s">
        <v>457</v>
      </c>
      <c r="H66" s="345" t="s">
        <v>458</v>
      </c>
      <c r="I66" s="345">
        <v>41</v>
      </c>
      <c r="J66" s="345">
        <v>48</v>
      </c>
      <c r="K66" s="345">
        <v>67</v>
      </c>
      <c r="L66" s="345">
        <v>86</v>
      </c>
      <c r="M66" s="345">
        <v>105</v>
      </c>
      <c r="N66" s="345">
        <v>124</v>
      </c>
      <c r="O66" s="345">
        <v>0</v>
      </c>
      <c r="P66" s="345">
        <v>0</v>
      </c>
      <c r="Q66" s="346" t="s">
        <v>487</v>
      </c>
      <c r="R66" s="345" t="s">
        <v>434</v>
      </c>
    </row>
    <row r="67" spans="1:18" x14ac:dyDescent="0.2">
      <c r="A67" s="345" t="s">
        <v>484</v>
      </c>
      <c r="B67" s="345" t="s">
        <v>485</v>
      </c>
      <c r="C67" s="345" t="s">
        <v>486</v>
      </c>
      <c r="D67" s="345" t="s">
        <v>491</v>
      </c>
      <c r="E67" s="345" t="s">
        <v>430</v>
      </c>
      <c r="F67" s="345" t="s">
        <v>459</v>
      </c>
      <c r="G67" s="345" t="s">
        <v>443</v>
      </c>
      <c r="H67" s="345" t="s">
        <v>460</v>
      </c>
      <c r="I67" s="345">
        <v>5</v>
      </c>
      <c r="J67" s="345">
        <v>5</v>
      </c>
      <c r="K67" s="345">
        <v>5</v>
      </c>
      <c r="L67" s="345">
        <v>5</v>
      </c>
      <c r="M67" s="345">
        <v>5</v>
      </c>
      <c r="N67" s="345">
        <v>5</v>
      </c>
      <c r="O67" s="345">
        <v>0</v>
      </c>
      <c r="P67" s="345">
        <v>0</v>
      </c>
      <c r="Q67" s="346" t="s">
        <v>487</v>
      </c>
      <c r="R67" s="345" t="s">
        <v>434</v>
      </c>
    </row>
    <row r="68" spans="1:18" x14ac:dyDescent="0.2">
      <c r="A68" s="345" t="s">
        <v>484</v>
      </c>
      <c r="B68" s="345" t="s">
        <v>485</v>
      </c>
      <c r="C68" s="345" t="s">
        <v>486</v>
      </c>
      <c r="D68" s="345" t="s">
        <v>491</v>
      </c>
      <c r="E68" s="345" t="s">
        <v>430</v>
      </c>
      <c r="F68" s="345" t="s">
        <v>461</v>
      </c>
      <c r="G68" s="345" t="s">
        <v>443</v>
      </c>
      <c r="H68" s="345" t="s">
        <v>462</v>
      </c>
      <c r="I68" s="345">
        <v>35</v>
      </c>
      <c r="J68" s="345">
        <v>35</v>
      </c>
      <c r="K68" s="345">
        <v>35</v>
      </c>
      <c r="L68" s="345">
        <v>35</v>
      </c>
      <c r="M68" s="345">
        <v>35</v>
      </c>
      <c r="N68" s="345">
        <v>35</v>
      </c>
      <c r="O68" s="345">
        <v>0</v>
      </c>
      <c r="P68" s="345">
        <v>0</v>
      </c>
      <c r="Q68" s="346" t="s">
        <v>487</v>
      </c>
      <c r="R68" s="345" t="s">
        <v>434</v>
      </c>
    </row>
    <row r="69" spans="1:18" x14ac:dyDescent="0.2">
      <c r="A69" s="345" t="s">
        <v>484</v>
      </c>
      <c r="B69" s="345" t="s">
        <v>485</v>
      </c>
      <c r="C69" s="345" t="s">
        <v>486</v>
      </c>
      <c r="D69" s="345" t="s">
        <v>491</v>
      </c>
      <c r="E69" s="345" t="s">
        <v>430</v>
      </c>
      <c r="F69" s="345" t="s">
        <v>463</v>
      </c>
      <c r="G69" s="345" t="s">
        <v>464</v>
      </c>
      <c r="H69" s="345" t="s">
        <v>463</v>
      </c>
      <c r="I69" s="345">
        <v>30</v>
      </c>
      <c r="J69" s="345">
        <v>30</v>
      </c>
      <c r="K69" s="345">
        <v>30</v>
      </c>
      <c r="L69" s="345">
        <v>30</v>
      </c>
      <c r="M69" s="345">
        <v>30</v>
      </c>
      <c r="N69" s="345">
        <v>30</v>
      </c>
      <c r="O69" s="345">
        <v>0</v>
      </c>
      <c r="P69" s="345">
        <v>0</v>
      </c>
      <c r="Q69" s="346" t="s">
        <v>487</v>
      </c>
      <c r="R69" s="345" t="s">
        <v>434</v>
      </c>
    </row>
    <row r="70" spans="1:18" x14ac:dyDescent="0.2">
      <c r="A70" s="345" t="s">
        <v>484</v>
      </c>
      <c r="B70" s="345" t="s">
        <v>485</v>
      </c>
      <c r="C70" s="345" t="s">
        <v>486</v>
      </c>
      <c r="D70" s="345" t="s">
        <v>491</v>
      </c>
      <c r="E70" s="345" t="s">
        <v>430</v>
      </c>
      <c r="F70" s="345" t="s">
        <v>465</v>
      </c>
      <c r="G70" s="345" t="s">
        <v>432</v>
      </c>
      <c r="H70" s="345" t="s">
        <v>466</v>
      </c>
      <c r="I70" s="345">
        <v>0</v>
      </c>
      <c r="J70" s="345">
        <v>0</v>
      </c>
      <c r="K70" s="345">
        <v>0</v>
      </c>
      <c r="L70" s="345">
        <v>0</v>
      </c>
      <c r="M70" s="345">
        <v>0</v>
      </c>
      <c r="N70" s="345">
        <v>0</v>
      </c>
      <c r="O70" s="345">
        <v>0</v>
      </c>
      <c r="P70" s="345">
        <v>0</v>
      </c>
      <c r="Q70" s="346" t="s">
        <v>487</v>
      </c>
      <c r="R70" s="345" t="s">
        <v>437</v>
      </c>
    </row>
    <row r="71" spans="1:18" x14ac:dyDescent="0.2">
      <c r="A71" s="345" t="s">
        <v>484</v>
      </c>
      <c r="B71" s="345" t="s">
        <v>485</v>
      </c>
      <c r="C71" s="345" t="s">
        <v>486</v>
      </c>
      <c r="D71" s="345" t="s">
        <v>491</v>
      </c>
      <c r="E71" s="345" t="s">
        <v>430</v>
      </c>
      <c r="F71" s="345" t="s">
        <v>465</v>
      </c>
      <c r="G71" s="345" t="s">
        <v>467</v>
      </c>
      <c r="H71" s="345" t="s">
        <v>468</v>
      </c>
      <c r="I71" s="345">
        <v>0</v>
      </c>
      <c r="J71" s="345">
        <v>0</v>
      </c>
      <c r="K71" s="345">
        <v>0</v>
      </c>
      <c r="L71" s="345">
        <v>0</v>
      </c>
      <c r="M71" s="345">
        <v>0</v>
      </c>
      <c r="N71" s="345">
        <v>0</v>
      </c>
      <c r="O71" s="345">
        <v>0</v>
      </c>
      <c r="P71" s="345">
        <v>0</v>
      </c>
      <c r="Q71" s="346" t="s">
        <v>487</v>
      </c>
      <c r="R71" s="345" t="s">
        <v>437</v>
      </c>
    </row>
    <row r="72" spans="1:18" x14ac:dyDescent="0.2">
      <c r="A72" s="345" t="s">
        <v>484</v>
      </c>
      <c r="B72" s="345" t="s">
        <v>485</v>
      </c>
      <c r="C72" s="345" t="s">
        <v>486</v>
      </c>
      <c r="D72" s="345" t="s">
        <v>491</v>
      </c>
      <c r="E72" s="345" t="s">
        <v>430</v>
      </c>
      <c r="F72" s="345" t="s">
        <v>465</v>
      </c>
      <c r="G72" s="345" t="s">
        <v>440</v>
      </c>
      <c r="H72" s="345" t="s">
        <v>469</v>
      </c>
      <c r="I72" s="345">
        <v>0</v>
      </c>
      <c r="J72" s="345">
        <v>0</v>
      </c>
      <c r="K72" s="345">
        <v>0</v>
      </c>
      <c r="L72" s="345">
        <v>0</v>
      </c>
      <c r="M72" s="345">
        <v>0</v>
      </c>
      <c r="N72" s="345">
        <v>0</v>
      </c>
      <c r="O72" s="345">
        <v>0</v>
      </c>
      <c r="P72" s="345">
        <v>0</v>
      </c>
      <c r="Q72" s="346" t="s">
        <v>487</v>
      </c>
      <c r="R72" s="345" t="s">
        <v>437</v>
      </c>
    </row>
    <row r="73" spans="1:18" x14ac:dyDescent="0.2">
      <c r="A73" s="345" t="s">
        <v>484</v>
      </c>
      <c r="B73" s="345" t="s">
        <v>485</v>
      </c>
      <c r="C73" s="345" t="s">
        <v>486</v>
      </c>
      <c r="D73" s="345" t="s">
        <v>491</v>
      </c>
      <c r="E73" s="345" t="s">
        <v>430</v>
      </c>
      <c r="F73" s="345" t="s">
        <v>465</v>
      </c>
      <c r="G73" s="345" t="s">
        <v>470</v>
      </c>
      <c r="H73" s="345" t="s">
        <v>471</v>
      </c>
      <c r="I73" s="345">
        <v>0</v>
      </c>
      <c r="J73" s="345">
        <v>0</v>
      </c>
      <c r="K73" s="345">
        <v>0</v>
      </c>
      <c r="L73" s="345">
        <v>0</v>
      </c>
      <c r="M73" s="345">
        <v>0</v>
      </c>
      <c r="N73" s="345">
        <v>0</v>
      </c>
      <c r="O73" s="345">
        <v>0</v>
      </c>
      <c r="P73" s="345">
        <v>0</v>
      </c>
      <c r="Q73" s="346" t="s">
        <v>487</v>
      </c>
      <c r="R73" s="345" t="s">
        <v>437</v>
      </c>
    </row>
    <row r="74" spans="1:18" x14ac:dyDescent="0.2">
      <c r="A74" s="345" t="s">
        <v>484</v>
      </c>
      <c r="B74" s="345" t="s">
        <v>485</v>
      </c>
      <c r="C74" s="345" t="s">
        <v>486</v>
      </c>
      <c r="D74" s="345" t="s">
        <v>491</v>
      </c>
      <c r="E74" s="345" t="s">
        <v>430</v>
      </c>
      <c r="F74" s="345" t="s">
        <v>465</v>
      </c>
      <c r="G74" s="345" t="s">
        <v>472</v>
      </c>
      <c r="H74" s="345" t="s">
        <v>473</v>
      </c>
      <c r="I74" s="345">
        <v>0</v>
      </c>
      <c r="J74" s="345">
        <v>0</v>
      </c>
      <c r="K74" s="345">
        <v>0</v>
      </c>
      <c r="L74" s="345">
        <v>0</v>
      </c>
      <c r="M74" s="345">
        <v>0</v>
      </c>
      <c r="N74" s="345">
        <v>0</v>
      </c>
      <c r="O74" s="345">
        <v>0</v>
      </c>
      <c r="P74" s="345">
        <v>0</v>
      </c>
      <c r="Q74" s="346" t="s">
        <v>487</v>
      </c>
      <c r="R74" s="345" t="s">
        <v>437</v>
      </c>
    </row>
    <row r="75" spans="1:18" x14ac:dyDescent="0.2">
      <c r="A75" s="345" t="s">
        <v>484</v>
      </c>
      <c r="B75" s="345" t="s">
        <v>485</v>
      </c>
      <c r="C75" s="345" t="s">
        <v>486</v>
      </c>
      <c r="D75" s="345" t="s">
        <v>491</v>
      </c>
      <c r="E75" s="345" t="s">
        <v>430</v>
      </c>
      <c r="F75" s="345" t="s">
        <v>474</v>
      </c>
      <c r="G75" s="345" t="s">
        <v>464</v>
      </c>
      <c r="H75" s="345" t="s">
        <v>474</v>
      </c>
      <c r="I75" s="345">
        <v>0</v>
      </c>
      <c r="J75" s="345">
        <v>0</v>
      </c>
      <c r="K75" s="345">
        <v>0</v>
      </c>
      <c r="L75" s="345">
        <v>0</v>
      </c>
      <c r="M75" s="345">
        <v>0</v>
      </c>
      <c r="N75" s="345">
        <v>0</v>
      </c>
      <c r="O75" s="345">
        <v>0</v>
      </c>
      <c r="P75" s="345">
        <v>0</v>
      </c>
      <c r="Q75" s="346" t="s">
        <v>487</v>
      </c>
      <c r="R75" s="345" t="s">
        <v>437</v>
      </c>
    </row>
    <row r="76" spans="1:18" x14ac:dyDescent="0.2">
      <c r="A76" s="345" t="s">
        <v>484</v>
      </c>
      <c r="B76" s="345" t="s">
        <v>485</v>
      </c>
      <c r="C76" s="345" t="s">
        <v>486</v>
      </c>
      <c r="D76" s="345" t="s">
        <v>491</v>
      </c>
      <c r="E76" s="345" t="s">
        <v>430</v>
      </c>
      <c r="F76" s="345" t="s">
        <v>475</v>
      </c>
      <c r="G76" s="345" t="s">
        <v>443</v>
      </c>
      <c r="H76" s="345" t="s">
        <v>476</v>
      </c>
      <c r="I76" s="345">
        <v>0</v>
      </c>
      <c r="J76" s="345">
        <v>0</v>
      </c>
      <c r="K76" s="345">
        <v>0</v>
      </c>
      <c r="L76" s="345">
        <v>0</v>
      </c>
      <c r="M76" s="345">
        <v>0</v>
      </c>
      <c r="N76" s="345">
        <v>0</v>
      </c>
      <c r="O76" s="345">
        <v>0</v>
      </c>
      <c r="P76" s="345">
        <v>0</v>
      </c>
      <c r="Q76" s="346" t="s">
        <v>487</v>
      </c>
      <c r="R76" s="345" t="s">
        <v>437</v>
      </c>
    </row>
    <row r="77" spans="1:18" x14ac:dyDescent="0.2">
      <c r="A77" s="345" t="s">
        <v>484</v>
      </c>
      <c r="B77" s="345" t="s">
        <v>485</v>
      </c>
      <c r="C77" s="345" t="s">
        <v>486</v>
      </c>
      <c r="D77" s="345" t="s">
        <v>491</v>
      </c>
      <c r="E77" s="345" t="s">
        <v>430</v>
      </c>
      <c r="F77" s="345" t="s">
        <v>477</v>
      </c>
      <c r="G77" s="345" t="s">
        <v>464</v>
      </c>
      <c r="H77" s="345" t="s">
        <v>477</v>
      </c>
      <c r="I77" s="345">
        <v>99</v>
      </c>
      <c r="J77" s="345">
        <v>106</v>
      </c>
      <c r="K77" s="345">
        <v>157</v>
      </c>
      <c r="L77" s="345">
        <v>232</v>
      </c>
      <c r="M77" s="345">
        <v>317</v>
      </c>
      <c r="N77" s="345">
        <v>404</v>
      </c>
      <c r="O77" s="345">
        <v>0</v>
      </c>
      <c r="P77" s="345">
        <v>0</v>
      </c>
      <c r="Q77" s="345" t="s">
        <v>487</v>
      </c>
      <c r="R77" s="345" t="s">
        <v>434</v>
      </c>
    </row>
    <row r="78" spans="1:18" x14ac:dyDescent="0.2">
      <c r="A78" s="345" t="s">
        <v>484</v>
      </c>
      <c r="B78" s="345" t="s">
        <v>485</v>
      </c>
      <c r="C78" s="345" t="s">
        <v>486</v>
      </c>
      <c r="D78" s="345" t="s">
        <v>491</v>
      </c>
      <c r="E78" s="345" t="s">
        <v>430</v>
      </c>
      <c r="F78" s="345" t="s">
        <v>478</v>
      </c>
      <c r="G78" s="345" t="s">
        <v>432</v>
      </c>
      <c r="H78" s="345" t="s">
        <v>479</v>
      </c>
      <c r="I78" s="345">
        <v>12</v>
      </c>
      <c r="J78" s="345">
        <v>17</v>
      </c>
      <c r="K78" s="345">
        <v>22</v>
      </c>
      <c r="L78" s="345">
        <v>27</v>
      </c>
      <c r="M78" s="345">
        <v>34</v>
      </c>
      <c r="N78" s="345">
        <v>39</v>
      </c>
      <c r="O78" s="345">
        <v>0</v>
      </c>
      <c r="P78" s="345">
        <v>0</v>
      </c>
      <c r="Q78" s="345" t="s">
        <v>487</v>
      </c>
      <c r="R78" s="345" t="s">
        <v>434</v>
      </c>
    </row>
    <row r="79" spans="1:18" x14ac:dyDescent="0.2">
      <c r="A79" s="345" t="s">
        <v>484</v>
      </c>
      <c r="B79" s="345" t="s">
        <v>485</v>
      </c>
      <c r="C79" s="345" t="s">
        <v>486</v>
      </c>
      <c r="D79" s="345" t="s">
        <v>491</v>
      </c>
      <c r="E79" s="345" t="s">
        <v>430</v>
      </c>
      <c r="F79" s="345" t="s">
        <v>478</v>
      </c>
      <c r="G79" s="345" t="s">
        <v>440</v>
      </c>
      <c r="H79" s="345" t="s">
        <v>480</v>
      </c>
      <c r="I79" s="345">
        <v>9</v>
      </c>
      <c r="J79" s="345">
        <v>11</v>
      </c>
      <c r="K79" s="345">
        <v>16</v>
      </c>
      <c r="L79" s="345">
        <v>21</v>
      </c>
      <c r="M79" s="345">
        <v>26</v>
      </c>
      <c r="N79" s="345">
        <v>31</v>
      </c>
      <c r="O79" s="345">
        <v>0</v>
      </c>
      <c r="P79" s="345">
        <v>0</v>
      </c>
      <c r="Q79" s="346" t="s">
        <v>487</v>
      </c>
      <c r="R79" s="345" t="s">
        <v>434</v>
      </c>
    </row>
    <row r="80" spans="1:18" x14ac:dyDescent="0.2">
      <c r="A80" s="345" t="s">
        <v>484</v>
      </c>
      <c r="B80" s="345" t="s">
        <v>485</v>
      </c>
      <c r="C80" s="345" t="s">
        <v>486</v>
      </c>
      <c r="D80" s="345" t="s">
        <v>491</v>
      </c>
      <c r="E80" s="345" t="s">
        <v>430</v>
      </c>
      <c r="F80" s="345" t="s">
        <v>478</v>
      </c>
      <c r="G80" s="345" t="s">
        <v>470</v>
      </c>
      <c r="H80" s="345" t="s">
        <v>481</v>
      </c>
      <c r="I80" s="345">
        <v>0</v>
      </c>
      <c r="J80" s="345">
        <v>0</v>
      </c>
      <c r="K80" s="345">
        <v>0</v>
      </c>
      <c r="L80" s="345">
        <v>0</v>
      </c>
      <c r="M80" s="345">
        <v>0</v>
      </c>
      <c r="N80" s="345">
        <v>0</v>
      </c>
      <c r="O80" s="345">
        <v>0</v>
      </c>
      <c r="P80" s="345">
        <v>0</v>
      </c>
      <c r="Q80" s="346" t="s">
        <v>487</v>
      </c>
      <c r="R80" s="345" t="s">
        <v>437</v>
      </c>
    </row>
    <row r="81" spans="1:18" x14ac:dyDescent="0.2">
      <c r="A81" s="345" t="s">
        <v>492</v>
      </c>
      <c r="B81" s="345" t="s">
        <v>493</v>
      </c>
      <c r="C81" s="345" t="s">
        <v>494</v>
      </c>
      <c r="D81" s="345" t="s">
        <v>491</v>
      </c>
      <c r="E81" s="345" t="s">
        <v>430</v>
      </c>
      <c r="F81" s="345" t="s">
        <v>431</v>
      </c>
      <c r="G81" s="345" t="s">
        <v>432</v>
      </c>
      <c r="H81" s="345" t="s">
        <v>433</v>
      </c>
      <c r="I81" s="345">
        <v>0</v>
      </c>
      <c r="J81" s="345">
        <v>0</v>
      </c>
      <c r="K81" s="345">
        <v>0</v>
      </c>
      <c r="L81" s="345">
        <v>0</v>
      </c>
      <c r="M81" s="345">
        <v>0</v>
      </c>
      <c r="N81" s="345">
        <v>0</v>
      </c>
      <c r="O81" s="345">
        <v>0</v>
      </c>
      <c r="P81" s="345">
        <v>0</v>
      </c>
      <c r="Q81" s="346" t="s">
        <v>495</v>
      </c>
      <c r="R81" s="345" t="s">
        <v>437</v>
      </c>
    </row>
    <row r="82" spans="1:18" x14ac:dyDescent="0.2">
      <c r="A82" s="345" t="s">
        <v>492</v>
      </c>
      <c r="B82" s="345" t="s">
        <v>493</v>
      </c>
      <c r="C82" s="345" t="s">
        <v>494</v>
      </c>
      <c r="D82" s="345" t="s">
        <v>491</v>
      </c>
      <c r="E82" s="345" t="s">
        <v>430</v>
      </c>
      <c r="F82" s="345" t="s">
        <v>431</v>
      </c>
      <c r="G82" s="345" t="s">
        <v>435</v>
      </c>
      <c r="H82" s="345" t="s">
        <v>436</v>
      </c>
      <c r="I82" s="345">
        <v>0</v>
      </c>
      <c r="J82" s="345">
        <v>0</v>
      </c>
      <c r="K82" s="345">
        <v>0</v>
      </c>
      <c r="L82" s="345">
        <v>0</v>
      </c>
      <c r="M82" s="345">
        <v>0</v>
      </c>
      <c r="N82" s="345">
        <v>0</v>
      </c>
      <c r="O82" s="345">
        <v>0</v>
      </c>
      <c r="P82" s="345">
        <v>0</v>
      </c>
      <c r="Q82" s="346" t="s">
        <v>495</v>
      </c>
      <c r="R82" s="345" t="s">
        <v>437</v>
      </c>
    </row>
    <row r="83" spans="1:18" x14ac:dyDescent="0.2">
      <c r="A83" s="345" t="s">
        <v>492</v>
      </c>
      <c r="B83" s="345" t="s">
        <v>493</v>
      </c>
      <c r="C83" s="345" t="s">
        <v>494</v>
      </c>
      <c r="D83" s="345" t="s">
        <v>491</v>
      </c>
      <c r="E83" s="345" t="s">
        <v>430</v>
      </c>
      <c r="F83" s="345" t="s">
        <v>438</v>
      </c>
      <c r="G83" s="345" t="s">
        <v>432</v>
      </c>
      <c r="H83" s="345" t="s">
        <v>439</v>
      </c>
      <c r="I83" s="345">
        <v>11</v>
      </c>
      <c r="J83" s="345">
        <v>15</v>
      </c>
      <c r="K83" s="345">
        <v>23</v>
      </c>
      <c r="L83" s="345">
        <v>30</v>
      </c>
      <c r="M83" s="345">
        <v>37</v>
      </c>
      <c r="N83" s="345">
        <v>44</v>
      </c>
      <c r="O83" s="345">
        <v>51</v>
      </c>
      <c r="P83" s="345">
        <v>0</v>
      </c>
      <c r="Q83" s="346" t="s">
        <v>496</v>
      </c>
      <c r="R83" s="345" t="s">
        <v>434</v>
      </c>
    </row>
    <row r="84" spans="1:18" x14ac:dyDescent="0.2">
      <c r="A84" s="345" t="s">
        <v>492</v>
      </c>
      <c r="B84" s="345" t="s">
        <v>493</v>
      </c>
      <c r="C84" s="345" t="s">
        <v>494</v>
      </c>
      <c r="D84" s="345" t="s">
        <v>491</v>
      </c>
      <c r="E84" s="345" t="s">
        <v>430</v>
      </c>
      <c r="F84" s="345" t="s">
        <v>438</v>
      </c>
      <c r="G84" s="345" t="s">
        <v>440</v>
      </c>
      <c r="H84" s="345" t="s">
        <v>441</v>
      </c>
      <c r="I84" s="345">
        <v>6</v>
      </c>
      <c r="J84" s="345">
        <v>7</v>
      </c>
      <c r="K84" s="345">
        <v>10</v>
      </c>
      <c r="L84" s="345">
        <v>13</v>
      </c>
      <c r="M84" s="345">
        <v>16</v>
      </c>
      <c r="N84" s="345">
        <v>19</v>
      </c>
      <c r="O84" s="345">
        <v>22</v>
      </c>
      <c r="P84" s="345">
        <v>0</v>
      </c>
      <c r="Q84" s="346" t="s">
        <v>496</v>
      </c>
      <c r="R84" s="345" t="s">
        <v>434</v>
      </c>
    </row>
    <row r="85" spans="1:18" x14ac:dyDescent="0.2">
      <c r="A85" s="345" t="s">
        <v>492</v>
      </c>
      <c r="B85" s="345" t="s">
        <v>493</v>
      </c>
      <c r="C85" s="345" t="s">
        <v>494</v>
      </c>
      <c r="D85" s="345" t="s">
        <v>491</v>
      </c>
      <c r="E85" s="345" t="s">
        <v>430</v>
      </c>
      <c r="F85" s="345" t="s">
        <v>442</v>
      </c>
      <c r="G85" s="345" t="s">
        <v>443</v>
      </c>
      <c r="H85" s="345" t="s">
        <v>444</v>
      </c>
      <c r="I85" s="345">
        <v>0</v>
      </c>
      <c r="J85" s="345">
        <v>0</v>
      </c>
      <c r="K85" s="345">
        <v>0</v>
      </c>
      <c r="L85" s="345">
        <v>0</v>
      </c>
      <c r="M85" s="345">
        <v>0</v>
      </c>
      <c r="N85" s="345">
        <v>0</v>
      </c>
      <c r="O85" s="345">
        <v>0</v>
      </c>
      <c r="P85" s="345">
        <v>0</v>
      </c>
      <c r="Q85" s="345" t="s">
        <v>495</v>
      </c>
      <c r="R85" s="345" t="s">
        <v>437</v>
      </c>
    </row>
    <row r="86" spans="1:18" x14ac:dyDescent="0.2">
      <c r="A86" s="345" t="s">
        <v>492</v>
      </c>
      <c r="B86" s="345" t="s">
        <v>493</v>
      </c>
      <c r="C86" s="345" t="s">
        <v>494</v>
      </c>
      <c r="D86" s="345" t="s">
        <v>491</v>
      </c>
      <c r="E86" s="345" t="s">
        <v>430</v>
      </c>
      <c r="F86" s="345" t="s">
        <v>445</v>
      </c>
      <c r="G86" s="345" t="s">
        <v>443</v>
      </c>
      <c r="H86" s="345" t="s">
        <v>446</v>
      </c>
      <c r="I86" s="345">
        <v>0</v>
      </c>
      <c r="J86" s="345">
        <v>0</v>
      </c>
      <c r="K86" s="345">
        <v>0</v>
      </c>
      <c r="L86" s="345">
        <v>0</v>
      </c>
      <c r="M86" s="345">
        <v>0</v>
      </c>
      <c r="N86" s="345">
        <v>0</v>
      </c>
      <c r="O86" s="345">
        <v>0</v>
      </c>
      <c r="P86" s="345">
        <v>0</v>
      </c>
      <c r="Q86" s="345" t="s">
        <v>495</v>
      </c>
      <c r="R86" s="345" t="s">
        <v>437</v>
      </c>
    </row>
    <row r="87" spans="1:18" x14ac:dyDescent="0.2">
      <c r="A87" s="345" t="s">
        <v>492</v>
      </c>
      <c r="B87" s="345" t="s">
        <v>493</v>
      </c>
      <c r="C87" s="345" t="s">
        <v>494</v>
      </c>
      <c r="D87" s="345" t="s">
        <v>491</v>
      </c>
      <c r="E87" s="345" t="s">
        <v>430</v>
      </c>
      <c r="F87" s="345" t="s">
        <v>447</v>
      </c>
      <c r="G87" s="345" t="s">
        <v>443</v>
      </c>
      <c r="H87" s="345" t="s">
        <v>448</v>
      </c>
      <c r="I87" s="345">
        <v>0</v>
      </c>
      <c r="J87" s="345">
        <v>0</v>
      </c>
      <c r="K87" s="345">
        <v>0</v>
      </c>
      <c r="L87" s="345">
        <v>0</v>
      </c>
      <c r="M87" s="345">
        <v>0</v>
      </c>
      <c r="N87" s="345">
        <v>0</v>
      </c>
      <c r="O87" s="345">
        <v>0</v>
      </c>
      <c r="P87" s="345">
        <v>0</v>
      </c>
      <c r="Q87" s="345" t="s">
        <v>495</v>
      </c>
      <c r="R87" s="345" t="s">
        <v>437</v>
      </c>
    </row>
    <row r="88" spans="1:18" x14ac:dyDescent="0.2">
      <c r="A88" s="345" t="s">
        <v>492</v>
      </c>
      <c r="B88" s="345" t="s">
        <v>493</v>
      </c>
      <c r="C88" s="345" t="s">
        <v>494</v>
      </c>
      <c r="D88" s="345" t="s">
        <v>491</v>
      </c>
      <c r="E88" s="345" t="s">
        <v>430</v>
      </c>
      <c r="F88" s="345" t="s">
        <v>449</v>
      </c>
      <c r="G88" s="345" t="s">
        <v>450</v>
      </c>
      <c r="H88" s="345" t="s">
        <v>451</v>
      </c>
      <c r="I88" s="345">
        <v>0</v>
      </c>
      <c r="J88" s="345">
        <v>0</v>
      </c>
      <c r="K88" s="345">
        <v>0</v>
      </c>
      <c r="L88" s="345">
        <v>0</v>
      </c>
      <c r="M88" s="345">
        <v>0</v>
      </c>
      <c r="N88" s="345">
        <v>0</v>
      </c>
      <c r="O88" s="345">
        <v>0</v>
      </c>
      <c r="P88" s="345">
        <v>0</v>
      </c>
      <c r="Q88" s="346" t="s">
        <v>495</v>
      </c>
      <c r="R88" s="345" t="s">
        <v>437</v>
      </c>
    </row>
    <row r="89" spans="1:18" x14ac:dyDescent="0.2">
      <c r="A89" s="345" t="s">
        <v>492</v>
      </c>
      <c r="B89" s="345" t="s">
        <v>493</v>
      </c>
      <c r="C89" s="345" t="s">
        <v>494</v>
      </c>
      <c r="D89" s="345" t="s">
        <v>491</v>
      </c>
      <c r="E89" s="345" t="s">
        <v>430</v>
      </c>
      <c r="F89" s="345" t="s">
        <v>449</v>
      </c>
      <c r="G89" s="345" t="s">
        <v>452</v>
      </c>
      <c r="H89" s="345" t="s">
        <v>453</v>
      </c>
      <c r="I89" s="345">
        <v>0</v>
      </c>
      <c r="J89" s="345">
        <v>0</v>
      </c>
      <c r="K89" s="345">
        <v>0</v>
      </c>
      <c r="L89" s="345">
        <v>0</v>
      </c>
      <c r="M89" s="345">
        <v>0</v>
      </c>
      <c r="N89" s="345">
        <v>0</v>
      </c>
      <c r="O89" s="345">
        <v>0</v>
      </c>
      <c r="P89" s="345">
        <v>0</v>
      </c>
      <c r="Q89" s="345" t="s">
        <v>495</v>
      </c>
      <c r="R89" s="345" t="s">
        <v>437</v>
      </c>
    </row>
    <row r="90" spans="1:18" x14ac:dyDescent="0.2">
      <c r="A90" s="345" t="s">
        <v>492</v>
      </c>
      <c r="B90" s="345" t="s">
        <v>493</v>
      </c>
      <c r="C90" s="345" t="s">
        <v>494</v>
      </c>
      <c r="D90" s="345" t="s">
        <v>491</v>
      </c>
      <c r="E90" s="345" t="s">
        <v>430</v>
      </c>
      <c r="F90" s="345" t="s">
        <v>449</v>
      </c>
      <c r="G90" s="345" t="s">
        <v>454</v>
      </c>
      <c r="H90" s="345" t="s">
        <v>455</v>
      </c>
      <c r="I90" s="345">
        <v>0</v>
      </c>
      <c r="J90" s="345">
        <v>0</v>
      </c>
      <c r="K90" s="345">
        <v>0</v>
      </c>
      <c r="L90" s="345">
        <v>0</v>
      </c>
      <c r="M90" s="345">
        <v>0</v>
      </c>
      <c r="N90" s="345">
        <v>0</v>
      </c>
      <c r="O90" s="345">
        <v>0</v>
      </c>
      <c r="P90" s="345">
        <v>0</v>
      </c>
      <c r="Q90" s="346" t="s">
        <v>495</v>
      </c>
      <c r="R90" s="345" t="s">
        <v>437</v>
      </c>
    </row>
    <row r="91" spans="1:18" x14ac:dyDescent="0.2">
      <c r="A91" s="345" t="s">
        <v>492</v>
      </c>
      <c r="B91" s="345" t="s">
        <v>493</v>
      </c>
      <c r="C91" s="345" t="s">
        <v>494</v>
      </c>
      <c r="D91" s="345" t="s">
        <v>491</v>
      </c>
      <c r="E91" s="345" t="s">
        <v>430</v>
      </c>
      <c r="F91" s="345" t="s">
        <v>456</v>
      </c>
      <c r="G91" s="345" t="s">
        <v>457</v>
      </c>
      <c r="H91" s="345" t="s">
        <v>458</v>
      </c>
      <c r="I91" s="345">
        <v>40</v>
      </c>
      <c r="J91" s="345">
        <v>50</v>
      </c>
      <c r="K91" s="345">
        <v>78</v>
      </c>
      <c r="L91" s="345">
        <v>106</v>
      </c>
      <c r="M91" s="345">
        <v>134</v>
      </c>
      <c r="N91" s="345">
        <v>163</v>
      </c>
      <c r="O91" s="345">
        <v>191</v>
      </c>
      <c r="P91" s="345">
        <v>0</v>
      </c>
      <c r="Q91" s="345" t="s">
        <v>496</v>
      </c>
      <c r="R91" s="345" t="s">
        <v>434</v>
      </c>
    </row>
    <row r="92" spans="1:18" x14ac:dyDescent="0.2">
      <c r="A92" s="345" t="s">
        <v>492</v>
      </c>
      <c r="B92" s="345" t="s">
        <v>493</v>
      </c>
      <c r="C92" s="345" t="s">
        <v>494</v>
      </c>
      <c r="D92" s="345" t="s">
        <v>491</v>
      </c>
      <c r="E92" s="345" t="s">
        <v>430</v>
      </c>
      <c r="F92" s="345" t="s">
        <v>459</v>
      </c>
      <c r="G92" s="345" t="s">
        <v>443</v>
      </c>
      <c r="H92" s="345" t="s">
        <v>460</v>
      </c>
      <c r="I92" s="345">
        <v>21</v>
      </c>
      <c r="J92" s="345">
        <v>21</v>
      </c>
      <c r="K92" s="345">
        <v>21</v>
      </c>
      <c r="L92" s="345">
        <v>21</v>
      </c>
      <c r="M92" s="345">
        <v>21</v>
      </c>
      <c r="N92" s="345">
        <v>21</v>
      </c>
      <c r="O92" s="345">
        <v>21</v>
      </c>
      <c r="P92" s="345">
        <v>0</v>
      </c>
      <c r="Q92" s="346" t="s">
        <v>496</v>
      </c>
      <c r="R92" s="345" t="s">
        <v>434</v>
      </c>
    </row>
    <row r="93" spans="1:18" x14ac:dyDescent="0.2">
      <c r="A93" s="345" t="s">
        <v>492</v>
      </c>
      <c r="B93" s="345" t="s">
        <v>493</v>
      </c>
      <c r="C93" s="345" t="s">
        <v>494</v>
      </c>
      <c r="D93" s="345" t="s">
        <v>491</v>
      </c>
      <c r="E93" s="345" t="s">
        <v>430</v>
      </c>
      <c r="F93" s="345" t="s">
        <v>461</v>
      </c>
      <c r="G93" s="345" t="s">
        <v>443</v>
      </c>
      <c r="H93" s="345" t="s">
        <v>462</v>
      </c>
      <c r="I93" s="345">
        <v>25</v>
      </c>
      <c r="J93" s="345">
        <v>25</v>
      </c>
      <c r="K93" s="345">
        <v>25</v>
      </c>
      <c r="L93" s="345">
        <v>25</v>
      </c>
      <c r="M93" s="345">
        <v>25</v>
      </c>
      <c r="N93" s="345">
        <v>25</v>
      </c>
      <c r="O93" s="345">
        <v>25</v>
      </c>
      <c r="P93" s="345">
        <v>0</v>
      </c>
      <c r="Q93" s="346" t="s">
        <v>496</v>
      </c>
      <c r="R93" s="345" t="s">
        <v>434</v>
      </c>
    </row>
    <row r="94" spans="1:18" x14ac:dyDescent="0.2">
      <c r="A94" s="345" t="s">
        <v>492</v>
      </c>
      <c r="B94" s="345" t="s">
        <v>493</v>
      </c>
      <c r="C94" s="345" t="s">
        <v>494</v>
      </c>
      <c r="D94" s="345" t="s">
        <v>491</v>
      </c>
      <c r="E94" s="345" t="s">
        <v>430</v>
      </c>
      <c r="F94" s="345" t="s">
        <v>463</v>
      </c>
      <c r="G94" s="345" t="s">
        <v>464</v>
      </c>
      <c r="H94" s="345" t="s">
        <v>463</v>
      </c>
      <c r="I94" s="345">
        <v>0</v>
      </c>
      <c r="J94" s="345">
        <v>0</v>
      </c>
      <c r="K94" s="345">
        <v>0</v>
      </c>
      <c r="L94" s="345">
        <v>0</v>
      </c>
      <c r="M94" s="345">
        <v>0</v>
      </c>
      <c r="N94" s="345">
        <v>0</v>
      </c>
      <c r="O94" s="345">
        <v>0</v>
      </c>
      <c r="P94" s="345">
        <v>0</v>
      </c>
      <c r="Q94" s="345" t="s">
        <v>495</v>
      </c>
      <c r="R94" s="345" t="s">
        <v>437</v>
      </c>
    </row>
    <row r="95" spans="1:18" x14ac:dyDescent="0.2">
      <c r="A95" s="345" t="s">
        <v>492</v>
      </c>
      <c r="B95" s="345" t="s">
        <v>493</v>
      </c>
      <c r="C95" s="345" t="s">
        <v>494</v>
      </c>
      <c r="D95" s="345" t="s">
        <v>491</v>
      </c>
      <c r="E95" s="345" t="s">
        <v>430</v>
      </c>
      <c r="F95" s="345" t="s">
        <v>465</v>
      </c>
      <c r="G95" s="345" t="s">
        <v>432</v>
      </c>
      <c r="H95" s="345" t="s">
        <v>466</v>
      </c>
      <c r="I95" s="345">
        <v>44</v>
      </c>
      <c r="J95" s="345">
        <v>52</v>
      </c>
      <c r="K95" s="345">
        <v>63</v>
      </c>
      <c r="L95" s="345">
        <v>74</v>
      </c>
      <c r="M95" s="345">
        <v>85</v>
      </c>
      <c r="N95" s="345">
        <v>97</v>
      </c>
      <c r="O95" s="345">
        <v>108</v>
      </c>
      <c r="P95" s="345">
        <v>0</v>
      </c>
      <c r="Q95" s="346" t="s">
        <v>496</v>
      </c>
      <c r="R95" s="345" t="s">
        <v>434</v>
      </c>
    </row>
    <row r="96" spans="1:18" x14ac:dyDescent="0.2">
      <c r="A96" s="345" t="s">
        <v>492</v>
      </c>
      <c r="B96" s="345" t="s">
        <v>493</v>
      </c>
      <c r="C96" s="345" t="s">
        <v>494</v>
      </c>
      <c r="D96" s="345" t="s">
        <v>491</v>
      </c>
      <c r="E96" s="345" t="s">
        <v>430</v>
      </c>
      <c r="F96" s="345" t="s">
        <v>465</v>
      </c>
      <c r="G96" s="345" t="s">
        <v>467</v>
      </c>
      <c r="H96" s="345" t="s">
        <v>468</v>
      </c>
      <c r="I96" s="345">
        <v>0</v>
      </c>
      <c r="J96" s="345">
        <v>0</v>
      </c>
      <c r="K96" s="345">
        <v>0</v>
      </c>
      <c r="L96" s="345">
        <v>0</v>
      </c>
      <c r="M96" s="345">
        <v>0</v>
      </c>
      <c r="N96" s="345">
        <v>0</v>
      </c>
      <c r="O96" s="345">
        <v>0</v>
      </c>
      <c r="P96" s="345">
        <v>0</v>
      </c>
      <c r="Q96" s="345" t="s">
        <v>495</v>
      </c>
      <c r="R96" s="345" t="s">
        <v>437</v>
      </c>
    </row>
    <row r="97" spans="1:18" x14ac:dyDescent="0.2">
      <c r="A97" s="345" t="s">
        <v>492</v>
      </c>
      <c r="B97" s="345" t="s">
        <v>493</v>
      </c>
      <c r="C97" s="345" t="s">
        <v>494</v>
      </c>
      <c r="D97" s="345" t="s">
        <v>491</v>
      </c>
      <c r="E97" s="345" t="s">
        <v>430</v>
      </c>
      <c r="F97" s="345" t="s">
        <v>465</v>
      </c>
      <c r="G97" s="345" t="s">
        <v>440</v>
      </c>
      <c r="H97" s="345" t="s">
        <v>469</v>
      </c>
      <c r="I97" s="345">
        <v>36</v>
      </c>
      <c r="J97" s="345">
        <v>45</v>
      </c>
      <c r="K97" s="345">
        <v>51</v>
      </c>
      <c r="L97" s="345">
        <v>55</v>
      </c>
      <c r="M97" s="345">
        <v>59</v>
      </c>
      <c r="N97" s="345">
        <v>64</v>
      </c>
      <c r="O97" s="345">
        <v>69</v>
      </c>
      <c r="P97" s="345">
        <v>0</v>
      </c>
      <c r="Q97" s="345" t="s">
        <v>496</v>
      </c>
      <c r="R97" s="345" t="s">
        <v>434</v>
      </c>
    </row>
    <row r="98" spans="1:18" x14ac:dyDescent="0.2">
      <c r="A98" s="345" t="s">
        <v>492</v>
      </c>
      <c r="B98" s="345" t="s">
        <v>493</v>
      </c>
      <c r="C98" s="345" t="s">
        <v>494</v>
      </c>
      <c r="D98" s="345" t="s">
        <v>491</v>
      </c>
      <c r="E98" s="345" t="s">
        <v>430</v>
      </c>
      <c r="F98" s="345" t="s">
        <v>465</v>
      </c>
      <c r="G98" s="345" t="s">
        <v>470</v>
      </c>
      <c r="H98" s="345" t="s">
        <v>471</v>
      </c>
      <c r="I98" s="345">
        <v>0</v>
      </c>
      <c r="J98" s="345">
        <v>0</v>
      </c>
      <c r="K98" s="345">
        <v>0</v>
      </c>
      <c r="L98" s="345">
        <v>0</v>
      </c>
      <c r="M98" s="345">
        <v>0</v>
      </c>
      <c r="N98" s="345">
        <v>0</v>
      </c>
      <c r="O98" s="345">
        <v>0</v>
      </c>
      <c r="P98" s="345">
        <v>0</v>
      </c>
      <c r="Q98" s="345" t="s">
        <v>495</v>
      </c>
      <c r="R98" s="345" t="s">
        <v>437</v>
      </c>
    </row>
    <row r="99" spans="1:18" x14ac:dyDescent="0.2">
      <c r="A99" s="345" t="s">
        <v>492</v>
      </c>
      <c r="B99" s="345" t="s">
        <v>493</v>
      </c>
      <c r="C99" s="345" t="s">
        <v>494</v>
      </c>
      <c r="D99" s="345" t="s">
        <v>491</v>
      </c>
      <c r="E99" s="345" t="s">
        <v>430</v>
      </c>
      <c r="F99" s="345" t="s">
        <v>465</v>
      </c>
      <c r="G99" s="345" t="s">
        <v>472</v>
      </c>
      <c r="H99" s="345" t="s">
        <v>473</v>
      </c>
      <c r="I99" s="345">
        <v>0</v>
      </c>
      <c r="J99" s="345">
        <v>0</v>
      </c>
      <c r="K99" s="345">
        <v>0</v>
      </c>
      <c r="L99" s="345">
        <v>0</v>
      </c>
      <c r="M99" s="345">
        <v>0</v>
      </c>
      <c r="N99" s="345">
        <v>0</v>
      </c>
      <c r="O99" s="345">
        <v>0</v>
      </c>
      <c r="P99" s="345">
        <v>0</v>
      </c>
      <c r="Q99" s="346" t="s">
        <v>495</v>
      </c>
      <c r="R99" s="345" t="s">
        <v>437</v>
      </c>
    </row>
    <row r="100" spans="1:18" x14ac:dyDescent="0.2">
      <c r="A100" s="345" t="s">
        <v>492</v>
      </c>
      <c r="B100" s="345" t="s">
        <v>493</v>
      </c>
      <c r="C100" s="345" t="s">
        <v>494</v>
      </c>
      <c r="D100" s="345" t="s">
        <v>491</v>
      </c>
      <c r="E100" s="345" t="s">
        <v>430</v>
      </c>
      <c r="F100" s="345" t="s">
        <v>474</v>
      </c>
      <c r="G100" s="345" t="s">
        <v>464</v>
      </c>
      <c r="H100" s="345" t="s">
        <v>474</v>
      </c>
      <c r="I100" s="345">
        <v>61</v>
      </c>
      <c r="J100" s="345">
        <v>61</v>
      </c>
      <c r="K100" s="345">
        <v>61</v>
      </c>
      <c r="L100" s="345">
        <v>107</v>
      </c>
      <c r="M100" s="345">
        <v>107</v>
      </c>
      <c r="N100" s="345">
        <v>107</v>
      </c>
      <c r="O100" s="345">
        <v>130</v>
      </c>
      <c r="P100" s="345">
        <v>0</v>
      </c>
      <c r="Q100" s="346" t="s">
        <v>496</v>
      </c>
      <c r="R100" s="345" t="s">
        <v>434</v>
      </c>
    </row>
    <row r="101" spans="1:18" x14ac:dyDescent="0.2">
      <c r="A101" s="345" t="s">
        <v>492</v>
      </c>
      <c r="B101" s="345" t="s">
        <v>493</v>
      </c>
      <c r="C101" s="345" t="s">
        <v>494</v>
      </c>
      <c r="D101" s="345" t="s">
        <v>491</v>
      </c>
      <c r="E101" s="345" t="s">
        <v>430</v>
      </c>
      <c r="F101" s="345" t="s">
        <v>475</v>
      </c>
      <c r="G101" s="345" t="s">
        <v>443</v>
      </c>
      <c r="H101" s="345" t="s">
        <v>476</v>
      </c>
      <c r="I101" s="345">
        <v>0</v>
      </c>
      <c r="J101" s="345">
        <v>0</v>
      </c>
      <c r="K101" s="345">
        <v>0</v>
      </c>
      <c r="L101" s="345">
        <v>0</v>
      </c>
      <c r="M101" s="345">
        <v>0</v>
      </c>
      <c r="N101" s="345">
        <v>0</v>
      </c>
      <c r="O101" s="345">
        <v>0</v>
      </c>
      <c r="P101" s="345">
        <v>0</v>
      </c>
      <c r="Q101" s="346" t="s">
        <v>495</v>
      </c>
      <c r="R101" s="345" t="s">
        <v>437</v>
      </c>
    </row>
    <row r="102" spans="1:18" x14ac:dyDescent="0.2">
      <c r="A102" s="345" t="s">
        <v>492</v>
      </c>
      <c r="B102" s="345" t="s">
        <v>493</v>
      </c>
      <c r="C102" s="345" t="s">
        <v>494</v>
      </c>
      <c r="D102" s="345" t="s">
        <v>491</v>
      </c>
      <c r="E102" s="345" t="s">
        <v>430</v>
      </c>
      <c r="F102" s="345" t="s">
        <v>477</v>
      </c>
      <c r="G102" s="345" t="s">
        <v>464</v>
      </c>
      <c r="H102" s="345" t="s">
        <v>477</v>
      </c>
      <c r="I102" s="345">
        <v>96</v>
      </c>
      <c r="J102" s="345">
        <v>101</v>
      </c>
      <c r="K102" s="345">
        <v>130</v>
      </c>
      <c r="L102" s="345">
        <v>161</v>
      </c>
      <c r="M102" s="345">
        <v>195</v>
      </c>
      <c r="N102" s="345">
        <v>236</v>
      </c>
      <c r="O102" s="345">
        <v>266</v>
      </c>
      <c r="P102" s="345">
        <v>0</v>
      </c>
      <c r="Q102" s="345" t="s">
        <v>496</v>
      </c>
      <c r="R102" s="345" t="s">
        <v>434</v>
      </c>
    </row>
    <row r="103" spans="1:18" x14ac:dyDescent="0.2">
      <c r="A103" s="345" t="s">
        <v>492</v>
      </c>
      <c r="B103" s="345" t="s">
        <v>493</v>
      </c>
      <c r="C103" s="345" t="s">
        <v>494</v>
      </c>
      <c r="D103" s="345" t="s">
        <v>491</v>
      </c>
      <c r="E103" s="345" t="s">
        <v>430</v>
      </c>
      <c r="F103" s="345" t="s">
        <v>478</v>
      </c>
      <c r="G103" s="345" t="s">
        <v>432</v>
      </c>
      <c r="H103" s="345" t="s">
        <v>479</v>
      </c>
      <c r="I103" s="345">
        <v>39</v>
      </c>
      <c r="J103" s="345">
        <v>46</v>
      </c>
      <c r="K103" s="345">
        <v>58</v>
      </c>
      <c r="L103" s="345">
        <v>71</v>
      </c>
      <c r="M103" s="345">
        <v>83</v>
      </c>
      <c r="N103" s="345">
        <v>96</v>
      </c>
      <c r="O103" s="345">
        <v>108</v>
      </c>
      <c r="P103" s="345">
        <v>0</v>
      </c>
      <c r="Q103" s="345" t="s">
        <v>496</v>
      </c>
      <c r="R103" s="345" t="s">
        <v>434</v>
      </c>
    </row>
    <row r="104" spans="1:18" x14ac:dyDescent="0.2">
      <c r="A104" s="345" t="s">
        <v>492</v>
      </c>
      <c r="B104" s="345" t="s">
        <v>493</v>
      </c>
      <c r="C104" s="345" t="s">
        <v>494</v>
      </c>
      <c r="D104" s="345" t="s">
        <v>491</v>
      </c>
      <c r="E104" s="345" t="s">
        <v>430</v>
      </c>
      <c r="F104" s="345" t="s">
        <v>478</v>
      </c>
      <c r="G104" s="345" t="s">
        <v>440</v>
      </c>
      <c r="H104" s="345" t="s">
        <v>480</v>
      </c>
      <c r="I104" s="345">
        <v>15</v>
      </c>
      <c r="J104" s="345">
        <v>18</v>
      </c>
      <c r="K104" s="345">
        <v>26</v>
      </c>
      <c r="L104" s="345">
        <v>36</v>
      </c>
      <c r="M104" s="345">
        <v>44</v>
      </c>
      <c r="N104" s="345">
        <v>55</v>
      </c>
      <c r="O104" s="345">
        <v>64</v>
      </c>
      <c r="P104" s="345">
        <v>0</v>
      </c>
      <c r="Q104" s="346" t="s">
        <v>496</v>
      </c>
      <c r="R104" s="345" t="s">
        <v>434</v>
      </c>
    </row>
    <row r="105" spans="1:18" x14ac:dyDescent="0.2">
      <c r="A105" s="345" t="s">
        <v>492</v>
      </c>
      <c r="B105" s="345" t="s">
        <v>493</v>
      </c>
      <c r="C105" s="345" t="s">
        <v>494</v>
      </c>
      <c r="D105" s="345" t="s">
        <v>491</v>
      </c>
      <c r="E105" s="345" t="s">
        <v>430</v>
      </c>
      <c r="F105" s="345" t="s">
        <v>478</v>
      </c>
      <c r="G105" s="345" t="s">
        <v>470</v>
      </c>
      <c r="H105" s="345" t="s">
        <v>481</v>
      </c>
      <c r="I105" s="345">
        <v>0</v>
      </c>
      <c r="J105" s="345">
        <v>0</v>
      </c>
      <c r="K105" s="345">
        <v>0</v>
      </c>
      <c r="L105" s="345">
        <v>0</v>
      </c>
      <c r="M105" s="345">
        <v>0</v>
      </c>
      <c r="N105" s="345">
        <v>0</v>
      </c>
      <c r="O105" s="345">
        <v>0</v>
      </c>
      <c r="P105" s="345">
        <v>0</v>
      </c>
      <c r="Q105" s="346" t="s">
        <v>495</v>
      </c>
      <c r="R105" s="345" t="s">
        <v>437</v>
      </c>
    </row>
    <row r="106" spans="1:18" x14ac:dyDescent="0.2">
      <c r="A106" s="345" t="s">
        <v>492</v>
      </c>
      <c r="B106" s="345" t="s">
        <v>493</v>
      </c>
      <c r="C106" s="345" t="s">
        <v>494</v>
      </c>
      <c r="D106" s="345" t="s">
        <v>497</v>
      </c>
      <c r="E106" s="345" t="s">
        <v>498</v>
      </c>
      <c r="F106" s="345" t="s">
        <v>431</v>
      </c>
      <c r="G106" s="345" t="s">
        <v>432</v>
      </c>
      <c r="H106" s="345" t="s">
        <v>433</v>
      </c>
      <c r="I106" s="345">
        <v>0</v>
      </c>
      <c r="J106" s="345">
        <v>0</v>
      </c>
      <c r="K106" s="345">
        <v>0</v>
      </c>
      <c r="L106" s="345">
        <v>0</v>
      </c>
      <c r="M106" s="345">
        <v>0</v>
      </c>
      <c r="N106" s="345">
        <v>0</v>
      </c>
      <c r="O106" s="345">
        <v>0</v>
      </c>
      <c r="P106" s="345">
        <v>0</v>
      </c>
      <c r="Q106" s="346" t="s">
        <v>495</v>
      </c>
      <c r="R106" s="345" t="s">
        <v>437</v>
      </c>
    </row>
    <row r="107" spans="1:18" x14ac:dyDescent="0.2">
      <c r="A107" s="345" t="s">
        <v>492</v>
      </c>
      <c r="B107" s="345" t="s">
        <v>493</v>
      </c>
      <c r="C107" s="345" t="s">
        <v>494</v>
      </c>
      <c r="D107" s="345" t="s">
        <v>497</v>
      </c>
      <c r="E107" s="345" t="s">
        <v>498</v>
      </c>
      <c r="F107" s="345" t="s">
        <v>431</v>
      </c>
      <c r="G107" s="345" t="s">
        <v>435</v>
      </c>
      <c r="H107" s="345" t="s">
        <v>436</v>
      </c>
      <c r="I107" s="345">
        <v>0</v>
      </c>
      <c r="J107" s="345">
        <v>0</v>
      </c>
      <c r="K107" s="345">
        <v>0</v>
      </c>
      <c r="L107" s="345">
        <v>0</v>
      </c>
      <c r="M107" s="345">
        <v>0</v>
      </c>
      <c r="N107" s="345">
        <v>0</v>
      </c>
      <c r="O107" s="345">
        <v>0</v>
      </c>
      <c r="P107" s="345">
        <v>0</v>
      </c>
      <c r="Q107" s="346" t="s">
        <v>495</v>
      </c>
      <c r="R107" s="345" t="s">
        <v>437</v>
      </c>
    </row>
    <row r="108" spans="1:18" x14ac:dyDescent="0.2">
      <c r="A108" s="345" t="s">
        <v>492</v>
      </c>
      <c r="B108" s="345" t="s">
        <v>493</v>
      </c>
      <c r="C108" s="345" t="s">
        <v>494</v>
      </c>
      <c r="D108" s="345" t="s">
        <v>497</v>
      </c>
      <c r="E108" s="345" t="s">
        <v>498</v>
      </c>
      <c r="F108" s="345" t="s">
        <v>438</v>
      </c>
      <c r="G108" s="345" t="s">
        <v>432</v>
      </c>
      <c r="H108" s="345" t="s">
        <v>439</v>
      </c>
      <c r="I108" s="345">
        <v>8</v>
      </c>
      <c r="J108" s="345">
        <v>0</v>
      </c>
      <c r="K108" s="345">
        <v>0</v>
      </c>
      <c r="L108" s="345">
        <v>0</v>
      </c>
      <c r="M108" s="345">
        <v>0</v>
      </c>
      <c r="N108" s="345">
        <v>0</v>
      </c>
      <c r="O108" s="345">
        <v>0</v>
      </c>
      <c r="P108" s="345">
        <v>0</v>
      </c>
      <c r="Q108" s="346" t="s">
        <v>499</v>
      </c>
      <c r="R108" s="345" t="s">
        <v>434</v>
      </c>
    </row>
    <row r="109" spans="1:18" x14ac:dyDescent="0.2">
      <c r="A109" s="345" t="s">
        <v>492</v>
      </c>
      <c r="B109" s="345" t="s">
        <v>493</v>
      </c>
      <c r="C109" s="345" t="s">
        <v>494</v>
      </c>
      <c r="D109" s="345" t="s">
        <v>497</v>
      </c>
      <c r="E109" s="345" t="s">
        <v>498</v>
      </c>
      <c r="F109" s="345" t="s">
        <v>438</v>
      </c>
      <c r="G109" s="345" t="s">
        <v>440</v>
      </c>
      <c r="H109" s="345" t="s">
        <v>441</v>
      </c>
      <c r="I109" s="345">
        <v>5</v>
      </c>
      <c r="J109" s="345">
        <v>0</v>
      </c>
      <c r="K109" s="345">
        <v>0</v>
      </c>
      <c r="L109" s="345">
        <v>0</v>
      </c>
      <c r="M109" s="345">
        <v>0</v>
      </c>
      <c r="N109" s="345">
        <v>0</v>
      </c>
      <c r="O109" s="345">
        <v>0</v>
      </c>
      <c r="P109" s="345">
        <v>0</v>
      </c>
      <c r="Q109" s="346" t="s">
        <v>499</v>
      </c>
      <c r="R109" s="345" t="s">
        <v>434</v>
      </c>
    </row>
    <row r="110" spans="1:18" x14ac:dyDescent="0.2">
      <c r="A110" s="345" t="s">
        <v>492</v>
      </c>
      <c r="B110" s="345" t="s">
        <v>493</v>
      </c>
      <c r="C110" s="345" t="s">
        <v>494</v>
      </c>
      <c r="D110" s="345" t="s">
        <v>497</v>
      </c>
      <c r="E110" s="345" t="s">
        <v>498</v>
      </c>
      <c r="F110" s="345" t="s">
        <v>442</v>
      </c>
      <c r="G110" s="345" t="s">
        <v>443</v>
      </c>
      <c r="H110" s="345" t="s">
        <v>444</v>
      </c>
      <c r="I110" s="345">
        <v>0</v>
      </c>
      <c r="J110" s="345">
        <v>0</v>
      </c>
      <c r="K110" s="345">
        <v>0</v>
      </c>
      <c r="L110" s="345">
        <v>0</v>
      </c>
      <c r="M110" s="345">
        <v>0</v>
      </c>
      <c r="N110" s="345">
        <v>0</v>
      </c>
      <c r="O110" s="345">
        <v>0</v>
      </c>
      <c r="P110" s="345">
        <v>0</v>
      </c>
      <c r="Q110" s="345" t="s">
        <v>495</v>
      </c>
      <c r="R110" s="345" t="s">
        <v>437</v>
      </c>
    </row>
    <row r="111" spans="1:18" x14ac:dyDescent="0.2">
      <c r="A111" s="345" t="s">
        <v>492</v>
      </c>
      <c r="B111" s="345" t="s">
        <v>493</v>
      </c>
      <c r="C111" s="345" t="s">
        <v>494</v>
      </c>
      <c r="D111" s="345" t="s">
        <v>497</v>
      </c>
      <c r="E111" s="345" t="s">
        <v>498</v>
      </c>
      <c r="F111" s="345" t="s">
        <v>445</v>
      </c>
      <c r="G111" s="345" t="s">
        <v>443</v>
      </c>
      <c r="H111" s="345" t="s">
        <v>446</v>
      </c>
      <c r="I111" s="345">
        <v>0</v>
      </c>
      <c r="J111" s="345">
        <v>0</v>
      </c>
      <c r="K111" s="345">
        <v>0</v>
      </c>
      <c r="L111" s="345">
        <v>0</v>
      </c>
      <c r="M111" s="345">
        <v>0</v>
      </c>
      <c r="N111" s="345">
        <v>0</v>
      </c>
      <c r="O111" s="345">
        <v>0</v>
      </c>
      <c r="P111" s="345">
        <v>0</v>
      </c>
      <c r="Q111" s="345" t="s">
        <v>495</v>
      </c>
      <c r="R111" s="345" t="s">
        <v>437</v>
      </c>
    </row>
    <row r="112" spans="1:18" x14ac:dyDescent="0.2">
      <c r="A112" s="345" t="s">
        <v>492</v>
      </c>
      <c r="B112" s="345" t="s">
        <v>493</v>
      </c>
      <c r="C112" s="345" t="s">
        <v>494</v>
      </c>
      <c r="D112" s="345" t="s">
        <v>497</v>
      </c>
      <c r="E112" s="345" t="s">
        <v>498</v>
      </c>
      <c r="F112" s="345" t="s">
        <v>447</v>
      </c>
      <c r="G112" s="345" t="s">
        <v>443</v>
      </c>
      <c r="H112" s="345" t="s">
        <v>448</v>
      </c>
      <c r="I112" s="345">
        <v>0</v>
      </c>
      <c r="J112" s="345">
        <v>0</v>
      </c>
      <c r="K112" s="345">
        <v>0</v>
      </c>
      <c r="L112" s="345">
        <v>0</v>
      </c>
      <c r="M112" s="345">
        <v>0</v>
      </c>
      <c r="N112" s="345">
        <v>0</v>
      </c>
      <c r="O112" s="345">
        <v>0</v>
      </c>
      <c r="P112" s="345">
        <v>0</v>
      </c>
      <c r="Q112" s="345" t="s">
        <v>495</v>
      </c>
      <c r="R112" s="345" t="s">
        <v>437</v>
      </c>
    </row>
    <row r="113" spans="1:18" x14ac:dyDescent="0.2">
      <c r="A113" s="345" t="s">
        <v>492</v>
      </c>
      <c r="B113" s="345" t="s">
        <v>493</v>
      </c>
      <c r="C113" s="345" t="s">
        <v>494</v>
      </c>
      <c r="D113" s="345" t="s">
        <v>497</v>
      </c>
      <c r="E113" s="345" t="s">
        <v>498</v>
      </c>
      <c r="F113" s="345" t="s">
        <v>449</v>
      </c>
      <c r="G113" s="345" t="s">
        <v>450</v>
      </c>
      <c r="H113" s="345" t="s">
        <v>451</v>
      </c>
      <c r="I113" s="345">
        <v>0</v>
      </c>
      <c r="J113" s="345">
        <v>0</v>
      </c>
      <c r="K113" s="345">
        <v>0</v>
      </c>
      <c r="L113" s="345">
        <v>0</v>
      </c>
      <c r="M113" s="345">
        <v>0</v>
      </c>
      <c r="N113" s="345">
        <v>0</v>
      </c>
      <c r="O113" s="345">
        <v>0</v>
      </c>
      <c r="P113" s="345">
        <v>0</v>
      </c>
      <c r="Q113" s="346" t="s">
        <v>495</v>
      </c>
      <c r="R113" s="345" t="s">
        <v>437</v>
      </c>
    </row>
    <row r="114" spans="1:18" x14ac:dyDescent="0.2">
      <c r="A114" s="345" t="s">
        <v>492</v>
      </c>
      <c r="B114" s="345" t="s">
        <v>493</v>
      </c>
      <c r="C114" s="345" t="s">
        <v>494</v>
      </c>
      <c r="D114" s="345" t="s">
        <v>497</v>
      </c>
      <c r="E114" s="345" t="s">
        <v>498</v>
      </c>
      <c r="F114" s="345" t="s">
        <v>449</v>
      </c>
      <c r="G114" s="345" t="s">
        <v>452</v>
      </c>
      <c r="H114" s="345" t="s">
        <v>453</v>
      </c>
      <c r="I114" s="345">
        <v>0</v>
      </c>
      <c r="J114" s="345">
        <v>0</v>
      </c>
      <c r="K114" s="345">
        <v>0</v>
      </c>
      <c r="L114" s="345">
        <v>0</v>
      </c>
      <c r="M114" s="345">
        <v>0</v>
      </c>
      <c r="N114" s="345">
        <v>0</v>
      </c>
      <c r="O114" s="345">
        <v>0</v>
      </c>
      <c r="P114" s="345">
        <v>0</v>
      </c>
      <c r="Q114" s="345" t="s">
        <v>495</v>
      </c>
      <c r="R114" s="345" t="s">
        <v>437</v>
      </c>
    </row>
    <row r="115" spans="1:18" x14ac:dyDescent="0.2">
      <c r="A115" s="345" t="s">
        <v>492</v>
      </c>
      <c r="B115" s="345" t="s">
        <v>493</v>
      </c>
      <c r="C115" s="345" t="s">
        <v>494</v>
      </c>
      <c r="D115" s="345" t="s">
        <v>497</v>
      </c>
      <c r="E115" s="345" t="s">
        <v>498</v>
      </c>
      <c r="F115" s="345" t="s">
        <v>449</v>
      </c>
      <c r="G115" s="345" t="s">
        <v>454</v>
      </c>
      <c r="H115" s="345" t="s">
        <v>455</v>
      </c>
      <c r="I115" s="345">
        <v>0</v>
      </c>
      <c r="J115" s="345">
        <v>0</v>
      </c>
      <c r="K115" s="345">
        <v>0</v>
      </c>
      <c r="L115" s="345">
        <v>0</v>
      </c>
      <c r="M115" s="345">
        <v>0</v>
      </c>
      <c r="N115" s="345">
        <v>0</v>
      </c>
      <c r="O115" s="345">
        <v>0</v>
      </c>
      <c r="P115" s="345">
        <v>0</v>
      </c>
      <c r="Q115" s="346" t="s">
        <v>495</v>
      </c>
      <c r="R115" s="345" t="s">
        <v>437</v>
      </c>
    </row>
    <row r="116" spans="1:18" x14ac:dyDescent="0.2">
      <c r="A116" s="345" t="s">
        <v>492</v>
      </c>
      <c r="B116" s="345" t="s">
        <v>493</v>
      </c>
      <c r="C116" s="345" t="s">
        <v>494</v>
      </c>
      <c r="D116" s="345" t="s">
        <v>497</v>
      </c>
      <c r="E116" s="345" t="s">
        <v>498</v>
      </c>
      <c r="F116" s="345" t="s">
        <v>456</v>
      </c>
      <c r="G116" s="345" t="s">
        <v>457</v>
      </c>
      <c r="H116" s="345" t="s">
        <v>458</v>
      </c>
      <c r="I116" s="345">
        <v>30</v>
      </c>
      <c r="J116" s="345">
        <v>0</v>
      </c>
      <c r="K116" s="345">
        <v>0</v>
      </c>
      <c r="L116" s="345">
        <v>0</v>
      </c>
      <c r="M116" s="345">
        <v>0</v>
      </c>
      <c r="N116" s="345">
        <v>0</v>
      </c>
      <c r="O116" s="345">
        <v>0</v>
      </c>
      <c r="P116" s="345">
        <v>0</v>
      </c>
      <c r="Q116" s="345" t="s">
        <v>499</v>
      </c>
      <c r="R116" s="345" t="s">
        <v>434</v>
      </c>
    </row>
    <row r="117" spans="1:18" x14ac:dyDescent="0.2">
      <c r="A117" s="345" t="s">
        <v>492</v>
      </c>
      <c r="B117" s="345" t="s">
        <v>493</v>
      </c>
      <c r="C117" s="345" t="s">
        <v>494</v>
      </c>
      <c r="D117" s="345" t="s">
        <v>497</v>
      </c>
      <c r="E117" s="345" t="s">
        <v>498</v>
      </c>
      <c r="F117" s="345" t="s">
        <v>459</v>
      </c>
      <c r="G117" s="345" t="s">
        <v>443</v>
      </c>
      <c r="H117" s="345" t="s">
        <v>460</v>
      </c>
      <c r="I117" s="345">
        <v>16</v>
      </c>
      <c r="J117" s="345">
        <v>0</v>
      </c>
      <c r="K117" s="345">
        <v>0</v>
      </c>
      <c r="L117" s="345">
        <v>0</v>
      </c>
      <c r="M117" s="345">
        <v>0</v>
      </c>
      <c r="N117" s="345">
        <v>0</v>
      </c>
      <c r="O117" s="345">
        <v>0</v>
      </c>
      <c r="P117" s="345">
        <v>0</v>
      </c>
      <c r="Q117" s="346" t="s">
        <v>499</v>
      </c>
      <c r="R117" s="345" t="s">
        <v>434</v>
      </c>
    </row>
    <row r="118" spans="1:18" x14ac:dyDescent="0.2">
      <c r="A118" s="345" t="s">
        <v>492</v>
      </c>
      <c r="B118" s="345" t="s">
        <v>493</v>
      </c>
      <c r="C118" s="345" t="s">
        <v>494</v>
      </c>
      <c r="D118" s="345" t="s">
        <v>497</v>
      </c>
      <c r="E118" s="345" t="s">
        <v>498</v>
      </c>
      <c r="F118" s="345" t="s">
        <v>461</v>
      </c>
      <c r="G118" s="345" t="s">
        <v>443</v>
      </c>
      <c r="H118" s="345" t="s">
        <v>462</v>
      </c>
      <c r="I118" s="345">
        <v>19</v>
      </c>
      <c r="J118" s="345">
        <v>0</v>
      </c>
      <c r="K118" s="345">
        <v>0</v>
      </c>
      <c r="L118" s="345">
        <v>0</v>
      </c>
      <c r="M118" s="345">
        <v>0</v>
      </c>
      <c r="N118" s="345">
        <v>0</v>
      </c>
      <c r="O118" s="345">
        <v>0</v>
      </c>
      <c r="P118" s="345">
        <v>0</v>
      </c>
      <c r="Q118" s="346" t="s">
        <v>499</v>
      </c>
      <c r="R118" s="345" t="s">
        <v>434</v>
      </c>
    </row>
    <row r="119" spans="1:18" x14ac:dyDescent="0.2">
      <c r="A119" s="345" t="s">
        <v>492</v>
      </c>
      <c r="B119" s="345" t="s">
        <v>493</v>
      </c>
      <c r="C119" s="345" t="s">
        <v>494</v>
      </c>
      <c r="D119" s="345" t="s">
        <v>497</v>
      </c>
      <c r="E119" s="345" t="s">
        <v>498</v>
      </c>
      <c r="F119" s="345" t="s">
        <v>463</v>
      </c>
      <c r="G119" s="345" t="s">
        <v>464</v>
      </c>
      <c r="H119" s="345" t="s">
        <v>463</v>
      </c>
      <c r="I119" s="345">
        <v>0</v>
      </c>
      <c r="J119" s="345">
        <v>0</v>
      </c>
      <c r="K119" s="345">
        <v>0</v>
      </c>
      <c r="L119" s="345">
        <v>0</v>
      </c>
      <c r="M119" s="345">
        <v>0</v>
      </c>
      <c r="N119" s="345">
        <v>0</v>
      </c>
      <c r="O119" s="345">
        <v>0</v>
      </c>
      <c r="P119" s="345">
        <v>0</v>
      </c>
      <c r="Q119" s="345" t="s">
        <v>495</v>
      </c>
      <c r="R119" s="345" t="s">
        <v>437</v>
      </c>
    </row>
    <row r="120" spans="1:18" x14ac:dyDescent="0.2">
      <c r="A120" s="345" t="s">
        <v>492</v>
      </c>
      <c r="B120" s="345" t="s">
        <v>493</v>
      </c>
      <c r="C120" s="345" t="s">
        <v>494</v>
      </c>
      <c r="D120" s="345" t="s">
        <v>497</v>
      </c>
      <c r="E120" s="345" t="s">
        <v>498</v>
      </c>
      <c r="F120" s="345" t="s">
        <v>465</v>
      </c>
      <c r="G120" s="345" t="s">
        <v>432</v>
      </c>
      <c r="H120" s="345" t="s">
        <v>466</v>
      </c>
      <c r="I120" s="345">
        <v>33</v>
      </c>
      <c r="J120" s="345">
        <v>0</v>
      </c>
      <c r="K120" s="345">
        <v>0</v>
      </c>
      <c r="L120" s="345">
        <v>0</v>
      </c>
      <c r="M120" s="345">
        <v>0</v>
      </c>
      <c r="N120" s="345">
        <v>0</v>
      </c>
      <c r="O120" s="345">
        <v>0</v>
      </c>
      <c r="P120" s="345">
        <v>0</v>
      </c>
      <c r="Q120" s="346" t="s">
        <v>499</v>
      </c>
      <c r="R120" s="345" t="s">
        <v>434</v>
      </c>
    </row>
    <row r="121" spans="1:18" x14ac:dyDescent="0.2">
      <c r="A121" s="345" t="s">
        <v>492</v>
      </c>
      <c r="B121" s="345" t="s">
        <v>493</v>
      </c>
      <c r="C121" s="345" t="s">
        <v>494</v>
      </c>
      <c r="D121" s="345" t="s">
        <v>497</v>
      </c>
      <c r="E121" s="345" t="s">
        <v>498</v>
      </c>
      <c r="F121" s="345" t="s">
        <v>465</v>
      </c>
      <c r="G121" s="345" t="s">
        <v>467</v>
      </c>
      <c r="H121" s="345" t="s">
        <v>468</v>
      </c>
      <c r="I121" s="345">
        <v>0</v>
      </c>
      <c r="J121" s="345">
        <v>0</v>
      </c>
      <c r="K121" s="345">
        <v>0</v>
      </c>
      <c r="L121" s="345">
        <v>0</v>
      </c>
      <c r="M121" s="345">
        <v>0</v>
      </c>
      <c r="N121" s="345">
        <v>0</v>
      </c>
      <c r="O121" s="345">
        <v>0</v>
      </c>
      <c r="P121" s="345">
        <v>0</v>
      </c>
      <c r="Q121" s="345" t="s">
        <v>495</v>
      </c>
      <c r="R121" s="345" t="s">
        <v>437</v>
      </c>
    </row>
    <row r="122" spans="1:18" x14ac:dyDescent="0.2">
      <c r="A122" s="345" t="s">
        <v>492</v>
      </c>
      <c r="B122" s="345" t="s">
        <v>493</v>
      </c>
      <c r="C122" s="345" t="s">
        <v>494</v>
      </c>
      <c r="D122" s="345" t="s">
        <v>497</v>
      </c>
      <c r="E122" s="345" t="s">
        <v>498</v>
      </c>
      <c r="F122" s="345" t="s">
        <v>465</v>
      </c>
      <c r="G122" s="345" t="s">
        <v>440</v>
      </c>
      <c r="H122" s="345" t="s">
        <v>469</v>
      </c>
      <c r="I122" s="345">
        <v>27</v>
      </c>
      <c r="J122" s="345">
        <v>0</v>
      </c>
      <c r="K122" s="345">
        <v>0</v>
      </c>
      <c r="L122" s="345">
        <v>0</v>
      </c>
      <c r="M122" s="345">
        <v>0</v>
      </c>
      <c r="N122" s="345">
        <v>0</v>
      </c>
      <c r="O122" s="345">
        <v>0</v>
      </c>
      <c r="P122" s="345">
        <v>0</v>
      </c>
      <c r="Q122" s="345" t="s">
        <v>499</v>
      </c>
      <c r="R122" s="345" t="s">
        <v>434</v>
      </c>
    </row>
    <row r="123" spans="1:18" x14ac:dyDescent="0.2">
      <c r="A123" s="345" t="s">
        <v>492</v>
      </c>
      <c r="B123" s="345" t="s">
        <v>493</v>
      </c>
      <c r="C123" s="345" t="s">
        <v>494</v>
      </c>
      <c r="D123" s="345" t="s">
        <v>497</v>
      </c>
      <c r="E123" s="345" t="s">
        <v>498</v>
      </c>
      <c r="F123" s="345" t="s">
        <v>465</v>
      </c>
      <c r="G123" s="345" t="s">
        <v>470</v>
      </c>
      <c r="H123" s="345" t="s">
        <v>471</v>
      </c>
      <c r="I123" s="345">
        <v>0</v>
      </c>
      <c r="J123" s="345">
        <v>0</v>
      </c>
      <c r="K123" s="345">
        <v>0</v>
      </c>
      <c r="L123" s="345">
        <v>0</v>
      </c>
      <c r="M123" s="345">
        <v>0</v>
      </c>
      <c r="N123" s="345">
        <v>0</v>
      </c>
      <c r="O123" s="345">
        <v>0</v>
      </c>
      <c r="P123" s="345">
        <v>0</v>
      </c>
      <c r="Q123" s="345" t="s">
        <v>495</v>
      </c>
      <c r="R123" s="345" t="s">
        <v>437</v>
      </c>
    </row>
    <row r="124" spans="1:18" x14ac:dyDescent="0.2">
      <c r="A124" s="345" t="s">
        <v>492</v>
      </c>
      <c r="B124" s="345" t="s">
        <v>493</v>
      </c>
      <c r="C124" s="345" t="s">
        <v>494</v>
      </c>
      <c r="D124" s="345" t="s">
        <v>497</v>
      </c>
      <c r="E124" s="345" t="s">
        <v>498</v>
      </c>
      <c r="F124" s="345" t="s">
        <v>465</v>
      </c>
      <c r="G124" s="345" t="s">
        <v>472</v>
      </c>
      <c r="H124" s="345" t="s">
        <v>473</v>
      </c>
      <c r="I124" s="345">
        <v>0</v>
      </c>
      <c r="J124" s="345">
        <v>0</v>
      </c>
      <c r="K124" s="345">
        <v>0</v>
      </c>
      <c r="L124" s="345">
        <v>0</v>
      </c>
      <c r="M124" s="345">
        <v>0</v>
      </c>
      <c r="N124" s="345">
        <v>0</v>
      </c>
      <c r="O124" s="345">
        <v>0</v>
      </c>
      <c r="P124" s="345">
        <v>0</v>
      </c>
      <c r="Q124" s="346" t="s">
        <v>495</v>
      </c>
      <c r="R124" s="345" t="s">
        <v>437</v>
      </c>
    </row>
    <row r="125" spans="1:18" x14ac:dyDescent="0.2">
      <c r="A125" s="345" t="s">
        <v>492</v>
      </c>
      <c r="B125" s="345" t="s">
        <v>493</v>
      </c>
      <c r="C125" s="345" t="s">
        <v>494</v>
      </c>
      <c r="D125" s="345" t="s">
        <v>497</v>
      </c>
      <c r="E125" s="345" t="s">
        <v>498</v>
      </c>
      <c r="F125" s="345" t="s">
        <v>474</v>
      </c>
      <c r="G125" s="345" t="s">
        <v>464</v>
      </c>
      <c r="H125" s="345" t="s">
        <v>474</v>
      </c>
      <c r="I125" s="345">
        <v>46</v>
      </c>
      <c r="J125" s="345">
        <v>0</v>
      </c>
      <c r="K125" s="345">
        <v>0</v>
      </c>
      <c r="L125" s="345">
        <v>0</v>
      </c>
      <c r="M125" s="345">
        <v>0</v>
      </c>
      <c r="N125" s="345">
        <v>0</v>
      </c>
      <c r="O125" s="345">
        <v>0</v>
      </c>
      <c r="P125" s="345">
        <v>0</v>
      </c>
      <c r="Q125" s="346" t="s">
        <v>499</v>
      </c>
      <c r="R125" s="345" t="s">
        <v>434</v>
      </c>
    </row>
    <row r="126" spans="1:18" x14ac:dyDescent="0.2">
      <c r="A126" s="345" t="s">
        <v>492</v>
      </c>
      <c r="B126" s="345" t="s">
        <v>493</v>
      </c>
      <c r="C126" s="345" t="s">
        <v>494</v>
      </c>
      <c r="D126" s="345" t="s">
        <v>497</v>
      </c>
      <c r="E126" s="345" t="s">
        <v>498</v>
      </c>
      <c r="F126" s="345" t="s">
        <v>475</v>
      </c>
      <c r="G126" s="345" t="s">
        <v>443</v>
      </c>
      <c r="H126" s="345" t="s">
        <v>476</v>
      </c>
      <c r="I126" s="345">
        <v>0</v>
      </c>
      <c r="J126" s="345">
        <v>0</v>
      </c>
      <c r="K126" s="345">
        <v>0</v>
      </c>
      <c r="L126" s="345">
        <v>0</v>
      </c>
      <c r="M126" s="345">
        <v>0</v>
      </c>
      <c r="N126" s="345">
        <v>0</v>
      </c>
      <c r="O126" s="345">
        <v>0</v>
      </c>
      <c r="P126" s="345">
        <v>0</v>
      </c>
      <c r="Q126" s="346" t="s">
        <v>495</v>
      </c>
      <c r="R126" s="345" t="s">
        <v>437</v>
      </c>
    </row>
    <row r="127" spans="1:18" x14ac:dyDescent="0.2">
      <c r="A127" s="345" t="s">
        <v>492</v>
      </c>
      <c r="B127" s="345" t="s">
        <v>493</v>
      </c>
      <c r="C127" s="345" t="s">
        <v>494</v>
      </c>
      <c r="D127" s="345" t="s">
        <v>497</v>
      </c>
      <c r="E127" s="345" t="s">
        <v>498</v>
      </c>
      <c r="F127" s="345" t="s">
        <v>477</v>
      </c>
      <c r="G127" s="345" t="s">
        <v>464</v>
      </c>
      <c r="H127" s="345" t="s">
        <v>477</v>
      </c>
      <c r="I127" s="345">
        <v>72</v>
      </c>
      <c r="J127" s="345">
        <v>0</v>
      </c>
      <c r="K127" s="345">
        <v>0</v>
      </c>
      <c r="L127" s="345">
        <v>0</v>
      </c>
      <c r="M127" s="345">
        <v>0</v>
      </c>
      <c r="N127" s="345">
        <v>0</v>
      </c>
      <c r="O127" s="345">
        <v>0</v>
      </c>
      <c r="P127" s="345">
        <v>0</v>
      </c>
      <c r="Q127" s="346" t="s">
        <v>499</v>
      </c>
      <c r="R127" s="345" t="s">
        <v>434</v>
      </c>
    </row>
    <row r="128" spans="1:18" x14ac:dyDescent="0.2">
      <c r="A128" s="345" t="s">
        <v>492</v>
      </c>
      <c r="B128" s="345" t="s">
        <v>493</v>
      </c>
      <c r="C128" s="345" t="s">
        <v>494</v>
      </c>
      <c r="D128" s="345" t="s">
        <v>497</v>
      </c>
      <c r="E128" s="345" t="s">
        <v>498</v>
      </c>
      <c r="F128" s="345" t="s">
        <v>478</v>
      </c>
      <c r="G128" s="345" t="s">
        <v>432</v>
      </c>
      <c r="H128" s="345" t="s">
        <v>479</v>
      </c>
      <c r="I128" s="345">
        <v>29</v>
      </c>
      <c r="J128" s="345">
        <v>0</v>
      </c>
      <c r="K128" s="345">
        <v>0</v>
      </c>
      <c r="L128" s="345">
        <v>0</v>
      </c>
      <c r="M128" s="345">
        <v>0</v>
      </c>
      <c r="N128" s="345">
        <v>0</v>
      </c>
      <c r="O128" s="345">
        <v>0</v>
      </c>
      <c r="P128" s="345">
        <v>0</v>
      </c>
      <c r="Q128" s="346" t="s">
        <v>499</v>
      </c>
      <c r="R128" s="345" t="s">
        <v>434</v>
      </c>
    </row>
    <row r="129" spans="1:18" x14ac:dyDescent="0.2">
      <c r="A129" s="345" t="s">
        <v>492</v>
      </c>
      <c r="B129" s="345" t="s">
        <v>493</v>
      </c>
      <c r="C129" s="345" t="s">
        <v>494</v>
      </c>
      <c r="D129" s="345" t="s">
        <v>497</v>
      </c>
      <c r="E129" s="345" t="s">
        <v>498</v>
      </c>
      <c r="F129" s="345" t="s">
        <v>478</v>
      </c>
      <c r="G129" s="345" t="s">
        <v>440</v>
      </c>
      <c r="H129" s="345" t="s">
        <v>480</v>
      </c>
      <c r="I129" s="345">
        <v>11</v>
      </c>
      <c r="J129" s="345">
        <v>0</v>
      </c>
      <c r="K129" s="345">
        <v>0</v>
      </c>
      <c r="L129" s="345">
        <v>0</v>
      </c>
      <c r="M129" s="345">
        <v>0</v>
      </c>
      <c r="N129" s="345">
        <v>0</v>
      </c>
      <c r="O129" s="345">
        <v>0</v>
      </c>
      <c r="P129" s="345">
        <v>0</v>
      </c>
      <c r="Q129" s="346" t="s">
        <v>499</v>
      </c>
      <c r="R129" s="345" t="s">
        <v>434</v>
      </c>
    </row>
    <row r="130" spans="1:18" x14ac:dyDescent="0.2">
      <c r="A130" s="345" t="s">
        <v>492</v>
      </c>
      <c r="B130" s="345" t="s">
        <v>493</v>
      </c>
      <c r="C130" s="345" t="s">
        <v>494</v>
      </c>
      <c r="D130" s="345" t="s">
        <v>497</v>
      </c>
      <c r="E130" s="345" t="s">
        <v>498</v>
      </c>
      <c r="F130" s="345" t="s">
        <v>478</v>
      </c>
      <c r="G130" s="345" t="s">
        <v>470</v>
      </c>
      <c r="H130" s="345" t="s">
        <v>481</v>
      </c>
      <c r="I130" s="345">
        <v>0</v>
      </c>
      <c r="J130" s="345">
        <v>0</v>
      </c>
      <c r="K130" s="345">
        <v>0</v>
      </c>
      <c r="L130" s="345">
        <v>0</v>
      </c>
      <c r="M130" s="345">
        <v>0</v>
      </c>
      <c r="N130" s="345">
        <v>0</v>
      </c>
      <c r="O130" s="345">
        <v>0</v>
      </c>
      <c r="P130" s="345">
        <v>0</v>
      </c>
      <c r="Q130" s="346" t="s">
        <v>495</v>
      </c>
      <c r="R130" s="345" t="s">
        <v>437</v>
      </c>
    </row>
    <row r="131" spans="1:18" x14ac:dyDescent="0.2">
      <c r="A131" s="345" t="s">
        <v>500</v>
      </c>
      <c r="B131" s="345" t="s">
        <v>501</v>
      </c>
      <c r="C131" s="345" t="s">
        <v>502</v>
      </c>
      <c r="D131" s="345" t="s">
        <v>491</v>
      </c>
      <c r="E131" s="345" t="s">
        <v>430</v>
      </c>
      <c r="F131" s="345" t="s">
        <v>431</v>
      </c>
      <c r="G131" s="345" t="s">
        <v>432</v>
      </c>
      <c r="H131" s="345" t="s">
        <v>433</v>
      </c>
      <c r="I131" s="345">
        <v>13</v>
      </c>
      <c r="J131" s="345">
        <v>16</v>
      </c>
      <c r="K131" s="345">
        <v>22</v>
      </c>
      <c r="L131" s="345">
        <v>28</v>
      </c>
      <c r="M131" s="345">
        <v>34</v>
      </c>
      <c r="N131" s="345">
        <v>41</v>
      </c>
      <c r="O131" s="345">
        <v>0</v>
      </c>
      <c r="P131" s="345">
        <v>0</v>
      </c>
      <c r="Q131" s="346" t="s">
        <v>503</v>
      </c>
      <c r="R131" s="345" t="s">
        <v>434</v>
      </c>
    </row>
    <row r="132" spans="1:18" x14ac:dyDescent="0.2">
      <c r="A132" s="345" t="s">
        <v>500</v>
      </c>
      <c r="B132" s="345" t="s">
        <v>501</v>
      </c>
      <c r="C132" s="345" t="s">
        <v>502</v>
      </c>
      <c r="D132" s="345" t="s">
        <v>491</v>
      </c>
      <c r="E132" s="345" t="s">
        <v>430</v>
      </c>
      <c r="F132" s="345" t="s">
        <v>431</v>
      </c>
      <c r="G132" s="345" t="s">
        <v>435</v>
      </c>
      <c r="H132" s="345" t="s">
        <v>436</v>
      </c>
      <c r="I132" s="345">
        <v>0</v>
      </c>
      <c r="J132" s="345">
        <v>0</v>
      </c>
      <c r="K132" s="345">
        <v>0</v>
      </c>
      <c r="L132" s="345">
        <v>0</v>
      </c>
      <c r="M132" s="345">
        <v>0</v>
      </c>
      <c r="N132" s="345">
        <v>0</v>
      </c>
      <c r="O132" s="345">
        <v>0</v>
      </c>
      <c r="P132" s="345">
        <v>0</v>
      </c>
      <c r="Q132" s="346" t="s">
        <v>503</v>
      </c>
      <c r="R132" s="345" t="s">
        <v>437</v>
      </c>
    </row>
    <row r="133" spans="1:18" x14ac:dyDescent="0.2">
      <c r="A133" s="345" t="s">
        <v>500</v>
      </c>
      <c r="B133" s="345" t="s">
        <v>501</v>
      </c>
      <c r="C133" s="345" t="s">
        <v>502</v>
      </c>
      <c r="D133" s="345" t="s">
        <v>491</v>
      </c>
      <c r="E133" s="345" t="s">
        <v>430</v>
      </c>
      <c r="F133" s="345" t="s">
        <v>438</v>
      </c>
      <c r="G133" s="345" t="s">
        <v>432</v>
      </c>
      <c r="H133" s="345" t="s">
        <v>439</v>
      </c>
      <c r="I133" s="345">
        <v>11</v>
      </c>
      <c r="J133" s="345">
        <v>13</v>
      </c>
      <c r="K133" s="345">
        <v>19</v>
      </c>
      <c r="L133" s="345">
        <v>25</v>
      </c>
      <c r="M133" s="345">
        <v>31</v>
      </c>
      <c r="N133" s="345">
        <v>37</v>
      </c>
      <c r="O133" s="345">
        <v>0</v>
      </c>
      <c r="P133" s="345">
        <v>0</v>
      </c>
      <c r="Q133" s="346" t="s">
        <v>503</v>
      </c>
      <c r="R133" s="345" t="s">
        <v>434</v>
      </c>
    </row>
    <row r="134" spans="1:18" x14ac:dyDescent="0.2">
      <c r="A134" s="345" t="s">
        <v>500</v>
      </c>
      <c r="B134" s="345" t="s">
        <v>501</v>
      </c>
      <c r="C134" s="345" t="s">
        <v>502</v>
      </c>
      <c r="D134" s="345" t="s">
        <v>491</v>
      </c>
      <c r="E134" s="345" t="s">
        <v>430</v>
      </c>
      <c r="F134" s="345" t="s">
        <v>438</v>
      </c>
      <c r="G134" s="345" t="s">
        <v>440</v>
      </c>
      <c r="H134" s="345" t="s">
        <v>441</v>
      </c>
      <c r="I134" s="345">
        <v>4</v>
      </c>
      <c r="J134" s="345">
        <v>4</v>
      </c>
      <c r="K134" s="345">
        <v>7</v>
      </c>
      <c r="L134" s="345">
        <v>9</v>
      </c>
      <c r="M134" s="345">
        <v>12</v>
      </c>
      <c r="N134" s="345">
        <v>13</v>
      </c>
      <c r="O134" s="345">
        <v>0</v>
      </c>
      <c r="P134" s="345">
        <v>0</v>
      </c>
      <c r="Q134" s="346" t="s">
        <v>503</v>
      </c>
      <c r="R134" s="345" t="s">
        <v>434</v>
      </c>
    </row>
    <row r="135" spans="1:18" x14ac:dyDescent="0.2">
      <c r="A135" s="345" t="s">
        <v>500</v>
      </c>
      <c r="B135" s="345" t="s">
        <v>501</v>
      </c>
      <c r="C135" s="345" t="s">
        <v>502</v>
      </c>
      <c r="D135" s="345" t="s">
        <v>491</v>
      </c>
      <c r="E135" s="345" t="s">
        <v>430</v>
      </c>
      <c r="F135" s="345" t="s">
        <v>442</v>
      </c>
      <c r="G135" s="345" t="s">
        <v>443</v>
      </c>
      <c r="H135" s="345" t="s">
        <v>444</v>
      </c>
      <c r="I135" s="345">
        <v>0</v>
      </c>
      <c r="J135" s="345">
        <v>0</v>
      </c>
      <c r="K135" s="345">
        <v>0</v>
      </c>
      <c r="L135" s="345">
        <v>0</v>
      </c>
      <c r="M135" s="345">
        <v>0</v>
      </c>
      <c r="N135" s="345">
        <v>0</v>
      </c>
      <c r="O135" s="345">
        <v>0</v>
      </c>
      <c r="P135" s="345">
        <v>0</v>
      </c>
      <c r="Q135" s="346" t="s">
        <v>503</v>
      </c>
      <c r="R135" s="345" t="s">
        <v>437</v>
      </c>
    </row>
    <row r="136" spans="1:18" x14ac:dyDescent="0.2">
      <c r="A136" s="345" t="s">
        <v>500</v>
      </c>
      <c r="B136" s="345" t="s">
        <v>501</v>
      </c>
      <c r="C136" s="345" t="s">
        <v>502</v>
      </c>
      <c r="D136" s="345" t="s">
        <v>491</v>
      </c>
      <c r="E136" s="345" t="s">
        <v>430</v>
      </c>
      <c r="F136" s="345" t="s">
        <v>445</v>
      </c>
      <c r="G136" s="345" t="s">
        <v>443</v>
      </c>
      <c r="H136" s="345" t="s">
        <v>446</v>
      </c>
      <c r="I136" s="345">
        <v>0</v>
      </c>
      <c r="J136" s="345">
        <v>0</v>
      </c>
      <c r="K136" s="345">
        <v>0</v>
      </c>
      <c r="L136" s="345">
        <v>0</v>
      </c>
      <c r="M136" s="345">
        <v>0</v>
      </c>
      <c r="N136" s="345">
        <v>0</v>
      </c>
      <c r="O136" s="345">
        <v>0</v>
      </c>
      <c r="P136" s="345">
        <v>0</v>
      </c>
      <c r="Q136" s="346" t="s">
        <v>503</v>
      </c>
      <c r="R136" s="345" t="s">
        <v>437</v>
      </c>
    </row>
    <row r="137" spans="1:18" x14ac:dyDescent="0.2">
      <c r="A137" s="345" t="s">
        <v>500</v>
      </c>
      <c r="B137" s="345" t="s">
        <v>501</v>
      </c>
      <c r="C137" s="345" t="s">
        <v>502</v>
      </c>
      <c r="D137" s="345" t="s">
        <v>491</v>
      </c>
      <c r="E137" s="345" t="s">
        <v>430</v>
      </c>
      <c r="F137" s="345" t="s">
        <v>447</v>
      </c>
      <c r="G137" s="345" t="s">
        <v>443</v>
      </c>
      <c r="H137" s="345" t="s">
        <v>448</v>
      </c>
      <c r="I137" s="345">
        <v>0</v>
      </c>
      <c r="J137" s="345">
        <v>0</v>
      </c>
      <c r="K137" s="345">
        <v>0</v>
      </c>
      <c r="L137" s="345">
        <v>0</v>
      </c>
      <c r="M137" s="345">
        <v>0</v>
      </c>
      <c r="N137" s="345">
        <v>0</v>
      </c>
      <c r="O137" s="345">
        <v>0</v>
      </c>
      <c r="P137" s="345">
        <v>0</v>
      </c>
      <c r="Q137" s="346" t="s">
        <v>503</v>
      </c>
      <c r="R137" s="345" t="s">
        <v>437</v>
      </c>
    </row>
    <row r="138" spans="1:18" x14ac:dyDescent="0.2">
      <c r="A138" s="345" t="s">
        <v>500</v>
      </c>
      <c r="B138" s="345" t="s">
        <v>501</v>
      </c>
      <c r="C138" s="345" t="s">
        <v>502</v>
      </c>
      <c r="D138" s="345" t="s">
        <v>491</v>
      </c>
      <c r="E138" s="345" t="s">
        <v>430</v>
      </c>
      <c r="F138" s="345" t="s">
        <v>449</v>
      </c>
      <c r="G138" s="345" t="s">
        <v>450</v>
      </c>
      <c r="H138" s="345" t="s">
        <v>451</v>
      </c>
      <c r="I138" s="345">
        <v>0</v>
      </c>
      <c r="J138" s="345">
        <v>0</v>
      </c>
      <c r="K138" s="345">
        <v>0</v>
      </c>
      <c r="L138" s="345">
        <v>0</v>
      </c>
      <c r="M138" s="345">
        <v>0</v>
      </c>
      <c r="N138" s="345">
        <v>0</v>
      </c>
      <c r="O138" s="345">
        <v>0</v>
      </c>
      <c r="P138" s="345">
        <v>0</v>
      </c>
      <c r="Q138" s="346" t="s">
        <v>503</v>
      </c>
      <c r="R138" s="345" t="s">
        <v>437</v>
      </c>
    </row>
    <row r="139" spans="1:18" x14ac:dyDescent="0.2">
      <c r="A139" s="345" t="s">
        <v>500</v>
      </c>
      <c r="B139" s="345" t="s">
        <v>501</v>
      </c>
      <c r="C139" s="345" t="s">
        <v>502</v>
      </c>
      <c r="D139" s="345" t="s">
        <v>491</v>
      </c>
      <c r="E139" s="345" t="s">
        <v>430</v>
      </c>
      <c r="F139" s="345" t="s">
        <v>449</v>
      </c>
      <c r="G139" s="345" t="s">
        <v>452</v>
      </c>
      <c r="H139" s="345" t="s">
        <v>453</v>
      </c>
      <c r="I139" s="345">
        <v>0</v>
      </c>
      <c r="J139" s="345">
        <v>0</v>
      </c>
      <c r="K139" s="345">
        <v>0</v>
      </c>
      <c r="L139" s="345">
        <v>0</v>
      </c>
      <c r="M139" s="345">
        <v>0</v>
      </c>
      <c r="N139" s="345">
        <v>0</v>
      </c>
      <c r="O139" s="345">
        <v>0</v>
      </c>
      <c r="P139" s="345">
        <v>0</v>
      </c>
      <c r="Q139" s="346" t="s">
        <v>503</v>
      </c>
      <c r="R139" s="345" t="s">
        <v>437</v>
      </c>
    </row>
    <row r="140" spans="1:18" x14ac:dyDescent="0.2">
      <c r="A140" s="345" t="s">
        <v>500</v>
      </c>
      <c r="B140" s="345" t="s">
        <v>501</v>
      </c>
      <c r="C140" s="345" t="s">
        <v>502</v>
      </c>
      <c r="D140" s="345" t="s">
        <v>491</v>
      </c>
      <c r="E140" s="345" t="s">
        <v>430</v>
      </c>
      <c r="F140" s="345" t="s">
        <v>449</v>
      </c>
      <c r="G140" s="345" t="s">
        <v>454</v>
      </c>
      <c r="H140" s="345" t="s">
        <v>455</v>
      </c>
      <c r="I140" s="345">
        <v>4</v>
      </c>
      <c r="J140" s="345">
        <v>4</v>
      </c>
      <c r="K140" s="345">
        <v>4</v>
      </c>
      <c r="L140" s="345">
        <v>4</v>
      </c>
      <c r="M140" s="345">
        <v>4</v>
      </c>
      <c r="N140" s="345">
        <v>4</v>
      </c>
      <c r="O140" s="345">
        <v>0</v>
      </c>
      <c r="P140" s="345">
        <v>0</v>
      </c>
      <c r="Q140" s="346" t="s">
        <v>503</v>
      </c>
      <c r="R140" s="345" t="s">
        <v>434</v>
      </c>
    </row>
    <row r="141" spans="1:18" x14ac:dyDescent="0.2">
      <c r="A141" s="345" t="s">
        <v>500</v>
      </c>
      <c r="B141" s="345" t="s">
        <v>501</v>
      </c>
      <c r="C141" s="345" t="s">
        <v>502</v>
      </c>
      <c r="D141" s="345" t="s">
        <v>491</v>
      </c>
      <c r="E141" s="345" t="s">
        <v>430</v>
      </c>
      <c r="F141" s="345" t="s">
        <v>456</v>
      </c>
      <c r="G141" s="345" t="s">
        <v>457</v>
      </c>
      <c r="H141" s="345" t="s">
        <v>458</v>
      </c>
      <c r="I141" s="345">
        <v>30</v>
      </c>
      <c r="J141" s="345">
        <v>35</v>
      </c>
      <c r="K141" s="345">
        <v>57</v>
      </c>
      <c r="L141" s="345">
        <v>76</v>
      </c>
      <c r="M141" s="345">
        <v>100</v>
      </c>
      <c r="N141" s="345">
        <v>124</v>
      </c>
      <c r="O141" s="345">
        <v>0</v>
      </c>
      <c r="P141" s="345">
        <v>0</v>
      </c>
      <c r="Q141" s="346" t="s">
        <v>503</v>
      </c>
      <c r="R141" s="345" t="s">
        <v>434</v>
      </c>
    </row>
    <row r="142" spans="1:18" x14ac:dyDescent="0.2">
      <c r="A142" s="345" t="s">
        <v>500</v>
      </c>
      <c r="B142" s="345" t="s">
        <v>501</v>
      </c>
      <c r="C142" s="345" t="s">
        <v>502</v>
      </c>
      <c r="D142" s="345" t="s">
        <v>491</v>
      </c>
      <c r="E142" s="345" t="s">
        <v>430</v>
      </c>
      <c r="F142" s="345" t="s">
        <v>459</v>
      </c>
      <c r="G142" s="345" t="s">
        <v>443</v>
      </c>
      <c r="H142" s="345" t="s">
        <v>460</v>
      </c>
      <c r="I142" s="345">
        <v>11</v>
      </c>
      <c r="J142" s="345">
        <v>11</v>
      </c>
      <c r="K142" s="345">
        <v>11</v>
      </c>
      <c r="L142" s="345">
        <v>11</v>
      </c>
      <c r="M142" s="345">
        <v>11</v>
      </c>
      <c r="N142" s="345">
        <v>11</v>
      </c>
      <c r="O142" s="345">
        <v>0</v>
      </c>
      <c r="P142" s="345">
        <v>0</v>
      </c>
      <c r="Q142" s="346" t="s">
        <v>503</v>
      </c>
      <c r="R142" s="345" t="s">
        <v>434</v>
      </c>
    </row>
    <row r="143" spans="1:18" x14ac:dyDescent="0.2">
      <c r="A143" s="345" t="s">
        <v>500</v>
      </c>
      <c r="B143" s="345" t="s">
        <v>501</v>
      </c>
      <c r="C143" s="345" t="s">
        <v>502</v>
      </c>
      <c r="D143" s="345" t="s">
        <v>491</v>
      </c>
      <c r="E143" s="345" t="s">
        <v>430</v>
      </c>
      <c r="F143" s="345" t="s">
        <v>461</v>
      </c>
      <c r="G143" s="345" t="s">
        <v>443</v>
      </c>
      <c r="H143" s="345" t="s">
        <v>462</v>
      </c>
      <c r="I143" s="345">
        <v>12</v>
      </c>
      <c r="J143" s="345">
        <v>12</v>
      </c>
      <c r="K143" s="345">
        <v>12</v>
      </c>
      <c r="L143" s="345">
        <v>12</v>
      </c>
      <c r="M143" s="345">
        <v>12</v>
      </c>
      <c r="N143" s="345">
        <v>12</v>
      </c>
      <c r="O143" s="345">
        <v>0</v>
      </c>
      <c r="P143" s="345">
        <v>0</v>
      </c>
      <c r="Q143" s="346" t="s">
        <v>503</v>
      </c>
      <c r="R143" s="345" t="s">
        <v>434</v>
      </c>
    </row>
    <row r="144" spans="1:18" x14ac:dyDescent="0.2">
      <c r="A144" s="345" t="s">
        <v>500</v>
      </c>
      <c r="B144" s="345" t="s">
        <v>501</v>
      </c>
      <c r="C144" s="345" t="s">
        <v>502</v>
      </c>
      <c r="D144" s="345" t="s">
        <v>491</v>
      </c>
      <c r="E144" s="345" t="s">
        <v>430</v>
      </c>
      <c r="F144" s="345" t="s">
        <v>463</v>
      </c>
      <c r="G144" s="345" t="s">
        <v>464</v>
      </c>
      <c r="H144" s="345" t="s">
        <v>463</v>
      </c>
      <c r="I144" s="345">
        <v>8</v>
      </c>
      <c r="J144" s="345">
        <v>8</v>
      </c>
      <c r="K144" s="345">
        <v>8</v>
      </c>
      <c r="L144" s="345">
        <v>8</v>
      </c>
      <c r="M144" s="345">
        <v>8</v>
      </c>
      <c r="N144" s="345">
        <v>8</v>
      </c>
      <c r="O144" s="345">
        <v>0</v>
      </c>
      <c r="P144" s="345">
        <v>0</v>
      </c>
      <c r="Q144" s="346" t="s">
        <v>503</v>
      </c>
      <c r="R144" s="345" t="s">
        <v>434</v>
      </c>
    </row>
    <row r="145" spans="1:18" x14ac:dyDescent="0.2">
      <c r="A145" s="345" t="s">
        <v>500</v>
      </c>
      <c r="B145" s="345" t="s">
        <v>501</v>
      </c>
      <c r="C145" s="345" t="s">
        <v>502</v>
      </c>
      <c r="D145" s="345" t="s">
        <v>491</v>
      </c>
      <c r="E145" s="345" t="s">
        <v>430</v>
      </c>
      <c r="F145" s="345" t="s">
        <v>465</v>
      </c>
      <c r="G145" s="345" t="s">
        <v>432</v>
      </c>
      <c r="H145" s="345" t="s">
        <v>466</v>
      </c>
      <c r="I145" s="345">
        <v>19</v>
      </c>
      <c r="J145" s="345">
        <v>22</v>
      </c>
      <c r="K145" s="345">
        <v>25</v>
      </c>
      <c r="L145" s="345">
        <v>28</v>
      </c>
      <c r="M145" s="345">
        <v>30</v>
      </c>
      <c r="N145" s="345">
        <v>35</v>
      </c>
      <c r="O145" s="345">
        <v>0</v>
      </c>
      <c r="P145" s="345">
        <v>0</v>
      </c>
      <c r="Q145" s="346" t="s">
        <v>503</v>
      </c>
      <c r="R145" s="345" t="s">
        <v>434</v>
      </c>
    </row>
    <row r="146" spans="1:18" x14ac:dyDescent="0.2">
      <c r="A146" s="345" t="s">
        <v>500</v>
      </c>
      <c r="B146" s="345" t="s">
        <v>501</v>
      </c>
      <c r="C146" s="345" t="s">
        <v>502</v>
      </c>
      <c r="D146" s="345" t="s">
        <v>491</v>
      </c>
      <c r="E146" s="345" t="s">
        <v>430</v>
      </c>
      <c r="F146" s="345" t="s">
        <v>465</v>
      </c>
      <c r="G146" s="345" t="s">
        <v>467</v>
      </c>
      <c r="H146" s="345" t="s">
        <v>468</v>
      </c>
      <c r="I146" s="345">
        <v>0</v>
      </c>
      <c r="J146" s="345">
        <v>0</v>
      </c>
      <c r="K146" s="345">
        <v>0</v>
      </c>
      <c r="L146" s="345">
        <v>0</v>
      </c>
      <c r="M146" s="345">
        <v>0</v>
      </c>
      <c r="N146" s="345">
        <v>0</v>
      </c>
      <c r="O146" s="345">
        <v>0</v>
      </c>
      <c r="P146" s="345">
        <v>0</v>
      </c>
      <c r="Q146" s="346" t="s">
        <v>503</v>
      </c>
      <c r="R146" s="345" t="s">
        <v>437</v>
      </c>
    </row>
    <row r="147" spans="1:18" x14ac:dyDescent="0.2">
      <c r="A147" s="345" t="s">
        <v>500</v>
      </c>
      <c r="B147" s="345" t="s">
        <v>501</v>
      </c>
      <c r="C147" s="345" t="s">
        <v>502</v>
      </c>
      <c r="D147" s="345" t="s">
        <v>491</v>
      </c>
      <c r="E147" s="345" t="s">
        <v>430</v>
      </c>
      <c r="F147" s="345" t="s">
        <v>465</v>
      </c>
      <c r="G147" s="345" t="s">
        <v>440</v>
      </c>
      <c r="H147" s="345" t="s">
        <v>469</v>
      </c>
      <c r="I147" s="345">
        <v>16</v>
      </c>
      <c r="J147" s="345">
        <v>18</v>
      </c>
      <c r="K147" s="345">
        <v>21</v>
      </c>
      <c r="L147" s="345">
        <v>22</v>
      </c>
      <c r="M147" s="345">
        <v>25</v>
      </c>
      <c r="N147" s="345">
        <v>27</v>
      </c>
      <c r="O147" s="345">
        <v>0</v>
      </c>
      <c r="P147" s="345">
        <v>0</v>
      </c>
      <c r="Q147" s="346" t="s">
        <v>503</v>
      </c>
      <c r="R147" s="345" t="s">
        <v>434</v>
      </c>
    </row>
    <row r="148" spans="1:18" x14ac:dyDescent="0.2">
      <c r="A148" s="345" t="s">
        <v>500</v>
      </c>
      <c r="B148" s="345" t="s">
        <v>501</v>
      </c>
      <c r="C148" s="345" t="s">
        <v>502</v>
      </c>
      <c r="D148" s="345" t="s">
        <v>491</v>
      </c>
      <c r="E148" s="345" t="s">
        <v>430</v>
      </c>
      <c r="F148" s="345" t="s">
        <v>465</v>
      </c>
      <c r="G148" s="345" t="s">
        <v>470</v>
      </c>
      <c r="H148" s="345" t="s">
        <v>471</v>
      </c>
      <c r="I148" s="345">
        <v>0</v>
      </c>
      <c r="J148" s="345">
        <v>0</v>
      </c>
      <c r="K148" s="345">
        <v>0</v>
      </c>
      <c r="L148" s="345">
        <v>0</v>
      </c>
      <c r="M148" s="345">
        <v>0</v>
      </c>
      <c r="N148" s="345">
        <v>0</v>
      </c>
      <c r="O148" s="345">
        <v>0</v>
      </c>
      <c r="P148" s="345">
        <v>0</v>
      </c>
      <c r="Q148" s="346" t="s">
        <v>503</v>
      </c>
      <c r="R148" s="345" t="s">
        <v>437</v>
      </c>
    </row>
    <row r="149" spans="1:18" x14ac:dyDescent="0.2">
      <c r="A149" s="345" t="s">
        <v>500</v>
      </c>
      <c r="B149" s="345" t="s">
        <v>501</v>
      </c>
      <c r="C149" s="345" t="s">
        <v>502</v>
      </c>
      <c r="D149" s="345" t="s">
        <v>491</v>
      </c>
      <c r="E149" s="345" t="s">
        <v>430</v>
      </c>
      <c r="F149" s="345" t="s">
        <v>465</v>
      </c>
      <c r="G149" s="345" t="s">
        <v>472</v>
      </c>
      <c r="H149" s="345" t="s">
        <v>473</v>
      </c>
      <c r="I149" s="345">
        <v>0</v>
      </c>
      <c r="J149" s="345">
        <v>0</v>
      </c>
      <c r="K149" s="345">
        <v>0</v>
      </c>
      <c r="L149" s="345">
        <v>0</v>
      </c>
      <c r="M149" s="345">
        <v>0</v>
      </c>
      <c r="N149" s="345">
        <v>0</v>
      </c>
      <c r="O149" s="345">
        <v>0</v>
      </c>
      <c r="P149" s="345">
        <v>0</v>
      </c>
      <c r="Q149" s="346" t="s">
        <v>503</v>
      </c>
      <c r="R149" s="345" t="s">
        <v>437</v>
      </c>
    </row>
    <row r="150" spans="1:18" x14ac:dyDescent="0.2">
      <c r="A150" s="345" t="s">
        <v>500</v>
      </c>
      <c r="B150" s="345" t="s">
        <v>501</v>
      </c>
      <c r="C150" s="345" t="s">
        <v>502</v>
      </c>
      <c r="D150" s="345" t="s">
        <v>491</v>
      </c>
      <c r="E150" s="345" t="s">
        <v>430</v>
      </c>
      <c r="F150" s="345" t="s">
        <v>474</v>
      </c>
      <c r="G150" s="345" t="s">
        <v>464</v>
      </c>
      <c r="H150" s="345" t="s">
        <v>474</v>
      </c>
      <c r="I150" s="345">
        <v>43</v>
      </c>
      <c r="J150" s="345">
        <v>43</v>
      </c>
      <c r="K150" s="345">
        <v>43</v>
      </c>
      <c r="L150" s="345">
        <v>43</v>
      </c>
      <c r="M150" s="345">
        <v>43</v>
      </c>
      <c r="N150" s="345">
        <v>43</v>
      </c>
      <c r="O150" s="345">
        <v>0</v>
      </c>
      <c r="P150" s="345">
        <v>0</v>
      </c>
      <c r="Q150" s="346" t="s">
        <v>503</v>
      </c>
      <c r="R150" s="345" t="s">
        <v>434</v>
      </c>
    </row>
    <row r="151" spans="1:18" x14ac:dyDescent="0.2">
      <c r="A151" s="345" t="s">
        <v>500</v>
      </c>
      <c r="B151" s="345" t="s">
        <v>501</v>
      </c>
      <c r="C151" s="345" t="s">
        <v>502</v>
      </c>
      <c r="D151" s="345" t="s">
        <v>491</v>
      </c>
      <c r="E151" s="345" t="s">
        <v>430</v>
      </c>
      <c r="F151" s="345" t="s">
        <v>475</v>
      </c>
      <c r="G151" s="345" t="s">
        <v>443</v>
      </c>
      <c r="H151" s="345" t="s">
        <v>476</v>
      </c>
      <c r="I151" s="345">
        <v>0</v>
      </c>
      <c r="J151" s="345">
        <v>0</v>
      </c>
      <c r="K151" s="345">
        <v>0</v>
      </c>
      <c r="L151" s="345">
        <v>0</v>
      </c>
      <c r="M151" s="345">
        <v>0</v>
      </c>
      <c r="N151" s="345">
        <v>0</v>
      </c>
      <c r="O151" s="345">
        <v>0</v>
      </c>
      <c r="P151" s="345">
        <v>0</v>
      </c>
      <c r="Q151" s="346" t="s">
        <v>503</v>
      </c>
      <c r="R151" s="345" t="s">
        <v>437</v>
      </c>
    </row>
    <row r="152" spans="1:18" x14ac:dyDescent="0.2">
      <c r="A152" s="345" t="s">
        <v>500</v>
      </c>
      <c r="B152" s="345" t="s">
        <v>501</v>
      </c>
      <c r="C152" s="345" t="s">
        <v>502</v>
      </c>
      <c r="D152" s="345" t="s">
        <v>491</v>
      </c>
      <c r="E152" s="345" t="s">
        <v>430</v>
      </c>
      <c r="F152" s="345" t="s">
        <v>477</v>
      </c>
      <c r="G152" s="345" t="s">
        <v>464</v>
      </c>
      <c r="H152" s="345" t="s">
        <v>477</v>
      </c>
      <c r="I152" s="345">
        <v>45</v>
      </c>
      <c r="J152" s="345">
        <v>49</v>
      </c>
      <c r="K152" s="345">
        <v>71</v>
      </c>
      <c r="L152" s="345">
        <v>104</v>
      </c>
      <c r="M152" s="345">
        <v>138</v>
      </c>
      <c r="N152" s="345">
        <v>171</v>
      </c>
      <c r="O152" s="345">
        <v>0</v>
      </c>
      <c r="P152" s="345">
        <v>0</v>
      </c>
      <c r="Q152" s="346" t="s">
        <v>503</v>
      </c>
      <c r="R152" s="345" t="s">
        <v>434</v>
      </c>
    </row>
    <row r="153" spans="1:18" x14ac:dyDescent="0.2">
      <c r="A153" s="345" t="s">
        <v>500</v>
      </c>
      <c r="B153" s="345" t="s">
        <v>501</v>
      </c>
      <c r="C153" s="345" t="s">
        <v>502</v>
      </c>
      <c r="D153" s="345" t="s">
        <v>491</v>
      </c>
      <c r="E153" s="345" t="s">
        <v>430</v>
      </c>
      <c r="F153" s="345" t="s">
        <v>478</v>
      </c>
      <c r="G153" s="345" t="s">
        <v>432</v>
      </c>
      <c r="H153" s="345" t="s">
        <v>479</v>
      </c>
      <c r="I153" s="345">
        <v>25</v>
      </c>
      <c r="J153" s="345">
        <v>30</v>
      </c>
      <c r="K153" s="345">
        <v>38</v>
      </c>
      <c r="L153" s="345">
        <v>46</v>
      </c>
      <c r="M153" s="345">
        <v>55</v>
      </c>
      <c r="N153" s="345">
        <v>63</v>
      </c>
      <c r="O153" s="345">
        <v>0</v>
      </c>
      <c r="P153" s="345">
        <v>0</v>
      </c>
      <c r="Q153" s="346" t="s">
        <v>503</v>
      </c>
      <c r="R153" s="345" t="s">
        <v>434</v>
      </c>
    </row>
    <row r="154" spans="1:18" x14ac:dyDescent="0.2">
      <c r="A154" s="345" t="s">
        <v>500</v>
      </c>
      <c r="B154" s="345" t="s">
        <v>501</v>
      </c>
      <c r="C154" s="345" t="s">
        <v>502</v>
      </c>
      <c r="D154" s="345" t="s">
        <v>491</v>
      </c>
      <c r="E154" s="345" t="s">
        <v>430</v>
      </c>
      <c r="F154" s="345" t="s">
        <v>478</v>
      </c>
      <c r="G154" s="345" t="s">
        <v>440</v>
      </c>
      <c r="H154" s="345" t="s">
        <v>480</v>
      </c>
      <c r="I154" s="345">
        <v>9</v>
      </c>
      <c r="J154" s="345">
        <v>10</v>
      </c>
      <c r="K154" s="345">
        <v>14</v>
      </c>
      <c r="L154" s="345">
        <v>20</v>
      </c>
      <c r="M154" s="345">
        <v>26</v>
      </c>
      <c r="N154" s="345">
        <v>31</v>
      </c>
      <c r="O154" s="345">
        <v>0</v>
      </c>
      <c r="P154" s="345">
        <v>0</v>
      </c>
      <c r="Q154" s="346" t="s">
        <v>503</v>
      </c>
      <c r="R154" s="345" t="s">
        <v>434</v>
      </c>
    </row>
    <row r="155" spans="1:18" x14ac:dyDescent="0.2">
      <c r="A155" s="345" t="s">
        <v>500</v>
      </c>
      <c r="B155" s="345" t="s">
        <v>501</v>
      </c>
      <c r="C155" s="345" t="s">
        <v>502</v>
      </c>
      <c r="D155" s="345" t="s">
        <v>491</v>
      </c>
      <c r="E155" s="345" t="s">
        <v>430</v>
      </c>
      <c r="F155" s="345" t="s">
        <v>478</v>
      </c>
      <c r="G155" s="345" t="s">
        <v>470</v>
      </c>
      <c r="H155" s="345" t="s">
        <v>481</v>
      </c>
      <c r="I155" s="345">
        <v>0</v>
      </c>
      <c r="J155" s="345">
        <v>0</v>
      </c>
      <c r="K155" s="345">
        <v>0</v>
      </c>
      <c r="L155" s="345">
        <v>0</v>
      </c>
      <c r="M155" s="345">
        <v>0</v>
      </c>
      <c r="N155" s="345">
        <v>0</v>
      </c>
      <c r="O155" s="345">
        <v>0</v>
      </c>
      <c r="P155" s="345">
        <v>0</v>
      </c>
      <c r="Q155" s="346" t="s">
        <v>503</v>
      </c>
      <c r="R155" s="345" t="s">
        <v>437</v>
      </c>
    </row>
    <row r="156" spans="1:18" x14ac:dyDescent="0.2">
      <c r="A156" s="345" t="s">
        <v>504</v>
      </c>
      <c r="B156" s="345" t="s">
        <v>505</v>
      </c>
      <c r="C156" s="345" t="s">
        <v>506</v>
      </c>
      <c r="D156" s="345" t="s">
        <v>507</v>
      </c>
      <c r="E156" s="345" t="s">
        <v>430</v>
      </c>
      <c r="F156" s="345" t="s">
        <v>431</v>
      </c>
      <c r="G156" s="345" t="s">
        <v>432</v>
      </c>
      <c r="H156" s="345" t="s">
        <v>433</v>
      </c>
      <c r="I156" s="345">
        <v>0</v>
      </c>
      <c r="J156" s="345">
        <v>0</v>
      </c>
      <c r="K156" s="345">
        <v>0</v>
      </c>
      <c r="L156" s="345">
        <v>0</v>
      </c>
      <c r="M156" s="345">
        <v>0</v>
      </c>
      <c r="N156" s="345">
        <v>0</v>
      </c>
      <c r="O156" s="345">
        <v>0</v>
      </c>
      <c r="P156" s="345">
        <v>0</v>
      </c>
      <c r="Q156" s="346" t="s">
        <v>508</v>
      </c>
      <c r="R156" s="345" t="s">
        <v>437</v>
      </c>
    </row>
    <row r="157" spans="1:18" x14ac:dyDescent="0.2">
      <c r="A157" s="345" t="s">
        <v>504</v>
      </c>
      <c r="B157" s="345" t="s">
        <v>505</v>
      </c>
      <c r="C157" s="345" t="s">
        <v>506</v>
      </c>
      <c r="D157" s="345" t="s">
        <v>507</v>
      </c>
      <c r="E157" s="345" t="s">
        <v>430</v>
      </c>
      <c r="F157" s="345" t="s">
        <v>431</v>
      </c>
      <c r="G157" s="345" t="s">
        <v>435</v>
      </c>
      <c r="H157" s="345" t="s">
        <v>436</v>
      </c>
      <c r="I157" s="345">
        <v>0</v>
      </c>
      <c r="J157" s="345">
        <v>0</v>
      </c>
      <c r="K157" s="345">
        <v>0</v>
      </c>
      <c r="L157" s="345">
        <v>0</v>
      </c>
      <c r="M157" s="345">
        <v>0</v>
      </c>
      <c r="N157" s="345">
        <v>0</v>
      </c>
      <c r="O157" s="345">
        <v>0</v>
      </c>
      <c r="P157" s="345">
        <v>0</v>
      </c>
      <c r="Q157" s="346" t="s">
        <v>508</v>
      </c>
      <c r="R157" s="345" t="s">
        <v>437</v>
      </c>
    </row>
    <row r="158" spans="1:18" x14ac:dyDescent="0.2">
      <c r="A158" s="345" t="s">
        <v>504</v>
      </c>
      <c r="B158" s="345" t="s">
        <v>505</v>
      </c>
      <c r="C158" s="345" t="s">
        <v>506</v>
      </c>
      <c r="D158" s="345" t="s">
        <v>507</v>
      </c>
      <c r="E158" s="345" t="s">
        <v>430</v>
      </c>
      <c r="F158" s="345" t="s">
        <v>438</v>
      </c>
      <c r="G158" s="345" t="s">
        <v>432</v>
      </c>
      <c r="H158" s="345" t="s">
        <v>439</v>
      </c>
      <c r="I158" s="345">
        <v>0</v>
      </c>
      <c r="J158" s="345">
        <v>0</v>
      </c>
      <c r="K158" s="345">
        <v>0</v>
      </c>
      <c r="L158" s="345">
        <v>0</v>
      </c>
      <c r="M158" s="345">
        <v>0</v>
      </c>
      <c r="N158" s="345">
        <v>0</v>
      </c>
      <c r="O158" s="345">
        <v>0</v>
      </c>
      <c r="P158" s="345">
        <v>0</v>
      </c>
      <c r="Q158" s="346" t="s">
        <v>508</v>
      </c>
      <c r="R158" s="345" t="s">
        <v>437</v>
      </c>
    </row>
    <row r="159" spans="1:18" x14ac:dyDescent="0.2">
      <c r="A159" s="345" t="s">
        <v>504</v>
      </c>
      <c r="B159" s="345" t="s">
        <v>505</v>
      </c>
      <c r="C159" s="345" t="s">
        <v>506</v>
      </c>
      <c r="D159" s="345" t="s">
        <v>507</v>
      </c>
      <c r="E159" s="345" t="s">
        <v>430</v>
      </c>
      <c r="F159" s="345" t="s">
        <v>438</v>
      </c>
      <c r="G159" s="345" t="s">
        <v>440</v>
      </c>
      <c r="H159" s="345" t="s">
        <v>441</v>
      </c>
      <c r="I159" s="345">
        <v>0</v>
      </c>
      <c r="J159" s="345">
        <v>0</v>
      </c>
      <c r="K159" s="345">
        <v>0</v>
      </c>
      <c r="L159" s="345">
        <v>0</v>
      </c>
      <c r="M159" s="345">
        <v>0</v>
      </c>
      <c r="N159" s="345">
        <v>0</v>
      </c>
      <c r="O159" s="345">
        <v>0</v>
      </c>
      <c r="P159" s="345">
        <v>0</v>
      </c>
      <c r="Q159" s="346" t="s">
        <v>508</v>
      </c>
      <c r="R159" s="345" t="s">
        <v>437</v>
      </c>
    </row>
    <row r="160" spans="1:18" x14ac:dyDescent="0.2">
      <c r="A160" s="345" t="s">
        <v>504</v>
      </c>
      <c r="B160" s="345" t="s">
        <v>505</v>
      </c>
      <c r="C160" s="345" t="s">
        <v>506</v>
      </c>
      <c r="D160" s="345" t="s">
        <v>507</v>
      </c>
      <c r="E160" s="345" t="s">
        <v>430</v>
      </c>
      <c r="F160" s="345" t="s">
        <v>442</v>
      </c>
      <c r="G160" s="345" t="s">
        <v>443</v>
      </c>
      <c r="H160" s="345" t="s">
        <v>444</v>
      </c>
      <c r="I160" s="345">
        <v>0</v>
      </c>
      <c r="J160" s="345">
        <v>0</v>
      </c>
      <c r="K160" s="345">
        <v>0</v>
      </c>
      <c r="L160" s="345">
        <v>0</v>
      </c>
      <c r="M160" s="345">
        <v>0</v>
      </c>
      <c r="N160" s="345">
        <v>0</v>
      </c>
      <c r="O160" s="345">
        <v>0</v>
      </c>
      <c r="P160" s="345">
        <v>0</v>
      </c>
      <c r="Q160" s="346" t="s">
        <v>508</v>
      </c>
      <c r="R160" s="345" t="s">
        <v>437</v>
      </c>
    </row>
    <row r="161" spans="1:18" x14ac:dyDescent="0.2">
      <c r="A161" s="345" t="s">
        <v>504</v>
      </c>
      <c r="B161" s="345" t="s">
        <v>505</v>
      </c>
      <c r="C161" s="345" t="s">
        <v>506</v>
      </c>
      <c r="D161" s="345" t="s">
        <v>507</v>
      </c>
      <c r="E161" s="345" t="s">
        <v>430</v>
      </c>
      <c r="F161" s="345" t="s">
        <v>445</v>
      </c>
      <c r="G161" s="345" t="s">
        <v>443</v>
      </c>
      <c r="H161" s="345" t="s">
        <v>446</v>
      </c>
      <c r="I161" s="345">
        <v>0</v>
      </c>
      <c r="J161" s="345">
        <v>0</v>
      </c>
      <c r="K161" s="345">
        <v>0</v>
      </c>
      <c r="L161" s="345">
        <v>0</v>
      </c>
      <c r="M161" s="345">
        <v>0</v>
      </c>
      <c r="N161" s="345">
        <v>0</v>
      </c>
      <c r="O161" s="345">
        <v>0</v>
      </c>
      <c r="P161" s="345">
        <v>0</v>
      </c>
      <c r="Q161" s="346" t="s">
        <v>508</v>
      </c>
      <c r="R161" s="345" t="s">
        <v>437</v>
      </c>
    </row>
    <row r="162" spans="1:18" x14ac:dyDescent="0.2">
      <c r="A162" s="345" t="s">
        <v>504</v>
      </c>
      <c r="B162" s="345" t="s">
        <v>505</v>
      </c>
      <c r="C162" s="345" t="s">
        <v>506</v>
      </c>
      <c r="D162" s="345" t="s">
        <v>507</v>
      </c>
      <c r="E162" s="345" t="s">
        <v>430</v>
      </c>
      <c r="F162" s="345" t="s">
        <v>447</v>
      </c>
      <c r="G162" s="345" t="s">
        <v>443</v>
      </c>
      <c r="H162" s="345" t="s">
        <v>448</v>
      </c>
      <c r="I162" s="345">
        <v>0</v>
      </c>
      <c r="J162" s="345">
        <v>0</v>
      </c>
      <c r="K162" s="345">
        <v>0</v>
      </c>
      <c r="L162" s="345">
        <v>0</v>
      </c>
      <c r="M162" s="345">
        <v>0</v>
      </c>
      <c r="N162" s="345">
        <v>0</v>
      </c>
      <c r="O162" s="345">
        <v>0</v>
      </c>
      <c r="P162" s="345">
        <v>0</v>
      </c>
      <c r="Q162" s="346" t="s">
        <v>508</v>
      </c>
      <c r="R162" s="345" t="s">
        <v>437</v>
      </c>
    </row>
    <row r="163" spans="1:18" x14ac:dyDescent="0.2">
      <c r="A163" s="345" t="s">
        <v>504</v>
      </c>
      <c r="B163" s="345" t="s">
        <v>505</v>
      </c>
      <c r="C163" s="345" t="s">
        <v>506</v>
      </c>
      <c r="D163" s="345" t="s">
        <v>507</v>
      </c>
      <c r="E163" s="345" t="s">
        <v>430</v>
      </c>
      <c r="F163" s="345" t="s">
        <v>449</v>
      </c>
      <c r="G163" s="345" t="s">
        <v>450</v>
      </c>
      <c r="H163" s="345" t="s">
        <v>451</v>
      </c>
      <c r="I163" s="345">
        <v>0</v>
      </c>
      <c r="J163" s="345">
        <v>0</v>
      </c>
      <c r="K163" s="345">
        <v>0</v>
      </c>
      <c r="L163" s="345">
        <v>0</v>
      </c>
      <c r="M163" s="345">
        <v>0</v>
      </c>
      <c r="N163" s="345">
        <v>0</v>
      </c>
      <c r="O163" s="345">
        <v>0</v>
      </c>
      <c r="P163" s="345">
        <v>0</v>
      </c>
      <c r="Q163" s="346" t="s">
        <v>508</v>
      </c>
      <c r="R163" s="345" t="s">
        <v>437</v>
      </c>
    </row>
    <row r="164" spans="1:18" x14ac:dyDescent="0.2">
      <c r="A164" s="345" t="s">
        <v>504</v>
      </c>
      <c r="B164" s="345" t="s">
        <v>505</v>
      </c>
      <c r="C164" s="345" t="s">
        <v>506</v>
      </c>
      <c r="D164" s="345" t="s">
        <v>507</v>
      </c>
      <c r="E164" s="345" t="s">
        <v>430</v>
      </c>
      <c r="F164" s="345" t="s">
        <v>449</v>
      </c>
      <c r="G164" s="345" t="s">
        <v>452</v>
      </c>
      <c r="H164" s="345" t="s">
        <v>453</v>
      </c>
      <c r="I164" s="345">
        <v>0</v>
      </c>
      <c r="J164" s="345">
        <v>0</v>
      </c>
      <c r="K164" s="345">
        <v>0</v>
      </c>
      <c r="L164" s="345">
        <v>0</v>
      </c>
      <c r="M164" s="345">
        <v>0</v>
      </c>
      <c r="N164" s="345">
        <v>0</v>
      </c>
      <c r="O164" s="345">
        <v>0</v>
      </c>
      <c r="P164" s="345">
        <v>0</v>
      </c>
      <c r="Q164" s="346" t="s">
        <v>508</v>
      </c>
      <c r="R164" s="345" t="s">
        <v>437</v>
      </c>
    </row>
    <row r="165" spans="1:18" x14ac:dyDescent="0.2">
      <c r="A165" s="345" t="s">
        <v>504</v>
      </c>
      <c r="B165" s="345" t="s">
        <v>505</v>
      </c>
      <c r="C165" s="345" t="s">
        <v>506</v>
      </c>
      <c r="D165" s="345" t="s">
        <v>507</v>
      </c>
      <c r="E165" s="345" t="s">
        <v>430</v>
      </c>
      <c r="F165" s="345" t="s">
        <v>449</v>
      </c>
      <c r="G165" s="345" t="s">
        <v>454</v>
      </c>
      <c r="H165" s="345" t="s">
        <v>455</v>
      </c>
      <c r="I165" s="345">
        <v>0</v>
      </c>
      <c r="J165" s="345">
        <v>0</v>
      </c>
      <c r="K165" s="345">
        <v>0</v>
      </c>
      <c r="L165" s="345">
        <v>0</v>
      </c>
      <c r="M165" s="345">
        <v>0</v>
      </c>
      <c r="N165" s="345">
        <v>0</v>
      </c>
      <c r="O165" s="345">
        <v>0</v>
      </c>
      <c r="P165" s="345">
        <v>0</v>
      </c>
      <c r="Q165" s="346" t="s">
        <v>508</v>
      </c>
      <c r="R165" s="345" t="s">
        <v>437</v>
      </c>
    </row>
    <row r="166" spans="1:18" x14ac:dyDescent="0.2">
      <c r="A166" s="345" t="s">
        <v>504</v>
      </c>
      <c r="B166" s="345" t="s">
        <v>505</v>
      </c>
      <c r="C166" s="345" t="s">
        <v>506</v>
      </c>
      <c r="D166" s="345" t="s">
        <v>507</v>
      </c>
      <c r="E166" s="345" t="s">
        <v>430</v>
      </c>
      <c r="F166" s="345" t="s">
        <v>456</v>
      </c>
      <c r="G166" s="345" t="s">
        <v>457</v>
      </c>
      <c r="H166" s="345" t="s">
        <v>458</v>
      </c>
      <c r="I166" s="345">
        <v>0</v>
      </c>
      <c r="J166" s="345">
        <v>0</v>
      </c>
      <c r="K166" s="345">
        <v>0</v>
      </c>
      <c r="L166" s="345">
        <v>0</v>
      </c>
      <c r="M166" s="345">
        <v>0</v>
      </c>
      <c r="N166" s="345">
        <v>0</v>
      </c>
      <c r="O166" s="345">
        <v>0</v>
      </c>
      <c r="P166" s="345">
        <v>0</v>
      </c>
      <c r="Q166" s="346" t="s">
        <v>508</v>
      </c>
      <c r="R166" s="345" t="s">
        <v>437</v>
      </c>
    </row>
    <row r="167" spans="1:18" x14ac:dyDescent="0.2">
      <c r="A167" s="345" t="s">
        <v>504</v>
      </c>
      <c r="B167" s="345" t="s">
        <v>505</v>
      </c>
      <c r="C167" s="345" t="s">
        <v>506</v>
      </c>
      <c r="D167" s="345" t="s">
        <v>507</v>
      </c>
      <c r="E167" s="345" t="s">
        <v>430</v>
      </c>
      <c r="F167" s="345" t="s">
        <v>459</v>
      </c>
      <c r="G167" s="345" t="s">
        <v>443</v>
      </c>
      <c r="H167" s="345" t="s">
        <v>460</v>
      </c>
      <c r="I167" s="345">
        <v>0</v>
      </c>
      <c r="J167" s="345">
        <v>0</v>
      </c>
      <c r="K167" s="345">
        <v>0</v>
      </c>
      <c r="L167" s="345">
        <v>0</v>
      </c>
      <c r="M167" s="345">
        <v>0</v>
      </c>
      <c r="N167" s="345">
        <v>0</v>
      </c>
      <c r="O167" s="345">
        <v>0</v>
      </c>
      <c r="P167" s="345">
        <v>0</v>
      </c>
      <c r="Q167" s="346" t="s">
        <v>508</v>
      </c>
      <c r="R167" s="345" t="s">
        <v>437</v>
      </c>
    </row>
    <row r="168" spans="1:18" x14ac:dyDescent="0.2">
      <c r="A168" s="345" t="s">
        <v>504</v>
      </c>
      <c r="B168" s="345" t="s">
        <v>505</v>
      </c>
      <c r="C168" s="345" t="s">
        <v>506</v>
      </c>
      <c r="D168" s="345" t="s">
        <v>507</v>
      </c>
      <c r="E168" s="345" t="s">
        <v>430</v>
      </c>
      <c r="F168" s="345" t="s">
        <v>461</v>
      </c>
      <c r="G168" s="345" t="s">
        <v>443</v>
      </c>
      <c r="H168" s="345" t="s">
        <v>462</v>
      </c>
      <c r="I168" s="345">
        <v>0</v>
      </c>
      <c r="J168" s="345">
        <v>0</v>
      </c>
      <c r="K168" s="345">
        <v>0</v>
      </c>
      <c r="L168" s="345">
        <v>0</v>
      </c>
      <c r="M168" s="345">
        <v>0</v>
      </c>
      <c r="N168" s="345">
        <v>0</v>
      </c>
      <c r="O168" s="345">
        <v>0</v>
      </c>
      <c r="P168" s="345">
        <v>0</v>
      </c>
      <c r="Q168" s="346" t="s">
        <v>508</v>
      </c>
      <c r="R168" s="345" t="s">
        <v>437</v>
      </c>
    </row>
    <row r="169" spans="1:18" x14ac:dyDescent="0.2">
      <c r="A169" s="345" t="s">
        <v>504</v>
      </c>
      <c r="B169" s="345" t="s">
        <v>505</v>
      </c>
      <c r="C169" s="345" t="s">
        <v>506</v>
      </c>
      <c r="D169" s="345" t="s">
        <v>507</v>
      </c>
      <c r="E169" s="345" t="s">
        <v>430</v>
      </c>
      <c r="F169" s="345" t="s">
        <v>463</v>
      </c>
      <c r="G169" s="345" t="s">
        <v>464</v>
      </c>
      <c r="H169" s="345" t="s">
        <v>463</v>
      </c>
      <c r="I169" s="345">
        <v>0</v>
      </c>
      <c r="J169" s="345">
        <v>0</v>
      </c>
      <c r="K169" s="345">
        <v>0</v>
      </c>
      <c r="L169" s="345">
        <v>0</v>
      </c>
      <c r="M169" s="345">
        <v>0</v>
      </c>
      <c r="N169" s="345">
        <v>0</v>
      </c>
      <c r="O169" s="345">
        <v>0</v>
      </c>
      <c r="P169" s="345">
        <v>0</v>
      </c>
      <c r="Q169" s="346" t="s">
        <v>508</v>
      </c>
      <c r="R169" s="345" t="s">
        <v>437</v>
      </c>
    </row>
    <row r="170" spans="1:18" x14ac:dyDescent="0.2">
      <c r="A170" s="345" t="s">
        <v>504</v>
      </c>
      <c r="B170" s="345" t="s">
        <v>505</v>
      </c>
      <c r="C170" s="345" t="s">
        <v>506</v>
      </c>
      <c r="D170" s="345" t="s">
        <v>507</v>
      </c>
      <c r="E170" s="345" t="s">
        <v>430</v>
      </c>
      <c r="F170" s="345" t="s">
        <v>465</v>
      </c>
      <c r="G170" s="345" t="s">
        <v>432</v>
      </c>
      <c r="H170" s="345" t="s">
        <v>466</v>
      </c>
      <c r="I170" s="345">
        <v>0</v>
      </c>
      <c r="J170" s="345">
        <v>0</v>
      </c>
      <c r="K170" s="345">
        <v>0</v>
      </c>
      <c r="L170" s="345">
        <v>0</v>
      </c>
      <c r="M170" s="345">
        <v>0</v>
      </c>
      <c r="N170" s="345">
        <v>0</v>
      </c>
      <c r="O170" s="345">
        <v>0</v>
      </c>
      <c r="P170" s="345">
        <v>0</v>
      </c>
      <c r="Q170" s="346" t="s">
        <v>508</v>
      </c>
      <c r="R170" s="345" t="s">
        <v>437</v>
      </c>
    </row>
    <row r="171" spans="1:18" x14ac:dyDescent="0.2">
      <c r="A171" s="345" t="s">
        <v>504</v>
      </c>
      <c r="B171" s="345" t="s">
        <v>505</v>
      </c>
      <c r="C171" s="345" t="s">
        <v>506</v>
      </c>
      <c r="D171" s="345" t="s">
        <v>507</v>
      </c>
      <c r="E171" s="345" t="s">
        <v>430</v>
      </c>
      <c r="F171" s="345" t="s">
        <v>465</v>
      </c>
      <c r="G171" s="345" t="s">
        <v>467</v>
      </c>
      <c r="H171" s="345" t="s">
        <v>468</v>
      </c>
      <c r="I171" s="345">
        <v>0</v>
      </c>
      <c r="J171" s="345">
        <v>0</v>
      </c>
      <c r="K171" s="345">
        <v>0</v>
      </c>
      <c r="L171" s="345">
        <v>0</v>
      </c>
      <c r="M171" s="345">
        <v>0</v>
      </c>
      <c r="N171" s="345">
        <v>0</v>
      </c>
      <c r="O171" s="345">
        <v>0</v>
      </c>
      <c r="P171" s="345">
        <v>0</v>
      </c>
      <c r="Q171" s="346" t="s">
        <v>508</v>
      </c>
      <c r="R171" s="345" t="s">
        <v>437</v>
      </c>
    </row>
    <row r="172" spans="1:18" x14ac:dyDescent="0.2">
      <c r="A172" s="345" t="s">
        <v>504</v>
      </c>
      <c r="B172" s="345" t="s">
        <v>505</v>
      </c>
      <c r="C172" s="345" t="s">
        <v>506</v>
      </c>
      <c r="D172" s="345" t="s">
        <v>507</v>
      </c>
      <c r="E172" s="345" t="s">
        <v>430</v>
      </c>
      <c r="F172" s="345" t="s">
        <v>465</v>
      </c>
      <c r="G172" s="345" t="s">
        <v>440</v>
      </c>
      <c r="H172" s="345" t="s">
        <v>469</v>
      </c>
      <c r="I172" s="345">
        <v>0</v>
      </c>
      <c r="J172" s="345">
        <v>0</v>
      </c>
      <c r="K172" s="345">
        <v>0</v>
      </c>
      <c r="L172" s="345">
        <v>0</v>
      </c>
      <c r="M172" s="345">
        <v>0</v>
      </c>
      <c r="N172" s="345">
        <v>0</v>
      </c>
      <c r="O172" s="345">
        <v>0</v>
      </c>
      <c r="P172" s="345">
        <v>0</v>
      </c>
      <c r="Q172" s="346" t="s">
        <v>508</v>
      </c>
      <c r="R172" s="345" t="s">
        <v>437</v>
      </c>
    </row>
    <row r="173" spans="1:18" x14ac:dyDescent="0.2">
      <c r="A173" s="345" t="s">
        <v>504</v>
      </c>
      <c r="B173" s="345" t="s">
        <v>505</v>
      </c>
      <c r="C173" s="345" t="s">
        <v>506</v>
      </c>
      <c r="D173" s="345" t="s">
        <v>507</v>
      </c>
      <c r="E173" s="345" t="s">
        <v>430</v>
      </c>
      <c r="F173" s="345" t="s">
        <v>465</v>
      </c>
      <c r="G173" s="345" t="s">
        <v>470</v>
      </c>
      <c r="H173" s="345" t="s">
        <v>471</v>
      </c>
      <c r="I173" s="345">
        <v>0</v>
      </c>
      <c r="J173" s="345">
        <v>0</v>
      </c>
      <c r="K173" s="345">
        <v>0</v>
      </c>
      <c r="L173" s="345">
        <v>0</v>
      </c>
      <c r="M173" s="345">
        <v>0</v>
      </c>
      <c r="N173" s="345">
        <v>0</v>
      </c>
      <c r="O173" s="345">
        <v>0</v>
      </c>
      <c r="P173" s="345">
        <v>0</v>
      </c>
      <c r="Q173" s="346" t="s">
        <v>508</v>
      </c>
      <c r="R173" s="345" t="s">
        <v>437</v>
      </c>
    </row>
    <row r="174" spans="1:18" x14ac:dyDescent="0.2">
      <c r="A174" s="345" t="s">
        <v>504</v>
      </c>
      <c r="B174" s="345" t="s">
        <v>505</v>
      </c>
      <c r="C174" s="345" t="s">
        <v>506</v>
      </c>
      <c r="D174" s="345" t="s">
        <v>507</v>
      </c>
      <c r="E174" s="345" t="s">
        <v>430</v>
      </c>
      <c r="F174" s="345" t="s">
        <v>465</v>
      </c>
      <c r="G174" s="345" t="s">
        <v>472</v>
      </c>
      <c r="H174" s="345" t="s">
        <v>473</v>
      </c>
      <c r="I174" s="345">
        <v>0</v>
      </c>
      <c r="J174" s="345">
        <v>0</v>
      </c>
      <c r="K174" s="345">
        <v>0</v>
      </c>
      <c r="L174" s="345">
        <v>0</v>
      </c>
      <c r="M174" s="345">
        <v>0</v>
      </c>
      <c r="N174" s="345">
        <v>0</v>
      </c>
      <c r="O174" s="345">
        <v>0</v>
      </c>
      <c r="P174" s="345">
        <v>0</v>
      </c>
      <c r="Q174" s="346" t="s">
        <v>508</v>
      </c>
      <c r="R174" s="345" t="s">
        <v>437</v>
      </c>
    </row>
    <row r="175" spans="1:18" x14ac:dyDescent="0.2">
      <c r="A175" s="345" t="s">
        <v>504</v>
      </c>
      <c r="B175" s="345" t="s">
        <v>505</v>
      </c>
      <c r="C175" s="345" t="s">
        <v>506</v>
      </c>
      <c r="D175" s="345" t="s">
        <v>507</v>
      </c>
      <c r="E175" s="345" t="s">
        <v>430</v>
      </c>
      <c r="F175" s="345" t="s">
        <v>474</v>
      </c>
      <c r="G175" s="345" t="s">
        <v>464</v>
      </c>
      <c r="H175" s="345" t="s">
        <v>474</v>
      </c>
      <c r="I175" s="345">
        <v>0</v>
      </c>
      <c r="J175" s="345">
        <v>0</v>
      </c>
      <c r="K175" s="345">
        <v>0</v>
      </c>
      <c r="L175" s="345">
        <v>0</v>
      </c>
      <c r="M175" s="345">
        <v>0</v>
      </c>
      <c r="N175" s="345">
        <v>0</v>
      </c>
      <c r="O175" s="345">
        <v>0</v>
      </c>
      <c r="P175" s="345">
        <v>0</v>
      </c>
      <c r="Q175" s="345" t="s">
        <v>508</v>
      </c>
      <c r="R175" s="345" t="s">
        <v>437</v>
      </c>
    </row>
    <row r="176" spans="1:18" x14ac:dyDescent="0.2">
      <c r="A176" s="345" t="s">
        <v>504</v>
      </c>
      <c r="B176" s="345" t="s">
        <v>505</v>
      </c>
      <c r="C176" s="345" t="s">
        <v>506</v>
      </c>
      <c r="D176" s="345" t="s">
        <v>507</v>
      </c>
      <c r="E176" s="345" t="s">
        <v>430</v>
      </c>
      <c r="F176" s="345" t="s">
        <v>475</v>
      </c>
      <c r="G176" s="345" t="s">
        <v>443</v>
      </c>
      <c r="H176" s="345" t="s">
        <v>476</v>
      </c>
      <c r="I176" s="345">
        <v>0</v>
      </c>
      <c r="J176" s="345">
        <v>0</v>
      </c>
      <c r="K176" s="345">
        <v>0</v>
      </c>
      <c r="L176" s="345">
        <v>0</v>
      </c>
      <c r="M176" s="345">
        <v>0</v>
      </c>
      <c r="N176" s="345">
        <v>0</v>
      </c>
      <c r="O176" s="345">
        <v>0</v>
      </c>
      <c r="P176" s="345">
        <v>0</v>
      </c>
      <c r="Q176" s="346" t="s">
        <v>508</v>
      </c>
      <c r="R176" s="345" t="s">
        <v>437</v>
      </c>
    </row>
    <row r="177" spans="1:18" x14ac:dyDescent="0.2">
      <c r="A177" s="345" t="s">
        <v>504</v>
      </c>
      <c r="B177" s="345" t="s">
        <v>505</v>
      </c>
      <c r="C177" s="345" t="s">
        <v>506</v>
      </c>
      <c r="D177" s="345" t="s">
        <v>507</v>
      </c>
      <c r="E177" s="345" t="s">
        <v>430</v>
      </c>
      <c r="F177" s="345" t="s">
        <v>477</v>
      </c>
      <c r="G177" s="345" t="s">
        <v>464</v>
      </c>
      <c r="H177" s="345" t="s">
        <v>477</v>
      </c>
      <c r="I177" s="345">
        <v>0</v>
      </c>
      <c r="J177" s="345">
        <v>0</v>
      </c>
      <c r="K177" s="345">
        <v>0</v>
      </c>
      <c r="L177" s="345">
        <v>0</v>
      </c>
      <c r="M177" s="345">
        <v>0</v>
      </c>
      <c r="N177" s="345">
        <v>0</v>
      </c>
      <c r="O177" s="345">
        <v>0</v>
      </c>
      <c r="P177" s="345">
        <v>0</v>
      </c>
      <c r="Q177" s="345" t="s">
        <v>508</v>
      </c>
      <c r="R177" s="345" t="s">
        <v>437</v>
      </c>
    </row>
    <row r="178" spans="1:18" x14ac:dyDescent="0.2">
      <c r="A178" s="345" t="s">
        <v>504</v>
      </c>
      <c r="B178" s="345" t="s">
        <v>505</v>
      </c>
      <c r="C178" s="345" t="s">
        <v>506</v>
      </c>
      <c r="D178" s="345" t="s">
        <v>507</v>
      </c>
      <c r="E178" s="345" t="s">
        <v>430</v>
      </c>
      <c r="F178" s="345" t="s">
        <v>478</v>
      </c>
      <c r="G178" s="345" t="s">
        <v>432</v>
      </c>
      <c r="H178" s="345" t="s">
        <v>479</v>
      </c>
      <c r="I178" s="345">
        <v>0</v>
      </c>
      <c r="J178" s="345">
        <v>0</v>
      </c>
      <c r="K178" s="345">
        <v>0</v>
      </c>
      <c r="L178" s="345">
        <v>0</v>
      </c>
      <c r="M178" s="345">
        <v>0</v>
      </c>
      <c r="N178" s="345">
        <v>0</v>
      </c>
      <c r="O178" s="345">
        <v>0</v>
      </c>
      <c r="P178" s="345">
        <v>0</v>
      </c>
      <c r="Q178" s="345" t="s">
        <v>508</v>
      </c>
      <c r="R178" s="345" t="s">
        <v>437</v>
      </c>
    </row>
    <row r="179" spans="1:18" x14ac:dyDescent="0.2">
      <c r="A179" s="345" t="s">
        <v>504</v>
      </c>
      <c r="B179" s="345" t="s">
        <v>505</v>
      </c>
      <c r="C179" s="345" t="s">
        <v>506</v>
      </c>
      <c r="D179" s="345" t="s">
        <v>507</v>
      </c>
      <c r="E179" s="345" t="s">
        <v>430</v>
      </c>
      <c r="F179" s="345" t="s">
        <v>478</v>
      </c>
      <c r="G179" s="345" t="s">
        <v>440</v>
      </c>
      <c r="H179" s="345" t="s">
        <v>480</v>
      </c>
      <c r="I179" s="345">
        <v>0</v>
      </c>
      <c r="J179" s="345">
        <v>0</v>
      </c>
      <c r="K179" s="345">
        <v>0</v>
      </c>
      <c r="L179" s="345">
        <v>0</v>
      </c>
      <c r="M179" s="345">
        <v>0</v>
      </c>
      <c r="N179" s="345">
        <v>0</v>
      </c>
      <c r="O179" s="345">
        <v>0</v>
      </c>
      <c r="P179" s="345">
        <v>0</v>
      </c>
      <c r="Q179" s="346" t="s">
        <v>508</v>
      </c>
      <c r="R179" s="345" t="s">
        <v>437</v>
      </c>
    </row>
    <row r="180" spans="1:18" x14ac:dyDescent="0.2">
      <c r="A180" s="345" t="s">
        <v>504</v>
      </c>
      <c r="B180" s="345" t="s">
        <v>505</v>
      </c>
      <c r="C180" s="345" t="s">
        <v>506</v>
      </c>
      <c r="D180" s="345" t="s">
        <v>507</v>
      </c>
      <c r="E180" s="345" t="s">
        <v>430</v>
      </c>
      <c r="F180" s="345" t="s">
        <v>478</v>
      </c>
      <c r="G180" s="345" t="s">
        <v>470</v>
      </c>
      <c r="H180" s="345" t="s">
        <v>481</v>
      </c>
      <c r="I180" s="345">
        <v>0</v>
      </c>
      <c r="J180" s="345">
        <v>0</v>
      </c>
      <c r="K180" s="345">
        <v>0</v>
      </c>
      <c r="L180" s="345">
        <v>0</v>
      </c>
      <c r="M180" s="345">
        <v>0</v>
      </c>
      <c r="N180" s="345">
        <v>0</v>
      </c>
      <c r="O180" s="345">
        <v>0</v>
      </c>
      <c r="P180" s="345">
        <v>0</v>
      </c>
      <c r="Q180" s="346" t="s">
        <v>508</v>
      </c>
      <c r="R180" s="345" t="s">
        <v>437</v>
      </c>
    </row>
    <row r="181" spans="1:18" x14ac:dyDescent="0.2">
      <c r="A181" s="345" t="s">
        <v>504</v>
      </c>
      <c r="B181" s="345" t="s">
        <v>505</v>
      </c>
      <c r="C181" s="345" t="s">
        <v>506</v>
      </c>
      <c r="D181" s="345" t="s">
        <v>491</v>
      </c>
      <c r="E181" s="345" t="s">
        <v>430</v>
      </c>
      <c r="F181" s="345" t="s">
        <v>431</v>
      </c>
      <c r="G181" s="345" t="s">
        <v>432</v>
      </c>
      <c r="H181" s="345" t="s">
        <v>433</v>
      </c>
      <c r="I181" s="345">
        <v>15</v>
      </c>
      <c r="J181" s="345">
        <v>17</v>
      </c>
      <c r="K181" s="345">
        <v>24</v>
      </c>
      <c r="L181" s="345">
        <v>30</v>
      </c>
      <c r="M181" s="345">
        <v>37</v>
      </c>
      <c r="N181" s="345">
        <v>43</v>
      </c>
      <c r="O181" s="345">
        <v>0</v>
      </c>
      <c r="P181" s="345">
        <v>0</v>
      </c>
      <c r="Q181" s="346" t="s">
        <v>509</v>
      </c>
      <c r="R181" s="345" t="s">
        <v>434</v>
      </c>
    </row>
    <row r="182" spans="1:18" x14ac:dyDescent="0.2">
      <c r="A182" s="345" t="s">
        <v>504</v>
      </c>
      <c r="B182" s="345" t="s">
        <v>505</v>
      </c>
      <c r="C182" s="345" t="s">
        <v>506</v>
      </c>
      <c r="D182" s="345" t="s">
        <v>491</v>
      </c>
      <c r="E182" s="345" t="s">
        <v>430</v>
      </c>
      <c r="F182" s="345" t="s">
        <v>431</v>
      </c>
      <c r="G182" s="345" t="s">
        <v>435</v>
      </c>
      <c r="H182" s="345" t="s">
        <v>436</v>
      </c>
      <c r="I182" s="345">
        <v>0</v>
      </c>
      <c r="J182" s="345">
        <v>0</v>
      </c>
      <c r="K182" s="345">
        <v>0</v>
      </c>
      <c r="L182" s="345">
        <v>0</v>
      </c>
      <c r="M182" s="345">
        <v>0</v>
      </c>
      <c r="N182" s="345">
        <v>0</v>
      </c>
      <c r="O182" s="345">
        <v>0</v>
      </c>
      <c r="P182" s="345">
        <v>0</v>
      </c>
      <c r="Q182" s="346" t="s">
        <v>508</v>
      </c>
      <c r="R182" s="345" t="s">
        <v>437</v>
      </c>
    </row>
    <row r="183" spans="1:18" x14ac:dyDescent="0.2">
      <c r="A183" s="345" t="s">
        <v>504</v>
      </c>
      <c r="B183" s="345" t="s">
        <v>505</v>
      </c>
      <c r="C183" s="345" t="s">
        <v>506</v>
      </c>
      <c r="D183" s="345" t="s">
        <v>491</v>
      </c>
      <c r="E183" s="345" t="s">
        <v>430</v>
      </c>
      <c r="F183" s="345" t="s">
        <v>438</v>
      </c>
      <c r="G183" s="345" t="s">
        <v>432</v>
      </c>
      <c r="H183" s="345" t="s">
        <v>439</v>
      </c>
      <c r="I183" s="345">
        <v>9</v>
      </c>
      <c r="J183" s="345">
        <v>11</v>
      </c>
      <c r="K183" s="345">
        <v>16</v>
      </c>
      <c r="L183" s="345">
        <v>21</v>
      </c>
      <c r="M183" s="345">
        <v>26</v>
      </c>
      <c r="N183" s="345">
        <v>31</v>
      </c>
      <c r="O183" s="345">
        <v>0</v>
      </c>
      <c r="P183" s="345">
        <v>0</v>
      </c>
      <c r="Q183" s="346" t="s">
        <v>509</v>
      </c>
      <c r="R183" s="345" t="s">
        <v>434</v>
      </c>
    </row>
    <row r="184" spans="1:18" x14ac:dyDescent="0.2">
      <c r="A184" s="345" t="s">
        <v>504</v>
      </c>
      <c r="B184" s="345" t="s">
        <v>505</v>
      </c>
      <c r="C184" s="345" t="s">
        <v>506</v>
      </c>
      <c r="D184" s="345" t="s">
        <v>491</v>
      </c>
      <c r="E184" s="345" t="s">
        <v>430</v>
      </c>
      <c r="F184" s="345" t="s">
        <v>438</v>
      </c>
      <c r="G184" s="345" t="s">
        <v>440</v>
      </c>
      <c r="H184" s="345" t="s">
        <v>441</v>
      </c>
      <c r="I184" s="345">
        <v>4</v>
      </c>
      <c r="J184" s="345">
        <v>6</v>
      </c>
      <c r="K184" s="345">
        <v>8</v>
      </c>
      <c r="L184" s="345">
        <v>10</v>
      </c>
      <c r="M184" s="345">
        <v>12</v>
      </c>
      <c r="N184" s="345">
        <v>16</v>
      </c>
      <c r="O184" s="345">
        <v>0</v>
      </c>
      <c r="P184" s="345">
        <v>0</v>
      </c>
      <c r="Q184" s="345" t="s">
        <v>509</v>
      </c>
      <c r="R184" s="345" t="s">
        <v>434</v>
      </c>
    </row>
    <row r="185" spans="1:18" x14ac:dyDescent="0.2">
      <c r="A185" s="345" t="s">
        <v>504</v>
      </c>
      <c r="B185" s="345" t="s">
        <v>505</v>
      </c>
      <c r="C185" s="345" t="s">
        <v>506</v>
      </c>
      <c r="D185" s="345" t="s">
        <v>491</v>
      </c>
      <c r="E185" s="345" t="s">
        <v>430</v>
      </c>
      <c r="F185" s="345" t="s">
        <v>442</v>
      </c>
      <c r="G185" s="345" t="s">
        <v>443</v>
      </c>
      <c r="H185" s="345" t="s">
        <v>444</v>
      </c>
      <c r="I185" s="345">
        <v>0</v>
      </c>
      <c r="J185" s="345">
        <v>0</v>
      </c>
      <c r="K185" s="345">
        <v>0</v>
      </c>
      <c r="L185" s="345">
        <v>0</v>
      </c>
      <c r="M185" s="345">
        <v>0</v>
      </c>
      <c r="N185" s="345">
        <v>0</v>
      </c>
      <c r="O185" s="345">
        <v>0</v>
      </c>
      <c r="P185" s="345">
        <v>0</v>
      </c>
      <c r="Q185" s="345" t="s">
        <v>508</v>
      </c>
      <c r="R185" s="345" t="s">
        <v>437</v>
      </c>
    </row>
    <row r="186" spans="1:18" x14ac:dyDescent="0.2">
      <c r="A186" s="345" t="s">
        <v>504</v>
      </c>
      <c r="B186" s="345" t="s">
        <v>505</v>
      </c>
      <c r="C186" s="345" t="s">
        <v>506</v>
      </c>
      <c r="D186" s="345" t="s">
        <v>491</v>
      </c>
      <c r="E186" s="345" t="s">
        <v>430</v>
      </c>
      <c r="F186" s="345" t="s">
        <v>445</v>
      </c>
      <c r="G186" s="345" t="s">
        <v>443</v>
      </c>
      <c r="H186" s="345" t="s">
        <v>446</v>
      </c>
      <c r="I186" s="345">
        <v>0</v>
      </c>
      <c r="J186" s="345">
        <v>0</v>
      </c>
      <c r="K186" s="345">
        <v>0</v>
      </c>
      <c r="L186" s="345">
        <v>0</v>
      </c>
      <c r="M186" s="345">
        <v>0</v>
      </c>
      <c r="N186" s="345">
        <v>0</v>
      </c>
      <c r="O186" s="345">
        <v>0</v>
      </c>
      <c r="P186" s="345">
        <v>0</v>
      </c>
      <c r="Q186" s="345" t="s">
        <v>508</v>
      </c>
      <c r="R186" s="345" t="s">
        <v>437</v>
      </c>
    </row>
    <row r="187" spans="1:18" x14ac:dyDescent="0.2">
      <c r="A187" s="345" t="s">
        <v>504</v>
      </c>
      <c r="B187" s="345" t="s">
        <v>505</v>
      </c>
      <c r="C187" s="345" t="s">
        <v>506</v>
      </c>
      <c r="D187" s="345" t="s">
        <v>491</v>
      </c>
      <c r="E187" s="345" t="s">
        <v>430</v>
      </c>
      <c r="F187" s="345" t="s">
        <v>447</v>
      </c>
      <c r="G187" s="345" t="s">
        <v>443</v>
      </c>
      <c r="H187" s="345" t="s">
        <v>448</v>
      </c>
      <c r="I187" s="345">
        <v>0</v>
      </c>
      <c r="J187" s="345">
        <v>0</v>
      </c>
      <c r="K187" s="345">
        <v>0</v>
      </c>
      <c r="L187" s="345">
        <v>0</v>
      </c>
      <c r="M187" s="345">
        <v>0</v>
      </c>
      <c r="N187" s="345">
        <v>0</v>
      </c>
      <c r="O187" s="345">
        <v>0</v>
      </c>
      <c r="P187" s="345">
        <v>0</v>
      </c>
      <c r="Q187" s="345" t="s">
        <v>508</v>
      </c>
      <c r="R187" s="345" t="s">
        <v>437</v>
      </c>
    </row>
    <row r="188" spans="1:18" x14ac:dyDescent="0.2">
      <c r="A188" s="345" t="s">
        <v>504</v>
      </c>
      <c r="B188" s="345" t="s">
        <v>505</v>
      </c>
      <c r="C188" s="345" t="s">
        <v>506</v>
      </c>
      <c r="D188" s="345" t="s">
        <v>491</v>
      </c>
      <c r="E188" s="345" t="s">
        <v>430</v>
      </c>
      <c r="F188" s="345" t="s">
        <v>449</v>
      </c>
      <c r="G188" s="345" t="s">
        <v>450</v>
      </c>
      <c r="H188" s="345" t="s">
        <v>451</v>
      </c>
      <c r="I188" s="345">
        <v>0</v>
      </c>
      <c r="J188" s="345">
        <v>0</v>
      </c>
      <c r="K188" s="345">
        <v>0</v>
      </c>
      <c r="L188" s="345">
        <v>0</v>
      </c>
      <c r="M188" s="345">
        <v>0</v>
      </c>
      <c r="N188" s="345">
        <v>0</v>
      </c>
      <c r="O188" s="345">
        <v>0</v>
      </c>
      <c r="P188" s="345">
        <v>0</v>
      </c>
      <c r="Q188" s="345" t="s">
        <v>508</v>
      </c>
      <c r="R188" s="345" t="s">
        <v>437</v>
      </c>
    </row>
    <row r="189" spans="1:18" x14ac:dyDescent="0.2">
      <c r="A189" s="345" t="s">
        <v>504</v>
      </c>
      <c r="B189" s="345" t="s">
        <v>505</v>
      </c>
      <c r="C189" s="345" t="s">
        <v>506</v>
      </c>
      <c r="D189" s="345" t="s">
        <v>491</v>
      </c>
      <c r="E189" s="345" t="s">
        <v>430</v>
      </c>
      <c r="F189" s="345" t="s">
        <v>449</v>
      </c>
      <c r="G189" s="345" t="s">
        <v>452</v>
      </c>
      <c r="H189" s="345" t="s">
        <v>453</v>
      </c>
      <c r="I189" s="345">
        <v>0</v>
      </c>
      <c r="J189" s="345">
        <v>0</v>
      </c>
      <c r="K189" s="345">
        <v>0</v>
      </c>
      <c r="L189" s="345">
        <v>0</v>
      </c>
      <c r="M189" s="345">
        <v>0</v>
      </c>
      <c r="N189" s="345">
        <v>0</v>
      </c>
      <c r="O189" s="345">
        <v>0</v>
      </c>
      <c r="P189" s="345">
        <v>0</v>
      </c>
      <c r="Q189" s="345" t="s">
        <v>508</v>
      </c>
      <c r="R189" s="345" t="s">
        <v>437</v>
      </c>
    </row>
    <row r="190" spans="1:18" x14ac:dyDescent="0.2">
      <c r="A190" s="345" t="s">
        <v>504</v>
      </c>
      <c r="B190" s="345" t="s">
        <v>505</v>
      </c>
      <c r="C190" s="345" t="s">
        <v>506</v>
      </c>
      <c r="D190" s="345" t="s">
        <v>491</v>
      </c>
      <c r="E190" s="345" t="s">
        <v>430</v>
      </c>
      <c r="F190" s="345" t="s">
        <v>449</v>
      </c>
      <c r="G190" s="345" t="s">
        <v>454</v>
      </c>
      <c r="H190" s="345" t="s">
        <v>455</v>
      </c>
      <c r="I190" s="345">
        <v>26</v>
      </c>
      <c r="J190" s="345">
        <v>26</v>
      </c>
      <c r="K190" s="345">
        <v>26</v>
      </c>
      <c r="L190" s="345">
        <v>26</v>
      </c>
      <c r="M190" s="345">
        <v>26</v>
      </c>
      <c r="N190" s="345">
        <v>26</v>
      </c>
      <c r="O190" s="345">
        <v>0</v>
      </c>
      <c r="P190" s="345">
        <v>0</v>
      </c>
      <c r="Q190" s="345" t="s">
        <v>509</v>
      </c>
      <c r="R190" s="345" t="s">
        <v>434</v>
      </c>
    </row>
    <row r="191" spans="1:18" x14ac:dyDescent="0.2">
      <c r="A191" s="345" t="s">
        <v>504</v>
      </c>
      <c r="B191" s="345" t="s">
        <v>505</v>
      </c>
      <c r="C191" s="345" t="s">
        <v>506</v>
      </c>
      <c r="D191" s="345" t="s">
        <v>491</v>
      </c>
      <c r="E191" s="345" t="s">
        <v>430</v>
      </c>
      <c r="F191" s="345" t="s">
        <v>456</v>
      </c>
      <c r="G191" s="345" t="s">
        <v>457</v>
      </c>
      <c r="H191" s="345" t="s">
        <v>458</v>
      </c>
      <c r="I191" s="345">
        <v>25</v>
      </c>
      <c r="J191" s="345">
        <v>29</v>
      </c>
      <c r="K191" s="345">
        <v>40</v>
      </c>
      <c r="L191" s="345">
        <v>51</v>
      </c>
      <c r="M191" s="345">
        <v>62</v>
      </c>
      <c r="N191" s="345">
        <v>73</v>
      </c>
      <c r="O191" s="345">
        <v>0</v>
      </c>
      <c r="P191" s="345">
        <v>0</v>
      </c>
      <c r="Q191" s="345" t="s">
        <v>509</v>
      </c>
      <c r="R191" s="345" t="s">
        <v>434</v>
      </c>
    </row>
    <row r="192" spans="1:18" x14ac:dyDescent="0.2">
      <c r="A192" s="345" t="s">
        <v>504</v>
      </c>
      <c r="B192" s="345" t="s">
        <v>505</v>
      </c>
      <c r="C192" s="345" t="s">
        <v>506</v>
      </c>
      <c r="D192" s="345" t="s">
        <v>491</v>
      </c>
      <c r="E192" s="345" t="s">
        <v>430</v>
      </c>
      <c r="F192" s="345" t="s">
        <v>459</v>
      </c>
      <c r="G192" s="345" t="s">
        <v>443</v>
      </c>
      <c r="H192" s="345" t="s">
        <v>460</v>
      </c>
      <c r="I192" s="345">
        <v>11</v>
      </c>
      <c r="J192" s="345">
        <v>11</v>
      </c>
      <c r="K192" s="345">
        <v>11</v>
      </c>
      <c r="L192" s="345">
        <v>11</v>
      </c>
      <c r="M192" s="345">
        <v>11</v>
      </c>
      <c r="N192" s="345">
        <v>11</v>
      </c>
      <c r="O192" s="345">
        <v>0</v>
      </c>
      <c r="P192" s="345">
        <v>0</v>
      </c>
      <c r="Q192" s="345" t="s">
        <v>509</v>
      </c>
      <c r="R192" s="345" t="s">
        <v>434</v>
      </c>
    </row>
    <row r="193" spans="1:18" x14ac:dyDescent="0.2">
      <c r="A193" s="345" t="s">
        <v>504</v>
      </c>
      <c r="B193" s="345" t="s">
        <v>505</v>
      </c>
      <c r="C193" s="345" t="s">
        <v>506</v>
      </c>
      <c r="D193" s="345" t="s">
        <v>491</v>
      </c>
      <c r="E193" s="345" t="s">
        <v>430</v>
      </c>
      <c r="F193" s="345" t="s">
        <v>461</v>
      </c>
      <c r="G193" s="345" t="s">
        <v>443</v>
      </c>
      <c r="H193" s="345" t="s">
        <v>462</v>
      </c>
      <c r="I193" s="345">
        <v>12</v>
      </c>
      <c r="J193" s="345">
        <v>12</v>
      </c>
      <c r="K193" s="345">
        <v>12</v>
      </c>
      <c r="L193" s="345">
        <v>12</v>
      </c>
      <c r="M193" s="345">
        <v>12</v>
      </c>
      <c r="N193" s="345">
        <v>12</v>
      </c>
      <c r="O193" s="345">
        <v>0</v>
      </c>
      <c r="P193" s="345">
        <v>0</v>
      </c>
      <c r="Q193" s="345" t="s">
        <v>509</v>
      </c>
      <c r="R193" s="345" t="s">
        <v>434</v>
      </c>
    </row>
    <row r="194" spans="1:18" x14ac:dyDescent="0.2">
      <c r="A194" s="345" t="s">
        <v>504</v>
      </c>
      <c r="B194" s="345" t="s">
        <v>505</v>
      </c>
      <c r="C194" s="345" t="s">
        <v>506</v>
      </c>
      <c r="D194" s="345" t="s">
        <v>491</v>
      </c>
      <c r="E194" s="345" t="s">
        <v>430</v>
      </c>
      <c r="F194" s="345" t="s">
        <v>463</v>
      </c>
      <c r="G194" s="345" t="s">
        <v>464</v>
      </c>
      <c r="H194" s="345" t="s">
        <v>463</v>
      </c>
      <c r="I194" s="345">
        <v>23</v>
      </c>
      <c r="J194" s="345">
        <v>23</v>
      </c>
      <c r="K194" s="345">
        <v>23</v>
      </c>
      <c r="L194" s="345">
        <v>23</v>
      </c>
      <c r="M194" s="345">
        <v>25</v>
      </c>
      <c r="N194" s="345">
        <v>26</v>
      </c>
      <c r="O194" s="345">
        <v>0</v>
      </c>
      <c r="P194" s="345">
        <v>0</v>
      </c>
      <c r="Q194" s="345" t="s">
        <v>509</v>
      </c>
      <c r="R194" s="345" t="s">
        <v>434</v>
      </c>
    </row>
    <row r="195" spans="1:18" x14ac:dyDescent="0.2">
      <c r="A195" s="345" t="s">
        <v>504</v>
      </c>
      <c r="B195" s="345" t="s">
        <v>505</v>
      </c>
      <c r="C195" s="345" t="s">
        <v>506</v>
      </c>
      <c r="D195" s="345" t="s">
        <v>491</v>
      </c>
      <c r="E195" s="345" t="s">
        <v>430</v>
      </c>
      <c r="F195" s="345" t="s">
        <v>465</v>
      </c>
      <c r="G195" s="345" t="s">
        <v>432</v>
      </c>
      <c r="H195" s="345" t="s">
        <v>466</v>
      </c>
      <c r="I195" s="345">
        <v>19</v>
      </c>
      <c r="J195" s="345">
        <v>23</v>
      </c>
      <c r="K195" s="345">
        <v>29</v>
      </c>
      <c r="L195" s="345">
        <v>35</v>
      </c>
      <c r="M195" s="345">
        <v>41</v>
      </c>
      <c r="N195" s="345">
        <v>47</v>
      </c>
      <c r="O195" s="345">
        <v>0</v>
      </c>
      <c r="P195" s="345">
        <v>0</v>
      </c>
      <c r="Q195" s="346" t="s">
        <v>509</v>
      </c>
      <c r="R195" s="345" t="s">
        <v>434</v>
      </c>
    </row>
    <row r="196" spans="1:18" x14ac:dyDescent="0.2">
      <c r="A196" s="345" t="s">
        <v>504</v>
      </c>
      <c r="B196" s="345" t="s">
        <v>505</v>
      </c>
      <c r="C196" s="345" t="s">
        <v>506</v>
      </c>
      <c r="D196" s="345" t="s">
        <v>491</v>
      </c>
      <c r="E196" s="345" t="s">
        <v>430</v>
      </c>
      <c r="F196" s="345" t="s">
        <v>465</v>
      </c>
      <c r="G196" s="345" t="s">
        <v>467</v>
      </c>
      <c r="H196" s="345" t="s">
        <v>468</v>
      </c>
      <c r="I196" s="345">
        <v>17</v>
      </c>
      <c r="J196" s="345">
        <v>20</v>
      </c>
      <c r="K196" s="345">
        <v>24</v>
      </c>
      <c r="L196" s="345">
        <v>27</v>
      </c>
      <c r="M196" s="345">
        <v>29</v>
      </c>
      <c r="N196" s="345">
        <v>32</v>
      </c>
      <c r="O196" s="345">
        <v>0</v>
      </c>
      <c r="P196" s="345">
        <v>0</v>
      </c>
      <c r="Q196" s="345" t="s">
        <v>509</v>
      </c>
      <c r="R196" s="345" t="s">
        <v>434</v>
      </c>
    </row>
    <row r="197" spans="1:18" x14ac:dyDescent="0.2">
      <c r="A197" s="345" t="s">
        <v>504</v>
      </c>
      <c r="B197" s="345" t="s">
        <v>505</v>
      </c>
      <c r="C197" s="345" t="s">
        <v>506</v>
      </c>
      <c r="D197" s="345" t="s">
        <v>491</v>
      </c>
      <c r="E197" s="345" t="s">
        <v>430</v>
      </c>
      <c r="F197" s="345" t="s">
        <v>465</v>
      </c>
      <c r="G197" s="345" t="s">
        <v>440</v>
      </c>
      <c r="H197" s="345" t="s">
        <v>469</v>
      </c>
      <c r="I197" s="345">
        <v>15</v>
      </c>
      <c r="J197" s="345">
        <v>19</v>
      </c>
      <c r="K197" s="345">
        <v>23</v>
      </c>
      <c r="L197" s="345">
        <v>25</v>
      </c>
      <c r="M197" s="345">
        <v>29</v>
      </c>
      <c r="N197" s="345">
        <v>31</v>
      </c>
      <c r="O197" s="345">
        <v>0</v>
      </c>
      <c r="P197" s="345">
        <v>0</v>
      </c>
      <c r="Q197" s="345" t="s">
        <v>509</v>
      </c>
      <c r="R197" s="345" t="s">
        <v>434</v>
      </c>
    </row>
    <row r="198" spans="1:18" x14ac:dyDescent="0.2">
      <c r="A198" s="345" t="s">
        <v>504</v>
      </c>
      <c r="B198" s="345" t="s">
        <v>505</v>
      </c>
      <c r="C198" s="345" t="s">
        <v>506</v>
      </c>
      <c r="D198" s="345" t="s">
        <v>491</v>
      </c>
      <c r="E198" s="345" t="s">
        <v>430</v>
      </c>
      <c r="F198" s="345" t="s">
        <v>465</v>
      </c>
      <c r="G198" s="345" t="s">
        <v>470</v>
      </c>
      <c r="H198" s="345" t="s">
        <v>471</v>
      </c>
      <c r="I198" s="345">
        <v>0</v>
      </c>
      <c r="J198" s="345">
        <v>0</v>
      </c>
      <c r="K198" s="345">
        <v>0</v>
      </c>
      <c r="L198" s="345">
        <v>0</v>
      </c>
      <c r="M198" s="345">
        <v>0</v>
      </c>
      <c r="N198" s="345">
        <v>0</v>
      </c>
      <c r="O198" s="345">
        <v>0</v>
      </c>
      <c r="P198" s="345">
        <v>0</v>
      </c>
      <c r="Q198" s="345" t="s">
        <v>509</v>
      </c>
      <c r="R198" s="345" t="s">
        <v>434</v>
      </c>
    </row>
    <row r="199" spans="1:18" x14ac:dyDescent="0.2">
      <c r="A199" s="345" t="s">
        <v>504</v>
      </c>
      <c r="B199" s="345" t="s">
        <v>505</v>
      </c>
      <c r="C199" s="345" t="s">
        <v>506</v>
      </c>
      <c r="D199" s="345" t="s">
        <v>491</v>
      </c>
      <c r="E199" s="345" t="s">
        <v>430</v>
      </c>
      <c r="F199" s="345" t="s">
        <v>465</v>
      </c>
      <c r="G199" s="345" t="s">
        <v>472</v>
      </c>
      <c r="H199" s="345" t="s">
        <v>473</v>
      </c>
      <c r="I199" s="345">
        <v>0</v>
      </c>
      <c r="J199" s="345">
        <v>0</v>
      </c>
      <c r="K199" s="345">
        <v>0</v>
      </c>
      <c r="L199" s="345">
        <v>0</v>
      </c>
      <c r="M199" s="345">
        <v>0</v>
      </c>
      <c r="N199" s="345">
        <v>0</v>
      </c>
      <c r="O199" s="345">
        <v>0</v>
      </c>
      <c r="P199" s="345">
        <v>0</v>
      </c>
      <c r="Q199" s="346" t="s">
        <v>509</v>
      </c>
      <c r="R199" s="345" t="s">
        <v>434</v>
      </c>
    </row>
    <row r="200" spans="1:18" x14ac:dyDescent="0.2">
      <c r="A200" s="345" t="s">
        <v>504</v>
      </c>
      <c r="B200" s="345" t="s">
        <v>505</v>
      </c>
      <c r="C200" s="345" t="s">
        <v>506</v>
      </c>
      <c r="D200" s="345" t="s">
        <v>491</v>
      </c>
      <c r="E200" s="345" t="s">
        <v>430</v>
      </c>
      <c r="F200" s="345" t="s">
        <v>474</v>
      </c>
      <c r="G200" s="345" t="s">
        <v>464</v>
      </c>
      <c r="H200" s="345" t="s">
        <v>474</v>
      </c>
      <c r="I200" s="345">
        <v>54</v>
      </c>
      <c r="J200" s="345">
        <v>54</v>
      </c>
      <c r="K200" s="345">
        <v>54</v>
      </c>
      <c r="L200" s="345">
        <v>54</v>
      </c>
      <c r="M200" s="345">
        <v>54</v>
      </c>
      <c r="N200" s="345">
        <v>54</v>
      </c>
      <c r="O200" s="345">
        <v>0</v>
      </c>
      <c r="P200" s="345">
        <v>0</v>
      </c>
      <c r="Q200" s="346" t="s">
        <v>509</v>
      </c>
      <c r="R200" s="345" t="s">
        <v>434</v>
      </c>
    </row>
    <row r="201" spans="1:18" x14ac:dyDescent="0.2">
      <c r="A201" s="345" t="s">
        <v>504</v>
      </c>
      <c r="B201" s="345" t="s">
        <v>505</v>
      </c>
      <c r="C201" s="345" t="s">
        <v>506</v>
      </c>
      <c r="D201" s="345" t="s">
        <v>491</v>
      </c>
      <c r="E201" s="345" t="s">
        <v>430</v>
      </c>
      <c r="F201" s="345" t="s">
        <v>475</v>
      </c>
      <c r="G201" s="345" t="s">
        <v>443</v>
      </c>
      <c r="H201" s="345" t="s">
        <v>476</v>
      </c>
      <c r="I201" s="345">
        <v>0</v>
      </c>
      <c r="J201" s="345">
        <v>0</v>
      </c>
      <c r="K201" s="345">
        <v>0</v>
      </c>
      <c r="L201" s="345">
        <v>0</v>
      </c>
      <c r="M201" s="345">
        <v>0</v>
      </c>
      <c r="N201" s="345">
        <v>0</v>
      </c>
      <c r="O201" s="345">
        <v>0</v>
      </c>
      <c r="P201" s="345">
        <v>0</v>
      </c>
      <c r="Q201" s="346" t="s">
        <v>508</v>
      </c>
      <c r="R201" s="345" t="s">
        <v>437</v>
      </c>
    </row>
    <row r="202" spans="1:18" x14ac:dyDescent="0.2">
      <c r="A202" s="345" t="s">
        <v>504</v>
      </c>
      <c r="B202" s="345" t="s">
        <v>505</v>
      </c>
      <c r="C202" s="345" t="s">
        <v>506</v>
      </c>
      <c r="D202" s="345" t="s">
        <v>491</v>
      </c>
      <c r="E202" s="345" t="s">
        <v>430</v>
      </c>
      <c r="F202" s="345" t="s">
        <v>477</v>
      </c>
      <c r="G202" s="345" t="s">
        <v>464</v>
      </c>
      <c r="H202" s="345" t="s">
        <v>477</v>
      </c>
      <c r="I202" s="345">
        <v>42</v>
      </c>
      <c r="J202" s="345">
        <v>43</v>
      </c>
      <c r="K202" s="345">
        <v>46</v>
      </c>
      <c r="L202" s="345">
        <v>49</v>
      </c>
      <c r="M202" s="345">
        <v>51</v>
      </c>
      <c r="N202" s="345">
        <v>54</v>
      </c>
      <c r="O202" s="345">
        <v>0</v>
      </c>
      <c r="P202" s="345">
        <v>0</v>
      </c>
      <c r="Q202" s="346" t="s">
        <v>509</v>
      </c>
      <c r="R202" s="345" t="s">
        <v>434</v>
      </c>
    </row>
    <row r="203" spans="1:18" x14ac:dyDescent="0.2">
      <c r="A203" s="345" t="s">
        <v>504</v>
      </c>
      <c r="B203" s="345" t="s">
        <v>505</v>
      </c>
      <c r="C203" s="345" t="s">
        <v>506</v>
      </c>
      <c r="D203" s="345" t="s">
        <v>491</v>
      </c>
      <c r="E203" s="345" t="s">
        <v>430</v>
      </c>
      <c r="F203" s="345" t="s">
        <v>478</v>
      </c>
      <c r="G203" s="345" t="s">
        <v>432</v>
      </c>
      <c r="H203" s="345" t="s">
        <v>479</v>
      </c>
      <c r="I203" s="345">
        <v>21</v>
      </c>
      <c r="J203" s="345">
        <v>25</v>
      </c>
      <c r="K203" s="345">
        <v>32</v>
      </c>
      <c r="L203" s="345">
        <v>39</v>
      </c>
      <c r="M203" s="345">
        <v>46</v>
      </c>
      <c r="N203" s="345">
        <v>53</v>
      </c>
      <c r="O203" s="345">
        <v>0</v>
      </c>
      <c r="P203" s="345">
        <v>0</v>
      </c>
      <c r="Q203" s="346" t="s">
        <v>509</v>
      </c>
      <c r="R203" s="345" t="s">
        <v>434</v>
      </c>
    </row>
    <row r="204" spans="1:18" x14ac:dyDescent="0.2">
      <c r="A204" s="345" t="s">
        <v>504</v>
      </c>
      <c r="B204" s="345" t="s">
        <v>505</v>
      </c>
      <c r="C204" s="345" t="s">
        <v>506</v>
      </c>
      <c r="D204" s="345" t="s">
        <v>491</v>
      </c>
      <c r="E204" s="345" t="s">
        <v>430</v>
      </c>
      <c r="F204" s="345" t="s">
        <v>478</v>
      </c>
      <c r="G204" s="345" t="s">
        <v>440</v>
      </c>
      <c r="H204" s="345" t="s">
        <v>480</v>
      </c>
      <c r="I204" s="345">
        <v>10</v>
      </c>
      <c r="J204" s="345">
        <v>12</v>
      </c>
      <c r="K204" s="345">
        <v>16</v>
      </c>
      <c r="L204" s="345">
        <v>22</v>
      </c>
      <c r="M204" s="345">
        <v>28</v>
      </c>
      <c r="N204" s="345">
        <v>32</v>
      </c>
      <c r="O204" s="345">
        <v>0</v>
      </c>
      <c r="P204" s="345">
        <v>0</v>
      </c>
      <c r="Q204" s="346" t="s">
        <v>509</v>
      </c>
      <c r="R204" s="345" t="s">
        <v>434</v>
      </c>
    </row>
    <row r="205" spans="1:18" x14ac:dyDescent="0.2">
      <c r="A205" s="345" t="s">
        <v>504</v>
      </c>
      <c r="B205" s="345" t="s">
        <v>505</v>
      </c>
      <c r="C205" s="345" t="s">
        <v>506</v>
      </c>
      <c r="D205" s="345" t="s">
        <v>491</v>
      </c>
      <c r="E205" s="345" t="s">
        <v>430</v>
      </c>
      <c r="F205" s="345" t="s">
        <v>478</v>
      </c>
      <c r="G205" s="345" t="s">
        <v>470</v>
      </c>
      <c r="H205" s="345" t="s">
        <v>481</v>
      </c>
      <c r="I205" s="345">
        <v>0</v>
      </c>
      <c r="J205" s="345">
        <v>0</v>
      </c>
      <c r="K205" s="345">
        <v>0</v>
      </c>
      <c r="L205" s="345">
        <v>0</v>
      </c>
      <c r="M205" s="345">
        <v>0</v>
      </c>
      <c r="N205" s="345">
        <v>0</v>
      </c>
      <c r="O205" s="345">
        <v>0</v>
      </c>
      <c r="P205" s="345">
        <v>0</v>
      </c>
      <c r="Q205" s="346" t="s">
        <v>508</v>
      </c>
      <c r="R205" s="345" t="s">
        <v>437</v>
      </c>
    </row>
    <row r="206" spans="1:18" x14ac:dyDescent="0.2">
      <c r="A206" s="345" t="s">
        <v>504</v>
      </c>
      <c r="B206" s="345" t="s">
        <v>505</v>
      </c>
      <c r="C206" s="345" t="s">
        <v>506</v>
      </c>
      <c r="D206" s="345" t="s">
        <v>483</v>
      </c>
      <c r="E206" s="345" t="s">
        <v>483</v>
      </c>
      <c r="F206" s="345" t="s">
        <v>431</v>
      </c>
      <c r="G206" s="345" t="s">
        <v>432</v>
      </c>
      <c r="H206" s="345" t="s">
        <v>433</v>
      </c>
      <c r="I206" s="345">
        <v>0</v>
      </c>
      <c r="J206" s="345">
        <v>0</v>
      </c>
      <c r="K206" s="345">
        <v>0</v>
      </c>
      <c r="L206" s="345">
        <v>0</v>
      </c>
      <c r="M206" s="345">
        <v>0</v>
      </c>
      <c r="N206" s="345">
        <v>0</v>
      </c>
      <c r="O206" s="345">
        <v>0</v>
      </c>
      <c r="P206" s="345">
        <v>0</v>
      </c>
      <c r="Q206" s="346" t="s">
        <v>508</v>
      </c>
      <c r="R206" s="345" t="s">
        <v>437</v>
      </c>
    </row>
    <row r="207" spans="1:18" x14ac:dyDescent="0.2">
      <c r="A207" s="345" t="s">
        <v>504</v>
      </c>
      <c r="B207" s="345" t="s">
        <v>505</v>
      </c>
      <c r="C207" s="345" t="s">
        <v>506</v>
      </c>
      <c r="D207" s="345" t="s">
        <v>483</v>
      </c>
      <c r="E207" s="345" t="s">
        <v>483</v>
      </c>
      <c r="F207" s="345" t="s">
        <v>431</v>
      </c>
      <c r="G207" s="345" t="s">
        <v>435</v>
      </c>
      <c r="H207" s="345" t="s">
        <v>436</v>
      </c>
      <c r="I207" s="345">
        <v>0</v>
      </c>
      <c r="J207" s="345">
        <v>0</v>
      </c>
      <c r="K207" s="345">
        <v>0</v>
      </c>
      <c r="L207" s="345">
        <v>0</v>
      </c>
      <c r="M207" s="345">
        <v>0</v>
      </c>
      <c r="N207" s="345">
        <v>0</v>
      </c>
      <c r="O207" s="345">
        <v>0</v>
      </c>
      <c r="P207" s="345">
        <v>0</v>
      </c>
      <c r="Q207" s="346" t="s">
        <v>508</v>
      </c>
      <c r="R207" s="345" t="s">
        <v>437</v>
      </c>
    </row>
    <row r="208" spans="1:18" x14ac:dyDescent="0.2">
      <c r="A208" s="345" t="s">
        <v>504</v>
      </c>
      <c r="B208" s="345" t="s">
        <v>505</v>
      </c>
      <c r="C208" s="345" t="s">
        <v>506</v>
      </c>
      <c r="D208" s="345" t="s">
        <v>483</v>
      </c>
      <c r="E208" s="345" t="s">
        <v>483</v>
      </c>
      <c r="F208" s="345" t="s">
        <v>438</v>
      </c>
      <c r="G208" s="345" t="s">
        <v>432</v>
      </c>
      <c r="H208" s="345" t="s">
        <v>439</v>
      </c>
      <c r="I208" s="345">
        <v>0</v>
      </c>
      <c r="J208" s="345">
        <v>0</v>
      </c>
      <c r="K208" s="345">
        <v>0</v>
      </c>
      <c r="L208" s="345">
        <v>0</v>
      </c>
      <c r="M208" s="345">
        <v>0</v>
      </c>
      <c r="N208" s="345">
        <v>0</v>
      </c>
      <c r="O208" s="345">
        <v>0</v>
      </c>
      <c r="P208" s="345">
        <v>0</v>
      </c>
      <c r="Q208" s="346" t="s">
        <v>508</v>
      </c>
      <c r="R208" s="345" t="s">
        <v>437</v>
      </c>
    </row>
    <row r="209" spans="1:18" x14ac:dyDescent="0.2">
      <c r="A209" s="345" t="s">
        <v>504</v>
      </c>
      <c r="B209" s="345" t="s">
        <v>505</v>
      </c>
      <c r="C209" s="345" t="s">
        <v>506</v>
      </c>
      <c r="D209" s="345" t="s">
        <v>483</v>
      </c>
      <c r="E209" s="345" t="s">
        <v>483</v>
      </c>
      <c r="F209" s="345" t="s">
        <v>438</v>
      </c>
      <c r="G209" s="345" t="s">
        <v>440</v>
      </c>
      <c r="H209" s="345" t="s">
        <v>441</v>
      </c>
      <c r="I209" s="345">
        <v>0</v>
      </c>
      <c r="J209" s="345">
        <v>0</v>
      </c>
      <c r="K209" s="345">
        <v>0</v>
      </c>
      <c r="L209" s="345">
        <v>0</v>
      </c>
      <c r="M209" s="345">
        <v>0</v>
      </c>
      <c r="N209" s="345">
        <v>0</v>
      </c>
      <c r="O209" s="345">
        <v>0</v>
      </c>
      <c r="P209" s="345">
        <v>0</v>
      </c>
      <c r="Q209" s="346" t="s">
        <v>508</v>
      </c>
      <c r="R209" s="345" t="s">
        <v>437</v>
      </c>
    </row>
    <row r="210" spans="1:18" x14ac:dyDescent="0.2">
      <c r="A210" s="345" t="s">
        <v>504</v>
      </c>
      <c r="B210" s="345" t="s">
        <v>505</v>
      </c>
      <c r="C210" s="345" t="s">
        <v>506</v>
      </c>
      <c r="D210" s="345" t="s">
        <v>483</v>
      </c>
      <c r="E210" s="345" t="s">
        <v>483</v>
      </c>
      <c r="F210" s="345" t="s">
        <v>442</v>
      </c>
      <c r="G210" s="345" t="s">
        <v>443</v>
      </c>
      <c r="H210" s="345" t="s">
        <v>444</v>
      </c>
      <c r="I210" s="345">
        <v>0</v>
      </c>
      <c r="J210" s="345">
        <v>0</v>
      </c>
      <c r="K210" s="345">
        <v>0</v>
      </c>
      <c r="L210" s="345">
        <v>0</v>
      </c>
      <c r="M210" s="345">
        <v>0</v>
      </c>
      <c r="N210" s="345">
        <v>0</v>
      </c>
      <c r="O210" s="345">
        <v>0</v>
      </c>
      <c r="P210" s="345">
        <v>0</v>
      </c>
      <c r="Q210" s="346" t="s">
        <v>508</v>
      </c>
      <c r="R210" s="345" t="s">
        <v>437</v>
      </c>
    </row>
    <row r="211" spans="1:18" x14ac:dyDescent="0.2">
      <c r="A211" s="345" t="s">
        <v>504</v>
      </c>
      <c r="B211" s="345" t="s">
        <v>505</v>
      </c>
      <c r="C211" s="345" t="s">
        <v>506</v>
      </c>
      <c r="D211" s="345" t="s">
        <v>483</v>
      </c>
      <c r="E211" s="345" t="s">
        <v>483</v>
      </c>
      <c r="F211" s="345" t="s">
        <v>445</v>
      </c>
      <c r="G211" s="345" t="s">
        <v>443</v>
      </c>
      <c r="H211" s="345" t="s">
        <v>446</v>
      </c>
      <c r="I211" s="345">
        <v>0</v>
      </c>
      <c r="J211" s="345">
        <v>0</v>
      </c>
      <c r="K211" s="345">
        <v>0</v>
      </c>
      <c r="L211" s="345">
        <v>0</v>
      </c>
      <c r="M211" s="345">
        <v>0</v>
      </c>
      <c r="N211" s="345">
        <v>0</v>
      </c>
      <c r="O211" s="345">
        <v>0</v>
      </c>
      <c r="P211" s="345">
        <v>0</v>
      </c>
      <c r="Q211" s="346" t="s">
        <v>508</v>
      </c>
      <c r="R211" s="345" t="s">
        <v>437</v>
      </c>
    </row>
    <row r="212" spans="1:18" x14ac:dyDescent="0.2">
      <c r="A212" s="345" t="s">
        <v>504</v>
      </c>
      <c r="B212" s="345" t="s">
        <v>505</v>
      </c>
      <c r="C212" s="345" t="s">
        <v>506</v>
      </c>
      <c r="D212" s="345" t="s">
        <v>483</v>
      </c>
      <c r="E212" s="345" t="s">
        <v>483</v>
      </c>
      <c r="F212" s="345" t="s">
        <v>447</v>
      </c>
      <c r="G212" s="345" t="s">
        <v>443</v>
      </c>
      <c r="H212" s="345" t="s">
        <v>448</v>
      </c>
      <c r="I212" s="345">
        <v>0</v>
      </c>
      <c r="J212" s="345">
        <v>0</v>
      </c>
      <c r="K212" s="345">
        <v>0</v>
      </c>
      <c r="L212" s="345">
        <v>0</v>
      </c>
      <c r="M212" s="345">
        <v>0</v>
      </c>
      <c r="N212" s="345">
        <v>0</v>
      </c>
      <c r="O212" s="345">
        <v>0</v>
      </c>
      <c r="P212" s="345">
        <v>0</v>
      </c>
      <c r="Q212" s="346" t="s">
        <v>508</v>
      </c>
      <c r="R212" s="345" t="s">
        <v>437</v>
      </c>
    </row>
    <row r="213" spans="1:18" x14ac:dyDescent="0.2">
      <c r="A213" s="345" t="s">
        <v>504</v>
      </c>
      <c r="B213" s="345" t="s">
        <v>505</v>
      </c>
      <c r="C213" s="345" t="s">
        <v>506</v>
      </c>
      <c r="D213" s="345" t="s">
        <v>483</v>
      </c>
      <c r="E213" s="345" t="s">
        <v>483</v>
      </c>
      <c r="F213" s="345" t="s">
        <v>449</v>
      </c>
      <c r="G213" s="345" t="s">
        <v>450</v>
      </c>
      <c r="H213" s="345" t="s">
        <v>451</v>
      </c>
      <c r="I213" s="345">
        <v>0</v>
      </c>
      <c r="J213" s="345">
        <v>0</v>
      </c>
      <c r="K213" s="345">
        <v>0</v>
      </c>
      <c r="L213" s="345">
        <v>0</v>
      </c>
      <c r="M213" s="345">
        <v>0</v>
      </c>
      <c r="N213" s="345">
        <v>0</v>
      </c>
      <c r="O213" s="345">
        <v>0</v>
      </c>
      <c r="P213" s="345">
        <v>0</v>
      </c>
      <c r="Q213" s="346" t="s">
        <v>508</v>
      </c>
      <c r="R213" s="345" t="s">
        <v>437</v>
      </c>
    </row>
    <row r="214" spans="1:18" x14ac:dyDescent="0.2">
      <c r="A214" s="345" t="s">
        <v>504</v>
      </c>
      <c r="B214" s="345" t="s">
        <v>505</v>
      </c>
      <c r="C214" s="345" t="s">
        <v>506</v>
      </c>
      <c r="D214" s="345" t="s">
        <v>483</v>
      </c>
      <c r="E214" s="345" t="s">
        <v>483</v>
      </c>
      <c r="F214" s="345" t="s">
        <v>449</v>
      </c>
      <c r="G214" s="345" t="s">
        <v>452</v>
      </c>
      <c r="H214" s="345" t="s">
        <v>453</v>
      </c>
      <c r="I214" s="345">
        <v>0</v>
      </c>
      <c r="J214" s="345">
        <v>0</v>
      </c>
      <c r="K214" s="345">
        <v>0</v>
      </c>
      <c r="L214" s="345">
        <v>0</v>
      </c>
      <c r="M214" s="345">
        <v>0</v>
      </c>
      <c r="N214" s="345">
        <v>0</v>
      </c>
      <c r="O214" s="345">
        <v>0</v>
      </c>
      <c r="P214" s="345">
        <v>0</v>
      </c>
      <c r="Q214" s="346" t="s">
        <v>508</v>
      </c>
      <c r="R214" s="345" t="s">
        <v>437</v>
      </c>
    </row>
    <row r="215" spans="1:18" x14ac:dyDescent="0.2">
      <c r="A215" s="345" t="s">
        <v>504</v>
      </c>
      <c r="B215" s="345" t="s">
        <v>505</v>
      </c>
      <c r="C215" s="345" t="s">
        <v>506</v>
      </c>
      <c r="D215" s="345" t="s">
        <v>483</v>
      </c>
      <c r="E215" s="345" t="s">
        <v>483</v>
      </c>
      <c r="F215" s="345" t="s">
        <v>449</v>
      </c>
      <c r="G215" s="345" t="s">
        <v>454</v>
      </c>
      <c r="H215" s="345" t="s">
        <v>455</v>
      </c>
      <c r="I215" s="345">
        <v>0</v>
      </c>
      <c r="J215" s="345">
        <v>0</v>
      </c>
      <c r="K215" s="345">
        <v>0</v>
      </c>
      <c r="L215" s="345">
        <v>0</v>
      </c>
      <c r="M215" s="345">
        <v>0</v>
      </c>
      <c r="N215" s="345">
        <v>0</v>
      </c>
      <c r="O215" s="345">
        <v>0</v>
      </c>
      <c r="P215" s="345">
        <v>0</v>
      </c>
      <c r="Q215" s="346" t="s">
        <v>508</v>
      </c>
      <c r="R215" s="345" t="s">
        <v>437</v>
      </c>
    </row>
    <row r="216" spans="1:18" x14ac:dyDescent="0.2">
      <c r="A216" s="345" t="s">
        <v>504</v>
      </c>
      <c r="B216" s="345" t="s">
        <v>505</v>
      </c>
      <c r="C216" s="345" t="s">
        <v>506</v>
      </c>
      <c r="D216" s="345" t="s">
        <v>483</v>
      </c>
      <c r="E216" s="345" t="s">
        <v>483</v>
      </c>
      <c r="F216" s="345" t="s">
        <v>456</v>
      </c>
      <c r="G216" s="345" t="s">
        <v>457</v>
      </c>
      <c r="H216" s="345" t="s">
        <v>458</v>
      </c>
      <c r="I216" s="345">
        <v>0</v>
      </c>
      <c r="J216" s="345">
        <v>0</v>
      </c>
      <c r="K216" s="345">
        <v>0</v>
      </c>
      <c r="L216" s="345">
        <v>0</v>
      </c>
      <c r="M216" s="345">
        <v>0</v>
      </c>
      <c r="N216" s="345">
        <v>0</v>
      </c>
      <c r="O216" s="345">
        <v>0</v>
      </c>
      <c r="P216" s="345">
        <v>0</v>
      </c>
      <c r="Q216" s="346" t="s">
        <v>508</v>
      </c>
      <c r="R216" s="345" t="s">
        <v>437</v>
      </c>
    </row>
    <row r="217" spans="1:18" x14ac:dyDescent="0.2">
      <c r="A217" s="345" t="s">
        <v>504</v>
      </c>
      <c r="B217" s="345" t="s">
        <v>505</v>
      </c>
      <c r="C217" s="345" t="s">
        <v>506</v>
      </c>
      <c r="D217" s="345" t="s">
        <v>483</v>
      </c>
      <c r="E217" s="345" t="s">
        <v>483</v>
      </c>
      <c r="F217" s="345" t="s">
        <v>459</v>
      </c>
      <c r="G217" s="345" t="s">
        <v>443</v>
      </c>
      <c r="H217" s="345" t="s">
        <v>460</v>
      </c>
      <c r="I217" s="345">
        <v>0</v>
      </c>
      <c r="J217" s="345">
        <v>0</v>
      </c>
      <c r="K217" s="345">
        <v>0</v>
      </c>
      <c r="L217" s="345">
        <v>0</v>
      </c>
      <c r="M217" s="345">
        <v>0</v>
      </c>
      <c r="N217" s="345">
        <v>0</v>
      </c>
      <c r="O217" s="345">
        <v>0</v>
      </c>
      <c r="P217" s="345">
        <v>0</v>
      </c>
      <c r="Q217" s="346" t="s">
        <v>508</v>
      </c>
      <c r="R217" s="345" t="s">
        <v>437</v>
      </c>
    </row>
    <row r="218" spans="1:18" x14ac:dyDescent="0.2">
      <c r="A218" s="345" t="s">
        <v>504</v>
      </c>
      <c r="B218" s="345" t="s">
        <v>505</v>
      </c>
      <c r="C218" s="345" t="s">
        <v>506</v>
      </c>
      <c r="D218" s="345" t="s">
        <v>483</v>
      </c>
      <c r="E218" s="345" t="s">
        <v>483</v>
      </c>
      <c r="F218" s="345" t="s">
        <v>461</v>
      </c>
      <c r="G218" s="345" t="s">
        <v>443</v>
      </c>
      <c r="H218" s="345" t="s">
        <v>462</v>
      </c>
      <c r="I218" s="345">
        <v>0</v>
      </c>
      <c r="J218" s="345">
        <v>0</v>
      </c>
      <c r="K218" s="345">
        <v>0</v>
      </c>
      <c r="L218" s="345">
        <v>0</v>
      </c>
      <c r="M218" s="345">
        <v>0</v>
      </c>
      <c r="N218" s="345">
        <v>0</v>
      </c>
      <c r="O218" s="345">
        <v>0</v>
      </c>
      <c r="P218" s="345">
        <v>0</v>
      </c>
      <c r="Q218" s="346" t="s">
        <v>508</v>
      </c>
      <c r="R218" s="345" t="s">
        <v>437</v>
      </c>
    </row>
    <row r="219" spans="1:18" x14ac:dyDescent="0.2">
      <c r="A219" s="345" t="s">
        <v>504</v>
      </c>
      <c r="B219" s="345" t="s">
        <v>505</v>
      </c>
      <c r="C219" s="345" t="s">
        <v>506</v>
      </c>
      <c r="D219" s="345" t="s">
        <v>483</v>
      </c>
      <c r="E219" s="345" t="s">
        <v>483</v>
      </c>
      <c r="F219" s="345" t="s">
        <v>463</v>
      </c>
      <c r="G219" s="345" t="s">
        <v>464</v>
      </c>
      <c r="H219" s="345" t="s">
        <v>463</v>
      </c>
      <c r="I219" s="345">
        <v>0</v>
      </c>
      <c r="J219" s="345">
        <v>0</v>
      </c>
      <c r="K219" s="345">
        <v>0</v>
      </c>
      <c r="L219" s="345">
        <v>0</v>
      </c>
      <c r="M219" s="345">
        <v>0</v>
      </c>
      <c r="N219" s="345">
        <v>0</v>
      </c>
      <c r="O219" s="345">
        <v>0</v>
      </c>
      <c r="P219" s="345">
        <v>0</v>
      </c>
      <c r="Q219" s="346" t="s">
        <v>508</v>
      </c>
      <c r="R219" s="345" t="s">
        <v>437</v>
      </c>
    </row>
    <row r="220" spans="1:18" x14ac:dyDescent="0.2">
      <c r="A220" s="345" t="s">
        <v>504</v>
      </c>
      <c r="B220" s="345" t="s">
        <v>505</v>
      </c>
      <c r="C220" s="345" t="s">
        <v>506</v>
      </c>
      <c r="D220" s="345" t="s">
        <v>483</v>
      </c>
      <c r="E220" s="345" t="s">
        <v>483</v>
      </c>
      <c r="F220" s="345" t="s">
        <v>465</v>
      </c>
      <c r="G220" s="345" t="s">
        <v>432</v>
      </c>
      <c r="H220" s="345" t="s">
        <v>466</v>
      </c>
      <c r="I220" s="345">
        <v>0</v>
      </c>
      <c r="J220" s="345">
        <v>0</v>
      </c>
      <c r="K220" s="345">
        <v>0</v>
      </c>
      <c r="L220" s="345">
        <v>0</v>
      </c>
      <c r="M220" s="345">
        <v>0</v>
      </c>
      <c r="N220" s="345">
        <v>0</v>
      </c>
      <c r="O220" s="345">
        <v>0</v>
      </c>
      <c r="P220" s="345">
        <v>0</v>
      </c>
      <c r="Q220" s="346" t="s">
        <v>508</v>
      </c>
      <c r="R220" s="345" t="s">
        <v>437</v>
      </c>
    </row>
    <row r="221" spans="1:18" x14ac:dyDescent="0.2">
      <c r="A221" s="345" t="s">
        <v>504</v>
      </c>
      <c r="B221" s="345" t="s">
        <v>505</v>
      </c>
      <c r="C221" s="345" t="s">
        <v>506</v>
      </c>
      <c r="D221" s="345" t="s">
        <v>483</v>
      </c>
      <c r="E221" s="345" t="s">
        <v>483</v>
      </c>
      <c r="F221" s="345" t="s">
        <v>465</v>
      </c>
      <c r="G221" s="345" t="s">
        <v>467</v>
      </c>
      <c r="H221" s="345" t="s">
        <v>468</v>
      </c>
      <c r="I221" s="345">
        <v>0</v>
      </c>
      <c r="J221" s="345">
        <v>0</v>
      </c>
      <c r="K221" s="345">
        <v>0</v>
      </c>
      <c r="L221" s="345">
        <v>0</v>
      </c>
      <c r="M221" s="345">
        <v>0</v>
      </c>
      <c r="N221" s="345">
        <v>0</v>
      </c>
      <c r="O221" s="345">
        <v>0</v>
      </c>
      <c r="P221" s="345">
        <v>0</v>
      </c>
      <c r="Q221" s="346" t="s">
        <v>508</v>
      </c>
      <c r="R221" s="345" t="s">
        <v>437</v>
      </c>
    </row>
    <row r="222" spans="1:18" x14ac:dyDescent="0.2">
      <c r="A222" s="345" t="s">
        <v>504</v>
      </c>
      <c r="B222" s="345" t="s">
        <v>505</v>
      </c>
      <c r="C222" s="345" t="s">
        <v>506</v>
      </c>
      <c r="D222" s="345" t="s">
        <v>483</v>
      </c>
      <c r="E222" s="345" t="s">
        <v>483</v>
      </c>
      <c r="F222" s="345" t="s">
        <v>465</v>
      </c>
      <c r="G222" s="345" t="s">
        <v>440</v>
      </c>
      <c r="H222" s="345" t="s">
        <v>469</v>
      </c>
      <c r="I222" s="345">
        <v>0</v>
      </c>
      <c r="J222" s="345">
        <v>0</v>
      </c>
      <c r="K222" s="345">
        <v>0</v>
      </c>
      <c r="L222" s="345">
        <v>0</v>
      </c>
      <c r="M222" s="345">
        <v>0</v>
      </c>
      <c r="N222" s="345">
        <v>0</v>
      </c>
      <c r="O222" s="345">
        <v>0</v>
      </c>
      <c r="P222" s="345">
        <v>0</v>
      </c>
      <c r="Q222" s="346" t="s">
        <v>508</v>
      </c>
      <c r="R222" s="345" t="s">
        <v>437</v>
      </c>
    </row>
    <row r="223" spans="1:18" x14ac:dyDescent="0.2">
      <c r="A223" s="345" t="s">
        <v>504</v>
      </c>
      <c r="B223" s="345" t="s">
        <v>505</v>
      </c>
      <c r="C223" s="345" t="s">
        <v>506</v>
      </c>
      <c r="D223" s="345" t="s">
        <v>483</v>
      </c>
      <c r="E223" s="345" t="s">
        <v>483</v>
      </c>
      <c r="F223" s="345" t="s">
        <v>465</v>
      </c>
      <c r="G223" s="345" t="s">
        <v>470</v>
      </c>
      <c r="H223" s="345" t="s">
        <v>471</v>
      </c>
      <c r="I223" s="345">
        <v>0</v>
      </c>
      <c r="J223" s="345">
        <v>0</v>
      </c>
      <c r="K223" s="345">
        <v>0</v>
      </c>
      <c r="L223" s="345">
        <v>0</v>
      </c>
      <c r="M223" s="345">
        <v>0</v>
      </c>
      <c r="N223" s="345">
        <v>0</v>
      </c>
      <c r="O223" s="345">
        <v>0</v>
      </c>
      <c r="P223" s="345">
        <v>0</v>
      </c>
      <c r="Q223" s="346" t="s">
        <v>508</v>
      </c>
      <c r="R223" s="345" t="s">
        <v>437</v>
      </c>
    </row>
    <row r="224" spans="1:18" x14ac:dyDescent="0.2">
      <c r="A224" s="345" t="s">
        <v>504</v>
      </c>
      <c r="B224" s="345" t="s">
        <v>505</v>
      </c>
      <c r="C224" s="345" t="s">
        <v>506</v>
      </c>
      <c r="D224" s="345" t="s">
        <v>483</v>
      </c>
      <c r="E224" s="345" t="s">
        <v>483</v>
      </c>
      <c r="F224" s="345" t="s">
        <v>465</v>
      </c>
      <c r="G224" s="345" t="s">
        <v>472</v>
      </c>
      <c r="H224" s="345" t="s">
        <v>473</v>
      </c>
      <c r="I224" s="345">
        <v>0</v>
      </c>
      <c r="J224" s="345">
        <v>0</v>
      </c>
      <c r="K224" s="345">
        <v>0</v>
      </c>
      <c r="L224" s="345">
        <v>0</v>
      </c>
      <c r="M224" s="345">
        <v>0</v>
      </c>
      <c r="N224" s="345">
        <v>0</v>
      </c>
      <c r="O224" s="345">
        <v>0</v>
      </c>
      <c r="P224" s="345">
        <v>0</v>
      </c>
      <c r="Q224" s="346" t="s">
        <v>508</v>
      </c>
      <c r="R224" s="345" t="s">
        <v>437</v>
      </c>
    </row>
    <row r="225" spans="1:18" x14ac:dyDescent="0.2">
      <c r="A225" s="345" t="s">
        <v>504</v>
      </c>
      <c r="B225" s="345" t="s">
        <v>505</v>
      </c>
      <c r="C225" s="345" t="s">
        <v>506</v>
      </c>
      <c r="D225" s="345" t="s">
        <v>483</v>
      </c>
      <c r="E225" s="345" t="s">
        <v>483</v>
      </c>
      <c r="F225" s="345" t="s">
        <v>474</v>
      </c>
      <c r="G225" s="345" t="s">
        <v>464</v>
      </c>
      <c r="H225" s="345" t="s">
        <v>474</v>
      </c>
      <c r="I225" s="345">
        <v>0</v>
      </c>
      <c r="J225" s="345">
        <v>0</v>
      </c>
      <c r="K225" s="345">
        <v>0</v>
      </c>
      <c r="L225" s="345">
        <v>0</v>
      </c>
      <c r="M225" s="345">
        <v>0</v>
      </c>
      <c r="N225" s="345">
        <v>0</v>
      </c>
      <c r="O225" s="345">
        <v>0</v>
      </c>
      <c r="P225" s="345">
        <v>0</v>
      </c>
      <c r="Q225" s="346" t="s">
        <v>508</v>
      </c>
      <c r="R225" s="345" t="s">
        <v>437</v>
      </c>
    </row>
    <row r="226" spans="1:18" x14ac:dyDescent="0.2">
      <c r="A226" s="345" t="s">
        <v>504</v>
      </c>
      <c r="B226" s="345" t="s">
        <v>505</v>
      </c>
      <c r="C226" s="345" t="s">
        <v>506</v>
      </c>
      <c r="D226" s="345" t="s">
        <v>483</v>
      </c>
      <c r="E226" s="345" t="s">
        <v>483</v>
      </c>
      <c r="F226" s="345" t="s">
        <v>475</v>
      </c>
      <c r="G226" s="345" t="s">
        <v>443</v>
      </c>
      <c r="H226" s="345" t="s">
        <v>476</v>
      </c>
      <c r="I226" s="345">
        <v>0</v>
      </c>
      <c r="J226" s="345">
        <v>0</v>
      </c>
      <c r="K226" s="345">
        <v>0</v>
      </c>
      <c r="L226" s="345">
        <v>0</v>
      </c>
      <c r="M226" s="345">
        <v>0</v>
      </c>
      <c r="N226" s="345">
        <v>0</v>
      </c>
      <c r="O226" s="345">
        <v>0</v>
      </c>
      <c r="P226" s="345">
        <v>0</v>
      </c>
      <c r="Q226" s="346" t="s">
        <v>508</v>
      </c>
      <c r="R226" s="345" t="s">
        <v>437</v>
      </c>
    </row>
    <row r="227" spans="1:18" x14ac:dyDescent="0.2">
      <c r="A227" s="345" t="s">
        <v>504</v>
      </c>
      <c r="B227" s="345" t="s">
        <v>505</v>
      </c>
      <c r="C227" s="345" t="s">
        <v>506</v>
      </c>
      <c r="D227" s="345" t="s">
        <v>483</v>
      </c>
      <c r="E227" s="345" t="s">
        <v>483</v>
      </c>
      <c r="F227" s="345" t="s">
        <v>477</v>
      </c>
      <c r="G227" s="345" t="s">
        <v>464</v>
      </c>
      <c r="H227" s="345" t="s">
        <v>477</v>
      </c>
      <c r="I227" s="345">
        <v>0</v>
      </c>
      <c r="J227" s="345">
        <v>0</v>
      </c>
      <c r="K227" s="345">
        <v>0</v>
      </c>
      <c r="L227" s="345">
        <v>0</v>
      </c>
      <c r="M227" s="345">
        <v>0</v>
      </c>
      <c r="N227" s="345">
        <v>0</v>
      </c>
      <c r="O227" s="345">
        <v>0</v>
      </c>
      <c r="P227" s="345">
        <v>0</v>
      </c>
      <c r="Q227" s="346" t="s">
        <v>508</v>
      </c>
      <c r="R227" s="345" t="s">
        <v>437</v>
      </c>
    </row>
    <row r="228" spans="1:18" x14ac:dyDescent="0.2">
      <c r="A228" s="345" t="s">
        <v>504</v>
      </c>
      <c r="B228" s="345" t="s">
        <v>505</v>
      </c>
      <c r="C228" s="345" t="s">
        <v>506</v>
      </c>
      <c r="D228" s="345" t="s">
        <v>483</v>
      </c>
      <c r="E228" s="345" t="s">
        <v>483</v>
      </c>
      <c r="F228" s="345" t="s">
        <v>478</v>
      </c>
      <c r="G228" s="345" t="s">
        <v>432</v>
      </c>
      <c r="H228" s="345" t="s">
        <v>479</v>
      </c>
      <c r="I228" s="345">
        <v>0</v>
      </c>
      <c r="J228" s="345">
        <v>0</v>
      </c>
      <c r="K228" s="345">
        <v>0</v>
      </c>
      <c r="L228" s="345">
        <v>0</v>
      </c>
      <c r="M228" s="345">
        <v>0</v>
      </c>
      <c r="N228" s="345">
        <v>0</v>
      </c>
      <c r="O228" s="345">
        <v>0</v>
      </c>
      <c r="P228" s="345">
        <v>0</v>
      </c>
      <c r="Q228" s="346" t="s">
        <v>508</v>
      </c>
      <c r="R228" s="345" t="s">
        <v>437</v>
      </c>
    </row>
    <row r="229" spans="1:18" x14ac:dyDescent="0.2">
      <c r="A229" s="345" t="s">
        <v>504</v>
      </c>
      <c r="B229" s="345" t="s">
        <v>505</v>
      </c>
      <c r="C229" s="345" t="s">
        <v>506</v>
      </c>
      <c r="D229" s="345" t="s">
        <v>483</v>
      </c>
      <c r="E229" s="345" t="s">
        <v>483</v>
      </c>
      <c r="F229" s="345" t="s">
        <v>478</v>
      </c>
      <c r="G229" s="345" t="s">
        <v>440</v>
      </c>
      <c r="H229" s="345" t="s">
        <v>480</v>
      </c>
      <c r="I229" s="345">
        <v>0</v>
      </c>
      <c r="J229" s="345">
        <v>0</v>
      </c>
      <c r="K229" s="345">
        <v>0</v>
      </c>
      <c r="L229" s="345">
        <v>0</v>
      </c>
      <c r="M229" s="345">
        <v>0</v>
      </c>
      <c r="N229" s="345">
        <v>0</v>
      </c>
      <c r="O229" s="345">
        <v>0</v>
      </c>
      <c r="P229" s="345">
        <v>0</v>
      </c>
      <c r="Q229" s="346" t="s">
        <v>508</v>
      </c>
      <c r="R229" s="345" t="s">
        <v>437</v>
      </c>
    </row>
    <row r="230" spans="1:18" x14ac:dyDescent="0.2">
      <c r="A230" s="345" t="s">
        <v>504</v>
      </c>
      <c r="B230" s="345" t="s">
        <v>505</v>
      </c>
      <c r="C230" s="345" t="s">
        <v>506</v>
      </c>
      <c r="D230" s="345" t="s">
        <v>483</v>
      </c>
      <c r="E230" s="345" t="s">
        <v>483</v>
      </c>
      <c r="F230" s="345" t="s">
        <v>478</v>
      </c>
      <c r="G230" s="345" t="s">
        <v>470</v>
      </c>
      <c r="H230" s="345" t="s">
        <v>481</v>
      </c>
      <c r="I230" s="345">
        <v>0</v>
      </c>
      <c r="J230" s="345">
        <v>0</v>
      </c>
      <c r="K230" s="345">
        <v>0</v>
      </c>
      <c r="L230" s="345">
        <v>0</v>
      </c>
      <c r="M230" s="345">
        <v>0</v>
      </c>
      <c r="N230" s="345">
        <v>0</v>
      </c>
      <c r="O230" s="345">
        <v>0</v>
      </c>
      <c r="P230" s="345">
        <v>0</v>
      </c>
      <c r="Q230" s="346" t="s">
        <v>508</v>
      </c>
      <c r="R230" s="345" t="s">
        <v>437</v>
      </c>
    </row>
    <row r="231" spans="1:18" x14ac:dyDescent="0.2">
      <c r="A231" s="345" t="s">
        <v>510</v>
      </c>
      <c r="B231" s="345" t="s">
        <v>343</v>
      </c>
      <c r="C231" s="345" t="s">
        <v>792</v>
      </c>
      <c r="D231" s="345" t="s">
        <v>491</v>
      </c>
      <c r="E231" s="345" t="s">
        <v>430</v>
      </c>
      <c r="F231" s="345" t="s">
        <v>431</v>
      </c>
      <c r="G231" s="345" t="s">
        <v>432</v>
      </c>
      <c r="H231" s="345" t="s">
        <v>433</v>
      </c>
      <c r="I231" s="345">
        <v>0</v>
      </c>
      <c r="J231" s="345">
        <v>0</v>
      </c>
      <c r="K231" s="345">
        <v>0</v>
      </c>
      <c r="L231" s="345">
        <v>0</v>
      </c>
      <c r="M231" s="345">
        <v>0</v>
      </c>
      <c r="N231" s="345">
        <v>0</v>
      </c>
      <c r="O231" s="345">
        <v>0</v>
      </c>
      <c r="P231" s="345">
        <v>0</v>
      </c>
      <c r="Q231" s="346" t="s">
        <v>511</v>
      </c>
      <c r="R231" s="345" t="s">
        <v>437</v>
      </c>
    </row>
    <row r="232" spans="1:18" x14ac:dyDescent="0.2">
      <c r="A232" s="345" t="s">
        <v>510</v>
      </c>
      <c r="B232" s="345" t="s">
        <v>343</v>
      </c>
      <c r="C232" s="345" t="s">
        <v>792</v>
      </c>
      <c r="D232" s="345" t="s">
        <v>491</v>
      </c>
      <c r="E232" s="345" t="s">
        <v>430</v>
      </c>
      <c r="F232" s="345" t="s">
        <v>431</v>
      </c>
      <c r="G232" s="345" t="s">
        <v>435</v>
      </c>
      <c r="H232" s="345" t="s">
        <v>436</v>
      </c>
      <c r="I232" s="345">
        <v>0</v>
      </c>
      <c r="J232" s="345">
        <v>0</v>
      </c>
      <c r="K232" s="345">
        <v>0</v>
      </c>
      <c r="L232" s="345">
        <v>0</v>
      </c>
      <c r="M232" s="345">
        <v>0</v>
      </c>
      <c r="N232" s="345">
        <v>0</v>
      </c>
      <c r="O232" s="345">
        <v>0</v>
      </c>
      <c r="P232" s="345">
        <v>0</v>
      </c>
      <c r="Q232" s="346" t="s">
        <v>511</v>
      </c>
      <c r="R232" s="345" t="s">
        <v>437</v>
      </c>
    </row>
    <row r="233" spans="1:18" x14ac:dyDescent="0.2">
      <c r="A233" s="345" t="s">
        <v>510</v>
      </c>
      <c r="B233" s="345" t="s">
        <v>343</v>
      </c>
      <c r="C233" s="345" t="s">
        <v>792</v>
      </c>
      <c r="D233" s="345" t="s">
        <v>491</v>
      </c>
      <c r="E233" s="345" t="s">
        <v>430</v>
      </c>
      <c r="F233" s="345" t="s">
        <v>438</v>
      </c>
      <c r="G233" s="345" t="s">
        <v>432</v>
      </c>
      <c r="H233" s="345" t="s">
        <v>439</v>
      </c>
      <c r="I233" s="345">
        <v>11</v>
      </c>
      <c r="J233" s="345">
        <v>13</v>
      </c>
      <c r="K233" s="345">
        <v>18</v>
      </c>
      <c r="L233" s="345">
        <v>29</v>
      </c>
      <c r="M233" s="345">
        <v>38</v>
      </c>
      <c r="N233" s="345">
        <v>45</v>
      </c>
      <c r="O233" s="345">
        <v>0</v>
      </c>
      <c r="P233" s="345">
        <v>0</v>
      </c>
      <c r="Q233" s="346" t="s">
        <v>511</v>
      </c>
      <c r="R233" s="345" t="s">
        <v>434</v>
      </c>
    </row>
    <row r="234" spans="1:18" x14ac:dyDescent="0.2">
      <c r="A234" s="345" t="s">
        <v>510</v>
      </c>
      <c r="B234" s="345" t="s">
        <v>343</v>
      </c>
      <c r="C234" s="345" t="s">
        <v>792</v>
      </c>
      <c r="D234" s="345" t="s">
        <v>491</v>
      </c>
      <c r="E234" s="345" t="s">
        <v>430</v>
      </c>
      <c r="F234" s="345" t="s">
        <v>438</v>
      </c>
      <c r="G234" s="345" t="s">
        <v>440</v>
      </c>
      <c r="H234" s="345" t="s">
        <v>441</v>
      </c>
      <c r="I234" s="345">
        <v>8</v>
      </c>
      <c r="J234" s="345">
        <v>9</v>
      </c>
      <c r="K234" s="345">
        <v>12</v>
      </c>
      <c r="L234" s="345">
        <v>15</v>
      </c>
      <c r="M234" s="345">
        <v>18</v>
      </c>
      <c r="N234" s="345">
        <v>20</v>
      </c>
      <c r="O234" s="345">
        <v>0</v>
      </c>
      <c r="P234" s="345">
        <v>0</v>
      </c>
      <c r="Q234" s="346" t="s">
        <v>511</v>
      </c>
      <c r="R234" s="345" t="s">
        <v>434</v>
      </c>
    </row>
    <row r="235" spans="1:18" x14ac:dyDescent="0.2">
      <c r="A235" s="345" t="s">
        <v>510</v>
      </c>
      <c r="B235" s="345" t="s">
        <v>343</v>
      </c>
      <c r="C235" s="345" t="s">
        <v>792</v>
      </c>
      <c r="D235" s="345" t="s">
        <v>491</v>
      </c>
      <c r="E235" s="345" t="s">
        <v>430</v>
      </c>
      <c r="F235" s="345" t="s">
        <v>442</v>
      </c>
      <c r="G235" s="345" t="s">
        <v>443</v>
      </c>
      <c r="H235" s="345" t="s">
        <v>444</v>
      </c>
      <c r="I235" s="345">
        <v>0</v>
      </c>
      <c r="J235" s="345">
        <v>0</v>
      </c>
      <c r="K235" s="345">
        <v>0</v>
      </c>
      <c r="L235" s="345">
        <v>0</v>
      </c>
      <c r="M235" s="345">
        <v>0</v>
      </c>
      <c r="N235" s="345">
        <v>0</v>
      </c>
      <c r="O235" s="345">
        <v>0</v>
      </c>
      <c r="P235" s="345">
        <v>0</v>
      </c>
      <c r="Q235" s="346" t="s">
        <v>511</v>
      </c>
      <c r="R235" s="345" t="s">
        <v>437</v>
      </c>
    </row>
    <row r="236" spans="1:18" x14ac:dyDescent="0.2">
      <c r="A236" s="345" t="s">
        <v>510</v>
      </c>
      <c r="B236" s="345" t="s">
        <v>343</v>
      </c>
      <c r="C236" s="345" t="s">
        <v>792</v>
      </c>
      <c r="D236" s="345" t="s">
        <v>491</v>
      </c>
      <c r="E236" s="345" t="s">
        <v>430</v>
      </c>
      <c r="F236" s="345" t="s">
        <v>445</v>
      </c>
      <c r="G236" s="345" t="s">
        <v>443</v>
      </c>
      <c r="H236" s="345" t="s">
        <v>446</v>
      </c>
      <c r="I236" s="345">
        <v>0</v>
      </c>
      <c r="J236" s="345">
        <v>0</v>
      </c>
      <c r="K236" s="345">
        <v>0</v>
      </c>
      <c r="L236" s="345">
        <v>0</v>
      </c>
      <c r="M236" s="345">
        <v>0</v>
      </c>
      <c r="N236" s="345">
        <v>0</v>
      </c>
      <c r="O236" s="345">
        <v>0</v>
      </c>
      <c r="P236" s="345">
        <v>0</v>
      </c>
      <c r="Q236" s="346" t="s">
        <v>511</v>
      </c>
      <c r="R236" s="345" t="s">
        <v>437</v>
      </c>
    </row>
    <row r="237" spans="1:18" x14ac:dyDescent="0.2">
      <c r="A237" s="345" t="s">
        <v>510</v>
      </c>
      <c r="B237" s="345" t="s">
        <v>343</v>
      </c>
      <c r="C237" s="345" t="s">
        <v>792</v>
      </c>
      <c r="D237" s="345" t="s">
        <v>491</v>
      </c>
      <c r="E237" s="345" t="s">
        <v>430</v>
      </c>
      <c r="F237" s="345" t="s">
        <v>447</v>
      </c>
      <c r="G237" s="345" t="s">
        <v>443</v>
      </c>
      <c r="H237" s="345" t="s">
        <v>448</v>
      </c>
      <c r="I237" s="345">
        <v>0</v>
      </c>
      <c r="J237" s="345">
        <v>0</v>
      </c>
      <c r="K237" s="345">
        <v>0</v>
      </c>
      <c r="L237" s="345">
        <v>0</v>
      </c>
      <c r="M237" s="345">
        <v>0</v>
      </c>
      <c r="N237" s="345">
        <v>0</v>
      </c>
      <c r="O237" s="345">
        <v>0</v>
      </c>
      <c r="P237" s="345">
        <v>0</v>
      </c>
      <c r="Q237" s="346" t="s">
        <v>511</v>
      </c>
      <c r="R237" s="345" t="s">
        <v>437</v>
      </c>
    </row>
    <row r="238" spans="1:18" x14ac:dyDescent="0.2">
      <c r="A238" s="345" t="s">
        <v>510</v>
      </c>
      <c r="B238" s="345" t="s">
        <v>343</v>
      </c>
      <c r="C238" s="345" t="s">
        <v>792</v>
      </c>
      <c r="D238" s="345" t="s">
        <v>491</v>
      </c>
      <c r="E238" s="345" t="s">
        <v>430</v>
      </c>
      <c r="F238" s="345" t="s">
        <v>449</v>
      </c>
      <c r="G238" s="345" t="s">
        <v>450</v>
      </c>
      <c r="H238" s="345" t="s">
        <v>451</v>
      </c>
      <c r="I238" s="345">
        <v>0</v>
      </c>
      <c r="J238" s="345">
        <v>0</v>
      </c>
      <c r="K238" s="345">
        <v>0</v>
      </c>
      <c r="L238" s="345">
        <v>0</v>
      </c>
      <c r="M238" s="345">
        <v>0</v>
      </c>
      <c r="N238" s="345">
        <v>0</v>
      </c>
      <c r="O238" s="345">
        <v>0</v>
      </c>
      <c r="P238" s="345">
        <v>0</v>
      </c>
      <c r="Q238" s="346" t="s">
        <v>511</v>
      </c>
      <c r="R238" s="345" t="s">
        <v>437</v>
      </c>
    </row>
    <row r="239" spans="1:18" x14ac:dyDescent="0.2">
      <c r="A239" s="345" t="s">
        <v>510</v>
      </c>
      <c r="B239" s="345" t="s">
        <v>343</v>
      </c>
      <c r="C239" s="345" t="s">
        <v>792</v>
      </c>
      <c r="D239" s="345" t="s">
        <v>491</v>
      </c>
      <c r="E239" s="345" t="s">
        <v>430</v>
      </c>
      <c r="F239" s="345" t="s">
        <v>449</v>
      </c>
      <c r="G239" s="345" t="s">
        <v>452</v>
      </c>
      <c r="H239" s="345" t="s">
        <v>453</v>
      </c>
      <c r="I239" s="345">
        <v>0</v>
      </c>
      <c r="J239" s="345">
        <v>0</v>
      </c>
      <c r="K239" s="345">
        <v>0</v>
      </c>
      <c r="L239" s="345">
        <v>0</v>
      </c>
      <c r="M239" s="345">
        <v>0</v>
      </c>
      <c r="N239" s="345">
        <v>0</v>
      </c>
      <c r="O239" s="345">
        <v>0</v>
      </c>
      <c r="P239" s="345">
        <v>0</v>
      </c>
      <c r="Q239" s="346" t="s">
        <v>511</v>
      </c>
      <c r="R239" s="345" t="s">
        <v>437</v>
      </c>
    </row>
    <row r="240" spans="1:18" x14ac:dyDescent="0.2">
      <c r="A240" s="345" t="s">
        <v>510</v>
      </c>
      <c r="B240" s="345" t="s">
        <v>343</v>
      </c>
      <c r="C240" s="345" t="s">
        <v>792</v>
      </c>
      <c r="D240" s="345" t="s">
        <v>491</v>
      </c>
      <c r="E240" s="345" t="s">
        <v>430</v>
      </c>
      <c r="F240" s="345" t="s">
        <v>449</v>
      </c>
      <c r="G240" s="345" t="s">
        <v>454</v>
      </c>
      <c r="H240" s="345" t="s">
        <v>455</v>
      </c>
      <c r="I240" s="345">
        <v>0</v>
      </c>
      <c r="J240" s="345">
        <v>0</v>
      </c>
      <c r="K240" s="345">
        <v>0</v>
      </c>
      <c r="L240" s="345">
        <v>0</v>
      </c>
      <c r="M240" s="345">
        <v>0</v>
      </c>
      <c r="N240" s="345">
        <v>0</v>
      </c>
      <c r="O240" s="345">
        <v>0</v>
      </c>
      <c r="P240" s="345">
        <v>0</v>
      </c>
      <c r="Q240" s="346" t="s">
        <v>511</v>
      </c>
      <c r="R240" s="345" t="s">
        <v>437</v>
      </c>
    </row>
    <row r="241" spans="1:18" x14ac:dyDescent="0.2">
      <c r="A241" s="345" t="s">
        <v>510</v>
      </c>
      <c r="B241" s="345" t="s">
        <v>343</v>
      </c>
      <c r="C241" s="345" t="s">
        <v>792</v>
      </c>
      <c r="D241" s="345" t="s">
        <v>491</v>
      </c>
      <c r="E241" s="345" t="s">
        <v>430</v>
      </c>
      <c r="F241" s="345" t="s">
        <v>456</v>
      </c>
      <c r="G241" s="345" t="s">
        <v>457</v>
      </c>
      <c r="H241" s="345" t="s">
        <v>458</v>
      </c>
      <c r="I241" s="345">
        <v>41</v>
      </c>
      <c r="J241" s="345">
        <v>48</v>
      </c>
      <c r="K241" s="345">
        <v>67</v>
      </c>
      <c r="L241" s="345">
        <v>86</v>
      </c>
      <c r="M241" s="345">
        <v>108</v>
      </c>
      <c r="N241" s="345">
        <v>132</v>
      </c>
      <c r="O241" s="345">
        <v>0</v>
      </c>
      <c r="P241" s="345">
        <v>0</v>
      </c>
      <c r="Q241" s="346" t="s">
        <v>511</v>
      </c>
      <c r="R241" s="345" t="s">
        <v>434</v>
      </c>
    </row>
    <row r="242" spans="1:18" x14ac:dyDescent="0.2">
      <c r="A242" s="345" t="s">
        <v>510</v>
      </c>
      <c r="B242" s="345" t="s">
        <v>343</v>
      </c>
      <c r="C242" s="345" t="s">
        <v>792</v>
      </c>
      <c r="D242" s="345" t="s">
        <v>491</v>
      </c>
      <c r="E242" s="345" t="s">
        <v>430</v>
      </c>
      <c r="F242" s="345" t="s">
        <v>459</v>
      </c>
      <c r="G242" s="345" t="s">
        <v>443</v>
      </c>
      <c r="H242" s="345" t="s">
        <v>460</v>
      </c>
      <c r="I242" s="345">
        <v>5</v>
      </c>
      <c r="J242" s="345">
        <v>5</v>
      </c>
      <c r="K242" s="345">
        <v>5</v>
      </c>
      <c r="L242" s="345">
        <v>5</v>
      </c>
      <c r="M242" s="345">
        <v>5</v>
      </c>
      <c r="N242" s="345">
        <v>5</v>
      </c>
      <c r="O242" s="345">
        <v>0</v>
      </c>
      <c r="P242" s="345">
        <v>0</v>
      </c>
      <c r="Q242" s="346" t="s">
        <v>511</v>
      </c>
      <c r="R242" s="345" t="s">
        <v>434</v>
      </c>
    </row>
    <row r="243" spans="1:18" x14ac:dyDescent="0.2">
      <c r="A243" s="345" t="s">
        <v>510</v>
      </c>
      <c r="B243" s="345" t="s">
        <v>343</v>
      </c>
      <c r="C243" s="345" t="s">
        <v>792</v>
      </c>
      <c r="D243" s="345" t="s">
        <v>491</v>
      </c>
      <c r="E243" s="345" t="s">
        <v>430</v>
      </c>
      <c r="F243" s="345" t="s">
        <v>461</v>
      </c>
      <c r="G243" s="345" t="s">
        <v>443</v>
      </c>
      <c r="H243" s="345" t="s">
        <v>462</v>
      </c>
      <c r="I243" s="345">
        <v>6</v>
      </c>
      <c r="J243" s="345">
        <v>6</v>
      </c>
      <c r="K243" s="345">
        <v>6</v>
      </c>
      <c r="L243" s="345">
        <v>6</v>
      </c>
      <c r="M243" s="345">
        <v>6</v>
      </c>
      <c r="N243" s="345">
        <v>6</v>
      </c>
      <c r="O243" s="345">
        <v>0</v>
      </c>
      <c r="P243" s="345">
        <v>0</v>
      </c>
      <c r="Q243" s="346" t="s">
        <v>511</v>
      </c>
      <c r="R243" s="345" t="s">
        <v>434</v>
      </c>
    </row>
    <row r="244" spans="1:18" x14ac:dyDescent="0.2">
      <c r="A244" s="345" t="s">
        <v>510</v>
      </c>
      <c r="B244" s="345" t="s">
        <v>343</v>
      </c>
      <c r="C244" s="345" t="s">
        <v>792</v>
      </c>
      <c r="D244" s="345" t="s">
        <v>491</v>
      </c>
      <c r="E244" s="345" t="s">
        <v>430</v>
      </c>
      <c r="F244" s="345" t="s">
        <v>463</v>
      </c>
      <c r="G244" s="345" t="s">
        <v>464</v>
      </c>
      <c r="H244" s="345" t="s">
        <v>463</v>
      </c>
      <c r="I244" s="345">
        <v>65</v>
      </c>
      <c r="J244" s="345">
        <v>65</v>
      </c>
      <c r="K244" s="345">
        <v>65</v>
      </c>
      <c r="L244" s="345">
        <v>65</v>
      </c>
      <c r="M244" s="345">
        <v>65</v>
      </c>
      <c r="N244" s="345">
        <v>65</v>
      </c>
      <c r="O244" s="345">
        <v>0</v>
      </c>
      <c r="P244" s="345">
        <v>0</v>
      </c>
      <c r="Q244" s="346" t="s">
        <v>511</v>
      </c>
      <c r="R244" s="345" t="s">
        <v>434</v>
      </c>
    </row>
    <row r="245" spans="1:18" x14ac:dyDescent="0.2">
      <c r="A245" s="345" t="s">
        <v>510</v>
      </c>
      <c r="B245" s="345" t="s">
        <v>343</v>
      </c>
      <c r="C245" s="345" t="s">
        <v>792</v>
      </c>
      <c r="D245" s="345" t="s">
        <v>491</v>
      </c>
      <c r="E245" s="345" t="s">
        <v>430</v>
      </c>
      <c r="F245" s="345" t="s">
        <v>465</v>
      </c>
      <c r="G245" s="345" t="s">
        <v>432</v>
      </c>
      <c r="H245" s="345" t="s">
        <v>466</v>
      </c>
      <c r="I245" s="345">
        <v>24</v>
      </c>
      <c r="J245" s="345">
        <v>29</v>
      </c>
      <c r="K245" s="345">
        <v>33</v>
      </c>
      <c r="L245" s="345">
        <v>37</v>
      </c>
      <c r="M245" s="345">
        <v>40</v>
      </c>
      <c r="N245" s="345">
        <v>43</v>
      </c>
      <c r="O245" s="345">
        <v>0</v>
      </c>
      <c r="P245" s="345">
        <v>0</v>
      </c>
      <c r="Q245" s="346" t="s">
        <v>511</v>
      </c>
      <c r="R245" s="345" t="s">
        <v>434</v>
      </c>
    </row>
    <row r="246" spans="1:18" x14ac:dyDescent="0.2">
      <c r="A246" s="345" t="s">
        <v>510</v>
      </c>
      <c r="B246" s="345" t="s">
        <v>343</v>
      </c>
      <c r="C246" s="345" t="s">
        <v>792</v>
      </c>
      <c r="D246" s="345" t="s">
        <v>491</v>
      </c>
      <c r="E246" s="345" t="s">
        <v>430</v>
      </c>
      <c r="F246" s="345" t="s">
        <v>465</v>
      </c>
      <c r="G246" s="345" t="s">
        <v>467</v>
      </c>
      <c r="H246" s="345" t="s">
        <v>468</v>
      </c>
      <c r="I246" s="345">
        <v>0</v>
      </c>
      <c r="J246" s="345">
        <v>0</v>
      </c>
      <c r="K246" s="345">
        <v>0</v>
      </c>
      <c r="L246" s="345">
        <v>0</v>
      </c>
      <c r="M246" s="345">
        <v>0</v>
      </c>
      <c r="N246" s="345">
        <v>0</v>
      </c>
      <c r="O246" s="345">
        <v>0</v>
      </c>
      <c r="P246" s="345">
        <v>0</v>
      </c>
      <c r="Q246" s="346" t="s">
        <v>511</v>
      </c>
      <c r="R246" s="345" t="s">
        <v>437</v>
      </c>
    </row>
    <row r="247" spans="1:18" x14ac:dyDescent="0.2">
      <c r="A247" s="345" t="s">
        <v>510</v>
      </c>
      <c r="B247" s="345" t="s">
        <v>343</v>
      </c>
      <c r="C247" s="345" t="s">
        <v>792</v>
      </c>
      <c r="D247" s="345" t="s">
        <v>491</v>
      </c>
      <c r="E247" s="345" t="s">
        <v>430</v>
      </c>
      <c r="F247" s="345" t="s">
        <v>465</v>
      </c>
      <c r="G247" s="345" t="s">
        <v>440</v>
      </c>
      <c r="H247" s="345" t="s">
        <v>469</v>
      </c>
      <c r="I247" s="345">
        <v>21</v>
      </c>
      <c r="J247" s="345">
        <v>24</v>
      </c>
      <c r="K247" s="345">
        <v>27</v>
      </c>
      <c r="L247" s="345">
        <v>30</v>
      </c>
      <c r="M247" s="345">
        <v>31</v>
      </c>
      <c r="N247" s="345">
        <v>31</v>
      </c>
      <c r="O247" s="345">
        <v>0</v>
      </c>
      <c r="P247" s="345">
        <v>0</v>
      </c>
      <c r="Q247" s="346" t="s">
        <v>511</v>
      </c>
      <c r="R247" s="345" t="s">
        <v>434</v>
      </c>
    </row>
    <row r="248" spans="1:18" x14ac:dyDescent="0.2">
      <c r="A248" s="345" t="s">
        <v>510</v>
      </c>
      <c r="B248" s="345" t="s">
        <v>343</v>
      </c>
      <c r="C248" s="345" t="s">
        <v>792</v>
      </c>
      <c r="D248" s="345" t="s">
        <v>491</v>
      </c>
      <c r="E248" s="345" t="s">
        <v>430</v>
      </c>
      <c r="F248" s="345" t="s">
        <v>465</v>
      </c>
      <c r="G248" s="345" t="s">
        <v>470</v>
      </c>
      <c r="H248" s="345" t="s">
        <v>471</v>
      </c>
      <c r="I248" s="345">
        <v>0</v>
      </c>
      <c r="J248" s="345">
        <v>0</v>
      </c>
      <c r="K248" s="345">
        <v>0</v>
      </c>
      <c r="L248" s="345">
        <v>0</v>
      </c>
      <c r="M248" s="345">
        <v>0</v>
      </c>
      <c r="N248" s="345">
        <v>0</v>
      </c>
      <c r="O248" s="345">
        <v>0</v>
      </c>
      <c r="P248" s="345">
        <v>0</v>
      </c>
      <c r="Q248" s="346" t="s">
        <v>511</v>
      </c>
      <c r="R248" s="345" t="s">
        <v>437</v>
      </c>
    </row>
    <row r="249" spans="1:18" x14ac:dyDescent="0.2">
      <c r="A249" s="345" t="s">
        <v>510</v>
      </c>
      <c r="B249" s="345" t="s">
        <v>343</v>
      </c>
      <c r="C249" s="345" t="s">
        <v>792</v>
      </c>
      <c r="D249" s="345" t="s">
        <v>491</v>
      </c>
      <c r="E249" s="345" t="s">
        <v>430</v>
      </c>
      <c r="F249" s="345" t="s">
        <v>465</v>
      </c>
      <c r="G249" s="345" t="s">
        <v>472</v>
      </c>
      <c r="H249" s="345" t="s">
        <v>473</v>
      </c>
      <c r="I249" s="345">
        <v>0</v>
      </c>
      <c r="J249" s="345">
        <v>0</v>
      </c>
      <c r="K249" s="345">
        <v>0</v>
      </c>
      <c r="L249" s="345">
        <v>0</v>
      </c>
      <c r="M249" s="345">
        <v>0</v>
      </c>
      <c r="N249" s="345">
        <v>0</v>
      </c>
      <c r="O249" s="345">
        <v>0</v>
      </c>
      <c r="P249" s="345">
        <v>0</v>
      </c>
      <c r="Q249" s="346" t="s">
        <v>511</v>
      </c>
      <c r="R249" s="345" t="s">
        <v>437</v>
      </c>
    </row>
    <row r="250" spans="1:18" x14ac:dyDescent="0.2">
      <c r="A250" s="345" t="s">
        <v>510</v>
      </c>
      <c r="B250" s="345" t="s">
        <v>343</v>
      </c>
      <c r="C250" s="345" t="s">
        <v>792</v>
      </c>
      <c r="D250" s="345" t="s">
        <v>491</v>
      </c>
      <c r="E250" s="345" t="s">
        <v>430</v>
      </c>
      <c r="F250" s="345" t="s">
        <v>474</v>
      </c>
      <c r="G250" s="345" t="s">
        <v>464</v>
      </c>
      <c r="H250" s="345" t="s">
        <v>474</v>
      </c>
      <c r="I250" s="345">
        <v>33</v>
      </c>
      <c r="J250" s="345">
        <v>33</v>
      </c>
      <c r="K250" s="345">
        <v>39</v>
      </c>
      <c r="L250" s="345">
        <v>39</v>
      </c>
      <c r="M250" s="345">
        <v>44</v>
      </c>
      <c r="N250" s="345">
        <v>44</v>
      </c>
      <c r="O250" s="345">
        <v>0</v>
      </c>
      <c r="P250" s="345">
        <v>0</v>
      </c>
      <c r="Q250" s="345" t="s">
        <v>511</v>
      </c>
      <c r="R250" s="345" t="s">
        <v>434</v>
      </c>
    </row>
    <row r="251" spans="1:18" x14ac:dyDescent="0.2">
      <c r="A251" s="345" t="s">
        <v>510</v>
      </c>
      <c r="B251" s="345" t="s">
        <v>343</v>
      </c>
      <c r="C251" s="345" t="s">
        <v>792</v>
      </c>
      <c r="D251" s="345" t="s">
        <v>491</v>
      </c>
      <c r="E251" s="345" t="s">
        <v>430</v>
      </c>
      <c r="F251" s="345" t="s">
        <v>475</v>
      </c>
      <c r="G251" s="345" t="s">
        <v>443</v>
      </c>
      <c r="H251" s="345" t="s">
        <v>476</v>
      </c>
      <c r="I251" s="345">
        <v>0</v>
      </c>
      <c r="J251" s="345">
        <v>0</v>
      </c>
      <c r="K251" s="345">
        <v>0</v>
      </c>
      <c r="L251" s="345">
        <v>0</v>
      </c>
      <c r="M251" s="345">
        <v>0</v>
      </c>
      <c r="N251" s="345">
        <v>0</v>
      </c>
      <c r="O251" s="345">
        <v>0</v>
      </c>
      <c r="P251" s="345">
        <v>0</v>
      </c>
      <c r="Q251" s="345" t="s">
        <v>511</v>
      </c>
      <c r="R251" s="345" t="s">
        <v>437</v>
      </c>
    </row>
    <row r="252" spans="1:18" x14ac:dyDescent="0.2">
      <c r="A252" s="345" t="s">
        <v>510</v>
      </c>
      <c r="B252" s="345" t="s">
        <v>343</v>
      </c>
      <c r="C252" s="345" t="s">
        <v>792</v>
      </c>
      <c r="D252" s="345" t="s">
        <v>491</v>
      </c>
      <c r="E252" s="345" t="s">
        <v>430</v>
      </c>
      <c r="F252" s="345" t="s">
        <v>477</v>
      </c>
      <c r="G252" s="345" t="s">
        <v>464</v>
      </c>
      <c r="H252" s="345" t="s">
        <v>477</v>
      </c>
      <c r="I252" s="345">
        <v>114</v>
      </c>
      <c r="J252" s="345">
        <v>123</v>
      </c>
      <c r="K252" s="345">
        <v>189</v>
      </c>
      <c r="L252" s="345">
        <v>286</v>
      </c>
      <c r="M252" s="345">
        <v>398</v>
      </c>
      <c r="N252" s="345">
        <v>520</v>
      </c>
      <c r="O252" s="345">
        <v>0</v>
      </c>
      <c r="P252" s="345">
        <v>0</v>
      </c>
      <c r="Q252" s="345" t="s">
        <v>511</v>
      </c>
      <c r="R252" s="345" t="s">
        <v>434</v>
      </c>
    </row>
    <row r="253" spans="1:18" x14ac:dyDescent="0.2">
      <c r="A253" s="345" t="s">
        <v>510</v>
      </c>
      <c r="B253" s="345" t="s">
        <v>343</v>
      </c>
      <c r="C253" s="345" t="s">
        <v>792</v>
      </c>
      <c r="D253" s="345" t="s">
        <v>491</v>
      </c>
      <c r="E253" s="345" t="s">
        <v>430</v>
      </c>
      <c r="F253" s="345" t="s">
        <v>478</v>
      </c>
      <c r="G253" s="345" t="s">
        <v>432</v>
      </c>
      <c r="H253" s="345" t="s">
        <v>479</v>
      </c>
      <c r="I253" s="345">
        <v>24</v>
      </c>
      <c r="J253" s="345">
        <v>29</v>
      </c>
      <c r="K253" s="345">
        <v>45</v>
      </c>
      <c r="L253" s="345">
        <v>56</v>
      </c>
      <c r="M253" s="345">
        <v>66</v>
      </c>
      <c r="N253" s="345">
        <v>76</v>
      </c>
      <c r="O253" s="345">
        <v>0</v>
      </c>
      <c r="P253" s="345">
        <v>0</v>
      </c>
      <c r="Q253" s="345" t="s">
        <v>511</v>
      </c>
      <c r="R253" s="345" t="s">
        <v>434</v>
      </c>
    </row>
    <row r="254" spans="1:18" x14ac:dyDescent="0.2">
      <c r="A254" s="345" t="s">
        <v>510</v>
      </c>
      <c r="B254" s="345" t="s">
        <v>343</v>
      </c>
      <c r="C254" s="345" t="s">
        <v>792</v>
      </c>
      <c r="D254" s="345" t="s">
        <v>491</v>
      </c>
      <c r="E254" s="345" t="s">
        <v>430</v>
      </c>
      <c r="F254" s="345" t="s">
        <v>478</v>
      </c>
      <c r="G254" s="345" t="s">
        <v>440</v>
      </c>
      <c r="H254" s="345" t="s">
        <v>480</v>
      </c>
      <c r="I254" s="345">
        <v>11</v>
      </c>
      <c r="J254" s="345">
        <v>13</v>
      </c>
      <c r="K254" s="345">
        <v>19</v>
      </c>
      <c r="L254" s="345">
        <v>26</v>
      </c>
      <c r="M254" s="345">
        <v>32</v>
      </c>
      <c r="N254" s="345">
        <v>38</v>
      </c>
      <c r="O254" s="345">
        <v>0</v>
      </c>
      <c r="P254" s="345">
        <v>0</v>
      </c>
      <c r="Q254" s="345" t="s">
        <v>511</v>
      </c>
      <c r="R254" s="345" t="s">
        <v>434</v>
      </c>
    </row>
    <row r="255" spans="1:18" x14ac:dyDescent="0.2">
      <c r="A255" s="345" t="s">
        <v>510</v>
      </c>
      <c r="B255" s="345" t="s">
        <v>343</v>
      </c>
      <c r="C255" s="345" t="s">
        <v>792</v>
      </c>
      <c r="D255" s="345" t="s">
        <v>491</v>
      </c>
      <c r="E255" s="345" t="s">
        <v>430</v>
      </c>
      <c r="F255" s="345" t="s">
        <v>478</v>
      </c>
      <c r="G255" s="345" t="s">
        <v>470</v>
      </c>
      <c r="H255" s="345" t="s">
        <v>481</v>
      </c>
      <c r="I255" s="345">
        <v>0</v>
      </c>
      <c r="J255" s="345">
        <v>0</v>
      </c>
      <c r="K255" s="345">
        <v>0</v>
      </c>
      <c r="L255" s="345">
        <v>0</v>
      </c>
      <c r="M255" s="345">
        <v>0</v>
      </c>
      <c r="N255" s="345">
        <v>0</v>
      </c>
      <c r="O255" s="345">
        <v>0</v>
      </c>
      <c r="P255" s="345">
        <v>0</v>
      </c>
      <c r="Q255" s="345" t="s">
        <v>511</v>
      </c>
      <c r="R255" s="345" t="s">
        <v>437</v>
      </c>
    </row>
    <row r="256" spans="1:18" x14ac:dyDescent="0.2">
      <c r="A256" s="345" t="s">
        <v>488</v>
      </c>
      <c r="B256" s="345" t="s">
        <v>489</v>
      </c>
      <c r="C256" s="345" t="s">
        <v>490</v>
      </c>
      <c r="D256" s="345" t="s">
        <v>491</v>
      </c>
      <c r="E256" s="345" t="s">
        <v>430</v>
      </c>
      <c r="F256" s="345" t="s">
        <v>465</v>
      </c>
      <c r="G256" s="345" t="s">
        <v>440</v>
      </c>
      <c r="H256" s="345" t="s">
        <v>469</v>
      </c>
      <c r="I256" s="345">
        <v>10</v>
      </c>
      <c r="J256" s="345">
        <v>14</v>
      </c>
      <c r="K256" s="345">
        <v>18</v>
      </c>
      <c r="L256" s="345">
        <v>23</v>
      </c>
      <c r="M256" s="345">
        <v>31</v>
      </c>
      <c r="N256" s="345">
        <v>36</v>
      </c>
      <c r="O256" s="345">
        <v>42</v>
      </c>
      <c r="P256" s="345">
        <v>48</v>
      </c>
      <c r="Q256" s="345" t="s">
        <v>516</v>
      </c>
      <c r="R256" s="345" t="s">
        <v>434</v>
      </c>
    </row>
    <row r="257" spans="1:18" x14ac:dyDescent="0.2">
      <c r="A257" s="345" t="s">
        <v>488</v>
      </c>
      <c r="B257" s="345" t="s">
        <v>489</v>
      </c>
      <c r="C257" s="345" t="s">
        <v>490</v>
      </c>
      <c r="D257" s="345" t="s">
        <v>491</v>
      </c>
      <c r="E257" s="345" t="s">
        <v>430</v>
      </c>
      <c r="F257" s="345" t="s">
        <v>465</v>
      </c>
      <c r="G257" s="345" t="s">
        <v>432</v>
      </c>
      <c r="H257" s="345" t="s">
        <v>466</v>
      </c>
      <c r="I257" s="345">
        <v>21</v>
      </c>
      <c r="J257" s="345">
        <v>31</v>
      </c>
      <c r="K257" s="345">
        <v>40</v>
      </c>
      <c r="L257" s="345">
        <v>50</v>
      </c>
      <c r="M257" s="345">
        <v>67</v>
      </c>
      <c r="N257" s="345">
        <v>78</v>
      </c>
      <c r="O257" s="345">
        <v>87</v>
      </c>
      <c r="P257" s="345">
        <v>99</v>
      </c>
      <c r="Q257" s="345" t="s">
        <v>516</v>
      </c>
      <c r="R257" s="345" t="s">
        <v>434</v>
      </c>
    </row>
    <row r="258" spans="1:18" x14ac:dyDescent="0.2">
      <c r="A258" s="345" t="s">
        <v>488</v>
      </c>
      <c r="B258" s="345" t="s">
        <v>489</v>
      </c>
      <c r="C258" s="345" t="s">
        <v>490</v>
      </c>
      <c r="D258" s="345" t="s">
        <v>491</v>
      </c>
      <c r="E258" s="345" t="s">
        <v>430</v>
      </c>
      <c r="F258" s="345" t="s">
        <v>438</v>
      </c>
      <c r="G258" s="345" t="s">
        <v>440</v>
      </c>
      <c r="H258" s="345" t="s">
        <v>441</v>
      </c>
      <c r="I258" s="345">
        <v>6</v>
      </c>
      <c r="J258" s="345">
        <v>8</v>
      </c>
      <c r="K258" s="345">
        <v>10</v>
      </c>
      <c r="L258" s="345">
        <v>13</v>
      </c>
      <c r="M258" s="345">
        <v>16</v>
      </c>
      <c r="N258" s="345">
        <v>18</v>
      </c>
      <c r="O258" s="345">
        <v>21</v>
      </c>
      <c r="P258" s="345">
        <v>24</v>
      </c>
      <c r="Q258" s="345" t="s">
        <v>516</v>
      </c>
      <c r="R258" s="345" t="s">
        <v>434</v>
      </c>
    </row>
    <row r="259" spans="1:18" x14ac:dyDescent="0.2">
      <c r="A259" s="345" t="s">
        <v>488</v>
      </c>
      <c r="B259" s="345" t="s">
        <v>489</v>
      </c>
      <c r="C259" s="345" t="s">
        <v>490</v>
      </c>
      <c r="D259" s="345" t="s">
        <v>491</v>
      </c>
      <c r="E259" s="345" t="s">
        <v>430</v>
      </c>
      <c r="F259" s="345" t="s">
        <v>438</v>
      </c>
      <c r="G259" s="345" t="s">
        <v>432</v>
      </c>
      <c r="H259" s="345" t="s">
        <v>439</v>
      </c>
      <c r="I259" s="345">
        <v>11</v>
      </c>
      <c r="J259" s="345">
        <v>16</v>
      </c>
      <c r="K259" s="345">
        <v>21</v>
      </c>
      <c r="L259" s="345">
        <v>25</v>
      </c>
      <c r="M259" s="345">
        <v>32</v>
      </c>
      <c r="N259" s="345">
        <v>36</v>
      </c>
      <c r="O259" s="345">
        <v>41</v>
      </c>
      <c r="P259" s="345">
        <v>46</v>
      </c>
      <c r="Q259" s="345" t="s">
        <v>516</v>
      </c>
      <c r="R259" s="345" t="s">
        <v>434</v>
      </c>
    </row>
    <row r="260" spans="1:18" x14ac:dyDescent="0.2">
      <c r="A260" s="345" t="s">
        <v>488</v>
      </c>
      <c r="B260" s="345" t="s">
        <v>489</v>
      </c>
      <c r="C260" s="345" t="s">
        <v>490</v>
      </c>
      <c r="D260" s="345" t="s">
        <v>491</v>
      </c>
      <c r="E260" s="345" t="s">
        <v>430</v>
      </c>
      <c r="F260" s="345" t="s">
        <v>478</v>
      </c>
      <c r="G260" s="345" t="s">
        <v>440</v>
      </c>
      <c r="H260" s="345" t="s">
        <v>480</v>
      </c>
      <c r="I260" s="345">
        <v>9</v>
      </c>
      <c r="J260" s="345">
        <v>13</v>
      </c>
      <c r="K260" s="345">
        <v>17</v>
      </c>
      <c r="L260" s="345">
        <v>21</v>
      </c>
      <c r="M260" s="345">
        <v>29</v>
      </c>
      <c r="N260" s="345">
        <v>36</v>
      </c>
      <c r="O260" s="345">
        <v>42</v>
      </c>
      <c r="P260" s="345">
        <v>48</v>
      </c>
      <c r="Q260" s="345" t="s">
        <v>516</v>
      </c>
      <c r="R260" s="345" t="s">
        <v>434</v>
      </c>
    </row>
    <row r="261" spans="1:18" x14ac:dyDescent="0.2">
      <c r="A261" s="345" t="s">
        <v>488</v>
      </c>
      <c r="B261" s="345" t="s">
        <v>489</v>
      </c>
      <c r="C261" s="345" t="s">
        <v>490</v>
      </c>
      <c r="D261" s="345" t="s">
        <v>491</v>
      </c>
      <c r="E261" s="345" t="s">
        <v>430</v>
      </c>
      <c r="F261" s="345" t="s">
        <v>478</v>
      </c>
      <c r="G261" s="345" t="s">
        <v>432</v>
      </c>
      <c r="H261" s="345" t="s">
        <v>479</v>
      </c>
      <c r="I261" s="345">
        <v>22</v>
      </c>
      <c r="J261" s="345">
        <v>31</v>
      </c>
      <c r="K261" s="345">
        <v>40</v>
      </c>
      <c r="L261" s="345">
        <v>49</v>
      </c>
      <c r="M261" s="345">
        <v>62</v>
      </c>
      <c r="N261" s="345">
        <v>71</v>
      </c>
      <c r="O261" s="345">
        <v>80</v>
      </c>
      <c r="P261" s="345">
        <v>88</v>
      </c>
      <c r="Q261" s="345" t="s">
        <v>516</v>
      </c>
      <c r="R261" s="345" t="s">
        <v>434</v>
      </c>
    </row>
    <row r="262" spans="1:18" x14ac:dyDescent="0.2">
      <c r="A262" s="345" t="s">
        <v>488</v>
      </c>
      <c r="B262" s="345" t="s">
        <v>489</v>
      </c>
      <c r="C262" s="345" t="s">
        <v>490</v>
      </c>
      <c r="D262" s="345" t="s">
        <v>491</v>
      </c>
      <c r="E262" s="345" t="s">
        <v>430</v>
      </c>
      <c r="F262" s="345" t="s">
        <v>456</v>
      </c>
      <c r="G262" s="345" t="s">
        <v>457</v>
      </c>
      <c r="H262" s="345" t="s">
        <v>458</v>
      </c>
      <c r="I262" s="345">
        <v>38</v>
      </c>
      <c r="J262" s="345">
        <v>46</v>
      </c>
      <c r="K262" s="345">
        <v>55</v>
      </c>
      <c r="L262" s="345">
        <v>67</v>
      </c>
      <c r="M262" s="345">
        <v>77</v>
      </c>
      <c r="N262" s="345">
        <v>91</v>
      </c>
      <c r="O262" s="345">
        <v>103</v>
      </c>
      <c r="P262" s="345">
        <v>116</v>
      </c>
      <c r="Q262" s="345" t="s">
        <v>516</v>
      </c>
      <c r="R262" s="345" t="s">
        <v>434</v>
      </c>
    </row>
    <row r="263" spans="1:18" x14ac:dyDescent="0.2">
      <c r="A263" s="345" t="s">
        <v>488</v>
      </c>
      <c r="B263" s="345" t="s">
        <v>489</v>
      </c>
      <c r="C263" s="345" t="s">
        <v>490</v>
      </c>
      <c r="D263" s="345" t="s">
        <v>491</v>
      </c>
      <c r="E263" s="345" t="s">
        <v>430</v>
      </c>
      <c r="F263" s="345" t="s">
        <v>477</v>
      </c>
      <c r="G263" s="345" t="s">
        <v>464</v>
      </c>
      <c r="H263" s="345" t="s">
        <v>477</v>
      </c>
      <c r="I263" s="345">
        <v>84</v>
      </c>
      <c r="J263" s="345">
        <v>92</v>
      </c>
      <c r="K263" s="345">
        <v>100</v>
      </c>
      <c r="L263" s="345">
        <v>116</v>
      </c>
      <c r="M263" s="345">
        <v>132</v>
      </c>
      <c r="N263" s="345">
        <v>148</v>
      </c>
      <c r="O263" s="345">
        <v>164</v>
      </c>
      <c r="P263" s="345">
        <v>180</v>
      </c>
      <c r="Q263" s="345" t="s">
        <v>516</v>
      </c>
      <c r="R263" s="345" t="s">
        <v>434</v>
      </c>
    </row>
    <row r="264" spans="1:18" x14ac:dyDescent="0.2">
      <c r="A264" s="345" t="s">
        <v>488</v>
      </c>
      <c r="B264" s="345" t="s">
        <v>489</v>
      </c>
      <c r="C264" s="345" t="s">
        <v>490</v>
      </c>
      <c r="D264" s="345" t="s">
        <v>491</v>
      </c>
      <c r="E264" s="345" t="s">
        <v>430</v>
      </c>
      <c r="F264" s="345" t="s">
        <v>474</v>
      </c>
      <c r="G264" s="345" t="s">
        <v>464</v>
      </c>
      <c r="H264" s="345" t="s">
        <v>474</v>
      </c>
      <c r="I264" s="345">
        <v>46</v>
      </c>
      <c r="J264" s="345">
        <v>46</v>
      </c>
      <c r="K264" s="345">
        <v>46</v>
      </c>
      <c r="L264" s="345">
        <v>46</v>
      </c>
      <c r="M264" s="345">
        <v>46</v>
      </c>
      <c r="N264" s="345">
        <v>46</v>
      </c>
      <c r="O264" s="345">
        <v>46</v>
      </c>
      <c r="P264" s="345">
        <v>46</v>
      </c>
      <c r="Q264" s="345" t="s">
        <v>516</v>
      </c>
      <c r="R264" s="345" t="s">
        <v>434</v>
      </c>
    </row>
    <row r="265" spans="1:18" x14ac:dyDescent="0.2">
      <c r="A265" s="345" t="s">
        <v>488</v>
      </c>
      <c r="B265" s="345" t="s">
        <v>489</v>
      </c>
      <c r="C265" s="345" t="s">
        <v>490</v>
      </c>
      <c r="D265" s="345" t="s">
        <v>491</v>
      </c>
      <c r="E265" s="345" t="s">
        <v>430</v>
      </c>
      <c r="F265" s="345" t="s">
        <v>431</v>
      </c>
      <c r="G265" s="345" t="s">
        <v>432</v>
      </c>
      <c r="H265" s="345" t="s">
        <v>433</v>
      </c>
      <c r="I265" s="345">
        <v>15</v>
      </c>
      <c r="J265" s="345">
        <v>21</v>
      </c>
      <c r="K265" s="345">
        <v>27</v>
      </c>
      <c r="L265" s="345">
        <v>33</v>
      </c>
      <c r="M265" s="345">
        <v>44</v>
      </c>
      <c r="N265" s="345">
        <v>52</v>
      </c>
      <c r="O265" s="345">
        <v>59</v>
      </c>
      <c r="P265" s="345">
        <v>67</v>
      </c>
      <c r="Q265" s="345" t="s">
        <v>516</v>
      </c>
      <c r="R265" s="345" t="s">
        <v>434</v>
      </c>
    </row>
    <row r="266" spans="1:18" x14ac:dyDescent="0.2">
      <c r="A266" s="345" t="s">
        <v>488</v>
      </c>
      <c r="B266" s="345" t="s">
        <v>489</v>
      </c>
      <c r="C266" s="345" t="s">
        <v>490</v>
      </c>
      <c r="D266" s="345" t="s">
        <v>491</v>
      </c>
      <c r="E266" s="345" t="s">
        <v>430</v>
      </c>
      <c r="F266" s="345" t="s">
        <v>459</v>
      </c>
      <c r="G266" s="345" t="s">
        <v>443</v>
      </c>
      <c r="H266" s="345" t="s">
        <v>460</v>
      </c>
      <c r="I266" s="345">
        <v>9</v>
      </c>
      <c r="J266" s="345">
        <v>9</v>
      </c>
      <c r="K266" s="345">
        <v>9</v>
      </c>
      <c r="L266" s="345">
        <v>9</v>
      </c>
      <c r="M266" s="345">
        <v>9</v>
      </c>
      <c r="N266" s="345">
        <v>9</v>
      </c>
      <c r="O266" s="345">
        <v>9</v>
      </c>
      <c r="P266" s="345">
        <v>9</v>
      </c>
      <c r="Q266" s="345" t="s">
        <v>516</v>
      </c>
      <c r="R266" s="345" t="s">
        <v>434</v>
      </c>
    </row>
    <row r="267" spans="1:18" x14ac:dyDescent="0.2">
      <c r="A267" s="345" t="s">
        <v>488</v>
      </c>
      <c r="B267" s="345" t="s">
        <v>489</v>
      </c>
      <c r="C267" s="345" t="s">
        <v>490</v>
      </c>
      <c r="D267" s="345" t="s">
        <v>491</v>
      </c>
      <c r="E267" s="345" t="s">
        <v>430</v>
      </c>
      <c r="F267" s="345" t="s">
        <v>461</v>
      </c>
      <c r="G267" s="345" t="s">
        <v>443</v>
      </c>
      <c r="H267" s="345" t="s">
        <v>462</v>
      </c>
      <c r="I267" s="345">
        <v>8</v>
      </c>
      <c r="J267" s="345">
        <v>8</v>
      </c>
      <c r="K267" s="345">
        <v>8</v>
      </c>
      <c r="L267" s="345">
        <v>8</v>
      </c>
      <c r="M267" s="345">
        <v>8</v>
      </c>
      <c r="N267" s="345">
        <v>8</v>
      </c>
      <c r="O267" s="345">
        <v>8</v>
      </c>
      <c r="P267" s="345">
        <v>8</v>
      </c>
      <c r="Q267" s="345" t="s">
        <v>516</v>
      </c>
      <c r="R267" s="345" t="s">
        <v>434</v>
      </c>
    </row>
    <row r="268" spans="1:18" x14ac:dyDescent="0.2">
      <c r="A268" s="345" t="s">
        <v>488</v>
      </c>
      <c r="B268" s="345" t="s">
        <v>489</v>
      </c>
      <c r="C268" s="345" t="s">
        <v>490</v>
      </c>
      <c r="D268" s="345" t="s">
        <v>517</v>
      </c>
      <c r="E268" s="345" t="s">
        <v>483</v>
      </c>
      <c r="F268" s="345" t="s">
        <v>465</v>
      </c>
      <c r="G268" s="345" t="s">
        <v>432</v>
      </c>
      <c r="H268" s="345" t="s">
        <v>466</v>
      </c>
      <c r="I268" s="345">
        <v>25</v>
      </c>
      <c r="J268" s="345">
        <v>35</v>
      </c>
      <c r="K268" s="345">
        <v>45</v>
      </c>
      <c r="L268" s="345">
        <v>58</v>
      </c>
      <c r="M268" s="345">
        <v>77</v>
      </c>
      <c r="N268" s="345">
        <v>90</v>
      </c>
      <c r="O268" s="345">
        <v>103</v>
      </c>
      <c r="P268" s="345">
        <v>117</v>
      </c>
      <c r="Q268" s="345" t="s">
        <v>518</v>
      </c>
      <c r="R268" s="345" t="s">
        <v>434</v>
      </c>
    </row>
    <row r="269" spans="1:18" x14ac:dyDescent="0.2">
      <c r="A269" s="345" t="s">
        <v>488</v>
      </c>
      <c r="B269" s="345" t="s">
        <v>489</v>
      </c>
      <c r="C269" s="345" t="s">
        <v>490</v>
      </c>
      <c r="D269" s="345" t="s">
        <v>517</v>
      </c>
      <c r="E269" s="345" t="s">
        <v>483</v>
      </c>
      <c r="F269" s="345" t="s">
        <v>438</v>
      </c>
      <c r="G269" s="345" t="s">
        <v>432</v>
      </c>
      <c r="H269" s="345" t="s">
        <v>439</v>
      </c>
      <c r="I269" s="345">
        <v>10</v>
      </c>
      <c r="J269" s="345">
        <v>14</v>
      </c>
      <c r="K269" s="345">
        <v>19</v>
      </c>
      <c r="L269" s="345">
        <v>23</v>
      </c>
      <c r="M269" s="345">
        <v>29</v>
      </c>
      <c r="N269" s="345">
        <v>33</v>
      </c>
      <c r="O269" s="345">
        <v>37</v>
      </c>
      <c r="P269" s="345">
        <v>41</v>
      </c>
      <c r="Q269" s="345" t="s">
        <v>518</v>
      </c>
      <c r="R269" s="345" t="s">
        <v>434</v>
      </c>
    </row>
    <row r="270" spans="1:18" x14ac:dyDescent="0.2">
      <c r="A270" s="345" t="s">
        <v>488</v>
      </c>
      <c r="B270" s="345" t="s">
        <v>489</v>
      </c>
      <c r="C270" s="345" t="s">
        <v>490</v>
      </c>
      <c r="D270" s="345" t="s">
        <v>517</v>
      </c>
      <c r="E270" s="345" t="s">
        <v>483</v>
      </c>
      <c r="F270" s="345" t="s">
        <v>478</v>
      </c>
      <c r="G270" s="345" t="s">
        <v>432</v>
      </c>
      <c r="H270" s="345" t="s">
        <v>479</v>
      </c>
      <c r="I270" s="345">
        <v>19</v>
      </c>
      <c r="J270" s="345">
        <v>27</v>
      </c>
      <c r="K270" s="345">
        <v>35</v>
      </c>
      <c r="L270" s="345">
        <v>43</v>
      </c>
      <c r="M270" s="345">
        <v>54</v>
      </c>
      <c r="N270" s="345">
        <v>62</v>
      </c>
      <c r="O270" s="345">
        <v>71</v>
      </c>
      <c r="P270" s="345">
        <v>79</v>
      </c>
      <c r="Q270" s="345" t="s">
        <v>518</v>
      </c>
      <c r="R270" s="345" t="s">
        <v>434</v>
      </c>
    </row>
    <row r="271" spans="1:18" x14ac:dyDescent="0.2">
      <c r="A271" s="345" t="s">
        <v>488</v>
      </c>
      <c r="B271" s="345" t="s">
        <v>489</v>
      </c>
      <c r="C271" s="345" t="s">
        <v>490</v>
      </c>
      <c r="D271" s="345" t="s">
        <v>517</v>
      </c>
      <c r="E271" s="345" t="s">
        <v>483</v>
      </c>
      <c r="F271" s="345" t="s">
        <v>456</v>
      </c>
      <c r="G271" s="345" t="s">
        <v>457</v>
      </c>
      <c r="H271" s="345" t="s">
        <v>458</v>
      </c>
      <c r="I271" s="345">
        <v>38</v>
      </c>
      <c r="J271" s="345">
        <v>46</v>
      </c>
      <c r="K271" s="345">
        <v>55</v>
      </c>
      <c r="L271" s="345">
        <v>67</v>
      </c>
      <c r="M271" s="345">
        <v>77</v>
      </c>
      <c r="N271" s="345">
        <v>91</v>
      </c>
      <c r="O271" s="345">
        <v>103</v>
      </c>
      <c r="P271" s="345">
        <v>116</v>
      </c>
      <c r="Q271" s="345" t="s">
        <v>518</v>
      </c>
      <c r="R271" s="345" t="s">
        <v>434</v>
      </c>
    </row>
    <row r="272" spans="1:18" x14ac:dyDescent="0.2">
      <c r="A272" s="345" t="s">
        <v>488</v>
      </c>
      <c r="B272" s="345" t="s">
        <v>489</v>
      </c>
      <c r="C272" s="345" t="s">
        <v>490</v>
      </c>
      <c r="D272" s="345" t="s">
        <v>517</v>
      </c>
      <c r="E272" s="345" t="s">
        <v>483</v>
      </c>
      <c r="F272" s="345" t="s">
        <v>477</v>
      </c>
      <c r="G272" s="345" t="s">
        <v>464</v>
      </c>
      <c r="H272" s="345" t="s">
        <v>477</v>
      </c>
      <c r="I272" s="345">
        <v>31</v>
      </c>
      <c r="J272" s="345">
        <v>40</v>
      </c>
      <c r="K272" s="345">
        <v>50</v>
      </c>
      <c r="L272" s="345">
        <v>68</v>
      </c>
      <c r="M272" s="345">
        <v>86</v>
      </c>
      <c r="N272" s="345">
        <v>105</v>
      </c>
      <c r="O272" s="345">
        <v>123</v>
      </c>
      <c r="P272" s="345">
        <v>141</v>
      </c>
      <c r="Q272" s="345" t="s">
        <v>518</v>
      </c>
      <c r="R272" s="345" t="s">
        <v>434</v>
      </c>
    </row>
    <row r="273" spans="1:18" x14ac:dyDescent="0.2">
      <c r="A273" s="345" t="s">
        <v>488</v>
      </c>
      <c r="B273" s="345" t="s">
        <v>489</v>
      </c>
      <c r="C273" s="345" t="s">
        <v>490</v>
      </c>
      <c r="D273" s="345" t="s">
        <v>517</v>
      </c>
      <c r="E273" s="345" t="s">
        <v>483</v>
      </c>
      <c r="F273" s="345" t="s">
        <v>474</v>
      </c>
      <c r="G273" s="345" t="s">
        <v>464</v>
      </c>
      <c r="H273" s="345" t="s">
        <v>474</v>
      </c>
      <c r="I273" s="345">
        <v>46</v>
      </c>
      <c r="J273" s="345">
        <v>46</v>
      </c>
      <c r="K273" s="345">
        <v>46</v>
      </c>
      <c r="L273" s="345">
        <v>46</v>
      </c>
      <c r="M273" s="345">
        <v>46</v>
      </c>
      <c r="N273" s="345">
        <v>46</v>
      </c>
      <c r="O273" s="345">
        <v>46</v>
      </c>
      <c r="P273" s="345">
        <v>46</v>
      </c>
      <c r="Q273" s="345" t="s">
        <v>518</v>
      </c>
      <c r="R273" s="345" t="s">
        <v>434</v>
      </c>
    </row>
    <row r="274" spans="1:18" x14ac:dyDescent="0.2">
      <c r="A274" s="345" t="s">
        <v>488</v>
      </c>
      <c r="B274" s="345" t="s">
        <v>489</v>
      </c>
      <c r="C274" s="345" t="s">
        <v>490</v>
      </c>
      <c r="D274" s="345" t="s">
        <v>517</v>
      </c>
      <c r="E274" s="345" t="s">
        <v>483</v>
      </c>
      <c r="F274" s="345" t="s">
        <v>431</v>
      </c>
      <c r="G274" s="345" t="s">
        <v>432</v>
      </c>
      <c r="H274" s="345" t="s">
        <v>433</v>
      </c>
      <c r="I274" s="345">
        <v>18</v>
      </c>
      <c r="J274" s="345">
        <v>27</v>
      </c>
      <c r="K274" s="345">
        <v>36</v>
      </c>
      <c r="L274" s="345">
        <v>45</v>
      </c>
      <c r="M274" s="345">
        <v>60</v>
      </c>
      <c r="N274" s="345">
        <v>70</v>
      </c>
      <c r="O274" s="345">
        <v>80</v>
      </c>
      <c r="P274" s="345">
        <v>90</v>
      </c>
      <c r="Q274" s="345" t="s">
        <v>518</v>
      </c>
      <c r="R274" s="345" t="s">
        <v>434</v>
      </c>
    </row>
    <row r="275" spans="1:18" x14ac:dyDescent="0.2">
      <c r="A275" s="345" t="s">
        <v>488</v>
      </c>
      <c r="B275" s="345" t="s">
        <v>489</v>
      </c>
      <c r="C275" s="345" t="s">
        <v>490</v>
      </c>
      <c r="D275" s="345" t="s">
        <v>517</v>
      </c>
      <c r="E275" s="345" t="s">
        <v>483</v>
      </c>
      <c r="F275" s="345" t="s">
        <v>459</v>
      </c>
      <c r="G275" s="345" t="s">
        <v>443</v>
      </c>
      <c r="H275" s="345" t="s">
        <v>460</v>
      </c>
      <c r="I275" s="345">
        <v>9</v>
      </c>
      <c r="J275" s="345">
        <v>9</v>
      </c>
      <c r="K275" s="345">
        <v>9</v>
      </c>
      <c r="L275" s="345">
        <v>9</v>
      </c>
      <c r="M275" s="345">
        <v>9</v>
      </c>
      <c r="N275" s="345">
        <v>9</v>
      </c>
      <c r="O275" s="345">
        <v>9</v>
      </c>
      <c r="P275" s="345">
        <v>9</v>
      </c>
      <c r="Q275" s="345" t="s">
        <v>518</v>
      </c>
      <c r="R275" s="345" t="s">
        <v>434</v>
      </c>
    </row>
    <row r="276" spans="1:18" x14ac:dyDescent="0.2">
      <c r="A276" s="345" t="s">
        <v>488</v>
      </c>
      <c r="B276" s="345" t="s">
        <v>489</v>
      </c>
      <c r="C276" s="345" t="s">
        <v>490</v>
      </c>
      <c r="D276" s="345" t="s">
        <v>517</v>
      </c>
      <c r="E276" s="345" t="s">
        <v>483</v>
      </c>
      <c r="F276" s="345" t="s">
        <v>461</v>
      </c>
      <c r="G276" s="345" t="s">
        <v>443</v>
      </c>
      <c r="H276" s="345" t="s">
        <v>462</v>
      </c>
      <c r="I276" s="345">
        <v>8</v>
      </c>
      <c r="J276" s="345">
        <v>8</v>
      </c>
      <c r="K276" s="345">
        <v>8</v>
      </c>
      <c r="L276" s="345">
        <v>8</v>
      </c>
      <c r="M276" s="345">
        <v>8</v>
      </c>
      <c r="N276" s="345">
        <v>8</v>
      </c>
      <c r="O276" s="345">
        <v>8</v>
      </c>
      <c r="P276" s="345">
        <v>8</v>
      </c>
      <c r="Q276" s="345" t="s">
        <v>518</v>
      </c>
      <c r="R276" s="345" t="s">
        <v>434</v>
      </c>
    </row>
    <row r="277" spans="1:18" x14ac:dyDescent="0.2">
      <c r="A277" s="345" t="s">
        <v>488</v>
      </c>
      <c r="B277" s="345" t="s">
        <v>489</v>
      </c>
      <c r="C277" s="345" t="s">
        <v>490</v>
      </c>
      <c r="D277" s="345" t="s">
        <v>519</v>
      </c>
      <c r="E277" s="345" t="s">
        <v>430</v>
      </c>
      <c r="F277" s="345" t="s">
        <v>465</v>
      </c>
      <c r="G277" s="345" t="s">
        <v>432</v>
      </c>
      <c r="H277" s="345" t="s">
        <v>466</v>
      </c>
      <c r="I277" s="345">
        <v>20</v>
      </c>
      <c r="J277" s="345">
        <v>27</v>
      </c>
      <c r="K277" s="345">
        <v>35</v>
      </c>
      <c r="L277" s="345">
        <v>44</v>
      </c>
      <c r="M277" s="345">
        <v>58</v>
      </c>
      <c r="N277" s="345">
        <v>68</v>
      </c>
      <c r="O277" s="345">
        <v>78</v>
      </c>
      <c r="P277" s="345">
        <v>89</v>
      </c>
      <c r="Q277" s="345" t="s">
        <v>518</v>
      </c>
      <c r="R277" s="345" t="s">
        <v>434</v>
      </c>
    </row>
    <row r="278" spans="1:18" x14ac:dyDescent="0.2">
      <c r="A278" s="345" t="s">
        <v>488</v>
      </c>
      <c r="B278" s="345" t="s">
        <v>489</v>
      </c>
      <c r="C278" s="345" t="s">
        <v>490</v>
      </c>
      <c r="D278" s="345" t="s">
        <v>519</v>
      </c>
      <c r="E278" s="345" t="s">
        <v>430</v>
      </c>
      <c r="F278" s="345" t="s">
        <v>438</v>
      </c>
      <c r="G278" s="345" t="s">
        <v>432</v>
      </c>
      <c r="H278" s="345" t="s">
        <v>439</v>
      </c>
      <c r="I278" s="345">
        <v>10</v>
      </c>
      <c r="J278" s="345">
        <v>14</v>
      </c>
      <c r="K278" s="345">
        <v>18</v>
      </c>
      <c r="L278" s="345">
        <v>22</v>
      </c>
      <c r="M278" s="345">
        <v>28</v>
      </c>
      <c r="N278" s="345">
        <v>32</v>
      </c>
      <c r="O278" s="345">
        <v>36</v>
      </c>
      <c r="P278" s="345">
        <v>40</v>
      </c>
      <c r="Q278" s="345" t="s">
        <v>518</v>
      </c>
      <c r="R278" s="345" t="s">
        <v>434</v>
      </c>
    </row>
    <row r="279" spans="1:18" x14ac:dyDescent="0.2">
      <c r="A279" s="345" t="s">
        <v>488</v>
      </c>
      <c r="B279" s="345" t="s">
        <v>489</v>
      </c>
      <c r="C279" s="345" t="s">
        <v>490</v>
      </c>
      <c r="D279" s="345" t="s">
        <v>519</v>
      </c>
      <c r="E279" s="345" t="s">
        <v>430</v>
      </c>
      <c r="F279" s="345" t="s">
        <v>478</v>
      </c>
      <c r="G279" s="345" t="s">
        <v>432</v>
      </c>
      <c r="H279" s="345" t="s">
        <v>479</v>
      </c>
      <c r="I279" s="345">
        <v>19</v>
      </c>
      <c r="J279" s="345">
        <v>27</v>
      </c>
      <c r="K279" s="345">
        <v>35</v>
      </c>
      <c r="L279" s="345">
        <v>43</v>
      </c>
      <c r="M279" s="345">
        <v>54</v>
      </c>
      <c r="N279" s="345">
        <v>62</v>
      </c>
      <c r="O279" s="345">
        <v>71</v>
      </c>
      <c r="P279" s="345">
        <v>79</v>
      </c>
      <c r="Q279" s="345" t="s">
        <v>518</v>
      </c>
      <c r="R279" s="345" t="s">
        <v>434</v>
      </c>
    </row>
    <row r="280" spans="1:18" x14ac:dyDescent="0.2">
      <c r="A280" s="345" t="s">
        <v>488</v>
      </c>
      <c r="B280" s="345" t="s">
        <v>489</v>
      </c>
      <c r="C280" s="345" t="s">
        <v>490</v>
      </c>
      <c r="D280" s="345" t="s">
        <v>519</v>
      </c>
      <c r="E280" s="345" t="s">
        <v>430</v>
      </c>
      <c r="F280" s="345" t="s">
        <v>456</v>
      </c>
      <c r="G280" s="345" t="s">
        <v>457</v>
      </c>
      <c r="H280" s="345" t="s">
        <v>458</v>
      </c>
      <c r="I280" s="345">
        <v>38</v>
      </c>
      <c r="J280" s="345">
        <v>46</v>
      </c>
      <c r="K280" s="345">
        <v>55</v>
      </c>
      <c r="L280" s="345">
        <v>67</v>
      </c>
      <c r="M280" s="345">
        <v>77</v>
      </c>
      <c r="N280" s="345">
        <v>91</v>
      </c>
      <c r="O280" s="345">
        <v>103</v>
      </c>
      <c r="P280" s="345">
        <v>116</v>
      </c>
      <c r="Q280" s="345" t="s">
        <v>518</v>
      </c>
      <c r="R280" s="345" t="s">
        <v>434</v>
      </c>
    </row>
    <row r="281" spans="1:18" x14ac:dyDescent="0.2">
      <c r="A281" s="345" t="s">
        <v>488</v>
      </c>
      <c r="B281" s="345" t="s">
        <v>489</v>
      </c>
      <c r="C281" s="345" t="s">
        <v>490</v>
      </c>
      <c r="D281" s="345" t="s">
        <v>519</v>
      </c>
      <c r="E281" s="345" t="s">
        <v>430</v>
      </c>
      <c r="F281" s="345" t="s">
        <v>477</v>
      </c>
      <c r="G281" s="345" t="s">
        <v>464</v>
      </c>
      <c r="H281" s="345" t="s">
        <v>477</v>
      </c>
      <c r="I281" s="345">
        <v>84</v>
      </c>
      <c r="J281" s="345">
        <v>92</v>
      </c>
      <c r="K281" s="345">
        <v>100</v>
      </c>
      <c r="L281" s="345">
        <v>116</v>
      </c>
      <c r="M281" s="345">
        <v>132</v>
      </c>
      <c r="N281" s="345">
        <v>148</v>
      </c>
      <c r="O281" s="345">
        <v>160</v>
      </c>
      <c r="P281" s="345">
        <v>180</v>
      </c>
      <c r="Q281" s="345" t="s">
        <v>518</v>
      </c>
      <c r="R281" s="345" t="s">
        <v>434</v>
      </c>
    </row>
    <row r="282" spans="1:18" x14ac:dyDescent="0.2">
      <c r="A282" s="345" t="s">
        <v>488</v>
      </c>
      <c r="B282" s="345" t="s">
        <v>489</v>
      </c>
      <c r="C282" s="345" t="s">
        <v>490</v>
      </c>
      <c r="D282" s="345" t="s">
        <v>519</v>
      </c>
      <c r="E282" s="345" t="s">
        <v>430</v>
      </c>
      <c r="F282" s="345" t="s">
        <v>474</v>
      </c>
      <c r="G282" s="345" t="s">
        <v>464</v>
      </c>
      <c r="H282" s="345" t="s">
        <v>474</v>
      </c>
      <c r="I282" s="345">
        <v>46</v>
      </c>
      <c r="J282" s="345">
        <v>46</v>
      </c>
      <c r="K282" s="345">
        <v>46</v>
      </c>
      <c r="L282" s="345">
        <v>46</v>
      </c>
      <c r="M282" s="345">
        <v>46</v>
      </c>
      <c r="N282" s="345">
        <v>46</v>
      </c>
      <c r="O282" s="345">
        <v>46</v>
      </c>
      <c r="P282" s="345">
        <v>46</v>
      </c>
      <c r="Q282" s="345" t="s">
        <v>518</v>
      </c>
      <c r="R282" s="345" t="s">
        <v>434</v>
      </c>
    </row>
    <row r="283" spans="1:18" x14ac:dyDescent="0.2">
      <c r="A283" s="345" t="s">
        <v>488</v>
      </c>
      <c r="B283" s="345" t="s">
        <v>489</v>
      </c>
      <c r="C283" s="345" t="s">
        <v>490</v>
      </c>
      <c r="D283" s="345" t="s">
        <v>519</v>
      </c>
      <c r="E283" s="345" t="s">
        <v>430</v>
      </c>
      <c r="F283" s="345" t="s">
        <v>431</v>
      </c>
      <c r="G283" s="345" t="s">
        <v>432</v>
      </c>
      <c r="H283" s="345" t="s">
        <v>433</v>
      </c>
      <c r="I283" s="345">
        <v>15</v>
      </c>
      <c r="J283" s="345">
        <v>21</v>
      </c>
      <c r="K283" s="345">
        <v>27</v>
      </c>
      <c r="L283" s="345">
        <v>34</v>
      </c>
      <c r="M283" s="345">
        <v>44</v>
      </c>
      <c r="N283" s="345">
        <v>53</v>
      </c>
      <c r="O283" s="345">
        <v>61</v>
      </c>
      <c r="P283" s="345">
        <v>68</v>
      </c>
      <c r="Q283" s="345" t="s">
        <v>518</v>
      </c>
      <c r="R283" s="345" t="s">
        <v>434</v>
      </c>
    </row>
    <row r="284" spans="1:18" x14ac:dyDescent="0.2">
      <c r="A284" s="345" t="s">
        <v>488</v>
      </c>
      <c r="B284" s="345" t="s">
        <v>489</v>
      </c>
      <c r="C284" s="345" t="s">
        <v>490</v>
      </c>
      <c r="D284" s="345" t="s">
        <v>519</v>
      </c>
      <c r="E284" s="345" t="s">
        <v>430</v>
      </c>
      <c r="F284" s="345" t="s">
        <v>459</v>
      </c>
      <c r="G284" s="345" t="s">
        <v>443</v>
      </c>
      <c r="H284" s="345" t="s">
        <v>460</v>
      </c>
      <c r="I284" s="345">
        <v>9</v>
      </c>
      <c r="J284" s="345">
        <v>9</v>
      </c>
      <c r="K284" s="345">
        <v>9</v>
      </c>
      <c r="L284" s="345">
        <v>9</v>
      </c>
      <c r="M284" s="345">
        <v>9</v>
      </c>
      <c r="N284" s="345">
        <v>9</v>
      </c>
      <c r="O284" s="345">
        <v>9</v>
      </c>
      <c r="P284" s="345">
        <v>9</v>
      </c>
      <c r="Q284" s="345" t="s">
        <v>518</v>
      </c>
      <c r="R284" s="345" t="s">
        <v>434</v>
      </c>
    </row>
    <row r="285" spans="1:18" x14ac:dyDescent="0.2">
      <c r="A285" s="345" t="s">
        <v>488</v>
      </c>
      <c r="B285" s="345" t="s">
        <v>489</v>
      </c>
      <c r="C285" s="345" t="s">
        <v>490</v>
      </c>
      <c r="D285" s="345" t="s">
        <v>519</v>
      </c>
      <c r="E285" s="345" t="s">
        <v>430</v>
      </c>
      <c r="F285" s="345" t="s">
        <v>461</v>
      </c>
      <c r="G285" s="345" t="s">
        <v>443</v>
      </c>
      <c r="H285" s="345" t="s">
        <v>462</v>
      </c>
      <c r="I285" s="345">
        <v>8</v>
      </c>
      <c r="J285" s="345">
        <v>8</v>
      </c>
      <c r="K285" s="345">
        <v>8</v>
      </c>
      <c r="L285" s="345">
        <v>8</v>
      </c>
      <c r="M285" s="345">
        <v>8</v>
      </c>
      <c r="N285" s="345">
        <v>8</v>
      </c>
      <c r="O285" s="345">
        <v>8</v>
      </c>
      <c r="P285" s="345">
        <v>8</v>
      </c>
      <c r="Q285" s="345" t="s">
        <v>518</v>
      </c>
      <c r="R285" s="345" t="s">
        <v>434</v>
      </c>
    </row>
    <row r="286" spans="1:18" x14ac:dyDescent="0.2">
      <c r="A286" s="345" t="s">
        <v>531</v>
      </c>
      <c r="B286" s="345" t="s">
        <v>532</v>
      </c>
      <c r="C286" s="345" t="s">
        <v>533</v>
      </c>
      <c r="D286" s="345" t="s">
        <v>483</v>
      </c>
      <c r="E286" s="345" t="s">
        <v>483</v>
      </c>
      <c r="F286" s="345" t="s">
        <v>465</v>
      </c>
      <c r="G286" s="345" t="s">
        <v>469</v>
      </c>
      <c r="H286" s="345" t="s">
        <v>469</v>
      </c>
      <c r="I286" s="345">
        <v>14</v>
      </c>
      <c r="J286" s="345">
        <v>17</v>
      </c>
      <c r="K286" s="345">
        <v>18</v>
      </c>
      <c r="L286" s="345">
        <v>19</v>
      </c>
      <c r="M286" s="345">
        <v>20</v>
      </c>
      <c r="N286" s="345">
        <v>21</v>
      </c>
      <c r="O286" s="345">
        <v>0</v>
      </c>
      <c r="P286" s="345">
        <v>0</v>
      </c>
      <c r="Q286" s="345" t="s">
        <v>534</v>
      </c>
      <c r="R286" s="345" t="s">
        <v>434</v>
      </c>
    </row>
    <row r="287" spans="1:18" x14ac:dyDescent="0.2">
      <c r="A287" s="345" t="s">
        <v>531</v>
      </c>
      <c r="B287" s="345" t="s">
        <v>532</v>
      </c>
      <c r="C287" s="345" t="s">
        <v>533</v>
      </c>
      <c r="D287" s="345" t="s">
        <v>483</v>
      </c>
      <c r="E287" s="345" t="s">
        <v>483</v>
      </c>
      <c r="F287" s="345" t="s">
        <v>438</v>
      </c>
      <c r="G287" s="345" t="s">
        <v>441</v>
      </c>
      <c r="H287" s="345" t="s">
        <v>441</v>
      </c>
      <c r="I287" s="345">
        <v>3</v>
      </c>
      <c r="J287" s="345">
        <v>3</v>
      </c>
      <c r="K287" s="345">
        <v>5</v>
      </c>
      <c r="L287" s="345">
        <v>6</v>
      </c>
      <c r="M287" s="345">
        <v>8</v>
      </c>
      <c r="N287" s="345">
        <v>9</v>
      </c>
      <c r="O287" s="345">
        <v>0</v>
      </c>
      <c r="P287" s="345">
        <v>0</v>
      </c>
      <c r="Q287" s="345" t="s">
        <v>534</v>
      </c>
      <c r="R287" s="345" t="s">
        <v>434</v>
      </c>
    </row>
    <row r="288" spans="1:18" x14ac:dyDescent="0.2">
      <c r="A288" s="345" t="s">
        <v>531</v>
      </c>
      <c r="B288" s="345" t="s">
        <v>532</v>
      </c>
      <c r="C288" s="345" t="s">
        <v>533</v>
      </c>
      <c r="D288" s="345" t="s">
        <v>483</v>
      </c>
      <c r="E288" s="345" t="s">
        <v>483</v>
      </c>
      <c r="F288" s="345" t="s">
        <v>478</v>
      </c>
      <c r="G288" s="345" t="s">
        <v>480</v>
      </c>
      <c r="H288" s="345" t="s">
        <v>480</v>
      </c>
      <c r="I288" s="345">
        <v>7</v>
      </c>
      <c r="J288" s="345">
        <v>9</v>
      </c>
      <c r="K288" s="345">
        <v>12</v>
      </c>
      <c r="L288" s="345">
        <v>16</v>
      </c>
      <c r="M288" s="345">
        <v>20</v>
      </c>
      <c r="N288" s="345">
        <v>24</v>
      </c>
      <c r="O288" s="345">
        <v>0</v>
      </c>
      <c r="P288" s="345">
        <v>0</v>
      </c>
      <c r="Q288" s="345" t="s">
        <v>534</v>
      </c>
      <c r="R288" s="345" t="s">
        <v>434</v>
      </c>
    </row>
    <row r="289" spans="1:18" x14ac:dyDescent="0.2">
      <c r="A289" s="345" t="s">
        <v>531</v>
      </c>
      <c r="B289" s="345" t="s">
        <v>532</v>
      </c>
      <c r="C289" s="345" t="s">
        <v>533</v>
      </c>
      <c r="D289" s="345" t="s">
        <v>483</v>
      </c>
      <c r="E289" s="345" t="s">
        <v>483</v>
      </c>
      <c r="F289" s="345" t="s">
        <v>449</v>
      </c>
      <c r="G289" s="345" t="s">
        <v>535</v>
      </c>
      <c r="H289" s="345" t="s">
        <v>535</v>
      </c>
      <c r="I289" s="345">
        <v>4</v>
      </c>
      <c r="J289" s="345">
        <v>4</v>
      </c>
      <c r="K289" s="345">
        <v>4</v>
      </c>
      <c r="L289" s="345">
        <v>4</v>
      </c>
      <c r="M289" s="345">
        <v>4</v>
      </c>
      <c r="N289" s="345">
        <v>4</v>
      </c>
      <c r="O289" s="345">
        <v>0</v>
      </c>
      <c r="P289" s="345">
        <v>0</v>
      </c>
      <c r="Q289" s="345" t="s">
        <v>534</v>
      </c>
      <c r="R289" s="345" t="s">
        <v>434</v>
      </c>
    </row>
    <row r="290" spans="1:18" x14ac:dyDescent="0.2">
      <c r="A290" s="345" t="s">
        <v>531</v>
      </c>
      <c r="B290" s="345" t="s">
        <v>532</v>
      </c>
      <c r="C290" s="345" t="s">
        <v>533</v>
      </c>
      <c r="D290" s="345" t="s">
        <v>483</v>
      </c>
      <c r="E290" s="345" t="s">
        <v>483</v>
      </c>
      <c r="F290" s="345" t="s">
        <v>456</v>
      </c>
      <c r="G290" s="345" t="s">
        <v>458</v>
      </c>
      <c r="H290" s="345" t="s">
        <v>458</v>
      </c>
      <c r="I290" s="345">
        <v>49</v>
      </c>
      <c r="J290" s="345">
        <v>61</v>
      </c>
      <c r="K290" s="345">
        <v>91</v>
      </c>
      <c r="L290" s="345">
        <v>128</v>
      </c>
      <c r="M290" s="345">
        <v>164</v>
      </c>
      <c r="N290" s="345">
        <v>200</v>
      </c>
      <c r="O290" s="345">
        <v>0</v>
      </c>
      <c r="P290" s="345">
        <v>0</v>
      </c>
      <c r="Q290" s="345" t="s">
        <v>534</v>
      </c>
      <c r="R290" s="345" t="s">
        <v>434</v>
      </c>
    </row>
    <row r="291" spans="1:18" x14ac:dyDescent="0.2">
      <c r="A291" s="345" t="s">
        <v>531</v>
      </c>
      <c r="B291" s="345" t="s">
        <v>532</v>
      </c>
      <c r="C291" s="345" t="s">
        <v>533</v>
      </c>
      <c r="D291" s="345" t="s">
        <v>483</v>
      </c>
      <c r="E291" s="345" t="s">
        <v>483</v>
      </c>
      <c r="F291" s="345" t="s">
        <v>465</v>
      </c>
      <c r="G291" s="345" t="s">
        <v>466</v>
      </c>
      <c r="H291" s="345" t="s">
        <v>466</v>
      </c>
      <c r="I291" s="345">
        <v>31</v>
      </c>
      <c r="J291" s="345">
        <v>37</v>
      </c>
      <c r="K291" s="345">
        <v>41</v>
      </c>
      <c r="L291" s="345">
        <v>44</v>
      </c>
      <c r="M291" s="345">
        <v>48</v>
      </c>
      <c r="N291" s="345">
        <v>52</v>
      </c>
      <c r="O291" s="345">
        <v>0</v>
      </c>
      <c r="P291" s="345">
        <v>0</v>
      </c>
      <c r="Q291" s="345" t="s">
        <v>534</v>
      </c>
      <c r="R291" s="345" t="s">
        <v>434</v>
      </c>
    </row>
    <row r="292" spans="1:18" x14ac:dyDescent="0.2">
      <c r="A292" s="345" t="s">
        <v>531</v>
      </c>
      <c r="B292" s="345" t="s">
        <v>532</v>
      </c>
      <c r="C292" s="345" t="s">
        <v>533</v>
      </c>
      <c r="D292" s="345" t="s">
        <v>483</v>
      </c>
      <c r="E292" s="345" t="s">
        <v>483</v>
      </c>
      <c r="F292" s="345" t="s">
        <v>438</v>
      </c>
      <c r="G292" s="345" t="s">
        <v>439</v>
      </c>
      <c r="H292" s="345" t="s">
        <v>439</v>
      </c>
      <c r="I292" s="345">
        <v>11</v>
      </c>
      <c r="J292" s="345">
        <v>13</v>
      </c>
      <c r="K292" s="345">
        <v>19</v>
      </c>
      <c r="L292" s="345">
        <v>25</v>
      </c>
      <c r="M292" s="345">
        <v>31</v>
      </c>
      <c r="N292" s="345">
        <v>37</v>
      </c>
      <c r="O292" s="345">
        <v>0</v>
      </c>
      <c r="P292" s="345">
        <v>0</v>
      </c>
      <c r="Q292" s="345" t="s">
        <v>534</v>
      </c>
      <c r="R292" s="345" t="s">
        <v>434</v>
      </c>
    </row>
    <row r="293" spans="1:18" x14ac:dyDescent="0.2">
      <c r="A293" s="345" t="s">
        <v>531</v>
      </c>
      <c r="B293" s="345" t="s">
        <v>532</v>
      </c>
      <c r="C293" s="345" t="s">
        <v>533</v>
      </c>
      <c r="D293" s="345" t="s">
        <v>483</v>
      </c>
      <c r="E293" s="345" t="s">
        <v>483</v>
      </c>
      <c r="F293" s="345" t="s">
        <v>478</v>
      </c>
      <c r="G293" s="345" t="s">
        <v>479</v>
      </c>
      <c r="H293" s="345" t="s">
        <v>479</v>
      </c>
      <c r="I293" s="345">
        <v>31</v>
      </c>
      <c r="J293" s="345">
        <v>37</v>
      </c>
      <c r="K293" s="345">
        <v>47</v>
      </c>
      <c r="L293" s="345">
        <v>57</v>
      </c>
      <c r="M293" s="345">
        <v>68</v>
      </c>
      <c r="N293" s="345">
        <v>78</v>
      </c>
      <c r="O293" s="345">
        <v>0</v>
      </c>
      <c r="P293" s="345">
        <v>0</v>
      </c>
      <c r="Q293" s="345" t="s">
        <v>534</v>
      </c>
      <c r="R293" s="345" t="s">
        <v>434</v>
      </c>
    </row>
    <row r="294" spans="1:18" x14ac:dyDescent="0.2">
      <c r="A294" s="345" t="s">
        <v>531</v>
      </c>
      <c r="B294" s="345" t="s">
        <v>532</v>
      </c>
      <c r="C294" s="345" t="s">
        <v>533</v>
      </c>
      <c r="D294" s="345" t="s">
        <v>483</v>
      </c>
      <c r="E294" s="345" t="s">
        <v>483</v>
      </c>
      <c r="F294" s="345" t="s">
        <v>477</v>
      </c>
      <c r="G294" s="345" t="s">
        <v>477</v>
      </c>
      <c r="H294" s="345" t="s">
        <v>477</v>
      </c>
      <c r="I294" s="345">
        <v>36</v>
      </c>
      <c r="J294" s="345">
        <v>38</v>
      </c>
      <c r="K294" s="345">
        <v>43</v>
      </c>
      <c r="L294" s="345">
        <v>48</v>
      </c>
      <c r="M294" s="345">
        <v>54</v>
      </c>
      <c r="N294" s="345">
        <v>65</v>
      </c>
      <c r="O294" s="345">
        <v>0</v>
      </c>
      <c r="P294" s="345">
        <v>0</v>
      </c>
      <c r="Q294" s="345" t="s">
        <v>534</v>
      </c>
      <c r="R294" s="345" t="s">
        <v>434</v>
      </c>
    </row>
    <row r="295" spans="1:18" x14ac:dyDescent="0.2">
      <c r="A295" s="345" t="s">
        <v>531</v>
      </c>
      <c r="B295" s="345" t="s">
        <v>532</v>
      </c>
      <c r="C295" s="345" t="s">
        <v>533</v>
      </c>
      <c r="D295" s="345" t="s">
        <v>483</v>
      </c>
      <c r="E295" s="345" t="s">
        <v>483</v>
      </c>
      <c r="F295" s="345" t="s">
        <v>431</v>
      </c>
      <c r="G295" s="345" t="s">
        <v>433</v>
      </c>
      <c r="H295" s="345" t="s">
        <v>433</v>
      </c>
      <c r="I295" s="345">
        <v>12</v>
      </c>
      <c r="J295" s="345">
        <v>28</v>
      </c>
      <c r="K295" s="345">
        <v>43</v>
      </c>
      <c r="L295" s="345">
        <v>58</v>
      </c>
      <c r="M295" s="345">
        <v>73</v>
      </c>
      <c r="N295" s="345">
        <v>73</v>
      </c>
      <c r="O295" s="345">
        <v>0</v>
      </c>
      <c r="P295" s="345">
        <v>0</v>
      </c>
      <c r="Q295" s="345" t="s">
        <v>534</v>
      </c>
      <c r="R295" s="345" t="s">
        <v>434</v>
      </c>
    </row>
    <row r="296" spans="1:18" x14ac:dyDescent="0.2">
      <c r="A296" s="345" t="s">
        <v>531</v>
      </c>
      <c r="B296" s="345" t="s">
        <v>532</v>
      </c>
      <c r="C296" s="345" t="s">
        <v>533</v>
      </c>
      <c r="D296" s="345" t="s">
        <v>483</v>
      </c>
      <c r="E296" s="345" t="s">
        <v>483</v>
      </c>
      <c r="F296" s="345" t="s">
        <v>474</v>
      </c>
      <c r="G296" s="345" t="s">
        <v>474</v>
      </c>
      <c r="H296" s="345" t="s">
        <v>474</v>
      </c>
      <c r="I296" s="345">
        <v>31</v>
      </c>
      <c r="J296" s="345">
        <v>31</v>
      </c>
      <c r="K296" s="345">
        <v>31</v>
      </c>
      <c r="L296" s="345">
        <v>31</v>
      </c>
      <c r="M296" s="345">
        <v>31</v>
      </c>
      <c r="N296" s="345">
        <v>31</v>
      </c>
      <c r="O296" s="345">
        <v>0</v>
      </c>
      <c r="P296" s="345">
        <v>0</v>
      </c>
      <c r="Q296" s="345" t="s">
        <v>534</v>
      </c>
      <c r="R296" s="345" t="s">
        <v>434</v>
      </c>
    </row>
    <row r="297" spans="1:18" x14ac:dyDescent="0.2">
      <c r="A297" s="345" t="s">
        <v>531</v>
      </c>
      <c r="B297" s="345" t="s">
        <v>532</v>
      </c>
      <c r="C297" s="345" t="s">
        <v>533</v>
      </c>
      <c r="D297" s="345" t="s">
        <v>483</v>
      </c>
      <c r="E297" s="345" t="s">
        <v>483</v>
      </c>
      <c r="F297" s="345" t="s">
        <v>461</v>
      </c>
      <c r="G297" s="345" t="s">
        <v>462</v>
      </c>
      <c r="H297" s="345" t="s">
        <v>462</v>
      </c>
      <c r="I297" s="345">
        <v>12</v>
      </c>
      <c r="J297" s="345">
        <v>12</v>
      </c>
      <c r="K297" s="345">
        <v>12</v>
      </c>
      <c r="L297" s="345">
        <v>12</v>
      </c>
      <c r="M297" s="345">
        <v>12</v>
      </c>
      <c r="N297" s="345">
        <v>12</v>
      </c>
      <c r="O297" s="345">
        <v>0</v>
      </c>
      <c r="P297" s="345">
        <v>0</v>
      </c>
      <c r="Q297" s="345" t="s">
        <v>534</v>
      </c>
      <c r="R297" s="345" t="s">
        <v>434</v>
      </c>
    </row>
    <row r="298" spans="1:18" x14ac:dyDescent="0.2">
      <c r="A298" s="345" t="s">
        <v>531</v>
      </c>
      <c r="B298" s="345" t="s">
        <v>532</v>
      </c>
      <c r="C298" s="345" t="s">
        <v>533</v>
      </c>
      <c r="D298" s="345" t="s">
        <v>483</v>
      </c>
      <c r="E298" s="345" t="s">
        <v>483</v>
      </c>
      <c r="F298" s="345" t="s">
        <v>459</v>
      </c>
      <c r="G298" s="345" t="s">
        <v>460</v>
      </c>
      <c r="H298" s="345" t="s">
        <v>460</v>
      </c>
      <c r="I298" s="345">
        <v>11</v>
      </c>
      <c r="J298" s="345">
        <v>11</v>
      </c>
      <c r="K298" s="345">
        <v>11</v>
      </c>
      <c r="L298" s="345">
        <v>11</v>
      </c>
      <c r="M298" s="345">
        <v>11</v>
      </c>
      <c r="N298" s="345">
        <v>11</v>
      </c>
      <c r="O298" s="345">
        <v>0</v>
      </c>
      <c r="P298" s="345">
        <v>0</v>
      </c>
      <c r="Q298" s="345" t="s">
        <v>534</v>
      </c>
      <c r="R298" s="345" t="s">
        <v>434</v>
      </c>
    </row>
    <row r="299" spans="1:18" x14ac:dyDescent="0.2">
      <c r="A299" s="345" t="s">
        <v>531</v>
      </c>
      <c r="B299" s="345" t="s">
        <v>532</v>
      </c>
      <c r="C299" s="345" t="s">
        <v>533</v>
      </c>
      <c r="D299" s="345" t="s">
        <v>553</v>
      </c>
      <c r="E299" s="345" t="s">
        <v>430</v>
      </c>
      <c r="F299" s="345" t="s">
        <v>465</v>
      </c>
      <c r="G299" s="345" t="s">
        <v>469</v>
      </c>
      <c r="H299" s="345" t="s">
        <v>469</v>
      </c>
      <c r="I299" s="345">
        <v>10</v>
      </c>
      <c r="J299" s="345">
        <v>12</v>
      </c>
      <c r="K299" s="345">
        <v>12</v>
      </c>
      <c r="L299" s="345">
        <v>13</v>
      </c>
      <c r="M299" s="345">
        <v>14</v>
      </c>
      <c r="N299" s="345">
        <v>15</v>
      </c>
      <c r="O299" s="345">
        <v>0</v>
      </c>
      <c r="P299" s="345">
        <v>0</v>
      </c>
      <c r="Q299" s="345" t="s">
        <v>534</v>
      </c>
      <c r="R299" s="345" t="s">
        <v>434</v>
      </c>
    </row>
    <row r="300" spans="1:18" x14ac:dyDescent="0.2">
      <c r="A300" s="345" t="s">
        <v>531</v>
      </c>
      <c r="B300" s="345" t="s">
        <v>532</v>
      </c>
      <c r="C300" s="345" t="s">
        <v>533</v>
      </c>
      <c r="D300" s="345" t="s">
        <v>553</v>
      </c>
      <c r="E300" s="345" t="s">
        <v>430</v>
      </c>
      <c r="F300" s="345" t="s">
        <v>438</v>
      </c>
      <c r="G300" s="345" t="s">
        <v>441</v>
      </c>
      <c r="H300" s="345" t="s">
        <v>441</v>
      </c>
      <c r="I300" s="345">
        <v>3</v>
      </c>
      <c r="J300" s="345">
        <v>3</v>
      </c>
      <c r="K300" s="345">
        <v>5</v>
      </c>
      <c r="L300" s="345">
        <v>6</v>
      </c>
      <c r="M300" s="345">
        <v>8</v>
      </c>
      <c r="N300" s="345">
        <v>9</v>
      </c>
      <c r="O300" s="345">
        <v>0</v>
      </c>
      <c r="P300" s="345">
        <v>0</v>
      </c>
      <c r="Q300" s="345" t="s">
        <v>534</v>
      </c>
      <c r="R300" s="345" t="s">
        <v>434</v>
      </c>
    </row>
    <row r="301" spans="1:18" x14ac:dyDescent="0.2">
      <c r="A301" s="345" t="s">
        <v>531</v>
      </c>
      <c r="B301" s="345" t="s">
        <v>532</v>
      </c>
      <c r="C301" s="345" t="s">
        <v>533</v>
      </c>
      <c r="D301" s="345" t="s">
        <v>553</v>
      </c>
      <c r="E301" s="345" t="s">
        <v>430</v>
      </c>
      <c r="F301" s="345" t="s">
        <v>478</v>
      </c>
      <c r="G301" s="345" t="s">
        <v>480</v>
      </c>
      <c r="H301" s="345" t="s">
        <v>480</v>
      </c>
      <c r="I301" s="345">
        <v>6</v>
      </c>
      <c r="J301" s="345">
        <v>7</v>
      </c>
      <c r="K301" s="345">
        <v>10</v>
      </c>
      <c r="L301" s="345">
        <v>13</v>
      </c>
      <c r="M301" s="345">
        <v>16</v>
      </c>
      <c r="N301" s="345">
        <v>19</v>
      </c>
      <c r="O301" s="345">
        <v>0</v>
      </c>
      <c r="P301" s="345">
        <v>0</v>
      </c>
      <c r="Q301" s="345" t="s">
        <v>534</v>
      </c>
      <c r="R301" s="345" t="s">
        <v>434</v>
      </c>
    </row>
    <row r="302" spans="1:18" x14ac:dyDescent="0.2">
      <c r="A302" s="345" t="s">
        <v>531</v>
      </c>
      <c r="B302" s="345" t="s">
        <v>532</v>
      </c>
      <c r="C302" s="345" t="s">
        <v>533</v>
      </c>
      <c r="D302" s="345" t="s">
        <v>553</v>
      </c>
      <c r="E302" s="345" t="s">
        <v>430</v>
      </c>
      <c r="F302" s="345" t="s">
        <v>449</v>
      </c>
      <c r="G302" s="345" t="s">
        <v>535</v>
      </c>
      <c r="H302" s="345" t="s">
        <v>535</v>
      </c>
      <c r="I302" s="345">
        <v>4</v>
      </c>
      <c r="J302" s="345">
        <v>4</v>
      </c>
      <c r="K302" s="345">
        <v>4</v>
      </c>
      <c r="L302" s="345">
        <v>4</v>
      </c>
      <c r="M302" s="345">
        <v>4</v>
      </c>
      <c r="N302" s="345">
        <v>4</v>
      </c>
      <c r="O302" s="345">
        <v>0</v>
      </c>
      <c r="P302" s="345">
        <v>0</v>
      </c>
      <c r="Q302" s="345" t="s">
        <v>534</v>
      </c>
      <c r="R302" s="345" t="s">
        <v>434</v>
      </c>
    </row>
    <row r="303" spans="1:18" x14ac:dyDescent="0.2">
      <c r="A303" s="345" t="s">
        <v>531</v>
      </c>
      <c r="B303" s="345" t="s">
        <v>532</v>
      </c>
      <c r="C303" s="345" t="s">
        <v>533</v>
      </c>
      <c r="D303" s="345" t="s">
        <v>553</v>
      </c>
      <c r="E303" s="345" t="s">
        <v>430</v>
      </c>
      <c r="F303" s="345" t="s">
        <v>456</v>
      </c>
      <c r="G303" s="345" t="s">
        <v>458</v>
      </c>
      <c r="H303" s="345" t="s">
        <v>458</v>
      </c>
      <c r="I303" s="345">
        <v>29</v>
      </c>
      <c r="J303" s="345">
        <v>37</v>
      </c>
      <c r="K303" s="345">
        <v>57</v>
      </c>
      <c r="L303" s="345">
        <v>76</v>
      </c>
      <c r="M303" s="345">
        <v>100</v>
      </c>
      <c r="N303" s="345">
        <v>124</v>
      </c>
      <c r="O303" s="345">
        <v>0</v>
      </c>
      <c r="P303" s="345">
        <v>0</v>
      </c>
      <c r="Q303" s="345" t="s">
        <v>534</v>
      </c>
      <c r="R303" s="345" t="s">
        <v>434</v>
      </c>
    </row>
    <row r="304" spans="1:18" x14ac:dyDescent="0.2">
      <c r="A304" s="345" t="s">
        <v>531</v>
      </c>
      <c r="B304" s="345" t="s">
        <v>532</v>
      </c>
      <c r="C304" s="345" t="s">
        <v>533</v>
      </c>
      <c r="D304" s="345" t="s">
        <v>553</v>
      </c>
      <c r="E304" s="345" t="s">
        <v>430</v>
      </c>
      <c r="F304" s="345" t="s">
        <v>465</v>
      </c>
      <c r="G304" s="345" t="s">
        <v>466</v>
      </c>
      <c r="H304" s="345" t="s">
        <v>466</v>
      </c>
      <c r="I304" s="345">
        <v>17</v>
      </c>
      <c r="J304" s="345">
        <v>20</v>
      </c>
      <c r="K304" s="345">
        <v>24</v>
      </c>
      <c r="L304" s="345">
        <v>27</v>
      </c>
      <c r="M304" s="345">
        <v>31</v>
      </c>
      <c r="N304" s="345">
        <v>34</v>
      </c>
      <c r="O304" s="345">
        <v>0</v>
      </c>
      <c r="P304" s="345">
        <v>0</v>
      </c>
      <c r="Q304" s="345" t="s">
        <v>534</v>
      </c>
      <c r="R304" s="345" t="s">
        <v>434</v>
      </c>
    </row>
    <row r="305" spans="1:18" x14ac:dyDescent="0.2">
      <c r="A305" s="345" t="s">
        <v>531</v>
      </c>
      <c r="B305" s="345" t="s">
        <v>532</v>
      </c>
      <c r="C305" s="345" t="s">
        <v>533</v>
      </c>
      <c r="D305" s="345" t="s">
        <v>553</v>
      </c>
      <c r="E305" s="345" t="s">
        <v>430</v>
      </c>
      <c r="F305" s="345" t="s">
        <v>438</v>
      </c>
      <c r="G305" s="345" t="s">
        <v>439</v>
      </c>
      <c r="H305" s="345" t="s">
        <v>439</v>
      </c>
      <c r="I305" s="345">
        <v>11</v>
      </c>
      <c r="J305" s="345">
        <v>13</v>
      </c>
      <c r="K305" s="345">
        <v>19</v>
      </c>
      <c r="L305" s="345">
        <v>25</v>
      </c>
      <c r="M305" s="345">
        <v>31</v>
      </c>
      <c r="N305" s="345">
        <v>37</v>
      </c>
      <c r="O305" s="345">
        <v>0</v>
      </c>
      <c r="P305" s="345">
        <v>0</v>
      </c>
      <c r="Q305" s="345" t="s">
        <v>534</v>
      </c>
      <c r="R305" s="345" t="s">
        <v>434</v>
      </c>
    </row>
    <row r="306" spans="1:18" x14ac:dyDescent="0.2">
      <c r="A306" s="345" t="s">
        <v>531</v>
      </c>
      <c r="B306" s="345" t="s">
        <v>532</v>
      </c>
      <c r="C306" s="345" t="s">
        <v>533</v>
      </c>
      <c r="D306" s="345" t="s">
        <v>553</v>
      </c>
      <c r="E306" s="345" t="s">
        <v>430</v>
      </c>
      <c r="F306" s="345" t="s">
        <v>478</v>
      </c>
      <c r="G306" s="345" t="s">
        <v>479</v>
      </c>
      <c r="H306" s="345" t="s">
        <v>479</v>
      </c>
      <c r="I306" s="345">
        <v>25</v>
      </c>
      <c r="J306" s="345">
        <v>29</v>
      </c>
      <c r="K306" s="345">
        <v>38</v>
      </c>
      <c r="L306" s="345">
        <v>46</v>
      </c>
      <c r="M306" s="345">
        <v>54</v>
      </c>
      <c r="N306" s="345">
        <v>62</v>
      </c>
      <c r="O306" s="345">
        <v>0</v>
      </c>
      <c r="P306" s="345">
        <v>0</v>
      </c>
      <c r="Q306" s="345" t="s">
        <v>534</v>
      </c>
      <c r="R306" s="345" t="s">
        <v>434</v>
      </c>
    </row>
    <row r="307" spans="1:18" x14ac:dyDescent="0.2">
      <c r="A307" s="345" t="s">
        <v>531</v>
      </c>
      <c r="B307" s="345" t="s">
        <v>532</v>
      </c>
      <c r="C307" s="345" t="s">
        <v>533</v>
      </c>
      <c r="D307" s="345" t="s">
        <v>553</v>
      </c>
      <c r="E307" s="345" t="s">
        <v>430</v>
      </c>
      <c r="F307" s="345" t="s">
        <v>477</v>
      </c>
      <c r="G307" s="345" t="s">
        <v>477</v>
      </c>
      <c r="H307" s="345" t="s">
        <v>477</v>
      </c>
      <c r="I307" s="345">
        <v>36</v>
      </c>
      <c r="J307" s="345">
        <v>38</v>
      </c>
      <c r="K307" s="345">
        <v>43</v>
      </c>
      <c r="L307" s="345">
        <v>48</v>
      </c>
      <c r="M307" s="345">
        <v>54</v>
      </c>
      <c r="N307" s="345">
        <v>65</v>
      </c>
      <c r="O307" s="345">
        <v>0</v>
      </c>
      <c r="P307" s="345">
        <v>0</v>
      </c>
      <c r="Q307" s="345" t="s">
        <v>534</v>
      </c>
      <c r="R307" s="345" t="s">
        <v>434</v>
      </c>
    </row>
    <row r="308" spans="1:18" x14ac:dyDescent="0.2">
      <c r="A308" s="345" t="s">
        <v>531</v>
      </c>
      <c r="B308" s="345" t="s">
        <v>532</v>
      </c>
      <c r="C308" s="345" t="s">
        <v>533</v>
      </c>
      <c r="D308" s="345" t="s">
        <v>553</v>
      </c>
      <c r="E308" s="345" t="s">
        <v>430</v>
      </c>
      <c r="F308" s="345" t="s">
        <v>431</v>
      </c>
      <c r="G308" s="345" t="s">
        <v>433</v>
      </c>
      <c r="H308" s="345" t="s">
        <v>433</v>
      </c>
      <c r="I308" s="345">
        <v>13</v>
      </c>
      <c r="J308" s="345">
        <v>16</v>
      </c>
      <c r="K308" s="345">
        <v>22</v>
      </c>
      <c r="L308" s="345">
        <v>28</v>
      </c>
      <c r="M308" s="345">
        <v>34</v>
      </c>
      <c r="N308" s="345">
        <v>40</v>
      </c>
      <c r="O308" s="345">
        <v>0</v>
      </c>
      <c r="P308" s="345">
        <v>0</v>
      </c>
      <c r="Q308" s="345" t="s">
        <v>534</v>
      </c>
      <c r="R308" s="345" t="s">
        <v>434</v>
      </c>
    </row>
    <row r="309" spans="1:18" x14ac:dyDescent="0.2">
      <c r="A309" s="345" t="s">
        <v>531</v>
      </c>
      <c r="B309" s="345" t="s">
        <v>532</v>
      </c>
      <c r="C309" s="345" t="s">
        <v>533</v>
      </c>
      <c r="D309" s="345" t="s">
        <v>553</v>
      </c>
      <c r="E309" s="345" t="s">
        <v>430</v>
      </c>
      <c r="F309" s="345" t="s">
        <v>474</v>
      </c>
      <c r="G309" s="345" t="s">
        <v>474</v>
      </c>
      <c r="H309" s="345" t="s">
        <v>474</v>
      </c>
      <c r="I309" s="345">
        <v>31</v>
      </c>
      <c r="J309" s="345">
        <v>31</v>
      </c>
      <c r="K309" s="345">
        <v>31</v>
      </c>
      <c r="L309" s="345">
        <v>31</v>
      </c>
      <c r="M309" s="345">
        <v>31</v>
      </c>
      <c r="N309" s="345">
        <v>31</v>
      </c>
      <c r="O309" s="345">
        <v>0</v>
      </c>
      <c r="P309" s="345">
        <v>0</v>
      </c>
      <c r="Q309" s="345" t="s">
        <v>534</v>
      </c>
      <c r="R309" s="345" t="s">
        <v>434</v>
      </c>
    </row>
    <row r="310" spans="1:18" x14ac:dyDescent="0.2">
      <c r="A310" s="345" t="s">
        <v>531</v>
      </c>
      <c r="B310" s="345" t="s">
        <v>532</v>
      </c>
      <c r="C310" s="345" t="s">
        <v>533</v>
      </c>
      <c r="D310" s="345" t="s">
        <v>553</v>
      </c>
      <c r="E310" s="345" t="s">
        <v>430</v>
      </c>
      <c r="F310" s="345" t="s">
        <v>461</v>
      </c>
      <c r="G310" s="345" t="s">
        <v>462</v>
      </c>
      <c r="H310" s="345" t="s">
        <v>462</v>
      </c>
      <c r="I310" s="345">
        <v>12</v>
      </c>
      <c r="J310" s="345">
        <v>12</v>
      </c>
      <c r="K310" s="345">
        <v>12</v>
      </c>
      <c r="L310" s="345">
        <v>12</v>
      </c>
      <c r="M310" s="345">
        <v>12</v>
      </c>
      <c r="N310" s="345">
        <v>12</v>
      </c>
      <c r="O310" s="345">
        <v>0</v>
      </c>
      <c r="P310" s="345">
        <v>0</v>
      </c>
      <c r="Q310" s="345" t="s">
        <v>534</v>
      </c>
      <c r="R310" s="345" t="s">
        <v>434</v>
      </c>
    </row>
    <row r="311" spans="1:18" x14ac:dyDescent="0.2">
      <c r="A311" s="345" t="s">
        <v>531</v>
      </c>
      <c r="B311" s="345" t="s">
        <v>532</v>
      </c>
      <c r="C311" s="345" t="s">
        <v>533</v>
      </c>
      <c r="D311" s="345" t="s">
        <v>553</v>
      </c>
      <c r="E311" s="345" t="s">
        <v>430</v>
      </c>
      <c r="F311" s="345" t="s">
        <v>459</v>
      </c>
      <c r="G311" s="345" t="s">
        <v>460</v>
      </c>
      <c r="H311" s="345" t="s">
        <v>460</v>
      </c>
      <c r="I311" s="345">
        <v>11</v>
      </c>
      <c r="J311" s="345">
        <v>11</v>
      </c>
      <c r="K311" s="345">
        <v>11</v>
      </c>
      <c r="L311" s="345">
        <v>11</v>
      </c>
      <c r="M311" s="345">
        <v>11</v>
      </c>
      <c r="N311" s="345">
        <v>11</v>
      </c>
      <c r="O311" s="345">
        <v>0</v>
      </c>
      <c r="P311" s="345">
        <v>0</v>
      </c>
      <c r="Q311" s="345" t="s">
        <v>534</v>
      </c>
      <c r="R311" s="345" t="s">
        <v>434</v>
      </c>
    </row>
    <row r="312" spans="1:18" x14ac:dyDescent="0.2">
      <c r="A312" s="345" t="s">
        <v>531</v>
      </c>
      <c r="B312" s="345" t="s">
        <v>532</v>
      </c>
      <c r="C312" s="345" t="s">
        <v>533</v>
      </c>
      <c r="D312" s="345" t="s">
        <v>491</v>
      </c>
      <c r="E312" s="345" t="s">
        <v>430</v>
      </c>
      <c r="F312" s="345" t="s">
        <v>465</v>
      </c>
      <c r="G312" s="345" t="s">
        <v>469</v>
      </c>
      <c r="H312" s="345" t="s">
        <v>469</v>
      </c>
      <c r="I312" s="345">
        <v>8</v>
      </c>
      <c r="J312" s="345">
        <v>10</v>
      </c>
      <c r="K312" s="345">
        <v>10</v>
      </c>
      <c r="L312" s="345">
        <v>11</v>
      </c>
      <c r="M312" s="345">
        <v>12</v>
      </c>
      <c r="N312" s="345">
        <v>12</v>
      </c>
      <c r="O312" s="345">
        <v>0</v>
      </c>
      <c r="P312" s="345">
        <v>0</v>
      </c>
      <c r="Q312" s="345" t="s">
        <v>534</v>
      </c>
      <c r="R312" s="345" t="s">
        <v>434</v>
      </c>
    </row>
    <row r="313" spans="1:18" x14ac:dyDescent="0.2">
      <c r="A313" s="345" t="s">
        <v>531</v>
      </c>
      <c r="B313" s="345" t="s">
        <v>532</v>
      </c>
      <c r="C313" s="345" t="s">
        <v>533</v>
      </c>
      <c r="D313" s="345" t="s">
        <v>491</v>
      </c>
      <c r="E313" s="345" t="s">
        <v>430</v>
      </c>
      <c r="F313" s="345" t="s">
        <v>438</v>
      </c>
      <c r="G313" s="345" t="s">
        <v>441</v>
      </c>
      <c r="H313" s="345" t="s">
        <v>441</v>
      </c>
      <c r="I313" s="345">
        <v>2</v>
      </c>
      <c r="J313" s="345">
        <v>3</v>
      </c>
      <c r="K313" s="345">
        <v>4</v>
      </c>
      <c r="L313" s="345">
        <v>5</v>
      </c>
      <c r="M313" s="345">
        <v>6</v>
      </c>
      <c r="N313" s="345">
        <v>8</v>
      </c>
      <c r="O313" s="345">
        <v>0</v>
      </c>
      <c r="P313" s="345">
        <v>0</v>
      </c>
      <c r="Q313" s="345" t="s">
        <v>534</v>
      </c>
      <c r="R313" s="345" t="s">
        <v>434</v>
      </c>
    </row>
    <row r="314" spans="1:18" x14ac:dyDescent="0.2">
      <c r="A314" s="345" t="s">
        <v>531</v>
      </c>
      <c r="B314" s="345" t="s">
        <v>532</v>
      </c>
      <c r="C314" s="345" t="s">
        <v>533</v>
      </c>
      <c r="D314" s="345" t="s">
        <v>491</v>
      </c>
      <c r="E314" s="345" t="s">
        <v>430</v>
      </c>
      <c r="F314" s="345" t="s">
        <v>478</v>
      </c>
      <c r="G314" s="345" t="s">
        <v>480</v>
      </c>
      <c r="H314" s="345" t="s">
        <v>480</v>
      </c>
      <c r="I314" s="345">
        <v>5</v>
      </c>
      <c r="J314" s="345">
        <v>6</v>
      </c>
      <c r="K314" s="345">
        <v>8</v>
      </c>
      <c r="L314" s="345">
        <v>11</v>
      </c>
      <c r="M314" s="345">
        <v>13</v>
      </c>
      <c r="N314" s="345">
        <v>15</v>
      </c>
      <c r="O314" s="345">
        <v>0</v>
      </c>
      <c r="P314" s="345">
        <v>0</v>
      </c>
      <c r="Q314" s="345" t="s">
        <v>534</v>
      </c>
      <c r="R314" s="345" t="s">
        <v>434</v>
      </c>
    </row>
    <row r="315" spans="1:18" x14ac:dyDescent="0.2">
      <c r="A315" s="345" t="s">
        <v>531</v>
      </c>
      <c r="B315" s="345" t="s">
        <v>532</v>
      </c>
      <c r="C315" s="345" t="s">
        <v>533</v>
      </c>
      <c r="D315" s="345" t="s">
        <v>491</v>
      </c>
      <c r="E315" s="345" t="s">
        <v>430</v>
      </c>
      <c r="F315" s="345" t="s">
        <v>449</v>
      </c>
      <c r="G315" s="345" t="s">
        <v>535</v>
      </c>
      <c r="H315" s="345" t="s">
        <v>535</v>
      </c>
      <c r="I315" s="345">
        <v>4</v>
      </c>
      <c r="J315" s="345">
        <v>4</v>
      </c>
      <c r="K315" s="345">
        <v>4</v>
      </c>
      <c r="L315" s="345">
        <v>4</v>
      </c>
      <c r="M315" s="345">
        <v>4</v>
      </c>
      <c r="N315" s="345">
        <v>4</v>
      </c>
      <c r="O315" s="345">
        <v>0</v>
      </c>
      <c r="P315" s="345">
        <v>0</v>
      </c>
      <c r="Q315" s="345" t="s">
        <v>534</v>
      </c>
      <c r="R315" s="345" t="s">
        <v>434</v>
      </c>
    </row>
    <row r="316" spans="1:18" x14ac:dyDescent="0.2">
      <c r="A316" s="345" t="s">
        <v>531</v>
      </c>
      <c r="B316" s="345" t="s">
        <v>532</v>
      </c>
      <c r="C316" s="345" t="s">
        <v>533</v>
      </c>
      <c r="D316" s="345" t="s">
        <v>491</v>
      </c>
      <c r="E316" s="345" t="s">
        <v>430</v>
      </c>
      <c r="F316" s="345" t="s">
        <v>456</v>
      </c>
      <c r="G316" s="345" t="s">
        <v>458</v>
      </c>
      <c r="H316" s="345" t="s">
        <v>458</v>
      </c>
      <c r="I316" s="345">
        <v>22</v>
      </c>
      <c r="J316" s="345">
        <v>28</v>
      </c>
      <c r="K316" s="345">
        <v>44</v>
      </c>
      <c r="L316" s="345">
        <v>60</v>
      </c>
      <c r="M316" s="345">
        <v>82</v>
      </c>
      <c r="N316" s="345">
        <v>95</v>
      </c>
      <c r="O316" s="345">
        <v>0</v>
      </c>
      <c r="P316" s="345">
        <v>0</v>
      </c>
      <c r="Q316" s="345" t="s">
        <v>534</v>
      </c>
      <c r="R316" s="345" t="s">
        <v>434</v>
      </c>
    </row>
    <row r="317" spans="1:18" x14ac:dyDescent="0.2">
      <c r="A317" s="345" t="s">
        <v>531</v>
      </c>
      <c r="B317" s="345" t="s">
        <v>532</v>
      </c>
      <c r="C317" s="345" t="s">
        <v>533</v>
      </c>
      <c r="D317" s="345" t="s">
        <v>491</v>
      </c>
      <c r="E317" s="345" t="s">
        <v>430</v>
      </c>
      <c r="F317" s="345" t="s">
        <v>465</v>
      </c>
      <c r="G317" s="345" t="s">
        <v>466</v>
      </c>
      <c r="H317" s="345" t="s">
        <v>466</v>
      </c>
      <c r="I317" s="345">
        <v>14</v>
      </c>
      <c r="J317" s="345">
        <v>17</v>
      </c>
      <c r="K317" s="345">
        <v>19</v>
      </c>
      <c r="L317" s="345">
        <v>22</v>
      </c>
      <c r="M317" s="345">
        <v>25</v>
      </c>
      <c r="N317" s="345">
        <v>28</v>
      </c>
      <c r="O317" s="345">
        <v>0</v>
      </c>
      <c r="P317" s="345">
        <v>0</v>
      </c>
      <c r="Q317" s="345" t="s">
        <v>534</v>
      </c>
      <c r="R317" s="345" t="s">
        <v>434</v>
      </c>
    </row>
    <row r="318" spans="1:18" x14ac:dyDescent="0.2">
      <c r="A318" s="345" t="s">
        <v>531</v>
      </c>
      <c r="B318" s="345" t="s">
        <v>532</v>
      </c>
      <c r="C318" s="345" t="s">
        <v>533</v>
      </c>
      <c r="D318" s="345" t="s">
        <v>491</v>
      </c>
      <c r="E318" s="345" t="s">
        <v>430</v>
      </c>
      <c r="F318" s="345" t="s">
        <v>438</v>
      </c>
      <c r="G318" s="345" t="s">
        <v>439</v>
      </c>
      <c r="H318" s="345" t="s">
        <v>439</v>
      </c>
      <c r="I318" s="345">
        <v>9</v>
      </c>
      <c r="J318" s="345">
        <v>11</v>
      </c>
      <c r="K318" s="345">
        <v>16</v>
      </c>
      <c r="L318" s="345">
        <v>21</v>
      </c>
      <c r="M318" s="345">
        <v>26</v>
      </c>
      <c r="N318" s="345">
        <v>31</v>
      </c>
      <c r="O318" s="345">
        <v>0</v>
      </c>
      <c r="P318" s="345">
        <v>0</v>
      </c>
      <c r="Q318" s="345" t="s">
        <v>534</v>
      </c>
      <c r="R318" s="345" t="s">
        <v>434</v>
      </c>
    </row>
    <row r="319" spans="1:18" x14ac:dyDescent="0.2">
      <c r="A319" s="345" t="s">
        <v>531</v>
      </c>
      <c r="B319" s="345" t="s">
        <v>532</v>
      </c>
      <c r="C319" s="345" t="s">
        <v>533</v>
      </c>
      <c r="D319" s="345" t="s">
        <v>491</v>
      </c>
      <c r="E319" s="345" t="s">
        <v>430</v>
      </c>
      <c r="F319" s="345" t="s">
        <v>478</v>
      </c>
      <c r="G319" s="345" t="s">
        <v>479</v>
      </c>
      <c r="H319" s="345" t="s">
        <v>479</v>
      </c>
      <c r="I319" s="345">
        <v>21</v>
      </c>
      <c r="J319" s="345">
        <v>24</v>
      </c>
      <c r="K319" s="345">
        <v>31</v>
      </c>
      <c r="L319" s="345">
        <v>38</v>
      </c>
      <c r="M319" s="345">
        <v>44</v>
      </c>
      <c r="N319" s="345">
        <v>51</v>
      </c>
      <c r="O319" s="345">
        <v>0</v>
      </c>
      <c r="P319" s="345">
        <v>0</v>
      </c>
      <c r="Q319" s="345" t="s">
        <v>534</v>
      </c>
      <c r="R319" s="345" t="s">
        <v>434</v>
      </c>
    </row>
    <row r="320" spans="1:18" x14ac:dyDescent="0.2">
      <c r="A320" s="345" t="s">
        <v>531</v>
      </c>
      <c r="B320" s="345" t="s">
        <v>532</v>
      </c>
      <c r="C320" s="345" t="s">
        <v>533</v>
      </c>
      <c r="D320" s="345" t="s">
        <v>491</v>
      </c>
      <c r="E320" s="345" t="s">
        <v>430</v>
      </c>
      <c r="F320" s="345" t="s">
        <v>477</v>
      </c>
      <c r="G320" s="345" t="s">
        <v>477</v>
      </c>
      <c r="H320" s="345" t="s">
        <v>477</v>
      </c>
      <c r="I320" s="345">
        <v>36</v>
      </c>
      <c r="J320" s="345">
        <v>38</v>
      </c>
      <c r="K320" s="345">
        <v>43</v>
      </c>
      <c r="L320" s="345">
        <v>48</v>
      </c>
      <c r="M320" s="345">
        <v>54</v>
      </c>
      <c r="N320" s="345">
        <v>65</v>
      </c>
      <c r="O320" s="345">
        <v>0</v>
      </c>
      <c r="P320" s="345">
        <v>0</v>
      </c>
      <c r="Q320" s="345" t="s">
        <v>534</v>
      </c>
      <c r="R320" s="345" t="s">
        <v>434</v>
      </c>
    </row>
    <row r="321" spans="1:18" x14ac:dyDescent="0.2">
      <c r="A321" s="345" t="s">
        <v>531</v>
      </c>
      <c r="B321" s="345" t="s">
        <v>532</v>
      </c>
      <c r="C321" s="345" t="s">
        <v>533</v>
      </c>
      <c r="D321" s="345" t="s">
        <v>491</v>
      </c>
      <c r="E321" s="345" t="s">
        <v>430</v>
      </c>
      <c r="F321" s="345" t="s">
        <v>431</v>
      </c>
      <c r="G321" s="345" t="s">
        <v>433</v>
      </c>
      <c r="H321" s="345" t="s">
        <v>433</v>
      </c>
      <c r="I321" s="345">
        <v>11</v>
      </c>
      <c r="J321" s="345">
        <v>13</v>
      </c>
      <c r="K321" s="345">
        <v>18</v>
      </c>
      <c r="L321" s="345">
        <v>23</v>
      </c>
      <c r="M321" s="345">
        <v>28</v>
      </c>
      <c r="N321" s="345">
        <v>33</v>
      </c>
      <c r="O321" s="345">
        <v>0</v>
      </c>
      <c r="P321" s="345">
        <v>0</v>
      </c>
      <c r="Q321" s="345" t="s">
        <v>534</v>
      </c>
      <c r="R321" s="345" t="s">
        <v>434</v>
      </c>
    </row>
    <row r="322" spans="1:18" x14ac:dyDescent="0.2">
      <c r="A322" s="345" t="s">
        <v>531</v>
      </c>
      <c r="B322" s="345" t="s">
        <v>532</v>
      </c>
      <c r="C322" s="345" t="s">
        <v>533</v>
      </c>
      <c r="D322" s="345" t="s">
        <v>491</v>
      </c>
      <c r="E322" s="345" t="s">
        <v>430</v>
      </c>
      <c r="F322" s="345" t="s">
        <v>474</v>
      </c>
      <c r="G322" s="345" t="s">
        <v>474</v>
      </c>
      <c r="H322" s="345" t="s">
        <v>474</v>
      </c>
      <c r="I322" s="345">
        <v>31</v>
      </c>
      <c r="J322" s="345">
        <v>31</v>
      </c>
      <c r="K322" s="345">
        <v>31</v>
      </c>
      <c r="L322" s="345">
        <v>31</v>
      </c>
      <c r="M322" s="345">
        <v>31</v>
      </c>
      <c r="N322" s="345">
        <v>31</v>
      </c>
      <c r="O322" s="345">
        <v>0</v>
      </c>
      <c r="P322" s="345">
        <v>0</v>
      </c>
      <c r="Q322" s="345" t="s">
        <v>534</v>
      </c>
      <c r="R322" s="345" t="s">
        <v>434</v>
      </c>
    </row>
    <row r="323" spans="1:18" x14ac:dyDescent="0.2">
      <c r="A323" s="345" t="s">
        <v>531</v>
      </c>
      <c r="B323" s="345" t="s">
        <v>532</v>
      </c>
      <c r="C323" s="345" t="s">
        <v>533</v>
      </c>
      <c r="D323" s="345" t="s">
        <v>491</v>
      </c>
      <c r="E323" s="345" t="s">
        <v>430</v>
      </c>
      <c r="F323" s="345" t="s">
        <v>461</v>
      </c>
      <c r="G323" s="345" t="s">
        <v>462</v>
      </c>
      <c r="H323" s="345" t="s">
        <v>462</v>
      </c>
      <c r="I323" s="345">
        <v>12</v>
      </c>
      <c r="J323" s="345">
        <v>12</v>
      </c>
      <c r="K323" s="345">
        <v>12</v>
      </c>
      <c r="L323" s="345">
        <v>12</v>
      </c>
      <c r="M323" s="345">
        <v>12</v>
      </c>
      <c r="N323" s="345">
        <v>12</v>
      </c>
      <c r="O323" s="345">
        <v>0</v>
      </c>
      <c r="P323" s="345">
        <v>0</v>
      </c>
      <c r="Q323" s="345" t="s">
        <v>534</v>
      </c>
      <c r="R323" s="345" t="s">
        <v>434</v>
      </c>
    </row>
    <row r="324" spans="1:18" x14ac:dyDescent="0.2">
      <c r="A324" s="345" t="s">
        <v>531</v>
      </c>
      <c r="B324" s="345" t="s">
        <v>532</v>
      </c>
      <c r="C324" s="345" t="s">
        <v>533</v>
      </c>
      <c r="D324" s="345" t="s">
        <v>491</v>
      </c>
      <c r="E324" s="345" t="s">
        <v>430</v>
      </c>
      <c r="F324" s="345" t="s">
        <v>459</v>
      </c>
      <c r="G324" s="345" t="s">
        <v>460</v>
      </c>
      <c r="H324" s="345" t="s">
        <v>460</v>
      </c>
      <c r="I324" s="345">
        <v>11</v>
      </c>
      <c r="J324" s="345">
        <v>11</v>
      </c>
      <c r="K324" s="345">
        <v>11</v>
      </c>
      <c r="L324" s="345">
        <v>11</v>
      </c>
      <c r="M324" s="345">
        <v>11</v>
      </c>
      <c r="N324" s="345">
        <v>11</v>
      </c>
      <c r="O324" s="345">
        <v>0</v>
      </c>
      <c r="P324" s="345">
        <v>0</v>
      </c>
      <c r="Q324" s="345" t="s">
        <v>534</v>
      </c>
      <c r="R324" s="345" t="s">
        <v>434</v>
      </c>
    </row>
    <row r="325" spans="1:18" x14ac:dyDescent="0.2">
      <c r="A325" s="345" t="s">
        <v>536</v>
      </c>
      <c r="B325" s="345" t="s">
        <v>537</v>
      </c>
      <c r="C325" s="345" t="s">
        <v>490</v>
      </c>
      <c r="D325" s="345" t="s">
        <v>491</v>
      </c>
      <c r="E325" s="345" t="s">
        <v>430</v>
      </c>
      <c r="F325" s="345" t="s">
        <v>465</v>
      </c>
      <c r="G325" s="345" t="s">
        <v>469</v>
      </c>
      <c r="H325" s="345" t="s">
        <v>469</v>
      </c>
      <c r="I325" s="345">
        <v>18</v>
      </c>
      <c r="J325" s="345">
        <v>22</v>
      </c>
      <c r="K325" s="345">
        <v>23</v>
      </c>
      <c r="L325" s="345">
        <v>25</v>
      </c>
      <c r="M325" s="345">
        <v>27</v>
      </c>
      <c r="N325" s="345">
        <v>29</v>
      </c>
      <c r="O325" s="345">
        <v>31</v>
      </c>
      <c r="P325" s="345">
        <v>0</v>
      </c>
      <c r="Q325" s="345" t="s">
        <v>538</v>
      </c>
      <c r="R325" s="345" t="s">
        <v>434</v>
      </c>
    </row>
    <row r="326" spans="1:18" x14ac:dyDescent="0.2">
      <c r="A326" s="345" t="s">
        <v>536</v>
      </c>
      <c r="B326" s="345" t="s">
        <v>537</v>
      </c>
      <c r="C326" s="345" t="s">
        <v>490</v>
      </c>
      <c r="D326" s="345" t="s">
        <v>491</v>
      </c>
      <c r="E326" s="345" t="s">
        <v>430</v>
      </c>
      <c r="F326" s="345" t="s">
        <v>465</v>
      </c>
      <c r="G326" s="345" t="s">
        <v>539</v>
      </c>
      <c r="H326" s="345" t="s">
        <v>539</v>
      </c>
      <c r="I326" s="345">
        <v>33</v>
      </c>
      <c r="J326" s="345">
        <v>39</v>
      </c>
      <c r="K326" s="345">
        <v>42</v>
      </c>
      <c r="L326" s="345">
        <v>45</v>
      </c>
      <c r="M326" s="345">
        <v>48</v>
      </c>
      <c r="N326" s="345">
        <v>51</v>
      </c>
      <c r="O326" s="345">
        <v>57</v>
      </c>
      <c r="P326" s="345">
        <v>0</v>
      </c>
      <c r="Q326" s="345" t="s">
        <v>538</v>
      </c>
      <c r="R326" s="345" t="s">
        <v>434</v>
      </c>
    </row>
    <row r="327" spans="1:18" x14ac:dyDescent="0.2">
      <c r="A327" s="345" t="s">
        <v>536</v>
      </c>
      <c r="B327" s="345" t="s">
        <v>537</v>
      </c>
      <c r="C327" s="345" t="s">
        <v>490</v>
      </c>
      <c r="D327" s="345" t="s">
        <v>491</v>
      </c>
      <c r="E327" s="345" t="s">
        <v>430</v>
      </c>
      <c r="F327" s="345" t="s">
        <v>465</v>
      </c>
      <c r="G327" s="345" t="s">
        <v>466</v>
      </c>
      <c r="H327" s="345" t="s">
        <v>466</v>
      </c>
      <c r="I327" s="345">
        <v>13</v>
      </c>
      <c r="J327" s="345">
        <v>15</v>
      </c>
      <c r="K327" s="345">
        <v>19</v>
      </c>
      <c r="L327" s="345">
        <v>22</v>
      </c>
      <c r="M327" s="345">
        <v>26</v>
      </c>
      <c r="N327" s="345">
        <v>29</v>
      </c>
      <c r="O327" s="345">
        <v>32</v>
      </c>
      <c r="P327" s="345">
        <v>0</v>
      </c>
      <c r="Q327" s="345" t="s">
        <v>538</v>
      </c>
      <c r="R327" s="345" t="s">
        <v>434</v>
      </c>
    </row>
    <row r="328" spans="1:18" x14ac:dyDescent="0.2">
      <c r="A328" s="345" t="s">
        <v>536</v>
      </c>
      <c r="B328" s="345" t="s">
        <v>537</v>
      </c>
      <c r="C328" s="345" t="s">
        <v>490</v>
      </c>
      <c r="D328" s="345" t="s">
        <v>491</v>
      </c>
      <c r="E328" s="345" t="s">
        <v>430</v>
      </c>
      <c r="F328" s="345" t="s">
        <v>465</v>
      </c>
      <c r="G328" s="345" t="s">
        <v>468</v>
      </c>
      <c r="H328" s="345" t="s">
        <v>468</v>
      </c>
      <c r="I328" s="345">
        <v>12</v>
      </c>
      <c r="J328" s="345">
        <v>14</v>
      </c>
      <c r="K328" s="345">
        <v>16</v>
      </c>
      <c r="L328" s="345">
        <v>19</v>
      </c>
      <c r="M328" s="345">
        <v>22</v>
      </c>
      <c r="N328" s="345">
        <v>24</v>
      </c>
      <c r="O328" s="345">
        <v>26</v>
      </c>
      <c r="P328" s="345">
        <v>0</v>
      </c>
      <c r="Q328" s="345" t="s">
        <v>538</v>
      </c>
      <c r="R328" s="345" t="s">
        <v>434</v>
      </c>
    </row>
    <row r="329" spans="1:18" x14ac:dyDescent="0.2">
      <c r="A329" s="345" t="s">
        <v>536</v>
      </c>
      <c r="B329" s="345" t="s">
        <v>537</v>
      </c>
      <c r="C329" s="345" t="s">
        <v>490</v>
      </c>
      <c r="D329" s="345" t="s">
        <v>491</v>
      </c>
      <c r="E329" s="345" t="s">
        <v>430</v>
      </c>
      <c r="F329" s="345" t="s">
        <v>438</v>
      </c>
      <c r="G329" s="345" t="s">
        <v>441</v>
      </c>
      <c r="H329" s="345" t="s">
        <v>441</v>
      </c>
      <c r="I329" s="345">
        <v>4</v>
      </c>
      <c r="J329" s="345">
        <v>5</v>
      </c>
      <c r="K329" s="345">
        <v>7</v>
      </c>
      <c r="L329" s="345">
        <v>9</v>
      </c>
      <c r="M329" s="345">
        <v>11</v>
      </c>
      <c r="N329" s="345">
        <v>14</v>
      </c>
      <c r="O329" s="345">
        <v>16</v>
      </c>
      <c r="P329" s="345">
        <v>0</v>
      </c>
      <c r="Q329" s="345" t="s">
        <v>538</v>
      </c>
      <c r="R329" s="345" t="s">
        <v>434</v>
      </c>
    </row>
    <row r="330" spans="1:18" x14ac:dyDescent="0.2">
      <c r="A330" s="345" t="s">
        <v>536</v>
      </c>
      <c r="B330" s="345" t="s">
        <v>537</v>
      </c>
      <c r="C330" s="345" t="s">
        <v>490</v>
      </c>
      <c r="D330" s="345" t="s">
        <v>491</v>
      </c>
      <c r="E330" s="345" t="s">
        <v>430</v>
      </c>
      <c r="F330" s="345" t="s">
        <v>438</v>
      </c>
      <c r="G330" s="345" t="s">
        <v>540</v>
      </c>
      <c r="H330" s="345" t="s">
        <v>540</v>
      </c>
      <c r="I330" s="345">
        <v>6</v>
      </c>
      <c r="J330" s="345">
        <v>9</v>
      </c>
      <c r="K330" s="345">
        <v>12</v>
      </c>
      <c r="L330" s="345">
        <v>15</v>
      </c>
      <c r="M330" s="345">
        <v>21</v>
      </c>
      <c r="N330" s="345">
        <v>27</v>
      </c>
      <c r="O330" s="345">
        <v>30</v>
      </c>
      <c r="P330" s="345">
        <v>0</v>
      </c>
      <c r="Q330" s="345" t="s">
        <v>538</v>
      </c>
      <c r="R330" s="345" t="s">
        <v>434</v>
      </c>
    </row>
    <row r="331" spans="1:18" x14ac:dyDescent="0.2">
      <c r="A331" s="345" t="s">
        <v>536</v>
      </c>
      <c r="B331" s="345" t="s">
        <v>537</v>
      </c>
      <c r="C331" s="345" t="s">
        <v>490</v>
      </c>
      <c r="D331" s="345" t="s">
        <v>491</v>
      </c>
      <c r="E331" s="345" t="s">
        <v>430</v>
      </c>
      <c r="F331" s="345" t="s">
        <v>438</v>
      </c>
      <c r="G331" s="345" t="s">
        <v>439</v>
      </c>
      <c r="H331" s="345" t="s">
        <v>439</v>
      </c>
      <c r="I331" s="345">
        <v>7</v>
      </c>
      <c r="J331" s="345">
        <v>8</v>
      </c>
      <c r="K331" s="345">
        <v>12</v>
      </c>
      <c r="L331" s="345">
        <v>15</v>
      </c>
      <c r="M331" s="345">
        <v>19</v>
      </c>
      <c r="N331" s="345">
        <v>22</v>
      </c>
      <c r="O331" s="345">
        <v>24</v>
      </c>
      <c r="P331" s="345">
        <v>0</v>
      </c>
      <c r="Q331" s="345" t="s">
        <v>538</v>
      </c>
      <c r="R331" s="345" t="s">
        <v>434</v>
      </c>
    </row>
    <row r="332" spans="1:18" x14ac:dyDescent="0.2">
      <c r="A332" s="345" t="s">
        <v>536</v>
      </c>
      <c r="B332" s="345" t="s">
        <v>537</v>
      </c>
      <c r="C332" s="345" t="s">
        <v>490</v>
      </c>
      <c r="D332" s="345" t="s">
        <v>491</v>
      </c>
      <c r="E332" s="345" t="s">
        <v>430</v>
      </c>
      <c r="F332" s="345" t="s">
        <v>456</v>
      </c>
      <c r="G332" s="345" t="s">
        <v>541</v>
      </c>
      <c r="H332" s="345" t="s">
        <v>458</v>
      </c>
      <c r="I332" s="345">
        <v>22</v>
      </c>
      <c r="J332" s="345">
        <v>26</v>
      </c>
      <c r="K332" s="345">
        <v>36</v>
      </c>
      <c r="L332" s="345">
        <v>46</v>
      </c>
      <c r="M332" s="345">
        <v>56</v>
      </c>
      <c r="N332" s="345">
        <v>66</v>
      </c>
      <c r="O332" s="345">
        <v>72</v>
      </c>
      <c r="P332" s="345">
        <v>0</v>
      </c>
      <c r="Q332" s="345" t="s">
        <v>538</v>
      </c>
      <c r="R332" s="345" t="s">
        <v>434</v>
      </c>
    </row>
    <row r="333" spans="1:18" x14ac:dyDescent="0.2">
      <c r="A333" s="345" t="s">
        <v>536</v>
      </c>
      <c r="B333" s="345" t="s">
        <v>537</v>
      </c>
      <c r="C333" s="345" t="s">
        <v>490</v>
      </c>
      <c r="D333" s="345" t="s">
        <v>491</v>
      </c>
      <c r="E333" s="345" t="s">
        <v>430</v>
      </c>
      <c r="F333" s="345" t="s">
        <v>456</v>
      </c>
      <c r="G333" s="345" t="s">
        <v>542</v>
      </c>
      <c r="H333" s="345" t="s">
        <v>542</v>
      </c>
      <c r="I333" s="345">
        <v>24</v>
      </c>
      <c r="J333" s="345">
        <v>30</v>
      </c>
      <c r="K333" s="345">
        <v>45</v>
      </c>
      <c r="L333" s="345">
        <v>60</v>
      </c>
      <c r="M333" s="345">
        <v>75</v>
      </c>
      <c r="N333" s="345">
        <v>91</v>
      </c>
      <c r="O333" s="345">
        <v>99</v>
      </c>
      <c r="P333" s="345">
        <v>0</v>
      </c>
      <c r="Q333" s="345" t="s">
        <v>538</v>
      </c>
      <c r="R333" s="345" t="s">
        <v>434</v>
      </c>
    </row>
    <row r="334" spans="1:18" x14ac:dyDescent="0.2">
      <c r="A334" s="345" t="s">
        <v>536</v>
      </c>
      <c r="B334" s="345" t="s">
        <v>537</v>
      </c>
      <c r="C334" s="345" t="s">
        <v>490</v>
      </c>
      <c r="D334" s="345" t="s">
        <v>491</v>
      </c>
      <c r="E334" s="345" t="s">
        <v>430</v>
      </c>
      <c r="F334" s="345" t="s">
        <v>431</v>
      </c>
      <c r="G334" s="345" t="s">
        <v>433</v>
      </c>
      <c r="H334" s="345" t="s">
        <v>433</v>
      </c>
      <c r="I334" s="345">
        <v>12</v>
      </c>
      <c r="J334" s="345">
        <v>14</v>
      </c>
      <c r="K334" s="345">
        <v>19</v>
      </c>
      <c r="L334" s="345">
        <v>24</v>
      </c>
      <c r="M334" s="345">
        <v>29</v>
      </c>
      <c r="N334" s="345">
        <v>34</v>
      </c>
      <c r="O334" s="345">
        <v>37</v>
      </c>
      <c r="P334" s="345">
        <v>0</v>
      </c>
      <c r="Q334" s="345" t="s">
        <v>538</v>
      </c>
      <c r="R334" s="345" t="s">
        <v>434</v>
      </c>
    </row>
    <row r="335" spans="1:18" x14ac:dyDescent="0.2">
      <c r="A335" s="345" t="s">
        <v>536</v>
      </c>
      <c r="B335" s="345" t="s">
        <v>537</v>
      </c>
      <c r="C335" s="345" t="s">
        <v>490</v>
      </c>
      <c r="D335" s="345" t="s">
        <v>491</v>
      </c>
      <c r="E335" s="345" t="s">
        <v>430</v>
      </c>
      <c r="F335" s="345" t="s">
        <v>478</v>
      </c>
      <c r="G335" s="345" t="s">
        <v>480</v>
      </c>
      <c r="H335" s="345" t="s">
        <v>480</v>
      </c>
      <c r="I335" s="345">
        <v>9</v>
      </c>
      <c r="J335" s="345">
        <v>11</v>
      </c>
      <c r="K335" s="345">
        <v>14</v>
      </c>
      <c r="L335" s="345">
        <v>20</v>
      </c>
      <c r="M335" s="345">
        <v>23</v>
      </c>
      <c r="N335" s="345">
        <v>29</v>
      </c>
      <c r="O335" s="345">
        <v>31</v>
      </c>
      <c r="P335" s="345">
        <v>0</v>
      </c>
      <c r="Q335" s="345" t="s">
        <v>538</v>
      </c>
      <c r="R335" s="345" t="s">
        <v>434</v>
      </c>
    </row>
    <row r="336" spans="1:18" x14ac:dyDescent="0.2">
      <c r="A336" s="345" t="s">
        <v>536</v>
      </c>
      <c r="B336" s="345" t="s">
        <v>537</v>
      </c>
      <c r="C336" s="345" t="s">
        <v>490</v>
      </c>
      <c r="D336" s="345" t="s">
        <v>491</v>
      </c>
      <c r="E336" s="345" t="s">
        <v>430</v>
      </c>
      <c r="F336" s="345" t="s">
        <v>478</v>
      </c>
      <c r="G336" s="345" t="s">
        <v>543</v>
      </c>
      <c r="H336" s="345" t="s">
        <v>543</v>
      </c>
      <c r="I336" s="345">
        <v>15</v>
      </c>
      <c r="J336" s="345">
        <v>21</v>
      </c>
      <c r="K336" s="345">
        <v>27</v>
      </c>
      <c r="L336" s="345">
        <v>36</v>
      </c>
      <c r="M336" s="345">
        <v>42</v>
      </c>
      <c r="N336" s="345">
        <v>51</v>
      </c>
      <c r="O336" s="345">
        <v>57</v>
      </c>
      <c r="P336" s="345">
        <v>0</v>
      </c>
      <c r="Q336" s="345" t="s">
        <v>538</v>
      </c>
      <c r="R336" s="345" t="s">
        <v>434</v>
      </c>
    </row>
    <row r="337" spans="1:18" x14ac:dyDescent="0.2">
      <c r="A337" s="345" t="s">
        <v>536</v>
      </c>
      <c r="B337" s="345" t="s">
        <v>537</v>
      </c>
      <c r="C337" s="345" t="s">
        <v>490</v>
      </c>
      <c r="D337" s="345" t="s">
        <v>491</v>
      </c>
      <c r="E337" s="345" t="s">
        <v>430</v>
      </c>
      <c r="F337" s="345" t="s">
        <v>478</v>
      </c>
      <c r="G337" s="345" t="s">
        <v>479</v>
      </c>
      <c r="H337" s="345" t="s">
        <v>479</v>
      </c>
      <c r="I337" s="345">
        <v>15</v>
      </c>
      <c r="J337" s="345">
        <v>18</v>
      </c>
      <c r="K337" s="345">
        <v>23</v>
      </c>
      <c r="L337" s="345">
        <v>28</v>
      </c>
      <c r="M337" s="345">
        <v>33</v>
      </c>
      <c r="N337" s="345">
        <v>38</v>
      </c>
      <c r="O337" s="345">
        <v>41</v>
      </c>
      <c r="P337" s="345">
        <v>0</v>
      </c>
      <c r="Q337" s="345" t="s">
        <v>538</v>
      </c>
      <c r="R337" s="345" t="s">
        <v>434</v>
      </c>
    </row>
    <row r="338" spans="1:18" x14ac:dyDescent="0.2">
      <c r="A338" s="345" t="s">
        <v>536</v>
      </c>
      <c r="B338" s="345" t="s">
        <v>537</v>
      </c>
      <c r="C338" s="345" t="s">
        <v>490</v>
      </c>
      <c r="D338" s="345" t="s">
        <v>491</v>
      </c>
      <c r="E338" s="345" t="s">
        <v>430</v>
      </c>
      <c r="F338" s="345" t="s">
        <v>477</v>
      </c>
      <c r="G338" s="345" t="s">
        <v>477</v>
      </c>
      <c r="H338" s="345" t="s">
        <v>477</v>
      </c>
      <c r="I338" s="345">
        <v>28</v>
      </c>
      <c r="J338" s="345">
        <v>29</v>
      </c>
      <c r="K338" s="345">
        <v>31</v>
      </c>
      <c r="L338" s="345">
        <v>34</v>
      </c>
      <c r="M338" s="345">
        <v>37</v>
      </c>
      <c r="N338" s="345">
        <v>40</v>
      </c>
      <c r="O338" s="345">
        <v>42</v>
      </c>
      <c r="P338" s="345">
        <v>0</v>
      </c>
      <c r="Q338" s="345" t="s">
        <v>538</v>
      </c>
      <c r="R338" s="345" t="s">
        <v>434</v>
      </c>
    </row>
    <row r="339" spans="1:18" x14ac:dyDescent="0.2">
      <c r="A339" s="345" t="s">
        <v>536</v>
      </c>
      <c r="B339" s="345" t="s">
        <v>537</v>
      </c>
      <c r="C339" s="345" t="s">
        <v>490</v>
      </c>
      <c r="D339" s="345" t="s">
        <v>491</v>
      </c>
      <c r="E339" s="345" t="s">
        <v>430</v>
      </c>
      <c r="F339" s="345" t="s">
        <v>463</v>
      </c>
      <c r="G339" s="345" t="s">
        <v>463</v>
      </c>
      <c r="H339" s="345" t="s">
        <v>463</v>
      </c>
      <c r="I339" s="345">
        <v>35</v>
      </c>
      <c r="J339" s="345">
        <v>35</v>
      </c>
      <c r="K339" s="345">
        <v>35</v>
      </c>
      <c r="L339" s="345">
        <v>35</v>
      </c>
      <c r="M339" s="345">
        <v>35</v>
      </c>
      <c r="N339" s="345">
        <v>35</v>
      </c>
      <c r="O339" s="345">
        <v>35</v>
      </c>
      <c r="P339" s="345">
        <v>0</v>
      </c>
      <c r="Q339" s="345" t="s">
        <v>538</v>
      </c>
      <c r="R339" s="345" t="s">
        <v>434</v>
      </c>
    </row>
    <row r="340" spans="1:18" x14ac:dyDescent="0.2">
      <c r="A340" s="345" t="s">
        <v>536</v>
      </c>
      <c r="B340" s="345" t="s">
        <v>537</v>
      </c>
      <c r="C340" s="345" t="s">
        <v>490</v>
      </c>
      <c r="D340" s="345" t="s">
        <v>491</v>
      </c>
      <c r="E340" s="345" t="s">
        <v>430</v>
      </c>
      <c r="F340" s="345" t="s">
        <v>474</v>
      </c>
      <c r="G340" s="345" t="s">
        <v>474</v>
      </c>
      <c r="H340" s="345" t="s">
        <v>474</v>
      </c>
      <c r="I340" s="345">
        <v>33</v>
      </c>
      <c r="J340" s="345">
        <v>33</v>
      </c>
      <c r="K340" s="345">
        <v>33</v>
      </c>
      <c r="L340" s="345">
        <v>33</v>
      </c>
      <c r="M340" s="345">
        <v>33</v>
      </c>
      <c r="N340" s="345">
        <v>33</v>
      </c>
      <c r="O340" s="345">
        <v>33</v>
      </c>
      <c r="P340" s="345">
        <v>0</v>
      </c>
      <c r="Q340" s="345" t="s">
        <v>538</v>
      </c>
      <c r="R340" s="345" t="s">
        <v>434</v>
      </c>
    </row>
    <row r="341" spans="1:18" x14ac:dyDescent="0.2">
      <c r="A341" s="345" t="s">
        <v>536</v>
      </c>
      <c r="B341" s="345" t="s">
        <v>537</v>
      </c>
      <c r="C341" s="345" t="s">
        <v>490</v>
      </c>
      <c r="D341" s="345" t="s">
        <v>491</v>
      </c>
      <c r="E341" s="345" t="s">
        <v>430</v>
      </c>
      <c r="F341" s="345" t="s">
        <v>449</v>
      </c>
      <c r="G341" s="345" t="s">
        <v>544</v>
      </c>
      <c r="H341" s="345" t="s">
        <v>544</v>
      </c>
      <c r="I341" s="345">
        <v>28</v>
      </c>
      <c r="J341" s="345">
        <v>28</v>
      </c>
      <c r="K341" s="345">
        <v>28</v>
      </c>
      <c r="L341" s="345">
        <v>28</v>
      </c>
      <c r="M341" s="345">
        <v>28</v>
      </c>
      <c r="N341" s="345">
        <v>28</v>
      </c>
      <c r="O341" s="345">
        <v>28</v>
      </c>
      <c r="P341" s="345">
        <v>0</v>
      </c>
      <c r="Q341" s="345" t="s">
        <v>538</v>
      </c>
      <c r="R341" s="345" t="s">
        <v>434</v>
      </c>
    </row>
    <row r="342" spans="1:18" x14ac:dyDescent="0.2">
      <c r="A342" s="345" t="s">
        <v>536</v>
      </c>
      <c r="B342" s="345" t="s">
        <v>537</v>
      </c>
      <c r="C342" s="345" t="s">
        <v>490</v>
      </c>
      <c r="D342" s="345" t="s">
        <v>491</v>
      </c>
      <c r="E342" s="345" t="s">
        <v>430</v>
      </c>
      <c r="F342" s="345" t="s">
        <v>449</v>
      </c>
      <c r="G342" s="345" t="s">
        <v>545</v>
      </c>
      <c r="H342" s="345" t="s">
        <v>545</v>
      </c>
      <c r="I342" s="345">
        <v>5</v>
      </c>
      <c r="J342" s="345">
        <v>5</v>
      </c>
      <c r="K342" s="345">
        <v>5</v>
      </c>
      <c r="L342" s="345">
        <v>5</v>
      </c>
      <c r="M342" s="345">
        <v>5</v>
      </c>
      <c r="N342" s="345">
        <v>5</v>
      </c>
      <c r="O342" s="345">
        <v>5</v>
      </c>
      <c r="P342" s="345">
        <v>0</v>
      </c>
      <c r="Q342" s="345" t="s">
        <v>538</v>
      </c>
      <c r="R342" s="345" t="s">
        <v>434</v>
      </c>
    </row>
    <row r="343" spans="1:18" x14ac:dyDescent="0.2">
      <c r="A343" s="345" t="s">
        <v>536</v>
      </c>
      <c r="B343" s="345" t="s">
        <v>537</v>
      </c>
      <c r="C343" s="345" t="s">
        <v>490</v>
      </c>
      <c r="D343" s="345" t="s">
        <v>491</v>
      </c>
      <c r="E343" s="345" t="s">
        <v>430</v>
      </c>
      <c r="F343" s="345" t="s">
        <v>449</v>
      </c>
      <c r="G343" s="345" t="s">
        <v>546</v>
      </c>
      <c r="H343" s="345" t="s">
        <v>546</v>
      </c>
      <c r="I343" s="345">
        <v>45</v>
      </c>
      <c r="J343" s="345">
        <v>45</v>
      </c>
      <c r="K343" s="345">
        <v>45</v>
      </c>
      <c r="L343" s="345">
        <v>45</v>
      </c>
      <c r="M343" s="345">
        <v>45</v>
      </c>
      <c r="N343" s="345">
        <v>45</v>
      </c>
      <c r="O343" s="345">
        <v>45</v>
      </c>
      <c r="P343" s="345">
        <v>0</v>
      </c>
      <c r="Q343" s="345" t="s">
        <v>538</v>
      </c>
      <c r="R343" s="345" t="s">
        <v>434</v>
      </c>
    </row>
    <row r="344" spans="1:18" x14ac:dyDescent="0.2">
      <c r="A344" s="345" t="s">
        <v>536</v>
      </c>
      <c r="B344" s="345" t="s">
        <v>537</v>
      </c>
      <c r="C344" s="345" t="s">
        <v>490</v>
      </c>
      <c r="D344" s="345" t="s">
        <v>491</v>
      </c>
      <c r="E344" s="345" t="s">
        <v>430</v>
      </c>
      <c r="F344" s="345" t="s">
        <v>459</v>
      </c>
      <c r="G344" s="345" t="s">
        <v>460</v>
      </c>
      <c r="H344" s="345" t="s">
        <v>460</v>
      </c>
      <c r="I344" s="345">
        <v>11</v>
      </c>
      <c r="J344" s="345">
        <v>11</v>
      </c>
      <c r="K344" s="345">
        <v>11</v>
      </c>
      <c r="L344" s="345">
        <v>11</v>
      </c>
      <c r="M344" s="345">
        <v>11</v>
      </c>
      <c r="N344" s="345">
        <v>11</v>
      </c>
      <c r="O344" s="345">
        <v>11</v>
      </c>
      <c r="P344" s="345">
        <v>0</v>
      </c>
      <c r="Q344" s="345" t="s">
        <v>538</v>
      </c>
      <c r="R344" s="345" t="s">
        <v>434</v>
      </c>
    </row>
    <row r="345" spans="1:18" x14ac:dyDescent="0.2">
      <c r="A345" s="345" t="s">
        <v>536</v>
      </c>
      <c r="B345" s="345" t="s">
        <v>537</v>
      </c>
      <c r="C345" s="345" t="s">
        <v>490</v>
      </c>
      <c r="D345" s="345" t="s">
        <v>491</v>
      </c>
      <c r="E345" s="345" t="s">
        <v>430</v>
      </c>
      <c r="F345" s="345" t="s">
        <v>461</v>
      </c>
      <c r="G345" s="345" t="s">
        <v>462</v>
      </c>
      <c r="H345" s="345" t="s">
        <v>462</v>
      </c>
      <c r="I345" s="345">
        <v>12</v>
      </c>
      <c r="J345" s="345">
        <v>12</v>
      </c>
      <c r="K345" s="345">
        <v>12</v>
      </c>
      <c r="L345" s="345">
        <v>12</v>
      </c>
      <c r="M345" s="345">
        <v>12</v>
      </c>
      <c r="N345" s="345">
        <v>12</v>
      </c>
      <c r="O345" s="345">
        <v>12</v>
      </c>
      <c r="P345" s="345">
        <v>0</v>
      </c>
      <c r="Q345" s="345" t="s">
        <v>538</v>
      </c>
      <c r="R345" s="345" t="s">
        <v>434</v>
      </c>
    </row>
    <row r="346" spans="1:18" x14ac:dyDescent="0.2">
      <c r="A346" s="345" t="s">
        <v>512</v>
      </c>
      <c r="B346" s="345" t="s">
        <v>344</v>
      </c>
      <c r="C346" s="345" t="s">
        <v>793</v>
      </c>
      <c r="D346" s="345" t="s">
        <v>794</v>
      </c>
      <c r="E346" s="345" t="s">
        <v>483</v>
      </c>
      <c r="F346" s="345" t="s">
        <v>431</v>
      </c>
      <c r="G346" s="345" t="s">
        <v>432</v>
      </c>
      <c r="H346" s="345" t="s">
        <v>433</v>
      </c>
      <c r="I346" s="345">
        <v>32</v>
      </c>
      <c r="J346" s="345">
        <v>39</v>
      </c>
      <c r="K346" s="345">
        <v>52</v>
      </c>
      <c r="L346" s="345">
        <v>60</v>
      </c>
      <c r="M346" s="345">
        <v>68</v>
      </c>
      <c r="N346" s="345">
        <v>75</v>
      </c>
      <c r="O346" s="345">
        <v>83</v>
      </c>
      <c r="P346" s="345">
        <v>99</v>
      </c>
      <c r="Q346" s="345" t="s">
        <v>795</v>
      </c>
      <c r="R346" s="345" t="s">
        <v>434</v>
      </c>
    </row>
    <row r="347" spans="1:18" x14ac:dyDescent="0.2">
      <c r="A347" s="345" t="s">
        <v>512</v>
      </c>
      <c r="B347" s="345" t="s">
        <v>344</v>
      </c>
      <c r="C347" s="345" t="s">
        <v>793</v>
      </c>
      <c r="D347" s="345" t="s">
        <v>794</v>
      </c>
      <c r="E347" s="345" t="s">
        <v>483</v>
      </c>
      <c r="F347" s="345" t="s">
        <v>431</v>
      </c>
      <c r="G347" s="345" t="s">
        <v>435</v>
      </c>
      <c r="H347" s="345" t="s">
        <v>436</v>
      </c>
      <c r="I347" s="345">
        <v>0</v>
      </c>
      <c r="J347" s="345">
        <v>0</v>
      </c>
      <c r="K347" s="345">
        <v>0</v>
      </c>
      <c r="L347" s="345">
        <v>0</v>
      </c>
      <c r="M347" s="345">
        <v>0</v>
      </c>
      <c r="N347" s="345">
        <v>0</v>
      </c>
      <c r="O347" s="345">
        <v>0</v>
      </c>
      <c r="P347" s="345">
        <v>0</v>
      </c>
      <c r="Q347" s="345" t="s">
        <v>795</v>
      </c>
      <c r="R347" s="345" t="s">
        <v>437</v>
      </c>
    </row>
    <row r="348" spans="1:18" x14ac:dyDescent="0.2">
      <c r="A348" s="345" t="s">
        <v>512</v>
      </c>
      <c r="B348" s="345" t="s">
        <v>344</v>
      </c>
      <c r="C348" s="345" t="s">
        <v>793</v>
      </c>
      <c r="D348" s="345" t="s">
        <v>794</v>
      </c>
      <c r="E348" s="345" t="s">
        <v>483</v>
      </c>
      <c r="F348" s="345" t="s">
        <v>438</v>
      </c>
      <c r="G348" s="345" t="s">
        <v>432</v>
      </c>
      <c r="H348" s="345" t="s">
        <v>439</v>
      </c>
      <c r="I348" s="345">
        <v>27</v>
      </c>
      <c r="J348" s="345">
        <v>32</v>
      </c>
      <c r="K348" s="345">
        <v>36</v>
      </c>
      <c r="L348" s="345">
        <v>40</v>
      </c>
      <c r="M348" s="345">
        <v>45</v>
      </c>
      <c r="N348" s="345">
        <v>49</v>
      </c>
      <c r="O348" s="345">
        <v>54</v>
      </c>
      <c r="P348" s="345">
        <v>65</v>
      </c>
      <c r="Q348" s="345" t="s">
        <v>795</v>
      </c>
      <c r="R348" s="345" t="s">
        <v>434</v>
      </c>
    </row>
    <row r="349" spans="1:18" x14ac:dyDescent="0.2">
      <c r="A349" s="345" t="s">
        <v>512</v>
      </c>
      <c r="B349" s="345" t="s">
        <v>344</v>
      </c>
      <c r="C349" s="345" t="s">
        <v>793</v>
      </c>
      <c r="D349" s="345" t="s">
        <v>794</v>
      </c>
      <c r="E349" s="345" t="s">
        <v>483</v>
      </c>
      <c r="F349" s="345" t="s">
        <v>438</v>
      </c>
      <c r="G349" s="345" t="s">
        <v>440</v>
      </c>
      <c r="H349" s="345" t="s">
        <v>441</v>
      </c>
      <c r="I349" s="345">
        <v>5</v>
      </c>
      <c r="J349" s="345">
        <v>6</v>
      </c>
      <c r="K349" s="345">
        <v>7</v>
      </c>
      <c r="L349" s="345">
        <v>8</v>
      </c>
      <c r="M349" s="345">
        <v>9</v>
      </c>
      <c r="N349" s="345">
        <v>11</v>
      </c>
      <c r="O349" s="345">
        <v>12</v>
      </c>
      <c r="P349" s="345">
        <v>14</v>
      </c>
      <c r="Q349" s="345" t="s">
        <v>795</v>
      </c>
      <c r="R349" s="345" t="s">
        <v>434</v>
      </c>
    </row>
    <row r="350" spans="1:18" x14ac:dyDescent="0.2">
      <c r="A350" s="345" t="s">
        <v>512</v>
      </c>
      <c r="B350" s="345" t="s">
        <v>344</v>
      </c>
      <c r="C350" s="345" t="s">
        <v>793</v>
      </c>
      <c r="D350" s="345" t="s">
        <v>794</v>
      </c>
      <c r="E350" s="345" t="s">
        <v>483</v>
      </c>
      <c r="F350" s="345" t="s">
        <v>442</v>
      </c>
      <c r="G350" s="345" t="s">
        <v>443</v>
      </c>
      <c r="H350" s="345" t="s">
        <v>444</v>
      </c>
      <c r="I350" s="345">
        <v>0</v>
      </c>
      <c r="J350" s="345">
        <v>0</v>
      </c>
      <c r="K350" s="345">
        <v>0</v>
      </c>
      <c r="L350" s="345">
        <v>0</v>
      </c>
      <c r="M350" s="345">
        <v>0</v>
      </c>
      <c r="N350" s="345">
        <v>0</v>
      </c>
      <c r="O350" s="345">
        <v>0</v>
      </c>
      <c r="P350" s="345">
        <v>0</v>
      </c>
      <c r="Q350" s="345" t="s">
        <v>795</v>
      </c>
      <c r="R350" s="345" t="s">
        <v>437</v>
      </c>
    </row>
    <row r="351" spans="1:18" x14ac:dyDescent="0.2">
      <c r="A351" s="345" t="s">
        <v>512</v>
      </c>
      <c r="B351" s="345" t="s">
        <v>344</v>
      </c>
      <c r="C351" s="345" t="s">
        <v>793</v>
      </c>
      <c r="D351" s="345" t="s">
        <v>794</v>
      </c>
      <c r="E351" s="345" t="s">
        <v>483</v>
      </c>
      <c r="F351" s="345" t="s">
        <v>445</v>
      </c>
      <c r="G351" s="345" t="s">
        <v>443</v>
      </c>
      <c r="H351" s="345" t="s">
        <v>446</v>
      </c>
      <c r="I351" s="345">
        <v>0</v>
      </c>
      <c r="J351" s="345">
        <v>0</v>
      </c>
      <c r="K351" s="345">
        <v>0</v>
      </c>
      <c r="L351" s="345">
        <v>0</v>
      </c>
      <c r="M351" s="345">
        <v>0</v>
      </c>
      <c r="N351" s="345">
        <v>0</v>
      </c>
      <c r="O351" s="345">
        <v>0</v>
      </c>
      <c r="P351" s="345">
        <v>0</v>
      </c>
      <c r="Q351" s="345" t="s">
        <v>795</v>
      </c>
      <c r="R351" s="345" t="s">
        <v>437</v>
      </c>
    </row>
    <row r="352" spans="1:18" x14ac:dyDescent="0.2">
      <c r="A352" s="345" t="s">
        <v>512</v>
      </c>
      <c r="B352" s="345" t="s">
        <v>344</v>
      </c>
      <c r="C352" s="345" t="s">
        <v>793</v>
      </c>
      <c r="D352" s="345" t="s">
        <v>794</v>
      </c>
      <c r="E352" s="345" t="s">
        <v>483</v>
      </c>
      <c r="F352" s="345" t="s">
        <v>447</v>
      </c>
      <c r="G352" s="345" t="s">
        <v>443</v>
      </c>
      <c r="H352" s="345" t="s">
        <v>448</v>
      </c>
      <c r="I352" s="345">
        <v>0</v>
      </c>
      <c r="J352" s="345">
        <v>0</v>
      </c>
      <c r="K352" s="345">
        <v>0</v>
      </c>
      <c r="L352" s="345">
        <v>0</v>
      </c>
      <c r="M352" s="345">
        <v>0</v>
      </c>
      <c r="N352" s="345">
        <v>0</v>
      </c>
      <c r="O352" s="345">
        <v>0</v>
      </c>
      <c r="P352" s="345">
        <v>0</v>
      </c>
      <c r="Q352" s="345" t="s">
        <v>795</v>
      </c>
      <c r="R352" s="345" t="s">
        <v>437</v>
      </c>
    </row>
    <row r="353" spans="1:18" x14ac:dyDescent="0.2">
      <c r="A353" s="345" t="s">
        <v>512</v>
      </c>
      <c r="B353" s="345" t="s">
        <v>344</v>
      </c>
      <c r="C353" s="345" t="s">
        <v>793</v>
      </c>
      <c r="D353" s="345" t="s">
        <v>794</v>
      </c>
      <c r="E353" s="345" t="s">
        <v>483</v>
      </c>
      <c r="F353" s="345" t="s">
        <v>449</v>
      </c>
      <c r="G353" s="345" t="s">
        <v>450</v>
      </c>
      <c r="H353" s="345" t="s">
        <v>451</v>
      </c>
      <c r="I353" s="345">
        <v>0</v>
      </c>
      <c r="J353" s="345">
        <v>0</v>
      </c>
      <c r="K353" s="345">
        <v>0</v>
      </c>
      <c r="L353" s="345">
        <v>0</v>
      </c>
      <c r="M353" s="345">
        <v>0</v>
      </c>
      <c r="N353" s="345">
        <v>0</v>
      </c>
      <c r="O353" s="345">
        <v>0</v>
      </c>
      <c r="P353" s="345">
        <v>0</v>
      </c>
      <c r="Q353" s="345" t="s">
        <v>795</v>
      </c>
      <c r="R353" s="345" t="s">
        <v>437</v>
      </c>
    </row>
    <row r="354" spans="1:18" x14ac:dyDescent="0.2">
      <c r="A354" s="345" t="s">
        <v>512</v>
      </c>
      <c r="B354" s="345" t="s">
        <v>344</v>
      </c>
      <c r="C354" s="345" t="s">
        <v>793</v>
      </c>
      <c r="D354" s="345" t="s">
        <v>794</v>
      </c>
      <c r="E354" s="345" t="s">
        <v>483</v>
      </c>
      <c r="F354" s="345" t="s">
        <v>449</v>
      </c>
      <c r="G354" s="345" t="s">
        <v>452</v>
      </c>
      <c r="H354" s="345" t="s">
        <v>453</v>
      </c>
      <c r="I354" s="345">
        <v>0</v>
      </c>
      <c r="J354" s="345">
        <v>0</v>
      </c>
      <c r="K354" s="345">
        <v>0</v>
      </c>
      <c r="L354" s="345">
        <v>0</v>
      </c>
      <c r="M354" s="345">
        <v>0</v>
      </c>
      <c r="N354" s="345">
        <v>0</v>
      </c>
      <c r="O354" s="345">
        <v>0</v>
      </c>
      <c r="P354" s="345">
        <v>0</v>
      </c>
      <c r="Q354" s="345" t="s">
        <v>795</v>
      </c>
      <c r="R354" s="345" t="s">
        <v>437</v>
      </c>
    </row>
    <row r="355" spans="1:18" x14ac:dyDescent="0.2">
      <c r="A355" s="345" t="s">
        <v>512</v>
      </c>
      <c r="B355" s="345" t="s">
        <v>344</v>
      </c>
      <c r="C355" s="345" t="s">
        <v>793</v>
      </c>
      <c r="D355" s="345" t="s">
        <v>794</v>
      </c>
      <c r="E355" s="345" t="s">
        <v>483</v>
      </c>
      <c r="F355" s="345" t="s">
        <v>449</v>
      </c>
      <c r="G355" s="345" t="s">
        <v>454</v>
      </c>
      <c r="H355" s="345" t="s">
        <v>455</v>
      </c>
      <c r="I355" s="345">
        <v>12</v>
      </c>
      <c r="J355" s="345">
        <v>12</v>
      </c>
      <c r="K355" s="345">
        <v>12</v>
      </c>
      <c r="L355" s="345">
        <v>12</v>
      </c>
      <c r="M355" s="345">
        <v>12</v>
      </c>
      <c r="N355" s="345">
        <v>12</v>
      </c>
      <c r="O355" s="345">
        <v>12</v>
      </c>
      <c r="P355" s="345">
        <v>12</v>
      </c>
      <c r="Q355" s="345" t="s">
        <v>795</v>
      </c>
      <c r="R355" s="345" t="s">
        <v>434</v>
      </c>
    </row>
    <row r="356" spans="1:18" x14ac:dyDescent="0.2">
      <c r="A356" s="345" t="s">
        <v>512</v>
      </c>
      <c r="B356" s="345" t="s">
        <v>344</v>
      </c>
      <c r="C356" s="345" t="s">
        <v>793</v>
      </c>
      <c r="D356" s="345" t="s">
        <v>794</v>
      </c>
      <c r="E356" s="345" t="s">
        <v>483</v>
      </c>
      <c r="F356" s="345" t="s">
        <v>456</v>
      </c>
      <c r="G356" s="345" t="s">
        <v>457</v>
      </c>
      <c r="H356" s="345" t="s">
        <v>458</v>
      </c>
      <c r="I356" s="345">
        <v>70</v>
      </c>
      <c r="J356" s="345">
        <v>92</v>
      </c>
      <c r="K356" s="345">
        <v>109</v>
      </c>
      <c r="L356" s="345">
        <v>132</v>
      </c>
      <c r="M356" s="345">
        <v>156</v>
      </c>
      <c r="N356" s="345">
        <v>184</v>
      </c>
      <c r="O356" s="345">
        <v>202</v>
      </c>
      <c r="P356" s="345">
        <v>243</v>
      </c>
      <c r="Q356" s="345" t="s">
        <v>795</v>
      </c>
      <c r="R356" s="345" t="s">
        <v>434</v>
      </c>
    </row>
    <row r="357" spans="1:18" x14ac:dyDescent="0.2">
      <c r="A357" s="345" t="s">
        <v>512</v>
      </c>
      <c r="B357" s="345" t="s">
        <v>344</v>
      </c>
      <c r="C357" s="345" t="s">
        <v>793</v>
      </c>
      <c r="D357" s="345" t="s">
        <v>794</v>
      </c>
      <c r="E357" s="345" t="s">
        <v>483</v>
      </c>
      <c r="F357" s="345" t="s">
        <v>459</v>
      </c>
      <c r="G357" s="345" t="s">
        <v>443</v>
      </c>
      <c r="H357" s="345" t="s">
        <v>460</v>
      </c>
      <c r="I357" s="345">
        <v>8</v>
      </c>
      <c r="J357" s="345">
        <v>8</v>
      </c>
      <c r="K357" s="345">
        <v>8</v>
      </c>
      <c r="L357" s="345">
        <v>8</v>
      </c>
      <c r="M357" s="345">
        <v>8</v>
      </c>
      <c r="N357" s="345">
        <v>8</v>
      </c>
      <c r="O357" s="345">
        <v>8</v>
      </c>
      <c r="P357" s="345">
        <v>8</v>
      </c>
      <c r="Q357" s="345" t="s">
        <v>795</v>
      </c>
      <c r="R357" s="345" t="s">
        <v>434</v>
      </c>
    </row>
    <row r="358" spans="1:18" x14ac:dyDescent="0.2">
      <c r="A358" s="345" t="s">
        <v>512</v>
      </c>
      <c r="B358" s="345" t="s">
        <v>344</v>
      </c>
      <c r="C358" s="345" t="s">
        <v>793</v>
      </c>
      <c r="D358" s="345" t="s">
        <v>794</v>
      </c>
      <c r="E358" s="345" t="s">
        <v>483</v>
      </c>
      <c r="F358" s="345" t="s">
        <v>461</v>
      </c>
      <c r="G358" s="345" t="s">
        <v>443</v>
      </c>
      <c r="H358" s="345" t="s">
        <v>462</v>
      </c>
      <c r="I358" s="345">
        <v>12</v>
      </c>
      <c r="J358" s="345">
        <v>12</v>
      </c>
      <c r="K358" s="345">
        <v>12</v>
      </c>
      <c r="L358" s="345">
        <v>12</v>
      </c>
      <c r="M358" s="345">
        <v>12</v>
      </c>
      <c r="N358" s="345">
        <v>12</v>
      </c>
      <c r="O358" s="345">
        <v>12</v>
      </c>
      <c r="P358" s="345">
        <v>12</v>
      </c>
      <c r="Q358" s="345" t="s">
        <v>795</v>
      </c>
      <c r="R358" s="345" t="s">
        <v>434</v>
      </c>
    </row>
    <row r="359" spans="1:18" x14ac:dyDescent="0.2">
      <c r="A359" s="345" t="s">
        <v>512</v>
      </c>
      <c r="B359" s="345" t="s">
        <v>344</v>
      </c>
      <c r="C359" s="345" t="s">
        <v>793</v>
      </c>
      <c r="D359" s="345" t="s">
        <v>794</v>
      </c>
      <c r="E359" s="345" t="s">
        <v>483</v>
      </c>
      <c r="F359" s="345" t="s">
        <v>463</v>
      </c>
      <c r="G359" s="345" t="s">
        <v>464</v>
      </c>
      <c r="H359" s="345" t="s">
        <v>463</v>
      </c>
      <c r="I359" s="345">
        <v>49</v>
      </c>
      <c r="J359" s="345">
        <v>53</v>
      </c>
      <c r="K359" s="345">
        <v>100</v>
      </c>
      <c r="L359" s="345">
        <v>133</v>
      </c>
      <c r="M359" s="345">
        <v>184</v>
      </c>
      <c r="N359" s="345">
        <v>218</v>
      </c>
      <c r="O359" s="345">
        <v>286</v>
      </c>
      <c r="P359" s="345">
        <v>353</v>
      </c>
      <c r="Q359" s="345" t="s">
        <v>795</v>
      </c>
      <c r="R359" s="345" t="s">
        <v>434</v>
      </c>
    </row>
    <row r="360" spans="1:18" x14ac:dyDescent="0.2">
      <c r="A360" s="345" t="s">
        <v>512</v>
      </c>
      <c r="B360" s="345" t="s">
        <v>344</v>
      </c>
      <c r="C360" s="345" t="s">
        <v>793</v>
      </c>
      <c r="D360" s="345" t="s">
        <v>794</v>
      </c>
      <c r="E360" s="345" t="s">
        <v>483</v>
      </c>
      <c r="F360" s="345" t="s">
        <v>465</v>
      </c>
      <c r="G360" s="345" t="s">
        <v>432</v>
      </c>
      <c r="H360" s="345" t="s">
        <v>466</v>
      </c>
      <c r="I360" s="345">
        <v>72</v>
      </c>
      <c r="J360" s="345">
        <v>82</v>
      </c>
      <c r="K360" s="345">
        <v>95</v>
      </c>
      <c r="L360" s="345">
        <v>106</v>
      </c>
      <c r="M360" s="345">
        <v>119</v>
      </c>
      <c r="N360" s="345">
        <v>140</v>
      </c>
      <c r="O360" s="345">
        <v>154</v>
      </c>
      <c r="P360" s="345">
        <v>184</v>
      </c>
      <c r="Q360" s="345" t="s">
        <v>795</v>
      </c>
      <c r="R360" s="345" t="s">
        <v>434</v>
      </c>
    </row>
    <row r="361" spans="1:18" x14ac:dyDescent="0.2">
      <c r="A361" s="345" t="s">
        <v>512</v>
      </c>
      <c r="B361" s="345" t="s">
        <v>344</v>
      </c>
      <c r="C361" s="345" t="s">
        <v>793</v>
      </c>
      <c r="D361" s="345" t="s">
        <v>794</v>
      </c>
      <c r="E361" s="345" t="s">
        <v>483</v>
      </c>
      <c r="F361" s="345" t="s">
        <v>465</v>
      </c>
      <c r="G361" s="345" t="s">
        <v>467</v>
      </c>
      <c r="H361" s="345" t="s">
        <v>468</v>
      </c>
      <c r="I361" s="345">
        <v>62</v>
      </c>
      <c r="J361" s="345">
        <v>70</v>
      </c>
      <c r="K361" s="345">
        <v>81</v>
      </c>
      <c r="L361" s="345">
        <v>90</v>
      </c>
      <c r="M361" s="345">
        <v>101</v>
      </c>
      <c r="N361" s="345">
        <v>119</v>
      </c>
      <c r="O361" s="345">
        <v>131</v>
      </c>
      <c r="P361" s="345">
        <v>157</v>
      </c>
      <c r="Q361" s="345" t="s">
        <v>795</v>
      </c>
      <c r="R361" s="345" t="s">
        <v>434</v>
      </c>
    </row>
    <row r="362" spans="1:18" x14ac:dyDescent="0.2">
      <c r="A362" s="345" t="s">
        <v>512</v>
      </c>
      <c r="B362" s="345" t="s">
        <v>344</v>
      </c>
      <c r="C362" s="345" t="s">
        <v>793</v>
      </c>
      <c r="D362" s="345" t="s">
        <v>794</v>
      </c>
      <c r="E362" s="345" t="s">
        <v>483</v>
      </c>
      <c r="F362" s="345" t="s">
        <v>465</v>
      </c>
      <c r="G362" s="345" t="s">
        <v>440</v>
      </c>
      <c r="H362" s="345" t="s">
        <v>469</v>
      </c>
      <c r="I362" s="345">
        <v>35</v>
      </c>
      <c r="J362" s="345">
        <v>39</v>
      </c>
      <c r="K362" s="345">
        <v>48</v>
      </c>
      <c r="L362" s="345">
        <v>56</v>
      </c>
      <c r="M362" s="345">
        <v>67</v>
      </c>
      <c r="N362" s="345">
        <v>76</v>
      </c>
      <c r="O362" s="345">
        <v>84</v>
      </c>
      <c r="P362" s="345">
        <v>97</v>
      </c>
      <c r="Q362" s="345" t="s">
        <v>795</v>
      </c>
      <c r="R362" s="345" t="s">
        <v>434</v>
      </c>
    </row>
    <row r="363" spans="1:18" x14ac:dyDescent="0.2">
      <c r="A363" s="345" t="s">
        <v>512</v>
      </c>
      <c r="B363" s="345" t="s">
        <v>344</v>
      </c>
      <c r="C363" s="345" t="s">
        <v>793</v>
      </c>
      <c r="D363" s="345" t="s">
        <v>794</v>
      </c>
      <c r="E363" s="345" t="s">
        <v>483</v>
      </c>
      <c r="F363" s="345" t="s">
        <v>465</v>
      </c>
      <c r="G363" s="345" t="s">
        <v>470</v>
      </c>
      <c r="H363" s="345" t="s">
        <v>471</v>
      </c>
      <c r="I363" s="345">
        <v>0</v>
      </c>
      <c r="J363" s="345">
        <v>0</v>
      </c>
      <c r="K363" s="345">
        <v>0</v>
      </c>
      <c r="L363" s="345">
        <v>0</v>
      </c>
      <c r="M363" s="345">
        <v>0</v>
      </c>
      <c r="N363" s="345">
        <v>0</v>
      </c>
      <c r="O363" s="345">
        <v>0</v>
      </c>
      <c r="P363" s="345">
        <v>0</v>
      </c>
      <c r="Q363" s="345" t="s">
        <v>795</v>
      </c>
      <c r="R363" s="345" t="s">
        <v>437</v>
      </c>
    </row>
    <row r="364" spans="1:18" x14ac:dyDescent="0.2">
      <c r="A364" s="345" t="s">
        <v>512</v>
      </c>
      <c r="B364" s="345" t="s">
        <v>344</v>
      </c>
      <c r="C364" s="345" t="s">
        <v>793</v>
      </c>
      <c r="D364" s="345" t="s">
        <v>794</v>
      </c>
      <c r="E364" s="345" t="s">
        <v>483</v>
      </c>
      <c r="F364" s="345" t="s">
        <v>465</v>
      </c>
      <c r="G364" s="345" t="s">
        <v>472</v>
      </c>
      <c r="H364" s="345" t="s">
        <v>473</v>
      </c>
      <c r="I364" s="345">
        <v>0</v>
      </c>
      <c r="J364" s="345">
        <v>0</v>
      </c>
      <c r="K364" s="345">
        <v>0</v>
      </c>
      <c r="L364" s="345">
        <v>0</v>
      </c>
      <c r="M364" s="345">
        <v>0</v>
      </c>
      <c r="N364" s="345">
        <v>0</v>
      </c>
      <c r="O364" s="345">
        <v>0</v>
      </c>
      <c r="P364" s="345">
        <v>0</v>
      </c>
      <c r="Q364" s="345" t="s">
        <v>795</v>
      </c>
      <c r="R364" s="345" t="s">
        <v>437</v>
      </c>
    </row>
    <row r="365" spans="1:18" x14ac:dyDescent="0.2">
      <c r="A365" s="345" t="s">
        <v>512</v>
      </c>
      <c r="B365" s="345" t="s">
        <v>344</v>
      </c>
      <c r="C365" s="345" t="s">
        <v>793</v>
      </c>
      <c r="D365" s="345" t="s">
        <v>794</v>
      </c>
      <c r="E365" s="345" t="s">
        <v>483</v>
      </c>
      <c r="F365" s="345" t="s">
        <v>474</v>
      </c>
      <c r="G365" s="345" t="s">
        <v>464</v>
      </c>
      <c r="H365" s="345" t="s">
        <v>474</v>
      </c>
      <c r="I365" s="345">
        <v>47</v>
      </c>
      <c r="J365" s="345">
        <v>47</v>
      </c>
      <c r="K365" s="345">
        <v>47</v>
      </c>
      <c r="L365" s="345">
        <v>47</v>
      </c>
      <c r="M365" s="345">
        <v>47</v>
      </c>
      <c r="N365" s="345">
        <v>47</v>
      </c>
      <c r="O365" s="345">
        <v>47</v>
      </c>
      <c r="P365" s="345">
        <v>47</v>
      </c>
      <c r="Q365" s="345" t="s">
        <v>795</v>
      </c>
      <c r="R365" s="345" t="s">
        <v>434</v>
      </c>
    </row>
    <row r="366" spans="1:18" x14ac:dyDescent="0.2">
      <c r="A366" s="345" t="s">
        <v>512</v>
      </c>
      <c r="B366" s="345" t="s">
        <v>344</v>
      </c>
      <c r="C366" s="345" t="s">
        <v>793</v>
      </c>
      <c r="D366" s="345" t="s">
        <v>794</v>
      </c>
      <c r="E366" s="345" t="s">
        <v>483</v>
      </c>
      <c r="F366" s="345" t="s">
        <v>475</v>
      </c>
      <c r="G366" s="345" t="s">
        <v>443</v>
      </c>
      <c r="H366" s="345" t="s">
        <v>476</v>
      </c>
      <c r="I366" s="345">
        <v>0</v>
      </c>
      <c r="J366" s="345">
        <v>0</v>
      </c>
      <c r="K366" s="345">
        <v>0</v>
      </c>
      <c r="L366" s="345">
        <v>0</v>
      </c>
      <c r="M366" s="345">
        <v>0</v>
      </c>
      <c r="N366" s="345">
        <v>0</v>
      </c>
      <c r="O366" s="345">
        <v>0</v>
      </c>
      <c r="P366" s="345">
        <v>0</v>
      </c>
      <c r="Q366" s="345" t="s">
        <v>795</v>
      </c>
      <c r="R366" s="345" t="s">
        <v>437</v>
      </c>
    </row>
    <row r="367" spans="1:18" x14ac:dyDescent="0.2">
      <c r="A367" s="345" t="s">
        <v>512</v>
      </c>
      <c r="B367" s="345" t="s">
        <v>344</v>
      </c>
      <c r="C367" s="345" t="s">
        <v>793</v>
      </c>
      <c r="D367" s="345" t="s">
        <v>794</v>
      </c>
      <c r="E367" s="345" t="s">
        <v>483</v>
      </c>
      <c r="F367" s="345" t="s">
        <v>477</v>
      </c>
      <c r="G367" s="345" t="s">
        <v>464</v>
      </c>
      <c r="H367" s="345" t="s">
        <v>477</v>
      </c>
      <c r="I367" s="345">
        <v>39</v>
      </c>
      <c r="J367" s="345">
        <v>42</v>
      </c>
      <c r="K367" s="345">
        <v>69</v>
      </c>
      <c r="L367" s="345">
        <v>88</v>
      </c>
      <c r="M367" s="345">
        <v>118</v>
      </c>
      <c r="N367" s="345">
        <v>137</v>
      </c>
      <c r="O367" s="345">
        <v>177</v>
      </c>
      <c r="P367" s="345">
        <v>216</v>
      </c>
      <c r="Q367" s="345" t="s">
        <v>795</v>
      </c>
      <c r="R367" s="345" t="s">
        <v>434</v>
      </c>
    </row>
    <row r="368" spans="1:18" x14ac:dyDescent="0.2">
      <c r="A368" s="345" t="s">
        <v>512</v>
      </c>
      <c r="B368" s="345" t="s">
        <v>344</v>
      </c>
      <c r="C368" s="345" t="s">
        <v>793</v>
      </c>
      <c r="D368" s="345" t="s">
        <v>794</v>
      </c>
      <c r="E368" s="345" t="s">
        <v>483</v>
      </c>
      <c r="F368" s="345" t="s">
        <v>478</v>
      </c>
      <c r="G368" s="345" t="s">
        <v>432</v>
      </c>
      <c r="H368" s="345" t="s">
        <v>479</v>
      </c>
      <c r="I368" s="345">
        <v>48</v>
      </c>
      <c r="J368" s="345">
        <v>50</v>
      </c>
      <c r="K368" s="345">
        <v>69</v>
      </c>
      <c r="L368" s="345">
        <v>92</v>
      </c>
      <c r="M368" s="345">
        <v>114</v>
      </c>
      <c r="N368" s="345">
        <v>132</v>
      </c>
      <c r="O368" s="345">
        <v>146</v>
      </c>
      <c r="P368" s="345">
        <v>175</v>
      </c>
      <c r="Q368" s="345" t="s">
        <v>795</v>
      </c>
      <c r="R368" s="345" t="s">
        <v>434</v>
      </c>
    </row>
    <row r="369" spans="1:18" x14ac:dyDescent="0.2">
      <c r="A369" s="345" t="s">
        <v>512</v>
      </c>
      <c r="B369" s="345" t="s">
        <v>344</v>
      </c>
      <c r="C369" s="345" t="s">
        <v>793</v>
      </c>
      <c r="D369" s="345" t="s">
        <v>794</v>
      </c>
      <c r="E369" s="345" t="s">
        <v>483</v>
      </c>
      <c r="F369" s="345" t="s">
        <v>478</v>
      </c>
      <c r="G369" s="345" t="s">
        <v>440</v>
      </c>
      <c r="H369" s="345" t="s">
        <v>480</v>
      </c>
      <c r="I369" s="345">
        <v>21</v>
      </c>
      <c r="J369" s="345">
        <v>22</v>
      </c>
      <c r="K369" s="345">
        <v>27</v>
      </c>
      <c r="L369" s="345">
        <v>32</v>
      </c>
      <c r="M369" s="345">
        <v>38</v>
      </c>
      <c r="N369" s="345">
        <v>43</v>
      </c>
      <c r="O369" s="345">
        <v>47</v>
      </c>
      <c r="P369" s="345">
        <v>56</v>
      </c>
      <c r="Q369" s="345" t="s">
        <v>795</v>
      </c>
      <c r="R369" s="345" t="s">
        <v>434</v>
      </c>
    </row>
    <row r="370" spans="1:18" x14ac:dyDescent="0.2">
      <c r="A370" s="345" t="s">
        <v>512</v>
      </c>
      <c r="B370" s="345" t="s">
        <v>344</v>
      </c>
      <c r="C370" s="345" t="s">
        <v>793</v>
      </c>
      <c r="D370" s="345" t="s">
        <v>794</v>
      </c>
      <c r="E370" s="345" t="s">
        <v>483</v>
      </c>
      <c r="F370" s="345" t="s">
        <v>478</v>
      </c>
      <c r="G370" s="345" t="s">
        <v>470</v>
      </c>
      <c r="H370" s="345" t="s">
        <v>481</v>
      </c>
      <c r="I370" s="345">
        <v>0</v>
      </c>
      <c r="J370" s="345">
        <v>0</v>
      </c>
      <c r="K370" s="345">
        <v>0</v>
      </c>
      <c r="L370" s="345">
        <v>0</v>
      </c>
      <c r="M370" s="345">
        <v>0</v>
      </c>
      <c r="N370" s="345">
        <v>0</v>
      </c>
      <c r="O370" s="345">
        <v>0</v>
      </c>
      <c r="P370" s="345">
        <v>0</v>
      </c>
      <c r="Q370" s="345" t="s">
        <v>795</v>
      </c>
      <c r="R370" s="345" t="s">
        <v>437</v>
      </c>
    </row>
    <row r="371" spans="1:18" x14ac:dyDescent="0.2">
      <c r="A371" s="345" t="s">
        <v>512</v>
      </c>
      <c r="B371" s="345" t="s">
        <v>344</v>
      </c>
      <c r="C371" s="345" t="s">
        <v>793</v>
      </c>
      <c r="D371" s="345" t="s">
        <v>796</v>
      </c>
      <c r="E371" s="345" t="s">
        <v>430</v>
      </c>
      <c r="F371" s="345" t="s">
        <v>431</v>
      </c>
      <c r="G371" s="345" t="s">
        <v>432</v>
      </c>
      <c r="H371" s="345" t="s">
        <v>433</v>
      </c>
      <c r="I371" s="345">
        <v>28</v>
      </c>
      <c r="J371" s="345">
        <v>33</v>
      </c>
      <c r="K371" s="345">
        <v>44</v>
      </c>
      <c r="L371" s="345">
        <v>51</v>
      </c>
      <c r="M371" s="345">
        <v>58</v>
      </c>
      <c r="N371" s="345">
        <v>64</v>
      </c>
      <c r="O371" s="345">
        <v>70</v>
      </c>
      <c r="P371" s="345">
        <v>84</v>
      </c>
      <c r="Q371" s="345" t="s">
        <v>795</v>
      </c>
      <c r="R371" s="345" t="s">
        <v>434</v>
      </c>
    </row>
    <row r="372" spans="1:18" x14ac:dyDescent="0.2">
      <c r="A372" s="345" t="s">
        <v>512</v>
      </c>
      <c r="B372" s="345" t="s">
        <v>344</v>
      </c>
      <c r="C372" s="345" t="s">
        <v>793</v>
      </c>
      <c r="D372" s="345" t="s">
        <v>796</v>
      </c>
      <c r="E372" s="345" t="s">
        <v>430</v>
      </c>
      <c r="F372" s="345" t="s">
        <v>431</v>
      </c>
      <c r="G372" s="345" t="s">
        <v>435</v>
      </c>
      <c r="H372" s="345" t="s">
        <v>436</v>
      </c>
      <c r="I372" s="345">
        <v>0</v>
      </c>
      <c r="J372" s="345">
        <v>0</v>
      </c>
      <c r="K372" s="345">
        <v>0</v>
      </c>
      <c r="L372" s="345">
        <v>0</v>
      </c>
      <c r="M372" s="345">
        <v>0</v>
      </c>
      <c r="N372" s="345">
        <v>0</v>
      </c>
      <c r="O372" s="345">
        <v>0</v>
      </c>
      <c r="P372" s="345">
        <v>0</v>
      </c>
      <c r="Q372" s="345" t="s">
        <v>795</v>
      </c>
      <c r="R372" s="345" t="s">
        <v>437</v>
      </c>
    </row>
    <row r="373" spans="1:18" x14ac:dyDescent="0.2">
      <c r="A373" s="345" t="s">
        <v>512</v>
      </c>
      <c r="B373" s="345" t="s">
        <v>344</v>
      </c>
      <c r="C373" s="345" t="s">
        <v>793</v>
      </c>
      <c r="D373" s="345" t="s">
        <v>796</v>
      </c>
      <c r="E373" s="345" t="s">
        <v>430</v>
      </c>
      <c r="F373" s="345" t="s">
        <v>438</v>
      </c>
      <c r="G373" s="345" t="s">
        <v>432</v>
      </c>
      <c r="H373" s="345" t="s">
        <v>439</v>
      </c>
      <c r="I373" s="345">
        <v>27</v>
      </c>
      <c r="J373" s="345">
        <v>32</v>
      </c>
      <c r="K373" s="345">
        <v>36</v>
      </c>
      <c r="L373" s="345">
        <v>40</v>
      </c>
      <c r="M373" s="345">
        <v>45</v>
      </c>
      <c r="N373" s="345">
        <v>49</v>
      </c>
      <c r="O373" s="345">
        <v>54</v>
      </c>
      <c r="P373" s="345">
        <v>65</v>
      </c>
      <c r="Q373" s="345" t="s">
        <v>795</v>
      </c>
      <c r="R373" s="345" t="s">
        <v>434</v>
      </c>
    </row>
    <row r="374" spans="1:18" x14ac:dyDescent="0.2">
      <c r="A374" s="345" t="s">
        <v>512</v>
      </c>
      <c r="B374" s="345" t="s">
        <v>344</v>
      </c>
      <c r="C374" s="345" t="s">
        <v>793</v>
      </c>
      <c r="D374" s="345" t="s">
        <v>796</v>
      </c>
      <c r="E374" s="345" t="s">
        <v>430</v>
      </c>
      <c r="F374" s="345" t="s">
        <v>438</v>
      </c>
      <c r="G374" s="345" t="s">
        <v>440</v>
      </c>
      <c r="H374" s="345" t="s">
        <v>441</v>
      </c>
      <c r="I374" s="345">
        <v>5</v>
      </c>
      <c r="J374" s="345">
        <v>6</v>
      </c>
      <c r="K374" s="345">
        <v>7</v>
      </c>
      <c r="L374" s="345">
        <v>8</v>
      </c>
      <c r="M374" s="345">
        <v>9</v>
      </c>
      <c r="N374" s="345">
        <v>11</v>
      </c>
      <c r="O374" s="345">
        <v>12</v>
      </c>
      <c r="P374" s="345">
        <v>14</v>
      </c>
      <c r="Q374" s="345" t="s">
        <v>795</v>
      </c>
      <c r="R374" s="345" t="s">
        <v>434</v>
      </c>
    </row>
    <row r="375" spans="1:18" x14ac:dyDescent="0.2">
      <c r="A375" s="345" t="s">
        <v>512</v>
      </c>
      <c r="B375" s="345" t="s">
        <v>344</v>
      </c>
      <c r="C375" s="345" t="s">
        <v>793</v>
      </c>
      <c r="D375" s="345" t="s">
        <v>796</v>
      </c>
      <c r="E375" s="345" t="s">
        <v>430</v>
      </c>
      <c r="F375" s="345" t="s">
        <v>442</v>
      </c>
      <c r="G375" s="345" t="s">
        <v>443</v>
      </c>
      <c r="H375" s="345" t="s">
        <v>444</v>
      </c>
      <c r="I375" s="345">
        <v>0</v>
      </c>
      <c r="J375" s="345">
        <v>0</v>
      </c>
      <c r="K375" s="345">
        <v>0</v>
      </c>
      <c r="L375" s="345">
        <v>0</v>
      </c>
      <c r="M375" s="345">
        <v>0</v>
      </c>
      <c r="N375" s="345">
        <v>0</v>
      </c>
      <c r="O375" s="345">
        <v>0</v>
      </c>
      <c r="P375" s="345">
        <v>0</v>
      </c>
      <c r="Q375" s="345" t="s">
        <v>795</v>
      </c>
      <c r="R375" s="345" t="s">
        <v>437</v>
      </c>
    </row>
    <row r="376" spans="1:18" x14ac:dyDescent="0.2">
      <c r="A376" s="345" t="s">
        <v>512</v>
      </c>
      <c r="B376" s="345" t="s">
        <v>344</v>
      </c>
      <c r="C376" s="345" t="s">
        <v>793</v>
      </c>
      <c r="D376" s="345" t="s">
        <v>796</v>
      </c>
      <c r="E376" s="345" t="s">
        <v>430</v>
      </c>
      <c r="F376" s="345" t="s">
        <v>445</v>
      </c>
      <c r="G376" s="345" t="s">
        <v>443</v>
      </c>
      <c r="H376" s="345" t="s">
        <v>446</v>
      </c>
      <c r="I376" s="345">
        <v>0</v>
      </c>
      <c r="J376" s="345">
        <v>0</v>
      </c>
      <c r="K376" s="345">
        <v>0</v>
      </c>
      <c r="L376" s="345">
        <v>0</v>
      </c>
      <c r="M376" s="345">
        <v>0</v>
      </c>
      <c r="N376" s="345">
        <v>0</v>
      </c>
      <c r="O376" s="345">
        <v>0</v>
      </c>
      <c r="P376" s="345">
        <v>0</v>
      </c>
      <c r="Q376" s="345" t="s">
        <v>795</v>
      </c>
      <c r="R376" s="345" t="s">
        <v>437</v>
      </c>
    </row>
    <row r="377" spans="1:18" x14ac:dyDescent="0.2">
      <c r="A377" s="345" t="s">
        <v>512</v>
      </c>
      <c r="B377" s="345" t="s">
        <v>344</v>
      </c>
      <c r="C377" s="345" t="s">
        <v>793</v>
      </c>
      <c r="D377" s="345" t="s">
        <v>796</v>
      </c>
      <c r="E377" s="345" t="s">
        <v>430</v>
      </c>
      <c r="F377" s="345" t="s">
        <v>447</v>
      </c>
      <c r="G377" s="345" t="s">
        <v>443</v>
      </c>
      <c r="H377" s="345" t="s">
        <v>448</v>
      </c>
      <c r="I377" s="345">
        <v>0</v>
      </c>
      <c r="J377" s="345">
        <v>0</v>
      </c>
      <c r="K377" s="345">
        <v>0</v>
      </c>
      <c r="L377" s="345">
        <v>0</v>
      </c>
      <c r="M377" s="345">
        <v>0</v>
      </c>
      <c r="N377" s="345">
        <v>0</v>
      </c>
      <c r="O377" s="345">
        <v>0</v>
      </c>
      <c r="P377" s="345">
        <v>0</v>
      </c>
      <c r="Q377" s="345" t="s">
        <v>795</v>
      </c>
      <c r="R377" s="345" t="s">
        <v>437</v>
      </c>
    </row>
    <row r="378" spans="1:18" x14ac:dyDescent="0.2">
      <c r="A378" s="345" t="s">
        <v>512</v>
      </c>
      <c r="B378" s="345" t="s">
        <v>344</v>
      </c>
      <c r="C378" s="345" t="s">
        <v>793</v>
      </c>
      <c r="D378" s="345" t="s">
        <v>796</v>
      </c>
      <c r="E378" s="345" t="s">
        <v>430</v>
      </c>
      <c r="F378" s="345" t="s">
        <v>449</v>
      </c>
      <c r="G378" s="345" t="s">
        <v>450</v>
      </c>
      <c r="H378" s="345" t="s">
        <v>451</v>
      </c>
      <c r="I378" s="345">
        <v>0</v>
      </c>
      <c r="J378" s="345">
        <v>0</v>
      </c>
      <c r="K378" s="345">
        <v>0</v>
      </c>
      <c r="L378" s="345">
        <v>0</v>
      </c>
      <c r="M378" s="345">
        <v>0</v>
      </c>
      <c r="N378" s="345">
        <v>0</v>
      </c>
      <c r="O378" s="345">
        <v>0</v>
      </c>
      <c r="P378" s="345">
        <v>0</v>
      </c>
      <c r="Q378" s="345" t="s">
        <v>795</v>
      </c>
      <c r="R378" s="345" t="s">
        <v>437</v>
      </c>
    </row>
    <row r="379" spans="1:18" x14ac:dyDescent="0.2">
      <c r="A379" s="345" t="s">
        <v>512</v>
      </c>
      <c r="B379" s="345" t="s">
        <v>344</v>
      </c>
      <c r="C379" s="345" t="s">
        <v>793</v>
      </c>
      <c r="D379" s="345" t="s">
        <v>796</v>
      </c>
      <c r="E379" s="345" t="s">
        <v>430</v>
      </c>
      <c r="F379" s="345" t="s">
        <v>449</v>
      </c>
      <c r="G379" s="345" t="s">
        <v>452</v>
      </c>
      <c r="H379" s="345" t="s">
        <v>453</v>
      </c>
      <c r="I379" s="345">
        <v>0</v>
      </c>
      <c r="J379" s="345">
        <v>0</v>
      </c>
      <c r="K379" s="345">
        <v>0</v>
      </c>
      <c r="L379" s="345">
        <v>0</v>
      </c>
      <c r="M379" s="345">
        <v>0</v>
      </c>
      <c r="N379" s="345">
        <v>0</v>
      </c>
      <c r="O379" s="345">
        <v>0</v>
      </c>
      <c r="P379" s="345">
        <v>0</v>
      </c>
      <c r="Q379" s="345" t="s">
        <v>795</v>
      </c>
      <c r="R379" s="345" t="s">
        <v>437</v>
      </c>
    </row>
    <row r="380" spans="1:18" x14ac:dyDescent="0.2">
      <c r="A380" s="345" t="s">
        <v>512</v>
      </c>
      <c r="B380" s="345" t="s">
        <v>344</v>
      </c>
      <c r="C380" s="345" t="s">
        <v>793</v>
      </c>
      <c r="D380" s="345" t="s">
        <v>796</v>
      </c>
      <c r="E380" s="345" t="s">
        <v>430</v>
      </c>
      <c r="F380" s="345" t="s">
        <v>449</v>
      </c>
      <c r="G380" s="345" t="s">
        <v>454</v>
      </c>
      <c r="H380" s="345" t="s">
        <v>455</v>
      </c>
      <c r="I380" s="345">
        <v>12</v>
      </c>
      <c r="J380" s="345">
        <v>12</v>
      </c>
      <c r="K380" s="345">
        <v>12</v>
      </c>
      <c r="L380" s="345">
        <v>12</v>
      </c>
      <c r="M380" s="345">
        <v>12</v>
      </c>
      <c r="N380" s="345">
        <v>12</v>
      </c>
      <c r="O380" s="345">
        <v>12</v>
      </c>
      <c r="P380" s="345">
        <v>12</v>
      </c>
      <c r="Q380" s="345" t="s">
        <v>795</v>
      </c>
      <c r="R380" s="345" t="s">
        <v>434</v>
      </c>
    </row>
    <row r="381" spans="1:18" x14ac:dyDescent="0.2">
      <c r="A381" s="345" t="s">
        <v>512</v>
      </c>
      <c r="B381" s="345" t="s">
        <v>344</v>
      </c>
      <c r="C381" s="345" t="s">
        <v>793</v>
      </c>
      <c r="D381" s="345" t="s">
        <v>796</v>
      </c>
      <c r="E381" s="345" t="s">
        <v>430</v>
      </c>
      <c r="F381" s="345" t="s">
        <v>456</v>
      </c>
      <c r="G381" s="345" t="s">
        <v>457</v>
      </c>
      <c r="H381" s="345" t="s">
        <v>458</v>
      </c>
      <c r="I381" s="345">
        <v>70</v>
      </c>
      <c r="J381" s="345">
        <v>92</v>
      </c>
      <c r="K381" s="345">
        <v>109</v>
      </c>
      <c r="L381" s="345">
        <v>132</v>
      </c>
      <c r="M381" s="345">
        <v>156</v>
      </c>
      <c r="N381" s="345">
        <v>184</v>
      </c>
      <c r="O381" s="345">
        <v>202</v>
      </c>
      <c r="P381" s="345">
        <v>243</v>
      </c>
      <c r="Q381" s="345" t="s">
        <v>795</v>
      </c>
      <c r="R381" s="345" t="s">
        <v>434</v>
      </c>
    </row>
    <row r="382" spans="1:18" x14ac:dyDescent="0.2">
      <c r="A382" s="345" t="s">
        <v>512</v>
      </c>
      <c r="B382" s="345" t="s">
        <v>344</v>
      </c>
      <c r="C382" s="345" t="s">
        <v>793</v>
      </c>
      <c r="D382" s="345" t="s">
        <v>796</v>
      </c>
      <c r="E382" s="345" t="s">
        <v>430</v>
      </c>
      <c r="F382" s="345" t="s">
        <v>459</v>
      </c>
      <c r="G382" s="345" t="s">
        <v>443</v>
      </c>
      <c r="H382" s="345" t="s">
        <v>460</v>
      </c>
      <c r="I382" s="345">
        <v>10</v>
      </c>
      <c r="J382" s="345">
        <v>10</v>
      </c>
      <c r="K382" s="345">
        <v>10</v>
      </c>
      <c r="L382" s="345">
        <v>10</v>
      </c>
      <c r="M382" s="345">
        <v>10</v>
      </c>
      <c r="N382" s="345">
        <v>10</v>
      </c>
      <c r="O382" s="345">
        <v>10</v>
      </c>
      <c r="P382" s="345">
        <v>10</v>
      </c>
      <c r="Q382" s="345" t="s">
        <v>795</v>
      </c>
      <c r="R382" s="345" t="s">
        <v>434</v>
      </c>
    </row>
    <row r="383" spans="1:18" x14ac:dyDescent="0.2">
      <c r="A383" s="345" t="s">
        <v>512</v>
      </c>
      <c r="B383" s="345" t="s">
        <v>344</v>
      </c>
      <c r="C383" s="345" t="s">
        <v>793</v>
      </c>
      <c r="D383" s="345" t="s">
        <v>796</v>
      </c>
      <c r="E383" s="345" t="s">
        <v>430</v>
      </c>
      <c r="F383" s="345" t="s">
        <v>461</v>
      </c>
      <c r="G383" s="345" t="s">
        <v>443</v>
      </c>
      <c r="H383" s="345" t="s">
        <v>462</v>
      </c>
      <c r="I383" s="345">
        <v>12</v>
      </c>
      <c r="J383" s="345">
        <v>12</v>
      </c>
      <c r="K383" s="345">
        <v>12</v>
      </c>
      <c r="L383" s="345">
        <v>12</v>
      </c>
      <c r="M383" s="345">
        <v>12</v>
      </c>
      <c r="N383" s="345">
        <v>12</v>
      </c>
      <c r="O383" s="345">
        <v>12</v>
      </c>
      <c r="P383" s="345">
        <v>12</v>
      </c>
      <c r="Q383" s="345" t="s">
        <v>795</v>
      </c>
      <c r="R383" s="345" t="s">
        <v>434</v>
      </c>
    </row>
    <row r="384" spans="1:18" x14ac:dyDescent="0.2">
      <c r="A384" s="345" t="s">
        <v>512</v>
      </c>
      <c r="B384" s="345" t="s">
        <v>344</v>
      </c>
      <c r="C384" s="345" t="s">
        <v>793</v>
      </c>
      <c r="D384" s="345" t="s">
        <v>796</v>
      </c>
      <c r="E384" s="345" t="s">
        <v>430</v>
      </c>
      <c r="F384" s="345" t="s">
        <v>463</v>
      </c>
      <c r="G384" s="345" t="s">
        <v>464</v>
      </c>
      <c r="H384" s="345" t="s">
        <v>463</v>
      </c>
      <c r="I384" s="345">
        <v>49</v>
      </c>
      <c r="J384" s="345">
        <v>53</v>
      </c>
      <c r="K384" s="345">
        <v>100</v>
      </c>
      <c r="L384" s="345">
        <v>133</v>
      </c>
      <c r="M384" s="345">
        <v>184</v>
      </c>
      <c r="N384" s="345">
        <v>218</v>
      </c>
      <c r="O384" s="345">
        <v>285</v>
      </c>
      <c r="P384" s="345">
        <v>353</v>
      </c>
      <c r="Q384" s="345" t="s">
        <v>795</v>
      </c>
      <c r="R384" s="345" t="s">
        <v>434</v>
      </c>
    </row>
    <row r="385" spans="1:18" x14ac:dyDescent="0.2">
      <c r="A385" s="345" t="s">
        <v>512</v>
      </c>
      <c r="B385" s="345" t="s">
        <v>344</v>
      </c>
      <c r="C385" s="345" t="s">
        <v>793</v>
      </c>
      <c r="D385" s="345" t="s">
        <v>796</v>
      </c>
      <c r="E385" s="345" t="s">
        <v>430</v>
      </c>
      <c r="F385" s="345" t="s">
        <v>465</v>
      </c>
      <c r="G385" s="345" t="s">
        <v>432</v>
      </c>
      <c r="H385" s="345" t="s">
        <v>466</v>
      </c>
      <c r="I385" s="345">
        <v>62</v>
      </c>
      <c r="J385" s="345">
        <v>70</v>
      </c>
      <c r="K385" s="345">
        <v>81</v>
      </c>
      <c r="L385" s="345">
        <v>90</v>
      </c>
      <c r="M385" s="345">
        <v>101</v>
      </c>
      <c r="N385" s="345">
        <v>119</v>
      </c>
      <c r="O385" s="345">
        <v>131</v>
      </c>
      <c r="P385" s="345">
        <v>157</v>
      </c>
      <c r="Q385" s="345" t="s">
        <v>795</v>
      </c>
      <c r="R385" s="345" t="s">
        <v>434</v>
      </c>
    </row>
    <row r="386" spans="1:18" x14ac:dyDescent="0.2">
      <c r="A386" s="345" t="s">
        <v>512</v>
      </c>
      <c r="B386" s="345" t="s">
        <v>344</v>
      </c>
      <c r="C386" s="345" t="s">
        <v>793</v>
      </c>
      <c r="D386" s="345" t="s">
        <v>796</v>
      </c>
      <c r="E386" s="345" t="s">
        <v>430</v>
      </c>
      <c r="F386" s="345" t="s">
        <v>465</v>
      </c>
      <c r="G386" s="345" t="s">
        <v>467</v>
      </c>
      <c r="H386" s="345" t="s">
        <v>468</v>
      </c>
      <c r="I386" s="345">
        <v>53</v>
      </c>
      <c r="J386" s="345">
        <v>60</v>
      </c>
      <c r="K386" s="345">
        <v>69</v>
      </c>
      <c r="L386" s="345">
        <v>77</v>
      </c>
      <c r="M386" s="345">
        <v>86</v>
      </c>
      <c r="N386" s="345">
        <v>101</v>
      </c>
      <c r="O386" s="345">
        <v>111</v>
      </c>
      <c r="P386" s="345">
        <v>133</v>
      </c>
      <c r="Q386" s="345" t="s">
        <v>795</v>
      </c>
      <c r="R386" s="345" t="s">
        <v>434</v>
      </c>
    </row>
    <row r="387" spans="1:18" x14ac:dyDescent="0.2">
      <c r="A387" s="345" t="s">
        <v>512</v>
      </c>
      <c r="B387" s="345" t="s">
        <v>344</v>
      </c>
      <c r="C387" s="345" t="s">
        <v>793</v>
      </c>
      <c r="D387" s="345" t="s">
        <v>796</v>
      </c>
      <c r="E387" s="345" t="s">
        <v>430</v>
      </c>
      <c r="F387" s="345" t="s">
        <v>465</v>
      </c>
      <c r="G387" s="345" t="s">
        <v>440</v>
      </c>
      <c r="H387" s="345" t="s">
        <v>469</v>
      </c>
      <c r="I387" s="345">
        <v>30</v>
      </c>
      <c r="J387" s="345">
        <v>33</v>
      </c>
      <c r="K387" s="345">
        <v>41</v>
      </c>
      <c r="L387" s="345">
        <v>48</v>
      </c>
      <c r="M387" s="345">
        <v>57</v>
      </c>
      <c r="N387" s="345">
        <v>64</v>
      </c>
      <c r="O387" s="345">
        <v>72</v>
      </c>
      <c r="P387" s="345">
        <v>83</v>
      </c>
      <c r="Q387" s="345" t="s">
        <v>795</v>
      </c>
      <c r="R387" s="345" t="s">
        <v>434</v>
      </c>
    </row>
    <row r="388" spans="1:18" x14ac:dyDescent="0.2">
      <c r="A388" s="345" t="s">
        <v>512</v>
      </c>
      <c r="B388" s="345" t="s">
        <v>344</v>
      </c>
      <c r="C388" s="345" t="s">
        <v>793</v>
      </c>
      <c r="D388" s="345" t="s">
        <v>796</v>
      </c>
      <c r="E388" s="345" t="s">
        <v>430</v>
      </c>
      <c r="F388" s="345" t="s">
        <v>465</v>
      </c>
      <c r="G388" s="345" t="s">
        <v>470</v>
      </c>
      <c r="H388" s="345" t="s">
        <v>471</v>
      </c>
      <c r="I388" s="345">
        <v>0</v>
      </c>
      <c r="J388" s="345">
        <v>0</v>
      </c>
      <c r="K388" s="345">
        <v>0</v>
      </c>
      <c r="L388" s="345">
        <v>0</v>
      </c>
      <c r="M388" s="345">
        <v>0</v>
      </c>
      <c r="N388" s="345">
        <v>0</v>
      </c>
      <c r="O388" s="345">
        <v>0</v>
      </c>
      <c r="P388" s="345">
        <v>0</v>
      </c>
      <c r="Q388" s="345" t="s">
        <v>795</v>
      </c>
      <c r="R388" s="345" t="s">
        <v>437</v>
      </c>
    </row>
    <row r="389" spans="1:18" x14ac:dyDescent="0.2">
      <c r="A389" s="345" t="s">
        <v>512</v>
      </c>
      <c r="B389" s="345" t="s">
        <v>344</v>
      </c>
      <c r="C389" s="345" t="s">
        <v>793</v>
      </c>
      <c r="D389" s="345" t="s">
        <v>796</v>
      </c>
      <c r="E389" s="345" t="s">
        <v>430</v>
      </c>
      <c r="F389" s="345" t="s">
        <v>465</v>
      </c>
      <c r="G389" s="345" t="s">
        <v>472</v>
      </c>
      <c r="H389" s="345" t="s">
        <v>473</v>
      </c>
      <c r="I389" s="345">
        <v>0</v>
      </c>
      <c r="J389" s="345">
        <v>0</v>
      </c>
      <c r="K389" s="345">
        <v>0</v>
      </c>
      <c r="L389" s="345">
        <v>0</v>
      </c>
      <c r="M389" s="345">
        <v>0</v>
      </c>
      <c r="N389" s="345">
        <v>0</v>
      </c>
      <c r="O389" s="345">
        <v>0</v>
      </c>
      <c r="P389" s="345">
        <v>0</v>
      </c>
      <c r="Q389" s="345" t="s">
        <v>795</v>
      </c>
      <c r="R389" s="345" t="s">
        <v>437</v>
      </c>
    </row>
    <row r="390" spans="1:18" x14ac:dyDescent="0.2">
      <c r="A390" s="345" t="s">
        <v>512</v>
      </c>
      <c r="B390" s="345" t="s">
        <v>344</v>
      </c>
      <c r="C390" s="345" t="s">
        <v>793</v>
      </c>
      <c r="D390" s="345" t="s">
        <v>796</v>
      </c>
      <c r="E390" s="345" t="s">
        <v>430</v>
      </c>
      <c r="F390" s="345" t="s">
        <v>474</v>
      </c>
      <c r="G390" s="345" t="s">
        <v>464</v>
      </c>
      <c r="H390" s="345" t="s">
        <v>474</v>
      </c>
      <c r="I390" s="345">
        <v>47</v>
      </c>
      <c r="J390" s="345">
        <v>47</v>
      </c>
      <c r="K390" s="345">
        <v>47</v>
      </c>
      <c r="L390" s="345">
        <v>47</v>
      </c>
      <c r="M390" s="345">
        <v>47</v>
      </c>
      <c r="N390" s="345">
        <v>47</v>
      </c>
      <c r="O390" s="345">
        <v>47</v>
      </c>
      <c r="P390" s="345">
        <v>47</v>
      </c>
      <c r="Q390" s="345" t="s">
        <v>795</v>
      </c>
      <c r="R390" s="345" t="s">
        <v>434</v>
      </c>
    </row>
    <row r="391" spans="1:18" x14ac:dyDescent="0.2">
      <c r="A391" s="345" t="s">
        <v>512</v>
      </c>
      <c r="B391" s="345" t="s">
        <v>344</v>
      </c>
      <c r="C391" s="345" t="s">
        <v>793</v>
      </c>
      <c r="D391" s="345" t="s">
        <v>796</v>
      </c>
      <c r="E391" s="345" t="s">
        <v>430</v>
      </c>
      <c r="F391" s="345" t="s">
        <v>475</v>
      </c>
      <c r="G391" s="345" t="s">
        <v>443</v>
      </c>
      <c r="H391" s="345" t="s">
        <v>476</v>
      </c>
      <c r="I391" s="345">
        <v>0</v>
      </c>
      <c r="J391" s="345">
        <v>0</v>
      </c>
      <c r="K391" s="345">
        <v>0</v>
      </c>
      <c r="L391" s="345">
        <v>0</v>
      </c>
      <c r="M391" s="345">
        <v>0</v>
      </c>
      <c r="N391" s="345">
        <v>0</v>
      </c>
      <c r="O391" s="345">
        <v>0</v>
      </c>
      <c r="P391" s="345">
        <v>0</v>
      </c>
      <c r="Q391" s="345" t="s">
        <v>795</v>
      </c>
      <c r="R391" s="345" t="s">
        <v>437</v>
      </c>
    </row>
    <row r="392" spans="1:18" x14ac:dyDescent="0.2">
      <c r="A392" s="345" t="s">
        <v>512</v>
      </c>
      <c r="B392" s="345" t="s">
        <v>344</v>
      </c>
      <c r="C392" s="345" t="s">
        <v>793</v>
      </c>
      <c r="D392" s="345" t="s">
        <v>796</v>
      </c>
      <c r="E392" s="345" t="s">
        <v>430</v>
      </c>
      <c r="F392" s="345" t="s">
        <v>477</v>
      </c>
      <c r="G392" s="345" t="s">
        <v>464</v>
      </c>
      <c r="H392" s="345" t="s">
        <v>477</v>
      </c>
      <c r="I392" s="345">
        <v>39</v>
      </c>
      <c r="J392" s="345">
        <v>42</v>
      </c>
      <c r="K392" s="345">
        <v>69</v>
      </c>
      <c r="L392" s="345">
        <v>88</v>
      </c>
      <c r="M392" s="345">
        <v>116</v>
      </c>
      <c r="N392" s="345">
        <v>135</v>
      </c>
      <c r="O392" s="345">
        <v>174</v>
      </c>
      <c r="P392" s="345">
        <v>213</v>
      </c>
      <c r="Q392" s="345" t="s">
        <v>795</v>
      </c>
      <c r="R392" s="345" t="s">
        <v>434</v>
      </c>
    </row>
    <row r="393" spans="1:18" x14ac:dyDescent="0.2">
      <c r="A393" s="345" t="s">
        <v>512</v>
      </c>
      <c r="B393" s="345" t="s">
        <v>344</v>
      </c>
      <c r="C393" s="345" t="s">
        <v>793</v>
      </c>
      <c r="D393" s="345" t="s">
        <v>796</v>
      </c>
      <c r="E393" s="345" t="s">
        <v>430</v>
      </c>
      <c r="F393" s="345" t="s">
        <v>478</v>
      </c>
      <c r="G393" s="345" t="s">
        <v>432</v>
      </c>
      <c r="H393" s="345" t="s">
        <v>479</v>
      </c>
      <c r="I393" s="345">
        <v>48</v>
      </c>
      <c r="J393" s="345">
        <v>50</v>
      </c>
      <c r="K393" s="345">
        <v>69</v>
      </c>
      <c r="L393" s="345">
        <v>92</v>
      </c>
      <c r="M393" s="345">
        <v>114</v>
      </c>
      <c r="N393" s="345">
        <v>132</v>
      </c>
      <c r="O393" s="345">
        <v>146</v>
      </c>
      <c r="P393" s="345">
        <v>175</v>
      </c>
      <c r="Q393" s="345" t="s">
        <v>795</v>
      </c>
      <c r="R393" s="345" t="s">
        <v>434</v>
      </c>
    </row>
    <row r="394" spans="1:18" x14ac:dyDescent="0.2">
      <c r="A394" s="345" t="s">
        <v>512</v>
      </c>
      <c r="B394" s="345" t="s">
        <v>344</v>
      </c>
      <c r="C394" s="345" t="s">
        <v>793</v>
      </c>
      <c r="D394" s="345" t="s">
        <v>796</v>
      </c>
      <c r="E394" s="345" t="s">
        <v>430</v>
      </c>
      <c r="F394" s="345" t="s">
        <v>478</v>
      </c>
      <c r="G394" s="345" t="s">
        <v>440</v>
      </c>
      <c r="H394" s="345" t="s">
        <v>480</v>
      </c>
      <c r="I394" s="345">
        <v>21</v>
      </c>
      <c r="J394" s="345">
        <v>22</v>
      </c>
      <c r="K394" s="345">
        <v>27</v>
      </c>
      <c r="L394" s="345">
        <v>32</v>
      </c>
      <c r="M394" s="345">
        <v>38</v>
      </c>
      <c r="N394" s="345">
        <v>43</v>
      </c>
      <c r="O394" s="345">
        <v>47</v>
      </c>
      <c r="P394" s="345">
        <v>56</v>
      </c>
      <c r="Q394" s="345" t="s">
        <v>795</v>
      </c>
      <c r="R394" s="345" t="s">
        <v>434</v>
      </c>
    </row>
    <row r="395" spans="1:18" x14ac:dyDescent="0.2">
      <c r="A395" s="345" t="s">
        <v>512</v>
      </c>
      <c r="B395" s="345" t="s">
        <v>344</v>
      </c>
      <c r="C395" s="345" t="s">
        <v>793</v>
      </c>
      <c r="D395" s="345" t="s">
        <v>796</v>
      </c>
      <c r="E395" s="345" t="s">
        <v>430</v>
      </c>
      <c r="F395" s="345" t="s">
        <v>478</v>
      </c>
      <c r="G395" s="345" t="s">
        <v>470</v>
      </c>
      <c r="H395" s="345" t="s">
        <v>481</v>
      </c>
      <c r="I395" s="345">
        <v>0</v>
      </c>
      <c r="J395" s="345">
        <v>0</v>
      </c>
      <c r="K395" s="345">
        <v>0</v>
      </c>
      <c r="L395" s="345">
        <v>0</v>
      </c>
      <c r="M395" s="345">
        <v>0</v>
      </c>
      <c r="N395" s="345">
        <v>0</v>
      </c>
      <c r="O395" s="345">
        <v>0</v>
      </c>
      <c r="P395" s="345">
        <v>0</v>
      </c>
      <c r="Q395" s="345" t="s">
        <v>795</v>
      </c>
      <c r="R395" s="345" t="s">
        <v>437</v>
      </c>
    </row>
    <row r="396" spans="1:18" x14ac:dyDescent="0.2">
      <c r="A396" s="345" t="s">
        <v>512</v>
      </c>
      <c r="B396" s="345" t="s">
        <v>344</v>
      </c>
      <c r="C396" s="345" t="s">
        <v>793</v>
      </c>
      <c r="D396" s="345" t="s">
        <v>797</v>
      </c>
      <c r="E396" s="345" t="s">
        <v>430</v>
      </c>
      <c r="F396" s="345" t="s">
        <v>431</v>
      </c>
      <c r="G396" s="345" t="s">
        <v>432</v>
      </c>
      <c r="H396" s="345" t="s">
        <v>433</v>
      </c>
      <c r="I396" s="345">
        <v>26</v>
      </c>
      <c r="J396" s="345">
        <v>31</v>
      </c>
      <c r="K396" s="345">
        <v>41</v>
      </c>
      <c r="L396" s="345">
        <v>48</v>
      </c>
      <c r="M396" s="345">
        <v>55</v>
      </c>
      <c r="N396" s="345">
        <v>60</v>
      </c>
      <c r="O396" s="345">
        <v>66</v>
      </c>
      <c r="P396" s="345">
        <v>79</v>
      </c>
      <c r="Q396" s="345" t="s">
        <v>795</v>
      </c>
      <c r="R396" s="345" t="s">
        <v>434</v>
      </c>
    </row>
    <row r="397" spans="1:18" x14ac:dyDescent="0.2">
      <c r="A397" s="345" t="s">
        <v>512</v>
      </c>
      <c r="B397" s="345" t="s">
        <v>344</v>
      </c>
      <c r="C397" s="345" t="s">
        <v>793</v>
      </c>
      <c r="D397" s="345" t="s">
        <v>797</v>
      </c>
      <c r="E397" s="345" t="s">
        <v>430</v>
      </c>
      <c r="F397" s="345" t="s">
        <v>431</v>
      </c>
      <c r="G397" s="345" t="s">
        <v>435</v>
      </c>
      <c r="H397" s="345" t="s">
        <v>436</v>
      </c>
      <c r="I397" s="345">
        <v>0</v>
      </c>
      <c r="J397" s="345">
        <v>0</v>
      </c>
      <c r="K397" s="345">
        <v>0</v>
      </c>
      <c r="L397" s="345">
        <v>0</v>
      </c>
      <c r="M397" s="345">
        <v>0</v>
      </c>
      <c r="N397" s="345">
        <v>0</v>
      </c>
      <c r="O397" s="345">
        <v>0</v>
      </c>
      <c r="P397" s="345">
        <v>0</v>
      </c>
      <c r="Q397" s="345" t="s">
        <v>795</v>
      </c>
      <c r="R397" s="345" t="s">
        <v>437</v>
      </c>
    </row>
    <row r="398" spans="1:18" x14ac:dyDescent="0.2">
      <c r="A398" s="345" t="s">
        <v>512</v>
      </c>
      <c r="B398" s="345" t="s">
        <v>344</v>
      </c>
      <c r="C398" s="345" t="s">
        <v>793</v>
      </c>
      <c r="D398" s="345" t="s">
        <v>797</v>
      </c>
      <c r="E398" s="345" t="s">
        <v>430</v>
      </c>
      <c r="F398" s="345" t="s">
        <v>438</v>
      </c>
      <c r="G398" s="345" t="s">
        <v>432</v>
      </c>
      <c r="H398" s="345" t="s">
        <v>439</v>
      </c>
      <c r="I398" s="345">
        <v>27</v>
      </c>
      <c r="J398" s="345">
        <v>32</v>
      </c>
      <c r="K398" s="345">
        <v>36</v>
      </c>
      <c r="L398" s="345">
        <v>40</v>
      </c>
      <c r="M398" s="345">
        <v>45</v>
      </c>
      <c r="N398" s="345">
        <v>49</v>
      </c>
      <c r="O398" s="345">
        <v>54</v>
      </c>
      <c r="P398" s="345">
        <v>65</v>
      </c>
      <c r="Q398" s="345" t="s">
        <v>795</v>
      </c>
      <c r="R398" s="345" t="s">
        <v>434</v>
      </c>
    </row>
    <row r="399" spans="1:18" x14ac:dyDescent="0.2">
      <c r="A399" s="345" t="s">
        <v>512</v>
      </c>
      <c r="B399" s="345" t="s">
        <v>344</v>
      </c>
      <c r="C399" s="345" t="s">
        <v>793</v>
      </c>
      <c r="D399" s="345" t="s">
        <v>797</v>
      </c>
      <c r="E399" s="345" t="s">
        <v>430</v>
      </c>
      <c r="F399" s="345" t="s">
        <v>438</v>
      </c>
      <c r="G399" s="345" t="s">
        <v>440</v>
      </c>
      <c r="H399" s="345" t="s">
        <v>441</v>
      </c>
      <c r="I399" s="345">
        <v>5</v>
      </c>
      <c r="J399" s="345">
        <v>6</v>
      </c>
      <c r="K399" s="345">
        <v>7</v>
      </c>
      <c r="L399" s="345">
        <v>8</v>
      </c>
      <c r="M399" s="345">
        <v>9</v>
      </c>
      <c r="N399" s="345">
        <v>11</v>
      </c>
      <c r="O399" s="345">
        <v>12</v>
      </c>
      <c r="P399" s="345">
        <v>14</v>
      </c>
      <c r="Q399" s="345" t="s">
        <v>795</v>
      </c>
      <c r="R399" s="345" t="s">
        <v>434</v>
      </c>
    </row>
    <row r="400" spans="1:18" x14ac:dyDescent="0.2">
      <c r="A400" s="345" t="s">
        <v>512</v>
      </c>
      <c r="B400" s="345" t="s">
        <v>344</v>
      </c>
      <c r="C400" s="345" t="s">
        <v>793</v>
      </c>
      <c r="D400" s="345" t="s">
        <v>797</v>
      </c>
      <c r="E400" s="345" t="s">
        <v>430</v>
      </c>
      <c r="F400" s="345" t="s">
        <v>442</v>
      </c>
      <c r="G400" s="345" t="s">
        <v>443</v>
      </c>
      <c r="H400" s="345" t="s">
        <v>444</v>
      </c>
      <c r="I400" s="345">
        <v>0</v>
      </c>
      <c r="J400" s="345">
        <v>0</v>
      </c>
      <c r="K400" s="345">
        <v>0</v>
      </c>
      <c r="L400" s="345">
        <v>0</v>
      </c>
      <c r="M400" s="345">
        <v>0</v>
      </c>
      <c r="N400" s="345">
        <v>0</v>
      </c>
      <c r="O400" s="345">
        <v>0</v>
      </c>
      <c r="P400" s="345">
        <v>0</v>
      </c>
      <c r="Q400" s="345" t="s">
        <v>795</v>
      </c>
      <c r="R400" s="345" t="s">
        <v>437</v>
      </c>
    </row>
    <row r="401" spans="1:18" x14ac:dyDescent="0.2">
      <c r="A401" s="345" t="s">
        <v>512</v>
      </c>
      <c r="B401" s="345" t="s">
        <v>344</v>
      </c>
      <c r="C401" s="345" t="s">
        <v>793</v>
      </c>
      <c r="D401" s="345" t="s">
        <v>797</v>
      </c>
      <c r="E401" s="345" t="s">
        <v>430</v>
      </c>
      <c r="F401" s="345" t="s">
        <v>445</v>
      </c>
      <c r="G401" s="345" t="s">
        <v>443</v>
      </c>
      <c r="H401" s="345" t="s">
        <v>446</v>
      </c>
      <c r="I401" s="345">
        <v>0</v>
      </c>
      <c r="J401" s="345">
        <v>0</v>
      </c>
      <c r="K401" s="345">
        <v>0</v>
      </c>
      <c r="L401" s="345">
        <v>0</v>
      </c>
      <c r="M401" s="345">
        <v>0</v>
      </c>
      <c r="N401" s="345">
        <v>0</v>
      </c>
      <c r="O401" s="345">
        <v>0</v>
      </c>
      <c r="P401" s="345">
        <v>0</v>
      </c>
      <c r="Q401" s="345" t="s">
        <v>795</v>
      </c>
      <c r="R401" s="345" t="s">
        <v>437</v>
      </c>
    </row>
    <row r="402" spans="1:18" x14ac:dyDescent="0.2">
      <c r="A402" s="345" t="s">
        <v>512</v>
      </c>
      <c r="B402" s="345" t="s">
        <v>344</v>
      </c>
      <c r="C402" s="345" t="s">
        <v>793</v>
      </c>
      <c r="D402" s="345" t="s">
        <v>797</v>
      </c>
      <c r="E402" s="345" t="s">
        <v>430</v>
      </c>
      <c r="F402" s="345" t="s">
        <v>447</v>
      </c>
      <c r="G402" s="345" t="s">
        <v>443</v>
      </c>
      <c r="H402" s="345" t="s">
        <v>448</v>
      </c>
      <c r="I402" s="345">
        <v>0</v>
      </c>
      <c r="J402" s="345">
        <v>0</v>
      </c>
      <c r="K402" s="345">
        <v>0</v>
      </c>
      <c r="L402" s="345">
        <v>0</v>
      </c>
      <c r="M402" s="345">
        <v>0</v>
      </c>
      <c r="N402" s="345">
        <v>0</v>
      </c>
      <c r="O402" s="345">
        <v>0</v>
      </c>
      <c r="P402" s="345">
        <v>0</v>
      </c>
      <c r="Q402" s="345" t="s">
        <v>795</v>
      </c>
      <c r="R402" s="345" t="s">
        <v>437</v>
      </c>
    </row>
    <row r="403" spans="1:18" x14ac:dyDescent="0.2">
      <c r="A403" s="345" t="s">
        <v>512</v>
      </c>
      <c r="B403" s="345" t="s">
        <v>344</v>
      </c>
      <c r="C403" s="345" t="s">
        <v>793</v>
      </c>
      <c r="D403" s="345" t="s">
        <v>797</v>
      </c>
      <c r="E403" s="345" t="s">
        <v>430</v>
      </c>
      <c r="F403" s="345" t="s">
        <v>449</v>
      </c>
      <c r="G403" s="345" t="s">
        <v>450</v>
      </c>
      <c r="H403" s="345" t="s">
        <v>451</v>
      </c>
      <c r="I403" s="345">
        <v>0</v>
      </c>
      <c r="J403" s="345">
        <v>0</v>
      </c>
      <c r="K403" s="345">
        <v>0</v>
      </c>
      <c r="L403" s="345">
        <v>0</v>
      </c>
      <c r="M403" s="345">
        <v>0</v>
      </c>
      <c r="N403" s="345">
        <v>0</v>
      </c>
      <c r="O403" s="345">
        <v>0</v>
      </c>
      <c r="P403" s="345">
        <v>0</v>
      </c>
      <c r="Q403" s="345" t="s">
        <v>795</v>
      </c>
      <c r="R403" s="345" t="s">
        <v>437</v>
      </c>
    </row>
    <row r="404" spans="1:18" x14ac:dyDescent="0.2">
      <c r="A404" s="345" t="s">
        <v>512</v>
      </c>
      <c r="B404" s="345" t="s">
        <v>344</v>
      </c>
      <c r="C404" s="345" t="s">
        <v>793</v>
      </c>
      <c r="D404" s="345" t="s">
        <v>797</v>
      </c>
      <c r="E404" s="345" t="s">
        <v>430</v>
      </c>
      <c r="F404" s="345" t="s">
        <v>449</v>
      </c>
      <c r="G404" s="345" t="s">
        <v>452</v>
      </c>
      <c r="H404" s="345" t="s">
        <v>453</v>
      </c>
      <c r="I404" s="345">
        <v>0</v>
      </c>
      <c r="J404" s="345">
        <v>0</v>
      </c>
      <c r="K404" s="345">
        <v>0</v>
      </c>
      <c r="L404" s="345">
        <v>0</v>
      </c>
      <c r="M404" s="345">
        <v>0</v>
      </c>
      <c r="N404" s="345">
        <v>0</v>
      </c>
      <c r="O404" s="345">
        <v>0</v>
      </c>
      <c r="P404" s="345">
        <v>0</v>
      </c>
      <c r="Q404" s="345" t="s">
        <v>795</v>
      </c>
      <c r="R404" s="345" t="s">
        <v>437</v>
      </c>
    </row>
    <row r="405" spans="1:18" x14ac:dyDescent="0.2">
      <c r="A405" s="345" t="s">
        <v>512</v>
      </c>
      <c r="B405" s="345" t="s">
        <v>344</v>
      </c>
      <c r="C405" s="345" t="s">
        <v>793</v>
      </c>
      <c r="D405" s="345" t="s">
        <v>797</v>
      </c>
      <c r="E405" s="345" t="s">
        <v>430</v>
      </c>
      <c r="F405" s="345" t="s">
        <v>449</v>
      </c>
      <c r="G405" s="345" t="s">
        <v>454</v>
      </c>
      <c r="H405" s="345" t="s">
        <v>455</v>
      </c>
      <c r="I405" s="345">
        <v>12</v>
      </c>
      <c r="J405" s="345">
        <v>12</v>
      </c>
      <c r="K405" s="345">
        <v>12</v>
      </c>
      <c r="L405" s="345">
        <v>12</v>
      </c>
      <c r="M405" s="345">
        <v>12</v>
      </c>
      <c r="N405" s="345">
        <v>12</v>
      </c>
      <c r="O405" s="345">
        <v>12</v>
      </c>
      <c r="P405" s="345">
        <v>12</v>
      </c>
      <c r="Q405" s="345" t="s">
        <v>795</v>
      </c>
      <c r="R405" s="345" t="s">
        <v>434</v>
      </c>
    </row>
    <row r="406" spans="1:18" x14ac:dyDescent="0.2">
      <c r="A406" s="345" t="s">
        <v>512</v>
      </c>
      <c r="B406" s="345" t="s">
        <v>344</v>
      </c>
      <c r="C406" s="345" t="s">
        <v>793</v>
      </c>
      <c r="D406" s="345" t="s">
        <v>797</v>
      </c>
      <c r="E406" s="345" t="s">
        <v>430</v>
      </c>
      <c r="F406" s="345" t="s">
        <v>456</v>
      </c>
      <c r="G406" s="345" t="s">
        <v>457</v>
      </c>
      <c r="H406" s="345" t="s">
        <v>458</v>
      </c>
      <c r="I406" s="345">
        <v>70</v>
      </c>
      <c r="J406" s="345">
        <v>92</v>
      </c>
      <c r="K406" s="345">
        <v>109</v>
      </c>
      <c r="L406" s="345">
        <v>132</v>
      </c>
      <c r="M406" s="345">
        <v>156</v>
      </c>
      <c r="N406" s="345">
        <v>184</v>
      </c>
      <c r="O406" s="345">
        <v>202</v>
      </c>
      <c r="P406" s="345">
        <v>243</v>
      </c>
      <c r="Q406" s="345" t="s">
        <v>795</v>
      </c>
      <c r="R406" s="345" t="s">
        <v>434</v>
      </c>
    </row>
    <row r="407" spans="1:18" x14ac:dyDescent="0.2">
      <c r="A407" s="345" t="s">
        <v>512</v>
      </c>
      <c r="B407" s="345" t="s">
        <v>344</v>
      </c>
      <c r="C407" s="345" t="s">
        <v>793</v>
      </c>
      <c r="D407" s="345" t="s">
        <v>797</v>
      </c>
      <c r="E407" s="345" t="s">
        <v>430</v>
      </c>
      <c r="F407" s="345" t="s">
        <v>459</v>
      </c>
      <c r="G407" s="345" t="s">
        <v>443</v>
      </c>
      <c r="H407" s="345" t="s">
        <v>460</v>
      </c>
      <c r="I407" s="345">
        <v>10</v>
      </c>
      <c r="J407" s="345">
        <v>10</v>
      </c>
      <c r="K407" s="345">
        <v>10</v>
      </c>
      <c r="L407" s="345">
        <v>10</v>
      </c>
      <c r="M407" s="345">
        <v>10</v>
      </c>
      <c r="N407" s="345">
        <v>10</v>
      </c>
      <c r="O407" s="345">
        <v>10</v>
      </c>
      <c r="P407" s="345">
        <v>10</v>
      </c>
      <c r="Q407" s="345" t="s">
        <v>795</v>
      </c>
      <c r="R407" s="345" t="s">
        <v>434</v>
      </c>
    </row>
    <row r="408" spans="1:18" x14ac:dyDescent="0.2">
      <c r="A408" s="345" t="s">
        <v>512</v>
      </c>
      <c r="B408" s="345" t="s">
        <v>344</v>
      </c>
      <c r="C408" s="345" t="s">
        <v>793</v>
      </c>
      <c r="D408" s="345" t="s">
        <v>797</v>
      </c>
      <c r="E408" s="345" t="s">
        <v>430</v>
      </c>
      <c r="F408" s="345" t="s">
        <v>461</v>
      </c>
      <c r="G408" s="345" t="s">
        <v>443</v>
      </c>
      <c r="H408" s="345" t="s">
        <v>462</v>
      </c>
      <c r="I408" s="345">
        <v>12</v>
      </c>
      <c r="J408" s="345">
        <v>12</v>
      </c>
      <c r="K408" s="345">
        <v>12</v>
      </c>
      <c r="L408" s="345">
        <v>12</v>
      </c>
      <c r="M408" s="345">
        <v>12</v>
      </c>
      <c r="N408" s="345">
        <v>12</v>
      </c>
      <c r="O408" s="345">
        <v>12</v>
      </c>
      <c r="P408" s="345">
        <v>12</v>
      </c>
      <c r="Q408" s="345" t="s">
        <v>795</v>
      </c>
      <c r="R408" s="345" t="s">
        <v>434</v>
      </c>
    </row>
    <row r="409" spans="1:18" x14ac:dyDescent="0.2">
      <c r="A409" s="345" t="s">
        <v>512</v>
      </c>
      <c r="B409" s="345" t="s">
        <v>344</v>
      </c>
      <c r="C409" s="345" t="s">
        <v>793</v>
      </c>
      <c r="D409" s="345" t="s">
        <v>797</v>
      </c>
      <c r="E409" s="345" t="s">
        <v>430</v>
      </c>
      <c r="F409" s="345" t="s">
        <v>463</v>
      </c>
      <c r="G409" s="345" t="s">
        <v>464</v>
      </c>
      <c r="H409" s="345" t="s">
        <v>463</v>
      </c>
      <c r="I409" s="345">
        <v>49</v>
      </c>
      <c r="J409" s="345">
        <v>53</v>
      </c>
      <c r="K409" s="345">
        <v>100</v>
      </c>
      <c r="L409" s="345">
        <v>133</v>
      </c>
      <c r="M409" s="345">
        <v>184</v>
      </c>
      <c r="N409" s="345">
        <v>218</v>
      </c>
      <c r="O409" s="345">
        <v>285</v>
      </c>
      <c r="P409" s="345">
        <v>353</v>
      </c>
      <c r="Q409" s="345" t="s">
        <v>795</v>
      </c>
      <c r="R409" s="345" t="s">
        <v>434</v>
      </c>
    </row>
    <row r="410" spans="1:18" x14ac:dyDescent="0.2">
      <c r="A410" s="345" t="s">
        <v>512</v>
      </c>
      <c r="B410" s="345" t="s">
        <v>344</v>
      </c>
      <c r="C410" s="345" t="s">
        <v>793</v>
      </c>
      <c r="D410" s="345" t="s">
        <v>797</v>
      </c>
      <c r="E410" s="345" t="s">
        <v>430</v>
      </c>
      <c r="F410" s="345" t="s">
        <v>465</v>
      </c>
      <c r="G410" s="345" t="s">
        <v>432</v>
      </c>
      <c r="H410" s="345" t="s">
        <v>466</v>
      </c>
      <c r="I410" s="345">
        <v>58</v>
      </c>
      <c r="J410" s="345">
        <v>66</v>
      </c>
      <c r="K410" s="345">
        <v>76</v>
      </c>
      <c r="L410" s="345">
        <v>85</v>
      </c>
      <c r="M410" s="345">
        <v>96</v>
      </c>
      <c r="N410" s="345">
        <v>112</v>
      </c>
      <c r="O410" s="345">
        <v>123</v>
      </c>
      <c r="P410" s="345">
        <v>147</v>
      </c>
      <c r="Q410" s="345" t="s">
        <v>795</v>
      </c>
      <c r="R410" s="345" t="s">
        <v>434</v>
      </c>
    </row>
    <row r="411" spans="1:18" x14ac:dyDescent="0.2">
      <c r="A411" s="345" t="s">
        <v>512</v>
      </c>
      <c r="B411" s="345" t="s">
        <v>344</v>
      </c>
      <c r="C411" s="345" t="s">
        <v>793</v>
      </c>
      <c r="D411" s="345" t="s">
        <v>797</v>
      </c>
      <c r="E411" s="345" t="s">
        <v>430</v>
      </c>
      <c r="F411" s="345" t="s">
        <v>465</v>
      </c>
      <c r="G411" s="345" t="s">
        <v>467</v>
      </c>
      <c r="H411" s="345" t="s">
        <v>468</v>
      </c>
      <c r="I411" s="345">
        <v>49</v>
      </c>
      <c r="J411" s="345">
        <v>56</v>
      </c>
      <c r="K411" s="345">
        <v>65</v>
      </c>
      <c r="L411" s="345">
        <v>72</v>
      </c>
      <c r="M411" s="345">
        <v>81</v>
      </c>
      <c r="N411" s="345">
        <v>95</v>
      </c>
      <c r="O411" s="345">
        <v>105</v>
      </c>
      <c r="P411" s="345">
        <v>125</v>
      </c>
      <c r="Q411" s="345" t="s">
        <v>795</v>
      </c>
      <c r="R411" s="345" t="s">
        <v>434</v>
      </c>
    </row>
    <row r="412" spans="1:18" x14ac:dyDescent="0.2">
      <c r="A412" s="345" t="s">
        <v>512</v>
      </c>
      <c r="B412" s="345" t="s">
        <v>344</v>
      </c>
      <c r="C412" s="345" t="s">
        <v>793</v>
      </c>
      <c r="D412" s="345" t="s">
        <v>797</v>
      </c>
      <c r="E412" s="345" t="s">
        <v>430</v>
      </c>
      <c r="F412" s="345" t="s">
        <v>465</v>
      </c>
      <c r="G412" s="345" t="s">
        <v>440</v>
      </c>
      <c r="H412" s="345" t="s">
        <v>469</v>
      </c>
      <c r="I412" s="345">
        <v>28</v>
      </c>
      <c r="J412" s="345">
        <v>31</v>
      </c>
      <c r="K412" s="345">
        <v>38</v>
      </c>
      <c r="L412" s="345">
        <v>45</v>
      </c>
      <c r="M412" s="345">
        <v>54</v>
      </c>
      <c r="N412" s="345">
        <v>61</v>
      </c>
      <c r="O412" s="345">
        <v>68</v>
      </c>
      <c r="P412" s="345">
        <v>78</v>
      </c>
      <c r="Q412" s="345" t="s">
        <v>795</v>
      </c>
      <c r="R412" s="345" t="s">
        <v>434</v>
      </c>
    </row>
    <row r="413" spans="1:18" x14ac:dyDescent="0.2">
      <c r="A413" s="345" t="s">
        <v>512</v>
      </c>
      <c r="B413" s="345" t="s">
        <v>344</v>
      </c>
      <c r="C413" s="345" t="s">
        <v>793</v>
      </c>
      <c r="D413" s="345" t="s">
        <v>797</v>
      </c>
      <c r="E413" s="345" t="s">
        <v>430</v>
      </c>
      <c r="F413" s="345" t="s">
        <v>465</v>
      </c>
      <c r="G413" s="345" t="s">
        <v>470</v>
      </c>
      <c r="H413" s="345" t="s">
        <v>471</v>
      </c>
      <c r="I413" s="345">
        <v>0</v>
      </c>
      <c r="J413" s="345">
        <v>0</v>
      </c>
      <c r="K413" s="345">
        <v>0</v>
      </c>
      <c r="L413" s="345">
        <v>0</v>
      </c>
      <c r="M413" s="345">
        <v>0</v>
      </c>
      <c r="N413" s="345">
        <v>0</v>
      </c>
      <c r="O413" s="345">
        <v>0</v>
      </c>
      <c r="P413" s="345">
        <v>0</v>
      </c>
      <c r="Q413" s="345" t="s">
        <v>795</v>
      </c>
      <c r="R413" s="345" t="s">
        <v>437</v>
      </c>
    </row>
    <row r="414" spans="1:18" x14ac:dyDescent="0.2">
      <c r="A414" s="345" t="s">
        <v>512</v>
      </c>
      <c r="B414" s="345" t="s">
        <v>344</v>
      </c>
      <c r="C414" s="345" t="s">
        <v>793</v>
      </c>
      <c r="D414" s="345" t="s">
        <v>797</v>
      </c>
      <c r="E414" s="345" t="s">
        <v>430</v>
      </c>
      <c r="F414" s="345" t="s">
        <v>465</v>
      </c>
      <c r="G414" s="345" t="s">
        <v>472</v>
      </c>
      <c r="H414" s="345" t="s">
        <v>473</v>
      </c>
      <c r="I414" s="345">
        <v>0</v>
      </c>
      <c r="J414" s="345">
        <v>0</v>
      </c>
      <c r="K414" s="345">
        <v>0</v>
      </c>
      <c r="L414" s="345">
        <v>0</v>
      </c>
      <c r="M414" s="345">
        <v>0</v>
      </c>
      <c r="N414" s="345">
        <v>0</v>
      </c>
      <c r="O414" s="345">
        <v>0</v>
      </c>
      <c r="P414" s="345">
        <v>0</v>
      </c>
      <c r="Q414" s="345" t="s">
        <v>795</v>
      </c>
      <c r="R414" s="345" t="s">
        <v>437</v>
      </c>
    </row>
    <row r="415" spans="1:18" x14ac:dyDescent="0.2">
      <c r="A415" s="345" t="s">
        <v>512</v>
      </c>
      <c r="B415" s="345" t="s">
        <v>344</v>
      </c>
      <c r="C415" s="345" t="s">
        <v>793</v>
      </c>
      <c r="D415" s="345" t="s">
        <v>797</v>
      </c>
      <c r="E415" s="345" t="s">
        <v>430</v>
      </c>
      <c r="F415" s="345" t="s">
        <v>474</v>
      </c>
      <c r="G415" s="345" t="s">
        <v>464</v>
      </c>
      <c r="H415" s="345" t="s">
        <v>474</v>
      </c>
      <c r="I415" s="345">
        <v>47</v>
      </c>
      <c r="J415" s="345">
        <v>47</v>
      </c>
      <c r="K415" s="345">
        <v>47</v>
      </c>
      <c r="L415" s="345">
        <v>47</v>
      </c>
      <c r="M415" s="345">
        <v>47</v>
      </c>
      <c r="N415" s="345">
        <v>47</v>
      </c>
      <c r="O415" s="345">
        <v>47</v>
      </c>
      <c r="P415" s="345">
        <v>47</v>
      </c>
      <c r="Q415" s="345" t="s">
        <v>795</v>
      </c>
      <c r="R415" s="345" t="s">
        <v>434</v>
      </c>
    </row>
    <row r="416" spans="1:18" x14ac:dyDescent="0.2">
      <c r="A416" s="345" t="s">
        <v>512</v>
      </c>
      <c r="B416" s="345" t="s">
        <v>344</v>
      </c>
      <c r="C416" s="345" t="s">
        <v>793</v>
      </c>
      <c r="D416" s="345" t="s">
        <v>797</v>
      </c>
      <c r="E416" s="345" t="s">
        <v>430</v>
      </c>
      <c r="F416" s="345" t="s">
        <v>475</v>
      </c>
      <c r="G416" s="345" t="s">
        <v>443</v>
      </c>
      <c r="H416" s="345" t="s">
        <v>476</v>
      </c>
      <c r="I416" s="345">
        <v>0</v>
      </c>
      <c r="J416" s="345">
        <v>0</v>
      </c>
      <c r="K416" s="345">
        <v>0</v>
      </c>
      <c r="L416" s="345">
        <v>0</v>
      </c>
      <c r="M416" s="345">
        <v>0</v>
      </c>
      <c r="N416" s="345">
        <v>0</v>
      </c>
      <c r="O416" s="345">
        <v>0</v>
      </c>
      <c r="P416" s="345">
        <v>0</v>
      </c>
      <c r="Q416" s="345" t="s">
        <v>795</v>
      </c>
      <c r="R416" s="345" t="s">
        <v>437</v>
      </c>
    </row>
    <row r="417" spans="1:18" x14ac:dyDescent="0.2">
      <c r="A417" s="345" t="s">
        <v>512</v>
      </c>
      <c r="B417" s="345" t="s">
        <v>344</v>
      </c>
      <c r="C417" s="345" t="s">
        <v>793</v>
      </c>
      <c r="D417" s="345" t="s">
        <v>797</v>
      </c>
      <c r="E417" s="345" t="s">
        <v>430</v>
      </c>
      <c r="F417" s="345" t="s">
        <v>477</v>
      </c>
      <c r="G417" s="345" t="s">
        <v>464</v>
      </c>
      <c r="H417" s="345" t="s">
        <v>477</v>
      </c>
      <c r="I417" s="345">
        <v>39</v>
      </c>
      <c r="J417" s="345">
        <v>42</v>
      </c>
      <c r="K417" s="345">
        <v>69</v>
      </c>
      <c r="L417" s="345">
        <v>88</v>
      </c>
      <c r="M417" s="345">
        <v>118</v>
      </c>
      <c r="N417" s="345">
        <v>137</v>
      </c>
      <c r="O417" s="345">
        <v>174</v>
      </c>
      <c r="P417" s="345">
        <v>213</v>
      </c>
      <c r="Q417" s="345" t="s">
        <v>795</v>
      </c>
      <c r="R417" s="345" t="s">
        <v>434</v>
      </c>
    </row>
    <row r="418" spans="1:18" x14ac:dyDescent="0.2">
      <c r="A418" s="345" t="s">
        <v>512</v>
      </c>
      <c r="B418" s="345" t="s">
        <v>344</v>
      </c>
      <c r="C418" s="345" t="s">
        <v>793</v>
      </c>
      <c r="D418" s="345" t="s">
        <v>797</v>
      </c>
      <c r="E418" s="345" t="s">
        <v>430</v>
      </c>
      <c r="F418" s="345" t="s">
        <v>478</v>
      </c>
      <c r="G418" s="345" t="s">
        <v>432</v>
      </c>
      <c r="H418" s="345" t="s">
        <v>479</v>
      </c>
      <c r="I418" s="345">
        <v>48</v>
      </c>
      <c r="J418" s="345">
        <v>50</v>
      </c>
      <c r="K418" s="345">
        <v>69</v>
      </c>
      <c r="L418" s="345">
        <v>92</v>
      </c>
      <c r="M418" s="345">
        <v>114</v>
      </c>
      <c r="N418" s="345">
        <v>132</v>
      </c>
      <c r="O418" s="345">
        <v>146</v>
      </c>
      <c r="P418" s="345">
        <v>175</v>
      </c>
      <c r="Q418" s="345" t="s">
        <v>795</v>
      </c>
      <c r="R418" s="345" t="s">
        <v>434</v>
      </c>
    </row>
    <row r="419" spans="1:18" x14ac:dyDescent="0.2">
      <c r="A419" s="345" t="s">
        <v>512</v>
      </c>
      <c r="B419" s="345" t="s">
        <v>344</v>
      </c>
      <c r="C419" s="345" t="s">
        <v>793</v>
      </c>
      <c r="D419" s="345" t="s">
        <v>797</v>
      </c>
      <c r="E419" s="345" t="s">
        <v>430</v>
      </c>
      <c r="F419" s="345" t="s">
        <v>478</v>
      </c>
      <c r="G419" s="345" t="s">
        <v>440</v>
      </c>
      <c r="H419" s="345" t="s">
        <v>480</v>
      </c>
      <c r="I419" s="345">
        <v>21</v>
      </c>
      <c r="J419" s="345">
        <v>22</v>
      </c>
      <c r="K419" s="345">
        <v>27</v>
      </c>
      <c r="L419" s="345">
        <v>32</v>
      </c>
      <c r="M419" s="345">
        <v>38</v>
      </c>
      <c r="N419" s="345">
        <v>43</v>
      </c>
      <c r="O419" s="345">
        <v>47</v>
      </c>
      <c r="P419" s="345">
        <v>56</v>
      </c>
      <c r="Q419" s="345" t="s">
        <v>795</v>
      </c>
      <c r="R419" s="345" t="s">
        <v>434</v>
      </c>
    </row>
    <row r="420" spans="1:18" x14ac:dyDescent="0.2">
      <c r="A420" s="345" t="s">
        <v>512</v>
      </c>
      <c r="B420" s="345" t="s">
        <v>344</v>
      </c>
      <c r="C420" s="345" t="s">
        <v>793</v>
      </c>
      <c r="D420" s="345" t="s">
        <v>797</v>
      </c>
      <c r="E420" s="345" t="s">
        <v>430</v>
      </c>
      <c r="F420" s="345" t="s">
        <v>478</v>
      </c>
      <c r="G420" s="345" t="s">
        <v>470</v>
      </c>
      <c r="H420" s="345" t="s">
        <v>481</v>
      </c>
      <c r="I420" s="345">
        <v>0</v>
      </c>
      <c r="J420" s="345">
        <v>0</v>
      </c>
      <c r="K420" s="345">
        <v>0</v>
      </c>
      <c r="L420" s="345">
        <v>0</v>
      </c>
      <c r="M420" s="345">
        <v>0</v>
      </c>
      <c r="N420" s="345">
        <v>0</v>
      </c>
      <c r="O420" s="345">
        <v>0</v>
      </c>
      <c r="P420" s="345">
        <v>0</v>
      </c>
      <c r="Q420" s="345" t="s">
        <v>795</v>
      </c>
      <c r="R420" s="345" t="s">
        <v>437</v>
      </c>
    </row>
    <row r="421" spans="1:18" x14ac:dyDescent="0.2">
      <c r="A421" s="345" t="s">
        <v>514</v>
      </c>
      <c r="B421" s="345" t="s">
        <v>515</v>
      </c>
      <c r="C421" s="345" t="s">
        <v>502</v>
      </c>
      <c r="D421" s="345" t="s">
        <v>491</v>
      </c>
      <c r="E421" s="345" t="s">
        <v>430</v>
      </c>
      <c r="F421" s="345" t="s">
        <v>465</v>
      </c>
      <c r="G421" s="345" t="s">
        <v>469</v>
      </c>
      <c r="H421" s="345" t="s">
        <v>469</v>
      </c>
      <c r="I421" s="345">
        <v>20</v>
      </c>
      <c r="J421" s="345">
        <v>27</v>
      </c>
      <c r="K421" s="345">
        <v>36</v>
      </c>
      <c r="L421" s="345">
        <v>38</v>
      </c>
      <c r="M421" s="345">
        <v>42</v>
      </c>
      <c r="N421" s="345">
        <v>45</v>
      </c>
      <c r="O421" s="345">
        <v>49</v>
      </c>
      <c r="P421" s="345">
        <v>0</v>
      </c>
      <c r="Q421" s="345" t="s">
        <v>547</v>
      </c>
      <c r="R421" s="345" t="s">
        <v>434</v>
      </c>
    </row>
    <row r="422" spans="1:18" x14ac:dyDescent="0.2">
      <c r="A422" s="345" t="s">
        <v>514</v>
      </c>
      <c r="B422" s="345" t="s">
        <v>515</v>
      </c>
      <c r="C422" s="345" t="s">
        <v>502</v>
      </c>
      <c r="D422" s="345" t="s">
        <v>491</v>
      </c>
      <c r="E422" s="345" t="s">
        <v>430</v>
      </c>
      <c r="F422" s="345" t="s">
        <v>465</v>
      </c>
      <c r="G422" s="345" t="s">
        <v>548</v>
      </c>
      <c r="H422" s="345" t="s">
        <v>548</v>
      </c>
      <c r="I422" s="345">
        <v>40</v>
      </c>
      <c r="J422" s="345">
        <v>53</v>
      </c>
      <c r="K422" s="345">
        <v>64</v>
      </c>
      <c r="L422" s="345">
        <v>67</v>
      </c>
      <c r="M422" s="345">
        <v>73</v>
      </c>
      <c r="N422" s="345">
        <v>78</v>
      </c>
      <c r="O422" s="345">
        <v>87</v>
      </c>
      <c r="P422" s="345">
        <v>0</v>
      </c>
      <c r="Q422" s="345" t="s">
        <v>547</v>
      </c>
      <c r="R422" s="345" t="s">
        <v>434</v>
      </c>
    </row>
    <row r="423" spans="1:18" x14ac:dyDescent="0.2">
      <c r="A423" s="345" t="s">
        <v>514</v>
      </c>
      <c r="B423" s="345" t="s">
        <v>515</v>
      </c>
      <c r="C423" s="345" t="s">
        <v>502</v>
      </c>
      <c r="D423" s="345" t="s">
        <v>491</v>
      </c>
      <c r="E423" s="345" t="s">
        <v>430</v>
      </c>
      <c r="F423" s="345" t="s">
        <v>465</v>
      </c>
      <c r="G423" s="345" t="s">
        <v>466</v>
      </c>
      <c r="H423" s="345" t="s">
        <v>466</v>
      </c>
      <c r="I423" s="345">
        <v>18</v>
      </c>
      <c r="J423" s="345">
        <v>24</v>
      </c>
      <c r="K423" s="345">
        <v>28</v>
      </c>
      <c r="L423" s="345">
        <v>33</v>
      </c>
      <c r="M423" s="345">
        <v>39</v>
      </c>
      <c r="N423" s="345">
        <v>45</v>
      </c>
      <c r="O423" s="345">
        <v>50</v>
      </c>
      <c r="P423" s="345">
        <v>0</v>
      </c>
      <c r="Q423" s="345" t="s">
        <v>547</v>
      </c>
      <c r="R423" s="345" t="s">
        <v>434</v>
      </c>
    </row>
    <row r="424" spans="1:18" x14ac:dyDescent="0.2">
      <c r="A424" s="345" t="s">
        <v>514</v>
      </c>
      <c r="B424" s="345" t="s">
        <v>515</v>
      </c>
      <c r="C424" s="345" t="s">
        <v>502</v>
      </c>
      <c r="D424" s="345" t="s">
        <v>491</v>
      </c>
      <c r="E424" s="345" t="s">
        <v>430</v>
      </c>
      <c r="F424" s="345" t="s">
        <v>465</v>
      </c>
      <c r="G424" s="345" t="s">
        <v>468</v>
      </c>
      <c r="H424" s="345" t="s">
        <v>468</v>
      </c>
      <c r="I424" s="345">
        <v>13</v>
      </c>
      <c r="J424" s="345">
        <v>17</v>
      </c>
      <c r="K424" s="345">
        <v>20</v>
      </c>
      <c r="L424" s="345">
        <v>23</v>
      </c>
      <c r="M424" s="345">
        <v>26</v>
      </c>
      <c r="N424" s="345">
        <v>29</v>
      </c>
      <c r="O424" s="345">
        <v>32</v>
      </c>
      <c r="P424" s="345">
        <v>0</v>
      </c>
      <c r="Q424" s="345" t="s">
        <v>547</v>
      </c>
      <c r="R424" s="345" t="s">
        <v>434</v>
      </c>
    </row>
    <row r="425" spans="1:18" x14ac:dyDescent="0.2">
      <c r="A425" s="345" t="s">
        <v>514</v>
      </c>
      <c r="B425" s="345" t="s">
        <v>515</v>
      </c>
      <c r="C425" s="345" t="s">
        <v>502</v>
      </c>
      <c r="D425" s="345" t="s">
        <v>491</v>
      </c>
      <c r="E425" s="345" t="s">
        <v>430</v>
      </c>
      <c r="F425" s="345" t="s">
        <v>438</v>
      </c>
      <c r="G425" s="345" t="s">
        <v>441</v>
      </c>
      <c r="H425" s="345" t="s">
        <v>441</v>
      </c>
      <c r="I425" s="345">
        <v>5</v>
      </c>
      <c r="J425" s="345">
        <v>6</v>
      </c>
      <c r="K425" s="345">
        <v>6</v>
      </c>
      <c r="L425" s="345">
        <v>9</v>
      </c>
      <c r="M425" s="345">
        <v>11</v>
      </c>
      <c r="N425" s="345">
        <v>15</v>
      </c>
      <c r="O425" s="345">
        <v>17</v>
      </c>
      <c r="P425" s="345">
        <v>0</v>
      </c>
      <c r="Q425" s="345" t="s">
        <v>547</v>
      </c>
      <c r="R425" s="345" t="s">
        <v>434</v>
      </c>
    </row>
    <row r="426" spans="1:18" x14ac:dyDescent="0.2">
      <c r="A426" s="345" t="s">
        <v>514</v>
      </c>
      <c r="B426" s="345" t="s">
        <v>515</v>
      </c>
      <c r="C426" s="345" t="s">
        <v>502</v>
      </c>
      <c r="D426" s="345" t="s">
        <v>491</v>
      </c>
      <c r="E426" s="345" t="s">
        <v>430</v>
      </c>
      <c r="F426" s="345" t="s">
        <v>438</v>
      </c>
      <c r="G426" s="345" t="s">
        <v>549</v>
      </c>
      <c r="H426" s="345" t="s">
        <v>549</v>
      </c>
      <c r="I426" s="345">
        <v>6</v>
      </c>
      <c r="J426" s="345">
        <v>8</v>
      </c>
      <c r="K426" s="345">
        <v>8</v>
      </c>
      <c r="L426" s="345">
        <v>14</v>
      </c>
      <c r="M426" s="345">
        <v>20</v>
      </c>
      <c r="N426" s="345">
        <v>25</v>
      </c>
      <c r="O426" s="345">
        <v>28</v>
      </c>
      <c r="P426" s="345">
        <v>0</v>
      </c>
      <c r="Q426" s="345" t="s">
        <v>547</v>
      </c>
      <c r="R426" s="345" t="s">
        <v>434</v>
      </c>
    </row>
    <row r="427" spans="1:18" x14ac:dyDescent="0.2">
      <c r="A427" s="345" t="s">
        <v>514</v>
      </c>
      <c r="B427" s="345" t="s">
        <v>515</v>
      </c>
      <c r="C427" s="345" t="s">
        <v>502</v>
      </c>
      <c r="D427" s="345" t="s">
        <v>491</v>
      </c>
      <c r="E427" s="345" t="s">
        <v>430</v>
      </c>
      <c r="F427" s="345" t="s">
        <v>438</v>
      </c>
      <c r="G427" s="345" t="s">
        <v>439</v>
      </c>
      <c r="H427" s="345" t="s">
        <v>439</v>
      </c>
      <c r="I427" s="345">
        <v>6</v>
      </c>
      <c r="J427" s="345">
        <v>8</v>
      </c>
      <c r="K427" s="345">
        <v>9</v>
      </c>
      <c r="L427" s="345">
        <v>14</v>
      </c>
      <c r="M427" s="345">
        <v>18</v>
      </c>
      <c r="N427" s="345">
        <v>22</v>
      </c>
      <c r="O427" s="345">
        <v>26</v>
      </c>
      <c r="P427" s="345">
        <v>0</v>
      </c>
      <c r="Q427" s="345" t="s">
        <v>547</v>
      </c>
      <c r="R427" s="345" t="s">
        <v>434</v>
      </c>
    </row>
    <row r="428" spans="1:18" x14ac:dyDescent="0.2">
      <c r="A428" s="345" t="s">
        <v>514</v>
      </c>
      <c r="B428" s="345" t="s">
        <v>515</v>
      </c>
      <c r="C428" s="345" t="s">
        <v>502</v>
      </c>
      <c r="D428" s="345" t="s">
        <v>491</v>
      </c>
      <c r="E428" s="345" t="s">
        <v>430</v>
      </c>
      <c r="F428" s="345" t="s">
        <v>456</v>
      </c>
      <c r="G428" s="345" t="s">
        <v>458</v>
      </c>
      <c r="H428" s="345" t="s">
        <v>458</v>
      </c>
      <c r="I428" s="345">
        <v>27</v>
      </c>
      <c r="J428" s="345">
        <v>36</v>
      </c>
      <c r="K428" s="345">
        <v>43</v>
      </c>
      <c r="L428" s="345">
        <v>60</v>
      </c>
      <c r="M428" s="345">
        <v>80</v>
      </c>
      <c r="N428" s="345">
        <v>99</v>
      </c>
      <c r="O428" s="345">
        <v>119</v>
      </c>
      <c r="P428" s="345">
        <v>0</v>
      </c>
      <c r="Q428" s="345" t="s">
        <v>547</v>
      </c>
      <c r="R428" s="345" t="s">
        <v>434</v>
      </c>
    </row>
    <row r="429" spans="1:18" x14ac:dyDescent="0.2">
      <c r="A429" s="345" t="s">
        <v>514</v>
      </c>
      <c r="B429" s="345" t="s">
        <v>515</v>
      </c>
      <c r="C429" s="345" t="s">
        <v>502</v>
      </c>
      <c r="D429" s="345" t="s">
        <v>491</v>
      </c>
      <c r="E429" s="345" t="s">
        <v>430</v>
      </c>
      <c r="F429" s="345" t="s">
        <v>478</v>
      </c>
      <c r="G429" s="345" t="s">
        <v>480</v>
      </c>
      <c r="H429" s="345" t="s">
        <v>480</v>
      </c>
      <c r="I429" s="345">
        <v>10</v>
      </c>
      <c r="J429" s="345">
        <v>13</v>
      </c>
      <c r="K429" s="345">
        <v>17</v>
      </c>
      <c r="L429" s="345">
        <v>24</v>
      </c>
      <c r="M429" s="345">
        <v>31</v>
      </c>
      <c r="N429" s="345">
        <v>39</v>
      </c>
      <c r="O429" s="345">
        <v>44</v>
      </c>
      <c r="P429" s="345">
        <v>0</v>
      </c>
      <c r="Q429" s="345" t="s">
        <v>547</v>
      </c>
      <c r="R429" s="345" t="s">
        <v>434</v>
      </c>
    </row>
    <row r="430" spans="1:18" x14ac:dyDescent="0.2">
      <c r="A430" s="345" t="s">
        <v>514</v>
      </c>
      <c r="B430" s="345" t="s">
        <v>515</v>
      </c>
      <c r="C430" s="345" t="s">
        <v>502</v>
      </c>
      <c r="D430" s="345" t="s">
        <v>491</v>
      </c>
      <c r="E430" s="345" t="s">
        <v>430</v>
      </c>
      <c r="F430" s="345" t="s">
        <v>478</v>
      </c>
      <c r="G430" s="345" t="s">
        <v>550</v>
      </c>
      <c r="H430" s="345" t="s">
        <v>550</v>
      </c>
      <c r="I430" s="345">
        <v>17</v>
      </c>
      <c r="J430" s="345">
        <v>22</v>
      </c>
      <c r="K430" s="345">
        <v>28</v>
      </c>
      <c r="L430" s="345">
        <v>39</v>
      </c>
      <c r="M430" s="345">
        <v>53</v>
      </c>
      <c r="N430" s="345">
        <v>64</v>
      </c>
      <c r="O430" s="345">
        <v>73</v>
      </c>
      <c r="P430" s="345">
        <v>0</v>
      </c>
      <c r="Q430" s="345" t="s">
        <v>547</v>
      </c>
      <c r="R430" s="345" t="s">
        <v>434</v>
      </c>
    </row>
    <row r="431" spans="1:18" x14ac:dyDescent="0.2">
      <c r="A431" s="345" t="s">
        <v>514</v>
      </c>
      <c r="B431" s="345" t="s">
        <v>515</v>
      </c>
      <c r="C431" s="345" t="s">
        <v>502</v>
      </c>
      <c r="D431" s="345" t="s">
        <v>491</v>
      </c>
      <c r="E431" s="345" t="s">
        <v>430</v>
      </c>
      <c r="F431" s="345" t="s">
        <v>478</v>
      </c>
      <c r="G431" s="345" t="s">
        <v>479</v>
      </c>
      <c r="H431" s="345" t="s">
        <v>479</v>
      </c>
      <c r="I431" s="345">
        <v>27</v>
      </c>
      <c r="J431" s="345">
        <v>36</v>
      </c>
      <c r="K431" s="345">
        <v>43</v>
      </c>
      <c r="L431" s="345">
        <v>60</v>
      </c>
      <c r="M431" s="345">
        <v>80</v>
      </c>
      <c r="N431" s="345">
        <v>99</v>
      </c>
      <c r="O431" s="345">
        <v>119</v>
      </c>
      <c r="P431" s="345">
        <v>0</v>
      </c>
      <c r="Q431" s="345" t="s">
        <v>547</v>
      </c>
      <c r="R431" s="345" t="s">
        <v>434</v>
      </c>
    </row>
    <row r="432" spans="1:18" x14ac:dyDescent="0.2">
      <c r="A432" s="345" t="s">
        <v>514</v>
      </c>
      <c r="B432" s="345" t="s">
        <v>515</v>
      </c>
      <c r="C432" s="345" t="s">
        <v>502</v>
      </c>
      <c r="D432" s="345" t="s">
        <v>491</v>
      </c>
      <c r="E432" s="345" t="s">
        <v>430</v>
      </c>
      <c r="F432" s="345" t="s">
        <v>477</v>
      </c>
      <c r="G432" s="345" t="s">
        <v>477</v>
      </c>
      <c r="H432" s="345" t="s">
        <v>477</v>
      </c>
      <c r="I432" s="345">
        <v>53</v>
      </c>
      <c r="J432" s="345">
        <v>71</v>
      </c>
      <c r="K432" s="345">
        <v>72</v>
      </c>
      <c r="L432" s="345">
        <v>89</v>
      </c>
      <c r="M432" s="345">
        <v>108</v>
      </c>
      <c r="N432" s="345">
        <v>128</v>
      </c>
      <c r="O432" s="345">
        <v>149</v>
      </c>
      <c r="P432" s="345">
        <v>0</v>
      </c>
      <c r="Q432" s="345" t="s">
        <v>547</v>
      </c>
      <c r="R432" s="345" t="s">
        <v>434</v>
      </c>
    </row>
    <row r="433" spans="1:18" x14ac:dyDescent="0.2">
      <c r="A433" s="345" t="s">
        <v>514</v>
      </c>
      <c r="B433" s="345" t="s">
        <v>515</v>
      </c>
      <c r="C433" s="345" t="s">
        <v>502</v>
      </c>
      <c r="D433" s="345" t="s">
        <v>491</v>
      </c>
      <c r="E433" s="345" t="s">
        <v>430</v>
      </c>
      <c r="F433" s="345" t="s">
        <v>463</v>
      </c>
      <c r="G433" s="345" t="s">
        <v>463</v>
      </c>
      <c r="H433" s="345" t="s">
        <v>463</v>
      </c>
      <c r="I433" s="345">
        <v>53</v>
      </c>
      <c r="J433" s="345">
        <v>71</v>
      </c>
      <c r="K433" s="345">
        <v>71</v>
      </c>
      <c r="L433" s="345">
        <v>71</v>
      </c>
      <c r="M433" s="345">
        <v>71</v>
      </c>
      <c r="N433" s="345">
        <v>71</v>
      </c>
      <c r="O433" s="345">
        <v>71</v>
      </c>
      <c r="P433" s="345">
        <v>0</v>
      </c>
      <c r="Q433" s="345" t="s">
        <v>547</v>
      </c>
      <c r="R433" s="345" t="s">
        <v>434</v>
      </c>
    </row>
    <row r="434" spans="1:18" x14ac:dyDescent="0.2">
      <c r="A434" s="345" t="s">
        <v>514</v>
      </c>
      <c r="B434" s="345" t="s">
        <v>515</v>
      </c>
      <c r="C434" s="345" t="s">
        <v>502</v>
      </c>
      <c r="D434" s="345" t="s">
        <v>491</v>
      </c>
      <c r="E434" s="345" t="s">
        <v>430</v>
      </c>
      <c r="F434" s="345" t="s">
        <v>474</v>
      </c>
      <c r="G434" s="345" t="s">
        <v>474</v>
      </c>
      <c r="H434" s="345" t="s">
        <v>474</v>
      </c>
      <c r="I434" s="345">
        <v>45</v>
      </c>
      <c r="J434" s="345">
        <v>60</v>
      </c>
      <c r="K434" s="345">
        <v>60</v>
      </c>
      <c r="L434" s="345">
        <v>60</v>
      </c>
      <c r="M434" s="345">
        <v>60</v>
      </c>
      <c r="N434" s="345">
        <v>60</v>
      </c>
      <c r="O434" s="345">
        <v>60</v>
      </c>
      <c r="P434" s="345">
        <v>0</v>
      </c>
      <c r="Q434" s="345" t="s">
        <v>547</v>
      </c>
      <c r="R434" s="345" t="s">
        <v>434</v>
      </c>
    </row>
    <row r="435" spans="1:18" x14ac:dyDescent="0.2">
      <c r="A435" s="345" t="s">
        <v>514</v>
      </c>
      <c r="B435" s="345" t="s">
        <v>515</v>
      </c>
      <c r="C435" s="345" t="s">
        <v>502</v>
      </c>
      <c r="D435" s="345" t="s">
        <v>491</v>
      </c>
      <c r="E435" s="345" t="s">
        <v>430</v>
      </c>
      <c r="F435" s="345" t="s">
        <v>459</v>
      </c>
      <c r="G435" s="345" t="s">
        <v>460</v>
      </c>
      <c r="H435" s="345" t="s">
        <v>460</v>
      </c>
      <c r="I435" s="345">
        <v>11</v>
      </c>
      <c r="J435" s="345">
        <v>11</v>
      </c>
      <c r="K435" s="345">
        <v>11</v>
      </c>
      <c r="L435" s="345">
        <v>11</v>
      </c>
      <c r="M435" s="345">
        <v>11</v>
      </c>
      <c r="N435" s="345">
        <v>11</v>
      </c>
      <c r="O435" s="345">
        <v>11</v>
      </c>
      <c r="P435" s="345">
        <v>0</v>
      </c>
      <c r="Q435" s="345" t="s">
        <v>547</v>
      </c>
      <c r="R435" s="345" t="s">
        <v>434</v>
      </c>
    </row>
    <row r="436" spans="1:18" x14ac:dyDescent="0.2">
      <c r="A436" s="345" t="s">
        <v>514</v>
      </c>
      <c r="B436" s="345" t="s">
        <v>515</v>
      </c>
      <c r="C436" s="345" t="s">
        <v>502</v>
      </c>
      <c r="D436" s="345" t="s">
        <v>491</v>
      </c>
      <c r="E436" s="345" t="s">
        <v>430</v>
      </c>
      <c r="F436" s="345" t="s">
        <v>461</v>
      </c>
      <c r="G436" s="345" t="s">
        <v>462</v>
      </c>
      <c r="H436" s="345" t="s">
        <v>462</v>
      </c>
      <c r="I436" s="345">
        <v>12</v>
      </c>
      <c r="J436" s="345">
        <v>12</v>
      </c>
      <c r="K436" s="345">
        <v>12</v>
      </c>
      <c r="L436" s="345">
        <v>12</v>
      </c>
      <c r="M436" s="345">
        <v>12</v>
      </c>
      <c r="N436" s="345">
        <v>12</v>
      </c>
      <c r="O436" s="345">
        <v>12</v>
      </c>
      <c r="P436" s="345">
        <v>0</v>
      </c>
      <c r="Q436" s="345" t="s">
        <v>547</v>
      </c>
      <c r="R436" s="345" t="s">
        <v>434</v>
      </c>
    </row>
    <row r="437" spans="1:18" x14ac:dyDescent="0.2">
      <c r="A437" s="345" t="s">
        <v>514</v>
      </c>
      <c r="B437" s="345" t="s">
        <v>515</v>
      </c>
      <c r="C437" s="345" t="s">
        <v>502</v>
      </c>
      <c r="D437" s="345" t="s">
        <v>551</v>
      </c>
      <c r="E437" s="345" t="s">
        <v>430</v>
      </c>
      <c r="F437" s="345" t="s">
        <v>465</v>
      </c>
      <c r="G437" s="345" t="s">
        <v>469</v>
      </c>
      <c r="H437" s="345" t="s">
        <v>469</v>
      </c>
      <c r="I437" s="345">
        <v>16</v>
      </c>
      <c r="J437" s="345">
        <v>21</v>
      </c>
      <c r="K437" s="345">
        <v>25</v>
      </c>
      <c r="L437" s="345">
        <v>29</v>
      </c>
      <c r="M437" s="345">
        <v>31</v>
      </c>
      <c r="N437" s="345">
        <v>34</v>
      </c>
      <c r="O437" s="345">
        <v>36</v>
      </c>
      <c r="P437" s="345">
        <v>0</v>
      </c>
      <c r="Q437" s="345" t="s">
        <v>547</v>
      </c>
      <c r="R437" s="345" t="s">
        <v>434</v>
      </c>
    </row>
    <row r="438" spans="1:18" x14ac:dyDescent="0.2">
      <c r="A438" s="345" t="s">
        <v>514</v>
      </c>
      <c r="B438" s="345" t="s">
        <v>515</v>
      </c>
      <c r="C438" s="345" t="s">
        <v>502</v>
      </c>
      <c r="D438" s="345" t="s">
        <v>551</v>
      </c>
      <c r="E438" s="345" t="s">
        <v>430</v>
      </c>
      <c r="F438" s="345" t="s">
        <v>465</v>
      </c>
      <c r="G438" s="345" t="s">
        <v>548</v>
      </c>
      <c r="H438" s="345" t="s">
        <v>548</v>
      </c>
      <c r="I438" s="345">
        <v>29</v>
      </c>
      <c r="J438" s="345">
        <v>39</v>
      </c>
      <c r="K438" s="345">
        <v>45</v>
      </c>
      <c r="L438" s="345">
        <v>53</v>
      </c>
      <c r="M438" s="345">
        <v>56</v>
      </c>
      <c r="N438" s="345">
        <v>62</v>
      </c>
      <c r="O438" s="345">
        <v>64</v>
      </c>
      <c r="P438" s="345">
        <v>0</v>
      </c>
      <c r="Q438" s="345" t="s">
        <v>547</v>
      </c>
      <c r="R438" s="345" t="s">
        <v>434</v>
      </c>
    </row>
    <row r="439" spans="1:18" x14ac:dyDescent="0.2">
      <c r="A439" s="345" t="s">
        <v>514</v>
      </c>
      <c r="B439" s="345" t="s">
        <v>515</v>
      </c>
      <c r="C439" s="345" t="s">
        <v>502</v>
      </c>
      <c r="D439" s="345" t="s">
        <v>551</v>
      </c>
      <c r="E439" s="345" t="s">
        <v>430</v>
      </c>
      <c r="F439" s="345" t="s">
        <v>465</v>
      </c>
      <c r="G439" s="345" t="s">
        <v>466</v>
      </c>
      <c r="H439" s="345" t="s">
        <v>466</v>
      </c>
      <c r="I439" s="345">
        <v>12</v>
      </c>
      <c r="J439" s="345">
        <v>16</v>
      </c>
      <c r="K439" s="345">
        <v>19</v>
      </c>
      <c r="L439" s="345">
        <v>23</v>
      </c>
      <c r="M439" s="345">
        <v>28</v>
      </c>
      <c r="N439" s="345">
        <v>33</v>
      </c>
      <c r="O439" s="345">
        <v>37</v>
      </c>
      <c r="P439" s="345">
        <v>0</v>
      </c>
      <c r="Q439" s="345" t="s">
        <v>547</v>
      </c>
      <c r="R439" s="345" t="s">
        <v>434</v>
      </c>
    </row>
    <row r="440" spans="1:18" x14ac:dyDescent="0.2">
      <c r="A440" s="345" t="s">
        <v>514</v>
      </c>
      <c r="B440" s="345" t="s">
        <v>515</v>
      </c>
      <c r="C440" s="345" t="s">
        <v>502</v>
      </c>
      <c r="D440" s="345" t="s">
        <v>551</v>
      </c>
      <c r="E440" s="345" t="s">
        <v>430</v>
      </c>
      <c r="F440" s="345" t="s">
        <v>465</v>
      </c>
      <c r="G440" s="345" t="s">
        <v>468</v>
      </c>
      <c r="H440" s="345" t="s">
        <v>468</v>
      </c>
      <c r="I440" s="345">
        <v>11</v>
      </c>
      <c r="J440" s="345">
        <v>14</v>
      </c>
      <c r="K440" s="345">
        <v>16</v>
      </c>
      <c r="L440" s="345">
        <v>19</v>
      </c>
      <c r="M440" s="345">
        <v>22</v>
      </c>
      <c r="N440" s="345">
        <v>24</v>
      </c>
      <c r="O440" s="345">
        <v>26</v>
      </c>
      <c r="P440" s="345">
        <v>0</v>
      </c>
      <c r="Q440" s="345" t="s">
        <v>547</v>
      </c>
      <c r="R440" s="345" t="s">
        <v>434</v>
      </c>
    </row>
    <row r="441" spans="1:18" x14ac:dyDescent="0.2">
      <c r="A441" s="345" t="s">
        <v>514</v>
      </c>
      <c r="B441" s="345" t="s">
        <v>515</v>
      </c>
      <c r="C441" s="345" t="s">
        <v>502</v>
      </c>
      <c r="D441" s="345" t="s">
        <v>551</v>
      </c>
      <c r="E441" s="345" t="s">
        <v>430</v>
      </c>
      <c r="F441" s="345" t="s">
        <v>438</v>
      </c>
      <c r="G441" s="345" t="s">
        <v>441</v>
      </c>
      <c r="H441" s="345" t="s">
        <v>441</v>
      </c>
      <c r="I441" s="345">
        <v>5</v>
      </c>
      <c r="J441" s="345">
        <v>6</v>
      </c>
      <c r="K441" s="345">
        <v>6</v>
      </c>
      <c r="L441" s="345">
        <v>9</v>
      </c>
      <c r="M441" s="345">
        <v>11</v>
      </c>
      <c r="N441" s="345">
        <v>15</v>
      </c>
      <c r="O441" s="345">
        <v>17</v>
      </c>
      <c r="P441" s="345">
        <v>0</v>
      </c>
      <c r="Q441" s="345" t="s">
        <v>547</v>
      </c>
      <c r="R441" s="345" t="s">
        <v>434</v>
      </c>
    </row>
    <row r="442" spans="1:18" x14ac:dyDescent="0.2">
      <c r="A442" s="345" t="s">
        <v>514</v>
      </c>
      <c r="B442" s="345" t="s">
        <v>515</v>
      </c>
      <c r="C442" s="345" t="s">
        <v>502</v>
      </c>
      <c r="D442" s="345" t="s">
        <v>551</v>
      </c>
      <c r="E442" s="345" t="s">
        <v>430</v>
      </c>
      <c r="F442" s="345" t="s">
        <v>438</v>
      </c>
      <c r="G442" s="345" t="s">
        <v>549</v>
      </c>
      <c r="H442" s="345" t="s">
        <v>549</v>
      </c>
      <c r="I442" s="345">
        <v>6</v>
      </c>
      <c r="J442" s="345">
        <v>8</v>
      </c>
      <c r="K442" s="345">
        <v>8</v>
      </c>
      <c r="L442" s="345">
        <v>14</v>
      </c>
      <c r="M442" s="345">
        <v>20</v>
      </c>
      <c r="N442" s="345">
        <v>25</v>
      </c>
      <c r="O442" s="345">
        <v>28</v>
      </c>
      <c r="P442" s="345">
        <v>0</v>
      </c>
      <c r="Q442" s="345" t="s">
        <v>547</v>
      </c>
      <c r="R442" s="345" t="s">
        <v>434</v>
      </c>
    </row>
    <row r="443" spans="1:18" x14ac:dyDescent="0.2">
      <c r="A443" s="345" t="s">
        <v>514</v>
      </c>
      <c r="B443" s="345" t="s">
        <v>515</v>
      </c>
      <c r="C443" s="345" t="s">
        <v>502</v>
      </c>
      <c r="D443" s="345" t="s">
        <v>551</v>
      </c>
      <c r="E443" s="345" t="s">
        <v>430</v>
      </c>
      <c r="F443" s="345" t="s">
        <v>438</v>
      </c>
      <c r="G443" s="345" t="s">
        <v>439</v>
      </c>
      <c r="H443" s="345" t="s">
        <v>439</v>
      </c>
      <c r="I443" s="345">
        <v>6</v>
      </c>
      <c r="J443" s="345">
        <v>8</v>
      </c>
      <c r="K443" s="345">
        <v>9</v>
      </c>
      <c r="L443" s="345">
        <v>14</v>
      </c>
      <c r="M443" s="345">
        <v>18</v>
      </c>
      <c r="N443" s="345">
        <v>22</v>
      </c>
      <c r="O443" s="345">
        <v>26</v>
      </c>
      <c r="P443" s="345">
        <v>0</v>
      </c>
      <c r="Q443" s="345" t="s">
        <v>547</v>
      </c>
      <c r="R443" s="345" t="s">
        <v>434</v>
      </c>
    </row>
    <row r="444" spans="1:18" x14ac:dyDescent="0.2">
      <c r="A444" s="345" t="s">
        <v>514</v>
      </c>
      <c r="B444" s="345" t="s">
        <v>515</v>
      </c>
      <c r="C444" s="345" t="s">
        <v>502</v>
      </c>
      <c r="D444" s="345" t="s">
        <v>551</v>
      </c>
      <c r="E444" s="345" t="s">
        <v>430</v>
      </c>
      <c r="F444" s="345" t="s">
        <v>456</v>
      </c>
      <c r="G444" s="345" t="s">
        <v>458</v>
      </c>
      <c r="H444" s="345" t="s">
        <v>458</v>
      </c>
      <c r="I444" s="345">
        <v>21</v>
      </c>
      <c r="J444" s="345">
        <v>28</v>
      </c>
      <c r="K444" s="345">
        <v>34</v>
      </c>
      <c r="L444" s="345">
        <v>47</v>
      </c>
      <c r="M444" s="345">
        <v>61</v>
      </c>
      <c r="N444" s="345">
        <v>77</v>
      </c>
      <c r="O444" s="345">
        <v>92</v>
      </c>
      <c r="P444" s="345">
        <v>0</v>
      </c>
      <c r="Q444" s="345" t="s">
        <v>547</v>
      </c>
      <c r="R444" s="345" t="s">
        <v>434</v>
      </c>
    </row>
    <row r="445" spans="1:18" x14ac:dyDescent="0.2">
      <c r="A445" s="345" t="s">
        <v>514</v>
      </c>
      <c r="B445" s="345" t="s">
        <v>515</v>
      </c>
      <c r="C445" s="345" t="s">
        <v>502</v>
      </c>
      <c r="D445" s="345" t="s">
        <v>551</v>
      </c>
      <c r="E445" s="345" t="s">
        <v>430</v>
      </c>
      <c r="F445" s="345" t="s">
        <v>478</v>
      </c>
      <c r="G445" s="345" t="s">
        <v>480</v>
      </c>
      <c r="H445" s="345" t="s">
        <v>480</v>
      </c>
      <c r="I445" s="345">
        <v>8</v>
      </c>
      <c r="J445" s="345">
        <v>11</v>
      </c>
      <c r="K445" s="345">
        <v>13</v>
      </c>
      <c r="L445" s="345">
        <v>19</v>
      </c>
      <c r="M445" s="345">
        <v>24</v>
      </c>
      <c r="N445" s="345">
        <v>30</v>
      </c>
      <c r="O445" s="345">
        <v>37</v>
      </c>
      <c r="P445" s="345">
        <v>0</v>
      </c>
      <c r="Q445" s="345" t="s">
        <v>547</v>
      </c>
      <c r="R445" s="345" t="s">
        <v>434</v>
      </c>
    </row>
    <row r="446" spans="1:18" x14ac:dyDescent="0.2">
      <c r="A446" s="345" t="s">
        <v>514</v>
      </c>
      <c r="B446" s="345" t="s">
        <v>515</v>
      </c>
      <c r="C446" s="345" t="s">
        <v>502</v>
      </c>
      <c r="D446" s="345" t="s">
        <v>551</v>
      </c>
      <c r="E446" s="345" t="s">
        <v>430</v>
      </c>
      <c r="F446" s="345" t="s">
        <v>478</v>
      </c>
      <c r="G446" s="345" t="s">
        <v>550</v>
      </c>
      <c r="H446" s="345" t="s">
        <v>550</v>
      </c>
      <c r="I446" s="345">
        <v>15</v>
      </c>
      <c r="J446" s="345">
        <v>20</v>
      </c>
      <c r="K446" s="345">
        <v>22</v>
      </c>
      <c r="L446" s="345">
        <v>31</v>
      </c>
      <c r="M446" s="345">
        <v>39</v>
      </c>
      <c r="N446" s="345">
        <v>48</v>
      </c>
      <c r="O446" s="345">
        <v>62</v>
      </c>
      <c r="P446" s="345">
        <v>0</v>
      </c>
      <c r="Q446" s="345" t="s">
        <v>547</v>
      </c>
      <c r="R446" s="345" t="s">
        <v>434</v>
      </c>
    </row>
    <row r="447" spans="1:18" x14ac:dyDescent="0.2">
      <c r="A447" s="345" t="s">
        <v>514</v>
      </c>
      <c r="B447" s="345" t="s">
        <v>515</v>
      </c>
      <c r="C447" s="345" t="s">
        <v>502</v>
      </c>
      <c r="D447" s="345" t="s">
        <v>551</v>
      </c>
      <c r="E447" s="345" t="s">
        <v>430</v>
      </c>
      <c r="F447" s="345" t="s">
        <v>478</v>
      </c>
      <c r="G447" s="345" t="s">
        <v>479</v>
      </c>
      <c r="H447" s="345" t="s">
        <v>479</v>
      </c>
      <c r="I447" s="345">
        <v>14</v>
      </c>
      <c r="J447" s="345">
        <v>18</v>
      </c>
      <c r="K447" s="345">
        <v>21</v>
      </c>
      <c r="L447" s="345">
        <v>27</v>
      </c>
      <c r="M447" s="345">
        <v>33</v>
      </c>
      <c r="N447" s="345">
        <v>39</v>
      </c>
      <c r="O447" s="345">
        <v>45</v>
      </c>
      <c r="P447" s="345">
        <v>0</v>
      </c>
      <c r="Q447" s="345" t="s">
        <v>547</v>
      </c>
      <c r="R447" s="345" t="s">
        <v>434</v>
      </c>
    </row>
    <row r="448" spans="1:18" x14ac:dyDescent="0.2">
      <c r="A448" s="345" t="s">
        <v>514</v>
      </c>
      <c r="B448" s="345" t="s">
        <v>515</v>
      </c>
      <c r="C448" s="345" t="s">
        <v>502</v>
      </c>
      <c r="D448" s="345" t="s">
        <v>551</v>
      </c>
      <c r="E448" s="345" t="s">
        <v>430</v>
      </c>
      <c r="F448" s="345" t="s">
        <v>477</v>
      </c>
      <c r="G448" s="345" t="s">
        <v>477</v>
      </c>
      <c r="H448" s="345" t="s">
        <v>477</v>
      </c>
      <c r="I448" s="345">
        <v>53</v>
      </c>
      <c r="J448" s="345">
        <v>71</v>
      </c>
      <c r="K448" s="345">
        <v>72</v>
      </c>
      <c r="L448" s="345">
        <v>89</v>
      </c>
      <c r="M448" s="345">
        <v>108</v>
      </c>
      <c r="N448" s="345">
        <v>128</v>
      </c>
      <c r="O448" s="345">
        <v>149</v>
      </c>
      <c r="P448" s="345">
        <v>0</v>
      </c>
      <c r="Q448" s="345" t="s">
        <v>547</v>
      </c>
      <c r="R448" s="345" t="s">
        <v>434</v>
      </c>
    </row>
    <row r="449" spans="1:18" x14ac:dyDescent="0.2">
      <c r="A449" s="345" t="s">
        <v>514</v>
      </c>
      <c r="B449" s="345" t="s">
        <v>515</v>
      </c>
      <c r="C449" s="345" t="s">
        <v>502</v>
      </c>
      <c r="D449" s="345" t="s">
        <v>551</v>
      </c>
      <c r="E449" s="345" t="s">
        <v>430</v>
      </c>
      <c r="F449" s="345" t="s">
        <v>463</v>
      </c>
      <c r="G449" s="345" t="s">
        <v>463</v>
      </c>
      <c r="H449" s="345" t="s">
        <v>463</v>
      </c>
      <c r="I449" s="345">
        <v>53</v>
      </c>
      <c r="J449" s="345">
        <v>71</v>
      </c>
      <c r="K449" s="345">
        <v>71</v>
      </c>
      <c r="L449" s="345">
        <v>71</v>
      </c>
      <c r="M449" s="345">
        <v>71</v>
      </c>
      <c r="N449" s="345">
        <v>71</v>
      </c>
      <c r="O449" s="345">
        <v>71</v>
      </c>
      <c r="P449" s="345">
        <v>0</v>
      </c>
      <c r="Q449" s="345" t="s">
        <v>547</v>
      </c>
      <c r="R449" s="345" t="s">
        <v>434</v>
      </c>
    </row>
    <row r="450" spans="1:18" x14ac:dyDescent="0.2">
      <c r="A450" s="345" t="s">
        <v>514</v>
      </c>
      <c r="B450" s="345" t="s">
        <v>515</v>
      </c>
      <c r="C450" s="345" t="s">
        <v>502</v>
      </c>
      <c r="D450" s="345" t="s">
        <v>551</v>
      </c>
      <c r="E450" s="345" t="s">
        <v>430</v>
      </c>
      <c r="F450" s="345" t="s">
        <v>474</v>
      </c>
      <c r="G450" s="345" t="s">
        <v>474</v>
      </c>
      <c r="H450" s="345" t="s">
        <v>474</v>
      </c>
      <c r="I450" s="345">
        <v>60</v>
      </c>
      <c r="J450" s="345">
        <v>60</v>
      </c>
      <c r="K450" s="345">
        <v>60</v>
      </c>
      <c r="L450" s="345">
        <v>60</v>
      </c>
      <c r="M450" s="345">
        <v>60</v>
      </c>
      <c r="N450" s="345">
        <v>60</v>
      </c>
      <c r="O450" s="345">
        <v>60</v>
      </c>
      <c r="P450" s="345">
        <v>0</v>
      </c>
      <c r="Q450" s="345" t="s">
        <v>547</v>
      </c>
      <c r="R450" s="345" t="s">
        <v>434</v>
      </c>
    </row>
    <row r="451" spans="1:18" x14ac:dyDescent="0.2">
      <c r="A451" s="345" t="s">
        <v>514</v>
      </c>
      <c r="B451" s="345" t="s">
        <v>515</v>
      </c>
      <c r="C451" s="345" t="s">
        <v>502</v>
      </c>
      <c r="D451" s="345" t="s">
        <v>551</v>
      </c>
      <c r="E451" s="345" t="s">
        <v>430</v>
      </c>
      <c r="F451" s="345" t="s">
        <v>459</v>
      </c>
      <c r="G451" s="345" t="s">
        <v>460</v>
      </c>
      <c r="H451" s="345" t="s">
        <v>460</v>
      </c>
      <c r="I451" s="345">
        <v>11</v>
      </c>
      <c r="J451" s="345">
        <v>11</v>
      </c>
      <c r="K451" s="345">
        <v>11</v>
      </c>
      <c r="L451" s="345">
        <v>11</v>
      </c>
      <c r="M451" s="345">
        <v>11</v>
      </c>
      <c r="N451" s="345">
        <v>11</v>
      </c>
      <c r="O451" s="345">
        <v>11</v>
      </c>
      <c r="P451" s="345">
        <v>0</v>
      </c>
      <c r="Q451" s="345" t="s">
        <v>547</v>
      </c>
      <c r="R451" s="345" t="s">
        <v>434</v>
      </c>
    </row>
    <row r="452" spans="1:18" x14ac:dyDescent="0.2">
      <c r="A452" s="345" t="s">
        <v>514</v>
      </c>
      <c r="B452" s="345" t="s">
        <v>515</v>
      </c>
      <c r="C452" s="345" t="s">
        <v>502</v>
      </c>
      <c r="D452" s="345" t="s">
        <v>551</v>
      </c>
      <c r="E452" s="345" t="s">
        <v>430</v>
      </c>
      <c r="F452" s="345" t="s">
        <v>461</v>
      </c>
      <c r="G452" s="345" t="s">
        <v>462</v>
      </c>
      <c r="H452" s="345" t="s">
        <v>462</v>
      </c>
      <c r="I452" s="345">
        <v>12</v>
      </c>
      <c r="J452" s="345">
        <v>12</v>
      </c>
      <c r="K452" s="345">
        <v>12</v>
      </c>
      <c r="L452" s="345">
        <v>12</v>
      </c>
      <c r="M452" s="345">
        <v>12</v>
      </c>
      <c r="N452" s="345">
        <v>12</v>
      </c>
      <c r="O452" s="345">
        <v>12</v>
      </c>
      <c r="P452" s="345">
        <v>0</v>
      </c>
      <c r="Q452" s="345" t="s">
        <v>547</v>
      </c>
      <c r="R452" s="345" t="s">
        <v>434</v>
      </c>
    </row>
    <row r="453" spans="1:18" x14ac:dyDescent="0.2">
      <c r="A453" s="345" t="s">
        <v>514</v>
      </c>
      <c r="B453" s="345" t="s">
        <v>515</v>
      </c>
      <c r="C453" s="345" t="s">
        <v>502</v>
      </c>
      <c r="D453" s="345" t="s">
        <v>552</v>
      </c>
      <c r="E453" s="345" t="s">
        <v>483</v>
      </c>
      <c r="F453" s="345" t="s">
        <v>465</v>
      </c>
      <c r="G453" s="345" t="s">
        <v>469</v>
      </c>
      <c r="H453" s="345" t="s">
        <v>469</v>
      </c>
      <c r="I453" s="345">
        <v>20</v>
      </c>
      <c r="J453" s="345">
        <v>27</v>
      </c>
      <c r="K453" s="345">
        <v>36</v>
      </c>
      <c r="L453" s="345">
        <v>42</v>
      </c>
      <c r="M453" s="345">
        <v>45</v>
      </c>
      <c r="N453" s="345">
        <v>49</v>
      </c>
      <c r="O453" s="345">
        <v>55</v>
      </c>
      <c r="P453" s="345">
        <v>58</v>
      </c>
      <c r="Q453" s="345" t="s">
        <v>547</v>
      </c>
      <c r="R453" s="345" t="s">
        <v>434</v>
      </c>
    </row>
    <row r="454" spans="1:18" x14ac:dyDescent="0.2">
      <c r="A454" s="345" t="s">
        <v>514</v>
      </c>
      <c r="B454" s="345" t="s">
        <v>515</v>
      </c>
      <c r="C454" s="345" t="s">
        <v>502</v>
      </c>
      <c r="D454" s="345" t="s">
        <v>552</v>
      </c>
      <c r="E454" s="345" t="s">
        <v>483</v>
      </c>
      <c r="F454" s="345" t="s">
        <v>465</v>
      </c>
      <c r="G454" s="345" t="s">
        <v>548</v>
      </c>
      <c r="H454" s="345" t="s">
        <v>548</v>
      </c>
      <c r="I454" s="345">
        <v>42</v>
      </c>
      <c r="J454" s="345">
        <v>56</v>
      </c>
      <c r="K454" s="345">
        <v>64</v>
      </c>
      <c r="L454" s="345">
        <v>73</v>
      </c>
      <c r="M454" s="345">
        <v>78</v>
      </c>
      <c r="N454" s="345">
        <v>87</v>
      </c>
      <c r="O454" s="345">
        <v>95</v>
      </c>
      <c r="P454" s="345">
        <v>101</v>
      </c>
      <c r="Q454" s="345" t="s">
        <v>547</v>
      </c>
      <c r="R454" s="345" t="s">
        <v>434</v>
      </c>
    </row>
    <row r="455" spans="1:18" x14ac:dyDescent="0.2">
      <c r="A455" s="345" t="s">
        <v>514</v>
      </c>
      <c r="B455" s="345" t="s">
        <v>515</v>
      </c>
      <c r="C455" s="345" t="s">
        <v>502</v>
      </c>
      <c r="D455" s="345" t="s">
        <v>552</v>
      </c>
      <c r="E455" s="345" t="s">
        <v>483</v>
      </c>
      <c r="F455" s="345" t="s">
        <v>465</v>
      </c>
      <c r="G455" s="345" t="s">
        <v>466</v>
      </c>
      <c r="H455" s="345" t="s">
        <v>466</v>
      </c>
      <c r="I455" s="345">
        <v>24</v>
      </c>
      <c r="J455" s="345">
        <v>32</v>
      </c>
      <c r="K455" s="345">
        <v>38</v>
      </c>
      <c r="L455" s="345">
        <v>43</v>
      </c>
      <c r="M455" s="345">
        <v>48</v>
      </c>
      <c r="N455" s="345">
        <v>54</v>
      </c>
      <c r="O455" s="345">
        <v>59</v>
      </c>
      <c r="P455" s="345">
        <v>64</v>
      </c>
      <c r="Q455" s="345" t="s">
        <v>547</v>
      </c>
      <c r="R455" s="345" t="s">
        <v>434</v>
      </c>
    </row>
    <row r="456" spans="1:18" x14ac:dyDescent="0.2">
      <c r="A456" s="345" t="s">
        <v>514</v>
      </c>
      <c r="B456" s="345" t="s">
        <v>515</v>
      </c>
      <c r="C456" s="345" t="s">
        <v>502</v>
      </c>
      <c r="D456" s="345" t="s">
        <v>552</v>
      </c>
      <c r="E456" s="345" t="s">
        <v>483</v>
      </c>
      <c r="F456" s="345" t="s">
        <v>465</v>
      </c>
      <c r="G456" s="345" t="s">
        <v>468</v>
      </c>
      <c r="H456" s="345" t="s">
        <v>468</v>
      </c>
      <c r="I456" s="345">
        <v>15</v>
      </c>
      <c r="J456" s="345">
        <v>20</v>
      </c>
      <c r="K456" s="345">
        <v>23</v>
      </c>
      <c r="L456" s="345">
        <v>27</v>
      </c>
      <c r="M456" s="345">
        <v>31</v>
      </c>
      <c r="N456" s="345">
        <v>34</v>
      </c>
      <c r="O456" s="345">
        <v>38</v>
      </c>
      <c r="P456" s="345">
        <v>41</v>
      </c>
      <c r="Q456" s="345" t="s">
        <v>547</v>
      </c>
      <c r="R456" s="345" t="s">
        <v>434</v>
      </c>
    </row>
    <row r="457" spans="1:18" x14ac:dyDescent="0.2">
      <c r="A457" s="345" t="s">
        <v>514</v>
      </c>
      <c r="B457" s="345" t="s">
        <v>515</v>
      </c>
      <c r="C457" s="345" t="s">
        <v>502</v>
      </c>
      <c r="D457" s="345" t="s">
        <v>552</v>
      </c>
      <c r="E457" s="345" t="s">
        <v>483</v>
      </c>
      <c r="F457" s="345" t="s">
        <v>438</v>
      </c>
      <c r="G457" s="345" t="s">
        <v>441</v>
      </c>
      <c r="H457" s="345" t="s">
        <v>441</v>
      </c>
      <c r="I457" s="345">
        <v>5</v>
      </c>
      <c r="J457" s="345">
        <v>6</v>
      </c>
      <c r="K457" s="345">
        <v>6</v>
      </c>
      <c r="L457" s="345">
        <v>9</v>
      </c>
      <c r="M457" s="345">
        <v>11</v>
      </c>
      <c r="N457" s="345">
        <v>15</v>
      </c>
      <c r="O457" s="345">
        <v>17</v>
      </c>
      <c r="P457" s="345">
        <v>19</v>
      </c>
      <c r="Q457" s="345" t="s">
        <v>547</v>
      </c>
      <c r="R457" s="345" t="s">
        <v>434</v>
      </c>
    </row>
    <row r="458" spans="1:18" x14ac:dyDescent="0.2">
      <c r="A458" s="345" t="s">
        <v>514</v>
      </c>
      <c r="B458" s="345" t="s">
        <v>515</v>
      </c>
      <c r="C458" s="345" t="s">
        <v>502</v>
      </c>
      <c r="D458" s="345" t="s">
        <v>552</v>
      </c>
      <c r="E458" s="345" t="s">
        <v>483</v>
      </c>
      <c r="F458" s="345" t="s">
        <v>438</v>
      </c>
      <c r="G458" s="345" t="s">
        <v>549</v>
      </c>
      <c r="H458" s="345" t="s">
        <v>549</v>
      </c>
      <c r="I458" s="345">
        <v>6</v>
      </c>
      <c r="J458" s="345">
        <v>8</v>
      </c>
      <c r="K458" s="345">
        <v>8</v>
      </c>
      <c r="L458" s="345">
        <v>14</v>
      </c>
      <c r="M458" s="345">
        <v>20</v>
      </c>
      <c r="N458" s="345">
        <v>25</v>
      </c>
      <c r="O458" s="345">
        <v>28</v>
      </c>
      <c r="P458" s="345">
        <v>31</v>
      </c>
      <c r="Q458" s="345" t="s">
        <v>547</v>
      </c>
      <c r="R458" s="345" t="s">
        <v>434</v>
      </c>
    </row>
    <row r="459" spans="1:18" x14ac:dyDescent="0.2">
      <c r="A459" s="345" t="s">
        <v>514</v>
      </c>
      <c r="B459" s="345" t="s">
        <v>515</v>
      </c>
      <c r="C459" s="345" t="s">
        <v>502</v>
      </c>
      <c r="D459" s="345" t="s">
        <v>552</v>
      </c>
      <c r="E459" s="345" t="s">
        <v>483</v>
      </c>
      <c r="F459" s="345" t="s">
        <v>438</v>
      </c>
      <c r="G459" s="345" t="s">
        <v>439</v>
      </c>
      <c r="H459" s="345" t="s">
        <v>439</v>
      </c>
      <c r="I459" s="345">
        <v>6</v>
      </c>
      <c r="J459" s="345">
        <v>8</v>
      </c>
      <c r="K459" s="345">
        <v>9</v>
      </c>
      <c r="L459" s="345">
        <v>14</v>
      </c>
      <c r="M459" s="345">
        <v>17</v>
      </c>
      <c r="N459" s="345">
        <v>22</v>
      </c>
      <c r="O459" s="345">
        <v>26</v>
      </c>
      <c r="P459" s="345">
        <v>28</v>
      </c>
      <c r="Q459" s="345" t="s">
        <v>547</v>
      </c>
      <c r="R459" s="345" t="s">
        <v>434</v>
      </c>
    </row>
    <row r="460" spans="1:18" x14ac:dyDescent="0.2">
      <c r="A460" s="345" t="s">
        <v>514</v>
      </c>
      <c r="B460" s="345" t="s">
        <v>515</v>
      </c>
      <c r="C460" s="345" t="s">
        <v>502</v>
      </c>
      <c r="D460" s="345" t="s">
        <v>552</v>
      </c>
      <c r="E460" s="345" t="s">
        <v>483</v>
      </c>
      <c r="F460" s="345" t="s">
        <v>456</v>
      </c>
      <c r="G460" s="345" t="s">
        <v>458</v>
      </c>
      <c r="H460" s="345" t="s">
        <v>458</v>
      </c>
      <c r="I460" s="345">
        <v>32</v>
      </c>
      <c r="J460" s="345">
        <v>42</v>
      </c>
      <c r="K460" s="345">
        <v>50</v>
      </c>
      <c r="L460" s="345">
        <v>71</v>
      </c>
      <c r="M460" s="345">
        <v>94</v>
      </c>
      <c r="N460" s="345">
        <v>117</v>
      </c>
      <c r="O460" s="345">
        <v>140</v>
      </c>
      <c r="P460" s="345">
        <v>152</v>
      </c>
      <c r="Q460" s="345" t="s">
        <v>547</v>
      </c>
      <c r="R460" s="345" t="s">
        <v>434</v>
      </c>
    </row>
    <row r="461" spans="1:18" x14ac:dyDescent="0.2">
      <c r="A461" s="345" t="s">
        <v>514</v>
      </c>
      <c r="B461" s="345" t="s">
        <v>515</v>
      </c>
      <c r="C461" s="345" t="s">
        <v>502</v>
      </c>
      <c r="D461" s="345" t="s">
        <v>552</v>
      </c>
      <c r="E461" s="345" t="s">
        <v>483</v>
      </c>
      <c r="F461" s="345" t="s">
        <v>478</v>
      </c>
      <c r="G461" s="345" t="s">
        <v>480</v>
      </c>
      <c r="H461" s="345" t="s">
        <v>480</v>
      </c>
      <c r="I461" s="345">
        <v>10</v>
      </c>
      <c r="J461" s="345">
        <v>13</v>
      </c>
      <c r="K461" s="345">
        <v>17</v>
      </c>
      <c r="L461" s="345">
        <v>24</v>
      </c>
      <c r="M461" s="345">
        <v>31</v>
      </c>
      <c r="N461" s="345">
        <v>39</v>
      </c>
      <c r="O461" s="345">
        <v>44</v>
      </c>
      <c r="P461" s="345">
        <v>48</v>
      </c>
      <c r="Q461" s="345" t="s">
        <v>547</v>
      </c>
      <c r="R461" s="345" t="s">
        <v>434</v>
      </c>
    </row>
    <row r="462" spans="1:18" x14ac:dyDescent="0.2">
      <c r="A462" s="345" t="s">
        <v>514</v>
      </c>
      <c r="B462" s="345" t="s">
        <v>515</v>
      </c>
      <c r="C462" s="345" t="s">
        <v>502</v>
      </c>
      <c r="D462" s="345" t="s">
        <v>552</v>
      </c>
      <c r="E462" s="345" t="s">
        <v>483</v>
      </c>
      <c r="F462" s="345" t="s">
        <v>478</v>
      </c>
      <c r="G462" s="345" t="s">
        <v>550</v>
      </c>
      <c r="H462" s="345" t="s">
        <v>550</v>
      </c>
      <c r="I462" s="345">
        <v>17</v>
      </c>
      <c r="J462" s="345">
        <v>22</v>
      </c>
      <c r="K462" s="345">
        <v>28</v>
      </c>
      <c r="L462" s="345">
        <v>39</v>
      </c>
      <c r="M462" s="345">
        <v>53</v>
      </c>
      <c r="N462" s="345">
        <v>64</v>
      </c>
      <c r="O462" s="345">
        <v>73</v>
      </c>
      <c r="P462" s="345">
        <v>78</v>
      </c>
      <c r="Q462" s="345" t="s">
        <v>547</v>
      </c>
      <c r="R462" s="345" t="s">
        <v>434</v>
      </c>
    </row>
    <row r="463" spans="1:18" x14ac:dyDescent="0.2">
      <c r="A463" s="345" t="s">
        <v>514</v>
      </c>
      <c r="B463" s="345" t="s">
        <v>515</v>
      </c>
      <c r="C463" s="345" t="s">
        <v>502</v>
      </c>
      <c r="D463" s="345" t="s">
        <v>552</v>
      </c>
      <c r="E463" s="345" t="s">
        <v>483</v>
      </c>
      <c r="F463" s="345" t="s">
        <v>478</v>
      </c>
      <c r="G463" s="345" t="s">
        <v>479</v>
      </c>
      <c r="H463" s="345" t="s">
        <v>479</v>
      </c>
      <c r="I463" s="345">
        <v>32</v>
      </c>
      <c r="J463" s="345">
        <v>42</v>
      </c>
      <c r="K463" s="345">
        <v>50</v>
      </c>
      <c r="L463" s="345">
        <v>71</v>
      </c>
      <c r="M463" s="345">
        <v>94</v>
      </c>
      <c r="N463" s="345">
        <v>117</v>
      </c>
      <c r="O463" s="345">
        <v>140</v>
      </c>
      <c r="P463" s="345">
        <v>152</v>
      </c>
      <c r="Q463" s="345" t="s">
        <v>547</v>
      </c>
      <c r="R463" s="345" t="s">
        <v>434</v>
      </c>
    </row>
    <row r="464" spans="1:18" x14ac:dyDescent="0.2">
      <c r="A464" s="345" t="s">
        <v>514</v>
      </c>
      <c r="B464" s="345" t="s">
        <v>515</v>
      </c>
      <c r="C464" s="345" t="s">
        <v>502</v>
      </c>
      <c r="D464" s="345" t="s">
        <v>552</v>
      </c>
      <c r="E464" s="345" t="s">
        <v>483</v>
      </c>
      <c r="F464" s="345" t="s">
        <v>477</v>
      </c>
      <c r="G464" s="345" t="s">
        <v>477</v>
      </c>
      <c r="H464" s="345" t="s">
        <v>477</v>
      </c>
      <c r="I464" s="345">
        <v>53</v>
      </c>
      <c r="J464" s="345">
        <v>71</v>
      </c>
      <c r="K464" s="345">
        <v>72</v>
      </c>
      <c r="L464" s="345">
        <v>89</v>
      </c>
      <c r="M464" s="345">
        <v>108</v>
      </c>
      <c r="N464" s="345">
        <v>128</v>
      </c>
      <c r="O464" s="345">
        <v>149</v>
      </c>
      <c r="P464" s="345">
        <v>164</v>
      </c>
      <c r="Q464" s="345" t="s">
        <v>547</v>
      </c>
      <c r="R464" s="345" t="s">
        <v>434</v>
      </c>
    </row>
    <row r="465" spans="1:18" x14ac:dyDescent="0.2">
      <c r="A465" s="345" t="s">
        <v>514</v>
      </c>
      <c r="B465" s="345" t="s">
        <v>515</v>
      </c>
      <c r="C465" s="345" t="s">
        <v>502</v>
      </c>
      <c r="D465" s="345" t="s">
        <v>552</v>
      </c>
      <c r="E465" s="345" t="s">
        <v>483</v>
      </c>
      <c r="F465" s="345" t="s">
        <v>463</v>
      </c>
      <c r="G465" s="345" t="s">
        <v>463</v>
      </c>
      <c r="H465" s="345" t="s">
        <v>463</v>
      </c>
      <c r="I465" s="345">
        <v>53</v>
      </c>
      <c r="J465" s="345">
        <v>71</v>
      </c>
      <c r="K465" s="345">
        <v>71</v>
      </c>
      <c r="L465" s="345">
        <v>71</v>
      </c>
      <c r="M465" s="345">
        <v>71</v>
      </c>
      <c r="N465" s="345">
        <v>71</v>
      </c>
      <c r="O465" s="345">
        <v>71</v>
      </c>
      <c r="P465" s="345">
        <v>71</v>
      </c>
      <c r="Q465" s="345" t="s">
        <v>547</v>
      </c>
      <c r="R465" s="345" t="s">
        <v>434</v>
      </c>
    </row>
    <row r="466" spans="1:18" x14ac:dyDescent="0.2">
      <c r="A466" s="345" t="s">
        <v>514</v>
      </c>
      <c r="B466" s="345" t="s">
        <v>515</v>
      </c>
      <c r="C466" s="345" t="s">
        <v>502</v>
      </c>
      <c r="D466" s="345" t="s">
        <v>552</v>
      </c>
      <c r="E466" s="345" t="s">
        <v>483</v>
      </c>
      <c r="F466" s="345" t="s">
        <v>474</v>
      </c>
      <c r="G466" s="345" t="s">
        <v>474</v>
      </c>
      <c r="H466" s="345" t="s">
        <v>474</v>
      </c>
      <c r="I466" s="345">
        <v>45</v>
      </c>
      <c r="J466" s="345">
        <v>60</v>
      </c>
      <c r="K466" s="345">
        <v>60</v>
      </c>
      <c r="L466" s="345">
        <v>60</v>
      </c>
      <c r="M466" s="345">
        <v>60</v>
      </c>
      <c r="N466" s="345">
        <v>60</v>
      </c>
      <c r="O466" s="345">
        <v>60</v>
      </c>
      <c r="P466" s="345">
        <v>60</v>
      </c>
      <c r="Q466" s="345" t="s">
        <v>547</v>
      </c>
      <c r="R466" s="345" t="s">
        <v>434</v>
      </c>
    </row>
    <row r="467" spans="1:18" x14ac:dyDescent="0.2">
      <c r="A467" s="345" t="s">
        <v>514</v>
      </c>
      <c r="B467" s="345" t="s">
        <v>515</v>
      </c>
      <c r="C467" s="345" t="s">
        <v>502</v>
      </c>
      <c r="D467" s="345" t="s">
        <v>552</v>
      </c>
      <c r="E467" s="345" t="s">
        <v>483</v>
      </c>
      <c r="F467" s="345" t="s">
        <v>459</v>
      </c>
      <c r="G467" s="345" t="s">
        <v>460</v>
      </c>
      <c r="H467" s="345" t="s">
        <v>460</v>
      </c>
      <c r="I467" s="345">
        <v>11</v>
      </c>
      <c r="J467" s="345">
        <v>11</v>
      </c>
      <c r="K467" s="345">
        <v>11</v>
      </c>
      <c r="L467" s="345">
        <v>11</v>
      </c>
      <c r="M467" s="345">
        <v>11</v>
      </c>
      <c r="N467" s="345">
        <v>11</v>
      </c>
      <c r="O467" s="345">
        <v>11</v>
      </c>
      <c r="P467" s="345">
        <v>11</v>
      </c>
      <c r="Q467" s="345" t="s">
        <v>547</v>
      </c>
      <c r="R467" s="345" t="s">
        <v>434</v>
      </c>
    </row>
    <row r="468" spans="1:18" x14ac:dyDescent="0.2">
      <c r="A468" s="345" t="s">
        <v>514</v>
      </c>
      <c r="B468" s="345" t="s">
        <v>515</v>
      </c>
      <c r="C468" s="345" t="s">
        <v>502</v>
      </c>
      <c r="D468" s="345" t="s">
        <v>552</v>
      </c>
      <c r="E468" s="345" t="s">
        <v>483</v>
      </c>
      <c r="F468" s="345" t="s">
        <v>461</v>
      </c>
      <c r="G468" s="345" t="s">
        <v>462</v>
      </c>
      <c r="H468" s="345" t="s">
        <v>462</v>
      </c>
      <c r="I468" s="345">
        <v>12</v>
      </c>
      <c r="J468" s="345">
        <v>12</v>
      </c>
      <c r="K468" s="345">
        <v>12</v>
      </c>
      <c r="L468" s="345">
        <v>12</v>
      </c>
      <c r="M468" s="345">
        <v>12</v>
      </c>
      <c r="N468" s="345">
        <v>12</v>
      </c>
      <c r="O468" s="345">
        <v>12</v>
      </c>
      <c r="P468" s="345">
        <v>12</v>
      </c>
      <c r="Q468" s="345" t="s">
        <v>547</v>
      </c>
      <c r="R468" s="345" t="s">
        <v>434</v>
      </c>
    </row>
    <row r="469" spans="1:18" x14ac:dyDescent="0.2">
      <c r="A469" s="345" t="s">
        <v>798</v>
      </c>
      <c r="B469" s="345" t="s">
        <v>799</v>
      </c>
      <c r="C469" s="345" t="s">
        <v>793</v>
      </c>
      <c r="D469" s="345" t="s">
        <v>800</v>
      </c>
      <c r="E469" s="345" t="s">
        <v>430</v>
      </c>
      <c r="F469" s="345" t="s">
        <v>431</v>
      </c>
      <c r="G469" s="345" t="s">
        <v>432</v>
      </c>
      <c r="H469" s="345" t="s">
        <v>433</v>
      </c>
      <c r="I469" s="345">
        <v>15</v>
      </c>
      <c r="J469" s="345">
        <v>17</v>
      </c>
      <c r="K469" s="345">
        <v>24</v>
      </c>
      <c r="L469" s="345">
        <v>31</v>
      </c>
      <c r="M469" s="345">
        <v>37</v>
      </c>
      <c r="N469" s="345">
        <v>44</v>
      </c>
      <c r="O469" s="345">
        <v>0</v>
      </c>
      <c r="P469" s="345">
        <v>0</v>
      </c>
      <c r="Q469" s="345" t="s">
        <v>801</v>
      </c>
      <c r="R469" s="345" t="s">
        <v>434</v>
      </c>
    </row>
    <row r="470" spans="1:18" x14ac:dyDescent="0.2">
      <c r="A470" s="345" t="s">
        <v>798</v>
      </c>
      <c r="B470" s="345" t="s">
        <v>799</v>
      </c>
      <c r="C470" s="345" t="s">
        <v>793</v>
      </c>
      <c r="D470" s="345" t="s">
        <v>800</v>
      </c>
      <c r="E470" s="345" t="s">
        <v>430</v>
      </c>
      <c r="F470" s="345" t="s">
        <v>431</v>
      </c>
      <c r="G470" s="345" t="s">
        <v>435</v>
      </c>
      <c r="H470" s="345" t="s">
        <v>436</v>
      </c>
      <c r="I470" s="345">
        <v>0</v>
      </c>
      <c r="J470" s="345">
        <v>0</v>
      </c>
      <c r="K470" s="345">
        <v>0</v>
      </c>
      <c r="L470" s="345">
        <v>0</v>
      </c>
      <c r="M470" s="345">
        <v>0</v>
      </c>
      <c r="N470" s="345">
        <v>0</v>
      </c>
      <c r="O470" s="345">
        <v>0</v>
      </c>
      <c r="P470" s="345">
        <v>0</v>
      </c>
      <c r="Q470" s="345" t="s">
        <v>801</v>
      </c>
      <c r="R470" s="345" t="s">
        <v>437</v>
      </c>
    </row>
    <row r="471" spans="1:18" x14ac:dyDescent="0.2">
      <c r="A471" s="345" t="s">
        <v>798</v>
      </c>
      <c r="B471" s="345" t="s">
        <v>799</v>
      </c>
      <c r="C471" s="345" t="s">
        <v>793</v>
      </c>
      <c r="D471" s="345" t="s">
        <v>800</v>
      </c>
      <c r="E471" s="345" t="s">
        <v>430</v>
      </c>
      <c r="F471" s="345" t="s">
        <v>438</v>
      </c>
      <c r="G471" s="345" t="s">
        <v>432</v>
      </c>
      <c r="H471" s="345" t="s">
        <v>439</v>
      </c>
      <c r="I471" s="345">
        <v>14</v>
      </c>
      <c r="J471" s="345">
        <v>16</v>
      </c>
      <c r="K471" s="345">
        <v>23</v>
      </c>
      <c r="L471" s="345">
        <v>30</v>
      </c>
      <c r="M471" s="345">
        <v>37</v>
      </c>
      <c r="N471" s="345">
        <v>44</v>
      </c>
      <c r="O471" s="345">
        <v>0</v>
      </c>
      <c r="P471" s="345">
        <v>0</v>
      </c>
      <c r="Q471" s="345" t="s">
        <v>801</v>
      </c>
      <c r="R471" s="345" t="s">
        <v>434</v>
      </c>
    </row>
    <row r="472" spans="1:18" x14ac:dyDescent="0.2">
      <c r="A472" s="345" t="s">
        <v>798</v>
      </c>
      <c r="B472" s="345" t="s">
        <v>799</v>
      </c>
      <c r="C472" s="345" t="s">
        <v>793</v>
      </c>
      <c r="D472" s="345" t="s">
        <v>800</v>
      </c>
      <c r="E472" s="345" t="s">
        <v>430</v>
      </c>
      <c r="F472" s="345" t="s">
        <v>438</v>
      </c>
      <c r="G472" s="345" t="s">
        <v>440</v>
      </c>
      <c r="H472" s="345" t="s">
        <v>441</v>
      </c>
      <c r="I472" s="345">
        <v>0</v>
      </c>
      <c r="J472" s="345">
        <v>0</v>
      </c>
      <c r="K472" s="345">
        <v>0</v>
      </c>
      <c r="L472" s="345">
        <v>0</v>
      </c>
      <c r="M472" s="345">
        <v>0</v>
      </c>
      <c r="N472" s="345">
        <v>0</v>
      </c>
      <c r="O472" s="345">
        <v>0</v>
      </c>
      <c r="P472" s="345">
        <v>0</v>
      </c>
      <c r="Q472" s="345" t="s">
        <v>801</v>
      </c>
      <c r="R472" s="345" t="s">
        <v>437</v>
      </c>
    </row>
    <row r="473" spans="1:18" x14ac:dyDescent="0.2">
      <c r="A473" s="345" t="s">
        <v>798</v>
      </c>
      <c r="B473" s="345" t="s">
        <v>799</v>
      </c>
      <c r="C473" s="345" t="s">
        <v>793</v>
      </c>
      <c r="D473" s="345" t="s">
        <v>800</v>
      </c>
      <c r="E473" s="345" t="s">
        <v>430</v>
      </c>
      <c r="F473" s="345" t="s">
        <v>442</v>
      </c>
      <c r="G473" s="345" t="s">
        <v>443</v>
      </c>
      <c r="H473" s="345" t="s">
        <v>444</v>
      </c>
      <c r="I473" s="345">
        <v>0</v>
      </c>
      <c r="J473" s="345">
        <v>0</v>
      </c>
      <c r="K473" s="345">
        <v>0</v>
      </c>
      <c r="L473" s="345">
        <v>0</v>
      </c>
      <c r="M473" s="345">
        <v>0</v>
      </c>
      <c r="N473" s="345">
        <v>0</v>
      </c>
      <c r="O473" s="345">
        <v>0</v>
      </c>
      <c r="P473" s="345">
        <v>0</v>
      </c>
      <c r="Q473" s="345" t="s">
        <v>801</v>
      </c>
      <c r="R473" s="345" t="s">
        <v>437</v>
      </c>
    </row>
    <row r="474" spans="1:18" x14ac:dyDescent="0.2">
      <c r="A474" s="345" t="s">
        <v>798</v>
      </c>
      <c r="B474" s="345" t="s">
        <v>799</v>
      </c>
      <c r="C474" s="345" t="s">
        <v>793</v>
      </c>
      <c r="D474" s="345" t="s">
        <v>800</v>
      </c>
      <c r="E474" s="345" t="s">
        <v>430</v>
      </c>
      <c r="F474" s="345" t="s">
        <v>445</v>
      </c>
      <c r="G474" s="345" t="s">
        <v>443</v>
      </c>
      <c r="H474" s="345" t="s">
        <v>446</v>
      </c>
      <c r="I474" s="345">
        <v>0</v>
      </c>
      <c r="J474" s="345">
        <v>0</v>
      </c>
      <c r="K474" s="345">
        <v>0</v>
      </c>
      <c r="L474" s="345">
        <v>0</v>
      </c>
      <c r="M474" s="345">
        <v>0</v>
      </c>
      <c r="N474" s="345">
        <v>0</v>
      </c>
      <c r="O474" s="345">
        <v>0</v>
      </c>
      <c r="P474" s="345">
        <v>0</v>
      </c>
      <c r="Q474" s="345" t="s">
        <v>801</v>
      </c>
      <c r="R474" s="345" t="s">
        <v>437</v>
      </c>
    </row>
    <row r="475" spans="1:18" x14ac:dyDescent="0.2">
      <c r="A475" s="345" t="s">
        <v>798</v>
      </c>
      <c r="B475" s="345" t="s">
        <v>799</v>
      </c>
      <c r="C475" s="345" t="s">
        <v>793</v>
      </c>
      <c r="D475" s="345" t="s">
        <v>800</v>
      </c>
      <c r="E475" s="345" t="s">
        <v>430</v>
      </c>
      <c r="F475" s="345" t="s">
        <v>447</v>
      </c>
      <c r="G475" s="345" t="s">
        <v>443</v>
      </c>
      <c r="H475" s="345" t="s">
        <v>448</v>
      </c>
      <c r="I475" s="345">
        <v>0</v>
      </c>
      <c r="J475" s="345">
        <v>0</v>
      </c>
      <c r="K475" s="345">
        <v>0</v>
      </c>
      <c r="L475" s="345">
        <v>0</v>
      </c>
      <c r="M475" s="345">
        <v>0</v>
      </c>
      <c r="N475" s="345">
        <v>0</v>
      </c>
      <c r="O475" s="345">
        <v>0</v>
      </c>
      <c r="P475" s="345">
        <v>0</v>
      </c>
      <c r="Q475" s="345" t="s">
        <v>801</v>
      </c>
      <c r="R475" s="345" t="s">
        <v>437</v>
      </c>
    </row>
    <row r="476" spans="1:18" x14ac:dyDescent="0.2">
      <c r="A476" s="345" t="s">
        <v>798</v>
      </c>
      <c r="B476" s="345" t="s">
        <v>799</v>
      </c>
      <c r="C476" s="345" t="s">
        <v>793</v>
      </c>
      <c r="D476" s="345" t="s">
        <v>800</v>
      </c>
      <c r="E476" s="345" t="s">
        <v>430</v>
      </c>
      <c r="F476" s="345" t="s">
        <v>449</v>
      </c>
      <c r="G476" s="345" t="s">
        <v>450</v>
      </c>
      <c r="H476" s="345" t="s">
        <v>451</v>
      </c>
      <c r="I476" s="345">
        <v>0</v>
      </c>
      <c r="J476" s="345">
        <v>0</v>
      </c>
      <c r="K476" s="345">
        <v>0</v>
      </c>
      <c r="L476" s="345">
        <v>0</v>
      </c>
      <c r="M476" s="345">
        <v>0</v>
      </c>
      <c r="N476" s="345">
        <v>0</v>
      </c>
      <c r="O476" s="345">
        <v>0</v>
      </c>
      <c r="P476" s="345">
        <v>0</v>
      </c>
      <c r="Q476" s="345" t="s">
        <v>801</v>
      </c>
      <c r="R476" s="345" t="s">
        <v>437</v>
      </c>
    </row>
    <row r="477" spans="1:18" x14ac:dyDescent="0.2">
      <c r="A477" s="345" t="s">
        <v>798</v>
      </c>
      <c r="B477" s="345" t="s">
        <v>799</v>
      </c>
      <c r="C477" s="345" t="s">
        <v>793</v>
      </c>
      <c r="D477" s="345" t="s">
        <v>800</v>
      </c>
      <c r="E477" s="345" t="s">
        <v>430</v>
      </c>
      <c r="F477" s="345" t="s">
        <v>449</v>
      </c>
      <c r="G477" s="345" t="s">
        <v>452</v>
      </c>
      <c r="H477" s="345" t="s">
        <v>453</v>
      </c>
      <c r="I477" s="345">
        <v>0</v>
      </c>
      <c r="J477" s="345">
        <v>0</v>
      </c>
      <c r="K477" s="345">
        <v>0</v>
      </c>
      <c r="L477" s="345">
        <v>0</v>
      </c>
      <c r="M477" s="345">
        <v>0</v>
      </c>
      <c r="N477" s="345">
        <v>0</v>
      </c>
      <c r="O477" s="345">
        <v>0</v>
      </c>
      <c r="P477" s="345">
        <v>0</v>
      </c>
      <c r="Q477" s="345" t="s">
        <v>801</v>
      </c>
      <c r="R477" s="345" t="s">
        <v>437</v>
      </c>
    </row>
    <row r="478" spans="1:18" x14ac:dyDescent="0.2">
      <c r="A478" s="345" t="s">
        <v>798</v>
      </c>
      <c r="B478" s="345" t="s">
        <v>799</v>
      </c>
      <c r="C478" s="345" t="s">
        <v>793</v>
      </c>
      <c r="D478" s="345" t="s">
        <v>800</v>
      </c>
      <c r="E478" s="345" t="s">
        <v>430</v>
      </c>
      <c r="F478" s="345" t="s">
        <v>449</v>
      </c>
      <c r="G478" s="345" t="s">
        <v>454</v>
      </c>
      <c r="H478" s="345" t="s">
        <v>455</v>
      </c>
      <c r="I478" s="345">
        <v>0</v>
      </c>
      <c r="J478" s="345">
        <v>0</v>
      </c>
      <c r="K478" s="345">
        <v>0</v>
      </c>
      <c r="L478" s="345">
        <v>0</v>
      </c>
      <c r="M478" s="345">
        <v>0</v>
      </c>
      <c r="N478" s="345">
        <v>0</v>
      </c>
      <c r="O478" s="345">
        <v>0</v>
      </c>
      <c r="P478" s="345">
        <v>0</v>
      </c>
      <c r="Q478" s="345" t="s">
        <v>801</v>
      </c>
      <c r="R478" s="345" t="s">
        <v>437</v>
      </c>
    </row>
    <row r="479" spans="1:18" x14ac:dyDescent="0.2">
      <c r="A479" s="345" t="s">
        <v>798</v>
      </c>
      <c r="B479" s="345" t="s">
        <v>799</v>
      </c>
      <c r="C479" s="345" t="s">
        <v>793</v>
      </c>
      <c r="D479" s="345" t="s">
        <v>800</v>
      </c>
      <c r="E479" s="345" t="s">
        <v>430</v>
      </c>
      <c r="F479" s="345" t="s">
        <v>456</v>
      </c>
      <c r="G479" s="345" t="s">
        <v>457</v>
      </c>
      <c r="H479" s="345" t="s">
        <v>458</v>
      </c>
      <c r="I479" s="345">
        <v>42</v>
      </c>
      <c r="J479" s="345">
        <v>51</v>
      </c>
      <c r="K479" s="345">
        <v>74</v>
      </c>
      <c r="L479" s="345">
        <v>97</v>
      </c>
      <c r="M479" s="345">
        <v>121</v>
      </c>
      <c r="N479" s="345">
        <v>141</v>
      </c>
      <c r="O479" s="345">
        <v>0</v>
      </c>
      <c r="P479" s="345">
        <v>0</v>
      </c>
      <c r="Q479" s="345" t="s">
        <v>801</v>
      </c>
      <c r="R479" s="345" t="s">
        <v>434</v>
      </c>
    </row>
    <row r="480" spans="1:18" x14ac:dyDescent="0.2">
      <c r="A480" s="345" t="s">
        <v>798</v>
      </c>
      <c r="B480" s="345" t="s">
        <v>799</v>
      </c>
      <c r="C480" s="345" t="s">
        <v>793</v>
      </c>
      <c r="D480" s="345" t="s">
        <v>800</v>
      </c>
      <c r="E480" s="345" t="s">
        <v>430</v>
      </c>
      <c r="F480" s="345" t="s">
        <v>459</v>
      </c>
      <c r="G480" s="345" t="s">
        <v>443</v>
      </c>
      <c r="H480" s="345" t="s">
        <v>460</v>
      </c>
      <c r="I480" s="345">
        <v>11</v>
      </c>
      <c r="J480" s="345">
        <v>11</v>
      </c>
      <c r="K480" s="345">
        <v>11</v>
      </c>
      <c r="L480" s="345">
        <v>11</v>
      </c>
      <c r="M480" s="345">
        <v>11</v>
      </c>
      <c r="N480" s="345">
        <v>11</v>
      </c>
      <c r="O480" s="345">
        <v>0</v>
      </c>
      <c r="P480" s="345">
        <v>0</v>
      </c>
      <c r="Q480" s="345" t="s">
        <v>801</v>
      </c>
      <c r="R480" s="345" t="s">
        <v>434</v>
      </c>
    </row>
    <row r="481" spans="1:18" x14ac:dyDescent="0.2">
      <c r="A481" s="345" t="s">
        <v>798</v>
      </c>
      <c r="B481" s="345" t="s">
        <v>799</v>
      </c>
      <c r="C481" s="345" t="s">
        <v>793</v>
      </c>
      <c r="D481" s="345" t="s">
        <v>800</v>
      </c>
      <c r="E481" s="345" t="s">
        <v>430</v>
      </c>
      <c r="F481" s="345" t="s">
        <v>461</v>
      </c>
      <c r="G481" s="345" t="s">
        <v>443</v>
      </c>
      <c r="H481" s="345" t="s">
        <v>462</v>
      </c>
      <c r="I481" s="345">
        <v>12</v>
      </c>
      <c r="J481" s="345">
        <v>12</v>
      </c>
      <c r="K481" s="345">
        <v>12</v>
      </c>
      <c r="L481" s="345">
        <v>12</v>
      </c>
      <c r="M481" s="345">
        <v>12</v>
      </c>
      <c r="N481" s="345">
        <v>12</v>
      </c>
      <c r="O481" s="345">
        <v>0</v>
      </c>
      <c r="P481" s="345">
        <v>0</v>
      </c>
      <c r="Q481" s="345" t="s">
        <v>801</v>
      </c>
      <c r="R481" s="345" t="s">
        <v>434</v>
      </c>
    </row>
    <row r="482" spans="1:18" x14ac:dyDescent="0.2">
      <c r="A482" s="345" t="s">
        <v>798</v>
      </c>
      <c r="B482" s="345" t="s">
        <v>799</v>
      </c>
      <c r="C482" s="345" t="s">
        <v>793</v>
      </c>
      <c r="D482" s="345" t="s">
        <v>800</v>
      </c>
      <c r="E482" s="345" t="s">
        <v>430</v>
      </c>
      <c r="F482" s="345" t="s">
        <v>463</v>
      </c>
      <c r="G482" s="345" t="s">
        <v>464</v>
      </c>
      <c r="H482" s="345" t="s">
        <v>463</v>
      </c>
      <c r="I482" s="345">
        <v>11</v>
      </c>
      <c r="J482" s="345">
        <v>12</v>
      </c>
      <c r="K482" s="345">
        <v>13</v>
      </c>
      <c r="L482" s="345">
        <v>13</v>
      </c>
      <c r="M482" s="345">
        <v>14</v>
      </c>
      <c r="N482" s="345">
        <v>15</v>
      </c>
      <c r="O482" s="345">
        <v>0</v>
      </c>
      <c r="P482" s="345">
        <v>0</v>
      </c>
      <c r="Q482" s="345" t="s">
        <v>801</v>
      </c>
      <c r="R482" s="345" t="s">
        <v>434</v>
      </c>
    </row>
    <row r="483" spans="1:18" x14ac:dyDescent="0.2">
      <c r="A483" s="345" t="s">
        <v>798</v>
      </c>
      <c r="B483" s="345" t="s">
        <v>799</v>
      </c>
      <c r="C483" s="345" t="s">
        <v>793</v>
      </c>
      <c r="D483" s="345" t="s">
        <v>800</v>
      </c>
      <c r="E483" s="345" t="s">
        <v>430</v>
      </c>
      <c r="F483" s="345" t="s">
        <v>465</v>
      </c>
      <c r="G483" s="345" t="s">
        <v>432</v>
      </c>
      <c r="H483" s="345" t="s">
        <v>466</v>
      </c>
      <c r="I483" s="345">
        <v>22</v>
      </c>
      <c r="J483" s="345">
        <v>25</v>
      </c>
      <c r="K483" s="345">
        <v>30</v>
      </c>
      <c r="L483" s="345">
        <v>35</v>
      </c>
      <c r="M483" s="345">
        <v>40</v>
      </c>
      <c r="N483" s="345">
        <v>44</v>
      </c>
      <c r="O483" s="345">
        <v>0</v>
      </c>
      <c r="P483" s="345">
        <v>0</v>
      </c>
      <c r="Q483" s="345" t="s">
        <v>801</v>
      </c>
      <c r="R483" s="345" t="s">
        <v>434</v>
      </c>
    </row>
    <row r="484" spans="1:18" x14ac:dyDescent="0.2">
      <c r="A484" s="345" t="s">
        <v>798</v>
      </c>
      <c r="B484" s="345" t="s">
        <v>799</v>
      </c>
      <c r="C484" s="345" t="s">
        <v>793</v>
      </c>
      <c r="D484" s="345" t="s">
        <v>800</v>
      </c>
      <c r="E484" s="345" t="s">
        <v>430</v>
      </c>
      <c r="F484" s="345" t="s">
        <v>465</v>
      </c>
      <c r="G484" s="345" t="s">
        <v>467</v>
      </c>
      <c r="H484" s="345" t="s">
        <v>468</v>
      </c>
      <c r="I484" s="345">
        <v>0</v>
      </c>
      <c r="J484" s="345">
        <v>0</v>
      </c>
      <c r="K484" s="345">
        <v>0</v>
      </c>
      <c r="L484" s="345">
        <v>0</v>
      </c>
      <c r="M484" s="345">
        <v>0</v>
      </c>
      <c r="N484" s="345">
        <v>0</v>
      </c>
      <c r="O484" s="345">
        <v>0</v>
      </c>
      <c r="P484" s="345">
        <v>0</v>
      </c>
      <c r="Q484" s="345" t="s">
        <v>801</v>
      </c>
      <c r="R484" s="345" t="s">
        <v>437</v>
      </c>
    </row>
    <row r="485" spans="1:18" x14ac:dyDescent="0.2">
      <c r="A485" s="345" t="s">
        <v>798</v>
      </c>
      <c r="B485" s="345" t="s">
        <v>799</v>
      </c>
      <c r="C485" s="345" t="s">
        <v>793</v>
      </c>
      <c r="D485" s="345" t="s">
        <v>800</v>
      </c>
      <c r="E485" s="345" t="s">
        <v>430</v>
      </c>
      <c r="F485" s="345" t="s">
        <v>465</v>
      </c>
      <c r="G485" s="345" t="s">
        <v>440</v>
      </c>
      <c r="H485" s="345" t="s">
        <v>469</v>
      </c>
      <c r="I485" s="345">
        <v>0</v>
      </c>
      <c r="J485" s="345">
        <v>0</v>
      </c>
      <c r="K485" s="345">
        <v>0</v>
      </c>
      <c r="L485" s="345">
        <v>0</v>
      </c>
      <c r="M485" s="345">
        <v>0</v>
      </c>
      <c r="N485" s="345">
        <v>0</v>
      </c>
      <c r="O485" s="345">
        <v>0</v>
      </c>
      <c r="P485" s="345">
        <v>0</v>
      </c>
      <c r="Q485" s="345" t="s">
        <v>801</v>
      </c>
      <c r="R485" s="345" t="s">
        <v>437</v>
      </c>
    </row>
    <row r="486" spans="1:18" x14ac:dyDescent="0.2">
      <c r="A486" s="345" t="s">
        <v>798</v>
      </c>
      <c r="B486" s="345" t="s">
        <v>799</v>
      </c>
      <c r="C486" s="345" t="s">
        <v>793</v>
      </c>
      <c r="D486" s="345" t="s">
        <v>800</v>
      </c>
      <c r="E486" s="345" t="s">
        <v>430</v>
      </c>
      <c r="F486" s="345" t="s">
        <v>465</v>
      </c>
      <c r="G486" s="345" t="s">
        <v>470</v>
      </c>
      <c r="H486" s="345" t="s">
        <v>471</v>
      </c>
      <c r="I486" s="345">
        <v>0</v>
      </c>
      <c r="J486" s="345">
        <v>0</v>
      </c>
      <c r="K486" s="345">
        <v>0</v>
      </c>
      <c r="L486" s="345">
        <v>0</v>
      </c>
      <c r="M486" s="345">
        <v>0</v>
      </c>
      <c r="N486" s="345">
        <v>0</v>
      </c>
      <c r="O486" s="345">
        <v>0</v>
      </c>
      <c r="P486" s="345">
        <v>0</v>
      </c>
      <c r="Q486" s="345" t="s">
        <v>801</v>
      </c>
      <c r="R486" s="345" t="s">
        <v>437</v>
      </c>
    </row>
    <row r="487" spans="1:18" x14ac:dyDescent="0.2">
      <c r="A487" s="345" t="s">
        <v>798</v>
      </c>
      <c r="B487" s="345" t="s">
        <v>799</v>
      </c>
      <c r="C487" s="345" t="s">
        <v>793</v>
      </c>
      <c r="D487" s="345" t="s">
        <v>800</v>
      </c>
      <c r="E487" s="345" t="s">
        <v>430</v>
      </c>
      <c r="F487" s="345" t="s">
        <v>465</v>
      </c>
      <c r="G487" s="345" t="s">
        <v>472</v>
      </c>
      <c r="H487" s="345" t="s">
        <v>473</v>
      </c>
      <c r="I487" s="345">
        <v>0</v>
      </c>
      <c r="J487" s="345">
        <v>0</v>
      </c>
      <c r="K487" s="345">
        <v>0</v>
      </c>
      <c r="L487" s="345">
        <v>0</v>
      </c>
      <c r="M487" s="345">
        <v>0</v>
      </c>
      <c r="N487" s="345">
        <v>0</v>
      </c>
      <c r="O487" s="345">
        <v>0</v>
      </c>
      <c r="P487" s="345">
        <v>0</v>
      </c>
      <c r="Q487" s="345" t="s">
        <v>801</v>
      </c>
      <c r="R487" s="345" t="s">
        <v>437</v>
      </c>
    </row>
    <row r="488" spans="1:18" x14ac:dyDescent="0.2">
      <c r="A488" s="345" t="s">
        <v>798</v>
      </c>
      <c r="B488" s="345" t="s">
        <v>799</v>
      </c>
      <c r="C488" s="345" t="s">
        <v>793</v>
      </c>
      <c r="D488" s="345" t="s">
        <v>800</v>
      </c>
      <c r="E488" s="345" t="s">
        <v>430</v>
      </c>
      <c r="F488" s="345" t="s">
        <v>474</v>
      </c>
      <c r="G488" s="345" t="s">
        <v>464</v>
      </c>
      <c r="H488" s="345" t="s">
        <v>474</v>
      </c>
      <c r="I488" s="345">
        <v>59</v>
      </c>
      <c r="J488" s="345">
        <v>59</v>
      </c>
      <c r="K488" s="345">
        <v>59</v>
      </c>
      <c r="L488" s="345">
        <v>59</v>
      </c>
      <c r="M488" s="345">
        <v>59</v>
      </c>
      <c r="N488" s="345">
        <v>59</v>
      </c>
      <c r="O488" s="345">
        <v>0</v>
      </c>
      <c r="P488" s="345">
        <v>0</v>
      </c>
      <c r="Q488" s="345" t="s">
        <v>801</v>
      </c>
      <c r="R488" s="345" t="s">
        <v>434</v>
      </c>
    </row>
    <row r="489" spans="1:18" x14ac:dyDescent="0.2">
      <c r="A489" s="345" t="s">
        <v>798</v>
      </c>
      <c r="B489" s="345" t="s">
        <v>799</v>
      </c>
      <c r="C489" s="345" t="s">
        <v>793</v>
      </c>
      <c r="D489" s="345" t="s">
        <v>800</v>
      </c>
      <c r="E489" s="345" t="s">
        <v>430</v>
      </c>
      <c r="F489" s="345" t="s">
        <v>475</v>
      </c>
      <c r="G489" s="345" t="s">
        <v>443</v>
      </c>
      <c r="H489" s="345" t="s">
        <v>476</v>
      </c>
      <c r="I489" s="345">
        <v>0</v>
      </c>
      <c r="J489" s="345">
        <v>0</v>
      </c>
      <c r="K489" s="345">
        <v>0</v>
      </c>
      <c r="L489" s="345">
        <v>0</v>
      </c>
      <c r="M489" s="345">
        <v>0</v>
      </c>
      <c r="N489" s="345">
        <v>0</v>
      </c>
      <c r="O489" s="345">
        <v>0</v>
      </c>
      <c r="P489" s="345">
        <v>0</v>
      </c>
      <c r="Q489" s="345" t="s">
        <v>801</v>
      </c>
      <c r="R489" s="345" t="s">
        <v>437</v>
      </c>
    </row>
    <row r="490" spans="1:18" x14ac:dyDescent="0.2">
      <c r="A490" s="345" t="s">
        <v>798</v>
      </c>
      <c r="B490" s="345" t="s">
        <v>799</v>
      </c>
      <c r="C490" s="345" t="s">
        <v>793</v>
      </c>
      <c r="D490" s="345" t="s">
        <v>800</v>
      </c>
      <c r="E490" s="345" t="s">
        <v>430</v>
      </c>
      <c r="F490" s="345" t="s">
        <v>477</v>
      </c>
      <c r="G490" s="345" t="s">
        <v>464</v>
      </c>
      <c r="H490" s="345" t="s">
        <v>477</v>
      </c>
      <c r="I490" s="345">
        <v>31</v>
      </c>
      <c r="J490" s="345">
        <v>31</v>
      </c>
      <c r="K490" s="345">
        <v>37</v>
      </c>
      <c r="L490" s="345">
        <v>50</v>
      </c>
      <c r="M490" s="345">
        <v>62</v>
      </c>
      <c r="N490" s="345">
        <v>75</v>
      </c>
      <c r="O490" s="345">
        <v>0</v>
      </c>
      <c r="P490" s="345">
        <v>0</v>
      </c>
      <c r="Q490" s="345" t="s">
        <v>801</v>
      </c>
      <c r="R490" s="345" t="s">
        <v>434</v>
      </c>
    </row>
    <row r="491" spans="1:18" x14ac:dyDescent="0.2">
      <c r="A491" s="345" t="s">
        <v>798</v>
      </c>
      <c r="B491" s="345" t="s">
        <v>799</v>
      </c>
      <c r="C491" s="345" t="s">
        <v>793</v>
      </c>
      <c r="D491" s="345" t="s">
        <v>800</v>
      </c>
      <c r="E491" s="345" t="s">
        <v>430</v>
      </c>
      <c r="F491" s="345" t="s">
        <v>478</v>
      </c>
      <c r="G491" s="345" t="s">
        <v>432</v>
      </c>
      <c r="H491" s="345" t="s">
        <v>479</v>
      </c>
      <c r="I491" s="345">
        <v>30</v>
      </c>
      <c r="J491" s="345">
        <v>35</v>
      </c>
      <c r="K491" s="345">
        <v>45</v>
      </c>
      <c r="L491" s="345">
        <v>54</v>
      </c>
      <c r="M491" s="345">
        <v>64</v>
      </c>
      <c r="N491" s="345">
        <v>74</v>
      </c>
      <c r="O491" s="345">
        <v>0</v>
      </c>
      <c r="P491" s="345">
        <v>0</v>
      </c>
      <c r="Q491" s="345" t="s">
        <v>801</v>
      </c>
      <c r="R491" s="345" t="s">
        <v>434</v>
      </c>
    </row>
    <row r="492" spans="1:18" x14ac:dyDescent="0.2">
      <c r="A492" s="345" t="s">
        <v>798</v>
      </c>
      <c r="B492" s="345" t="s">
        <v>799</v>
      </c>
      <c r="C492" s="345" t="s">
        <v>793</v>
      </c>
      <c r="D492" s="345" t="s">
        <v>800</v>
      </c>
      <c r="E492" s="345" t="s">
        <v>430</v>
      </c>
      <c r="F492" s="345" t="s">
        <v>478</v>
      </c>
      <c r="G492" s="345" t="s">
        <v>440</v>
      </c>
      <c r="H492" s="345" t="s">
        <v>480</v>
      </c>
      <c r="I492" s="345">
        <v>0</v>
      </c>
      <c r="J492" s="345">
        <v>0</v>
      </c>
      <c r="K492" s="345">
        <v>0</v>
      </c>
      <c r="L492" s="345">
        <v>0</v>
      </c>
      <c r="M492" s="345">
        <v>0</v>
      </c>
      <c r="N492" s="345">
        <v>0</v>
      </c>
      <c r="O492" s="345">
        <v>0</v>
      </c>
      <c r="P492" s="345">
        <v>0</v>
      </c>
      <c r="Q492" s="345" t="s">
        <v>801</v>
      </c>
      <c r="R492" s="345" t="s">
        <v>437</v>
      </c>
    </row>
    <row r="493" spans="1:18" x14ac:dyDescent="0.2">
      <c r="A493" s="345" t="s">
        <v>798</v>
      </c>
      <c r="B493" s="345" t="s">
        <v>799</v>
      </c>
      <c r="C493" s="345" t="s">
        <v>793</v>
      </c>
      <c r="D493" s="345" t="s">
        <v>800</v>
      </c>
      <c r="E493" s="345" t="s">
        <v>430</v>
      </c>
      <c r="F493" s="345" t="s">
        <v>478</v>
      </c>
      <c r="G493" s="345" t="s">
        <v>470</v>
      </c>
      <c r="H493" s="345" t="s">
        <v>481</v>
      </c>
      <c r="I493" s="345">
        <v>0</v>
      </c>
      <c r="J493" s="345">
        <v>0</v>
      </c>
      <c r="K493" s="345">
        <v>0</v>
      </c>
      <c r="L493" s="345">
        <v>0</v>
      </c>
      <c r="M493" s="345">
        <v>0</v>
      </c>
      <c r="N493" s="345">
        <v>0</v>
      </c>
      <c r="O493" s="345">
        <v>0</v>
      </c>
      <c r="P493" s="345">
        <v>0</v>
      </c>
      <c r="Q493" s="345" t="s">
        <v>801</v>
      </c>
      <c r="R493" s="345" t="s">
        <v>437</v>
      </c>
    </row>
    <row r="494" spans="1:18" x14ac:dyDescent="0.2">
      <c r="A494" s="345" t="s">
        <v>802</v>
      </c>
      <c r="B494" s="345" t="s">
        <v>803</v>
      </c>
      <c r="C494" s="345" t="s">
        <v>793</v>
      </c>
      <c r="D494" s="345" t="s">
        <v>804</v>
      </c>
      <c r="E494" s="345" t="s">
        <v>430</v>
      </c>
      <c r="F494" s="345" t="s">
        <v>431</v>
      </c>
      <c r="G494" s="345" t="s">
        <v>432</v>
      </c>
      <c r="H494" s="345" t="s">
        <v>433</v>
      </c>
      <c r="I494" s="345">
        <v>27</v>
      </c>
      <c r="J494" s="345">
        <v>33</v>
      </c>
      <c r="K494" s="345">
        <v>45</v>
      </c>
      <c r="L494" s="345">
        <v>58</v>
      </c>
      <c r="M494" s="345">
        <v>70</v>
      </c>
      <c r="N494" s="345">
        <v>83</v>
      </c>
      <c r="O494" s="345">
        <v>89</v>
      </c>
      <c r="P494" s="345">
        <v>96</v>
      </c>
      <c r="Q494" s="345" t="s">
        <v>805</v>
      </c>
      <c r="R494" s="345" t="s">
        <v>434</v>
      </c>
    </row>
    <row r="495" spans="1:18" x14ac:dyDescent="0.2">
      <c r="A495" s="345" t="s">
        <v>802</v>
      </c>
      <c r="B495" s="345" t="s">
        <v>803</v>
      </c>
      <c r="C495" s="345" t="s">
        <v>793</v>
      </c>
      <c r="D495" s="345" t="s">
        <v>804</v>
      </c>
      <c r="E495" s="345" t="s">
        <v>430</v>
      </c>
      <c r="F495" s="345" t="s">
        <v>431</v>
      </c>
      <c r="G495" s="345" t="s">
        <v>435</v>
      </c>
      <c r="H495" s="345" t="s">
        <v>436</v>
      </c>
      <c r="I495" s="345">
        <v>0</v>
      </c>
      <c r="J495" s="345">
        <v>0</v>
      </c>
      <c r="K495" s="345">
        <v>0</v>
      </c>
      <c r="L495" s="345">
        <v>0</v>
      </c>
      <c r="M495" s="345">
        <v>0</v>
      </c>
      <c r="N495" s="345">
        <v>0</v>
      </c>
      <c r="O495" s="345">
        <v>0</v>
      </c>
      <c r="P495" s="345">
        <v>0</v>
      </c>
      <c r="Q495" s="345" t="s">
        <v>805</v>
      </c>
      <c r="R495" s="345" t="s">
        <v>437</v>
      </c>
    </row>
    <row r="496" spans="1:18" x14ac:dyDescent="0.2">
      <c r="A496" s="345" t="s">
        <v>802</v>
      </c>
      <c r="B496" s="345" t="s">
        <v>803</v>
      </c>
      <c r="C496" s="345" t="s">
        <v>793</v>
      </c>
      <c r="D496" s="345" t="s">
        <v>804</v>
      </c>
      <c r="E496" s="345" t="s">
        <v>430</v>
      </c>
      <c r="F496" s="345" t="s">
        <v>438</v>
      </c>
      <c r="G496" s="345" t="s">
        <v>432</v>
      </c>
      <c r="H496" s="345" t="s">
        <v>439</v>
      </c>
      <c r="I496" s="345">
        <v>14</v>
      </c>
      <c r="J496" s="345">
        <v>15</v>
      </c>
      <c r="K496" s="345">
        <v>23</v>
      </c>
      <c r="L496" s="345">
        <v>30</v>
      </c>
      <c r="M496" s="345">
        <v>37</v>
      </c>
      <c r="N496" s="345">
        <v>44</v>
      </c>
      <c r="O496" s="345">
        <v>47</v>
      </c>
      <c r="P496" s="345">
        <v>50</v>
      </c>
      <c r="Q496" s="345" t="s">
        <v>805</v>
      </c>
      <c r="R496" s="345" t="s">
        <v>434</v>
      </c>
    </row>
    <row r="497" spans="1:18" x14ac:dyDescent="0.2">
      <c r="A497" s="345" t="s">
        <v>802</v>
      </c>
      <c r="B497" s="345" t="s">
        <v>803</v>
      </c>
      <c r="C497" s="345" t="s">
        <v>793</v>
      </c>
      <c r="D497" s="345" t="s">
        <v>804</v>
      </c>
      <c r="E497" s="345" t="s">
        <v>430</v>
      </c>
      <c r="F497" s="345" t="s">
        <v>438</v>
      </c>
      <c r="G497" s="345" t="s">
        <v>440</v>
      </c>
      <c r="H497" s="345" t="s">
        <v>441</v>
      </c>
      <c r="I497" s="345">
        <v>4</v>
      </c>
      <c r="J497" s="345">
        <v>6</v>
      </c>
      <c r="K497" s="345">
        <v>8</v>
      </c>
      <c r="L497" s="345">
        <v>10</v>
      </c>
      <c r="M497" s="345">
        <v>12</v>
      </c>
      <c r="N497" s="345">
        <v>17</v>
      </c>
      <c r="O497" s="345">
        <v>19</v>
      </c>
      <c r="P497" s="345">
        <v>21</v>
      </c>
      <c r="Q497" s="345" t="s">
        <v>805</v>
      </c>
      <c r="R497" s="345" t="s">
        <v>434</v>
      </c>
    </row>
    <row r="498" spans="1:18" x14ac:dyDescent="0.2">
      <c r="A498" s="345" t="s">
        <v>802</v>
      </c>
      <c r="B498" s="345" t="s">
        <v>803</v>
      </c>
      <c r="C498" s="345" t="s">
        <v>793</v>
      </c>
      <c r="D498" s="345" t="s">
        <v>804</v>
      </c>
      <c r="E498" s="345" t="s">
        <v>430</v>
      </c>
      <c r="F498" s="345" t="s">
        <v>442</v>
      </c>
      <c r="G498" s="345" t="s">
        <v>443</v>
      </c>
      <c r="H498" s="345" t="s">
        <v>444</v>
      </c>
      <c r="I498" s="345">
        <v>0</v>
      </c>
      <c r="J498" s="345">
        <v>0</v>
      </c>
      <c r="K498" s="345">
        <v>0</v>
      </c>
      <c r="L498" s="345">
        <v>0</v>
      </c>
      <c r="M498" s="345">
        <v>0</v>
      </c>
      <c r="N498" s="345">
        <v>0</v>
      </c>
      <c r="O498" s="345">
        <v>0</v>
      </c>
      <c r="P498" s="345">
        <v>0</v>
      </c>
      <c r="Q498" s="345" t="s">
        <v>805</v>
      </c>
      <c r="R498" s="345" t="s">
        <v>437</v>
      </c>
    </row>
    <row r="499" spans="1:18" x14ac:dyDescent="0.2">
      <c r="A499" s="345" t="s">
        <v>802</v>
      </c>
      <c r="B499" s="345" t="s">
        <v>803</v>
      </c>
      <c r="C499" s="345" t="s">
        <v>793</v>
      </c>
      <c r="D499" s="345" t="s">
        <v>804</v>
      </c>
      <c r="E499" s="345" t="s">
        <v>430</v>
      </c>
      <c r="F499" s="345" t="s">
        <v>445</v>
      </c>
      <c r="G499" s="345" t="s">
        <v>443</v>
      </c>
      <c r="H499" s="345" t="s">
        <v>446</v>
      </c>
      <c r="I499" s="345">
        <v>0</v>
      </c>
      <c r="J499" s="345">
        <v>0</v>
      </c>
      <c r="K499" s="345">
        <v>0</v>
      </c>
      <c r="L499" s="345">
        <v>0</v>
      </c>
      <c r="M499" s="345">
        <v>0</v>
      </c>
      <c r="N499" s="345">
        <v>0</v>
      </c>
      <c r="O499" s="345">
        <v>0</v>
      </c>
      <c r="P499" s="345">
        <v>0</v>
      </c>
      <c r="Q499" s="345" t="s">
        <v>805</v>
      </c>
      <c r="R499" s="345" t="s">
        <v>437</v>
      </c>
    </row>
    <row r="500" spans="1:18" x14ac:dyDescent="0.2">
      <c r="A500" s="345" t="s">
        <v>802</v>
      </c>
      <c r="B500" s="345" t="s">
        <v>803</v>
      </c>
      <c r="C500" s="345" t="s">
        <v>793</v>
      </c>
      <c r="D500" s="345" t="s">
        <v>804</v>
      </c>
      <c r="E500" s="345" t="s">
        <v>430</v>
      </c>
      <c r="F500" s="345" t="s">
        <v>447</v>
      </c>
      <c r="G500" s="345" t="s">
        <v>443</v>
      </c>
      <c r="H500" s="345" t="s">
        <v>448</v>
      </c>
      <c r="I500" s="345">
        <v>0</v>
      </c>
      <c r="J500" s="345">
        <v>0</v>
      </c>
      <c r="K500" s="345">
        <v>0</v>
      </c>
      <c r="L500" s="345">
        <v>0</v>
      </c>
      <c r="M500" s="345">
        <v>0</v>
      </c>
      <c r="N500" s="345">
        <v>0</v>
      </c>
      <c r="O500" s="345">
        <v>0</v>
      </c>
      <c r="P500" s="345">
        <v>0</v>
      </c>
      <c r="Q500" s="345" t="s">
        <v>805</v>
      </c>
      <c r="R500" s="345" t="s">
        <v>437</v>
      </c>
    </row>
    <row r="501" spans="1:18" x14ac:dyDescent="0.2">
      <c r="A501" s="345" t="s">
        <v>802</v>
      </c>
      <c r="B501" s="345" t="s">
        <v>803</v>
      </c>
      <c r="C501" s="345" t="s">
        <v>793</v>
      </c>
      <c r="D501" s="345" t="s">
        <v>804</v>
      </c>
      <c r="E501" s="345" t="s">
        <v>430</v>
      </c>
      <c r="F501" s="345" t="s">
        <v>449</v>
      </c>
      <c r="G501" s="345" t="s">
        <v>450</v>
      </c>
      <c r="H501" s="345" t="s">
        <v>451</v>
      </c>
      <c r="I501" s="345">
        <v>0</v>
      </c>
      <c r="J501" s="345">
        <v>0</v>
      </c>
      <c r="K501" s="345">
        <v>0</v>
      </c>
      <c r="L501" s="345">
        <v>0</v>
      </c>
      <c r="M501" s="345">
        <v>0</v>
      </c>
      <c r="N501" s="345">
        <v>0</v>
      </c>
      <c r="O501" s="345">
        <v>0</v>
      </c>
      <c r="P501" s="345">
        <v>0</v>
      </c>
      <c r="Q501" s="345" t="s">
        <v>805</v>
      </c>
      <c r="R501" s="345" t="s">
        <v>437</v>
      </c>
    </row>
    <row r="502" spans="1:18" x14ac:dyDescent="0.2">
      <c r="A502" s="345" t="s">
        <v>802</v>
      </c>
      <c r="B502" s="345" t="s">
        <v>803</v>
      </c>
      <c r="C502" s="345" t="s">
        <v>793</v>
      </c>
      <c r="D502" s="345" t="s">
        <v>804</v>
      </c>
      <c r="E502" s="345" t="s">
        <v>430</v>
      </c>
      <c r="F502" s="345" t="s">
        <v>449</v>
      </c>
      <c r="G502" s="345" t="s">
        <v>452</v>
      </c>
      <c r="H502" s="345" t="s">
        <v>453</v>
      </c>
      <c r="I502" s="345">
        <v>0</v>
      </c>
      <c r="J502" s="345">
        <v>0</v>
      </c>
      <c r="K502" s="345">
        <v>0</v>
      </c>
      <c r="L502" s="345">
        <v>0</v>
      </c>
      <c r="M502" s="345">
        <v>0</v>
      </c>
      <c r="N502" s="345">
        <v>0</v>
      </c>
      <c r="O502" s="345">
        <v>0</v>
      </c>
      <c r="P502" s="345">
        <v>0</v>
      </c>
      <c r="Q502" s="345" t="s">
        <v>805</v>
      </c>
      <c r="R502" s="345" t="s">
        <v>437</v>
      </c>
    </row>
    <row r="503" spans="1:18" x14ac:dyDescent="0.2">
      <c r="A503" s="345" t="s">
        <v>802</v>
      </c>
      <c r="B503" s="345" t="s">
        <v>803</v>
      </c>
      <c r="C503" s="345" t="s">
        <v>793</v>
      </c>
      <c r="D503" s="345" t="s">
        <v>804</v>
      </c>
      <c r="E503" s="345" t="s">
        <v>430</v>
      </c>
      <c r="F503" s="345" t="s">
        <v>449</v>
      </c>
      <c r="G503" s="345" t="s">
        <v>454</v>
      </c>
      <c r="H503" s="345" t="s">
        <v>455</v>
      </c>
      <c r="I503" s="345">
        <v>-6</v>
      </c>
      <c r="J503" s="345">
        <v>-6</v>
      </c>
      <c r="K503" s="345">
        <v>-6</v>
      </c>
      <c r="L503" s="345">
        <v>-6</v>
      </c>
      <c r="M503" s="345">
        <v>-6</v>
      </c>
      <c r="N503" s="345">
        <v>-6</v>
      </c>
      <c r="O503" s="345">
        <v>-6</v>
      </c>
      <c r="P503" s="345">
        <v>-6</v>
      </c>
      <c r="Q503" s="345" t="s">
        <v>805</v>
      </c>
      <c r="R503" s="345" t="s">
        <v>434</v>
      </c>
    </row>
    <row r="504" spans="1:18" x14ac:dyDescent="0.2">
      <c r="A504" s="345" t="s">
        <v>802</v>
      </c>
      <c r="B504" s="345" t="s">
        <v>803</v>
      </c>
      <c r="C504" s="345" t="s">
        <v>793</v>
      </c>
      <c r="D504" s="345" t="s">
        <v>804</v>
      </c>
      <c r="E504" s="345" t="s">
        <v>430</v>
      </c>
      <c r="F504" s="345" t="s">
        <v>456</v>
      </c>
      <c r="G504" s="345" t="s">
        <v>457</v>
      </c>
      <c r="H504" s="345" t="s">
        <v>458</v>
      </c>
      <c r="I504" s="345">
        <v>41</v>
      </c>
      <c r="J504" s="345">
        <v>49</v>
      </c>
      <c r="K504" s="345">
        <v>72</v>
      </c>
      <c r="L504" s="345">
        <v>96</v>
      </c>
      <c r="M504" s="345">
        <v>119</v>
      </c>
      <c r="N504" s="345">
        <v>142</v>
      </c>
      <c r="O504" s="345">
        <v>156</v>
      </c>
      <c r="P504" s="345">
        <v>170</v>
      </c>
      <c r="Q504" s="345" t="s">
        <v>805</v>
      </c>
      <c r="R504" s="345" t="s">
        <v>434</v>
      </c>
    </row>
    <row r="505" spans="1:18" x14ac:dyDescent="0.2">
      <c r="A505" s="345" t="s">
        <v>802</v>
      </c>
      <c r="B505" s="345" t="s">
        <v>803</v>
      </c>
      <c r="C505" s="345" t="s">
        <v>793</v>
      </c>
      <c r="D505" s="345" t="s">
        <v>804</v>
      </c>
      <c r="E505" s="345" t="s">
        <v>430</v>
      </c>
      <c r="F505" s="345" t="s">
        <v>459</v>
      </c>
      <c r="G505" s="345" t="s">
        <v>443</v>
      </c>
      <c r="H505" s="345" t="s">
        <v>460</v>
      </c>
      <c r="I505" s="345">
        <v>0</v>
      </c>
      <c r="J505" s="345">
        <v>0</v>
      </c>
      <c r="K505" s="345">
        <v>0</v>
      </c>
      <c r="L505" s="345">
        <v>0</v>
      </c>
      <c r="M505" s="345">
        <v>0</v>
      </c>
      <c r="N505" s="345">
        <v>0</v>
      </c>
      <c r="O505" s="345">
        <v>0</v>
      </c>
      <c r="P505" s="345">
        <v>0</v>
      </c>
      <c r="Q505" s="345" t="s">
        <v>805</v>
      </c>
      <c r="R505" s="345" t="s">
        <v>437</v>
      </c>
    </row>
    <row r="506" spans="1:18" x14ac:dyDescent="0.2">
      <c r="A506" s="345" t="s">
        <v>802</v>
      </c>
      <c r="B506" s="345" t="s">
        <v>803</v>
      </c>
      <c r="C506" s="345" t="s">
        <v>793</v>
      </c>
      <c r="D506" s="345" t="s">
        <v>804</v>
      </c>
      <c r="E506" s="345" t="s">
        <v>430</v>
      </c>
      <c r="F506" s="345" t="s">
        <v>461</v>
      </c>
      <c r="G506" s="345" t="s">
        <v>443</v>
      </c>
      <c r="H506" s="345" t="s">
        <v>462</v>
      </c>
      <c r="I506" s="345">
        <v>0</v>
      </c>
      <c r="J506" s="345">
        <v>0</v>
      </c>
      <c r="K506" s="345">
        <v>0</v>
      </c>
      <c r="L506" s="345">
        <v>0</v>
      </c>
      <c r="M506" s="345">
        <v>0</v>
      </c>
      <c r="N506" s="345">
        <v>0</v>
      </c>
      <c r="O506" s="345">
        <v>0</v>
      </c>
      <c r="P506" s="345">
        <v>0</v>
      </c>
      <c r="Q506" s="345" t="s">
        <v>805</v>
      </c>
      <c r="R506" s="345" t="s">
        <v>437</v>
      </c>
    </row>
    <row r="507" spans="1:18" x14ac:dyDescent="0.2">
      <c r="A507" s="345" t="s">
        <v>802</v>
      </c>
      <c r="B507" s="345" t="s">
        <v>803</v>
      </c>
      <c r="C507" s="345" t="s">
        <v>793</v>
      </c>
      <c r="D507" s="345" t="s">
        <v>804</v>
      </c>
      <c r="E507" s="345" t="s">
        <v>430</v>
      </c>
      <c r="F507" s="345" t="s">
        <v>463</v>
      </c>
      <c r="G507" s="345" t="s">
        <v>464</v>
      </c>
      <c r="H507" s="345" t="s">
        <v>463</v>
      </c>
      <c r="I507" s="345">
        <v>0</v>
      </c>
      <c r="J507" s="345">
        <v>0</v>
      </c>
      <c r="K507" s="345">
        <v>0</v>
      </c>
      <c r="L507" s="345">
        <v>0</v>
      </c>
      <c r="M507" s="345">
        <v>0</v>
      </c>
      <c r="N507" s="345">
        <v>0</v>
      </c>
      <c r="O507" s="345">
        <v>0</v>
      </c>
      <c r="P507" s="345">
        <v>0</v>
      </c>
      <c r="Q507" s="345" t="s">
        <v>805</v>
      </c>
      <c r="R507" s="345" t="s">
        <v>437</v>
      </c>
    </row>
    <row r="508" spans="1:18" x14ac:dyDescent="0.2">
      <c r="A508" s="345" t="s">
        <v>802</v>
      </c>
      <c r="B508" s="345" t="s">
        <v>803</v>
      </c>
      <c r="C508" s="345" t="s">
        <v>793</v>
      </c>
      <c r="D508" s="345" t="s">
        <v>804</v>
      </c>
      <c r="E508" s="345" t="s">
        <v>430</v>
      </c>
      <c r="F508" s="345" t="s">
        <v>465</v>
      </c>
      <c r="G508" s="345" t="s">
        <v>432</v>
      </c>
      <c r="H508" s="345" t="s">
        <v>466</v>
      </c>
      <c r="I508" s="345">
        <v>29</v>
      </c>
      <c r="J508" s="345">
        <v>35</v>
      </c>
      <c r="K508" s="345">
        <v>44</v>
      </c>
      <c r="L508" s="345">
        <v>53</v>
      </c>
      <c r="M508" s="345">
        <v>62</v>
      </c>
      <c r="N508" s="345">
        <v>71</v>
      </c>
      <c r="O508" s="345">
        <v>77</v>
      </c>
      <c r="P508" s="345">
        <v>82</v>
      </c>
      <c r="Q508" s="345" t="s">
        <v>805</v>
      </c>
      <c r="R508" s="345" t="s">
        <v>434</v>
      </c>
    </row>
    <row r="509" spans="1:18" x14ac:dyDescent="0.2">
      <c r="A509" s="345" t="s">
        <v>802</v>
      </c>
      <c r="B509" s="345" t="s">
        <v>803</v>
      </c>
      <c r="C509" s="345" t="s">
        <v>793</v>
      </c>
      <c r="D509" s="345" t="s">
        <v>804</v>
      </c>
      <c r="E509" s="345" t="s">
        <v>430</v>
      </c>
      <c r="F509" s="345" t="s">
        <v>465</v>
      </c>
      <c r="G509" s="345" t="s">
        <v>467</v>
      </c>
      <c r="H509" s="345" t="s">
        <v>468</v>
      </c>
      <c r="I509" s="345">
        <v>25</v>
      </c>
      <c r="J509" s="345">
        <v>30</v>
      </c>
      <c r="K509" s="345">
        <v>36</v>
      </c>
      <c r="L509" s="345">
        <v>40</v>
      </c>
      <c r="M509" s="345">
        <v>44</v>
      </c>
      <c r="N509" s="345">
        <v>49</v>
      </c>
      <c r="O509" s="345">
        <v>53</v>
      </c>
      <c r="P509" s="345">
        <v>56</v>
      </c>
      <c r="Q509" s="345" t="s">
        <v>805</v>
      </c>
      <c r="R509" s="345" t="s">
        <v>434</v>
      </c>
    </row>
    <row r="510" spans="1:18" x14ac:dyDescent="0.2">
      <c r="A510" s="345" t="s">
        <v>802</v>
      </c>
      <c r="B510" s="345" t="s">
        <v>803</v>
      </c>
      <c r="C510" s="345" t="s">
        <v>793</v>
      </c>
      <c r="D510" s="345" t="s">
        <v>804</v>
      </c>
      <c r="E510" s="345" t="s">
        <v>430</v>
      </c>
      <c r="F510" s="345" t="s">
        <v>465</v>
      </c>
      <c r="G510" s="345" t="s">
        <v>440</v>
      </c>
      <c r="H510" s="345" t="s">
        <v>469</v>
      </c>
      <c r="I510" s="345">
        <v>23</v>
      </c>
      <c r="J510" s="345">
        <v>27</v>
      </c>
      <c r="K510" s="345">
        <v>31</v>
      </c>
      <c r="L510" s="345">
        <v>33</v>
      </c>
      <c r="M510" s="345">
        <v>37</v>
      </c>
      <c r="N510" s="345">
        <v>40</v>
      </c>
      <c r="O510" s="345">
        <v>44</v>
      </c>
      <c r="P510" s="345">
        <v>46</v>
      </c>
      <c r="Q510" s="345" t="s">
        <v>805</v>
      </c>
      <c r="R510" s="345" t="s">
        <v>434</v>
      </c>
    </row>
    <row r="511" spans="1:18" x14ac:dyDescent="0.2">
      <c r="A511" s="345" t="s">
        <v>802</v>
      </c>
      <c r="B511" s="345" t="s">
        <v>803</v>
      </c>
      <c r="C511" s="345" t="s">
        <v>793</v>
      </c>
      <c r="D511" s="345" t="s">
        <v>804</v>
      </c>
      <c r="E511" s="345" t="s">
        <v>430</v>
      </c>
      <c r="F511" s="345" t="s">
        <v>465</v>
      </c>
      <c r="G511" s="345" t="s">
        <v>470</v>
      </c>
      <c r="H511" s="345" t="s">
        <v>471</v>
      </c>
      <c r="I511" s="345">
        <v>0</v>
      </c>
      <c r="J511" s="345">
        <v>0</v>
      </c>
      <c r="K511" s="345">
        <v>0</v>
      </c>
      <c r="L511" s="345">
        <v>0</v>
      </c>
      <c r="M511" s="345">
        <v>0</v>
      </c>
      <c r="N511" s="345">
        <v>0</v>
      </c>
      <c r="O511" s="345">
        <v>0</v>
      </c>
      <c r="P511" s="345">
        <v>0</v>
      </c>
      <c r="Q511" s="345" t="s">
        <v>805</v>
      </c>
      <c r="R511" s="345" t="s">
        <v>437</v>
      </c>
    </row>
    <row r="512" spans="1:18" x14ac:dyDescent="0.2">
      <c r="A512" s="345" t="s">
        <v>802</v>
      </c>
      <c r="B512" s="345" t="s">
        <v>803</v>
      </c>
      <c r="C512" s="345" t="s">
        <v>793</v>
      </c>
      <c r="D512" s="345" t="s">
        <v>804</v>
      </c>
      <c r="E512" s="345" t="s">
        <v>430</v>
      </c>
      <c r="F512" s="345" t="s">
        <v>465</v>
      </c>
      <c r="G512" s="345" t="s">
        <v>472</v>
      </c>
      <c r="H512" s="345" t="s">
        <v>473</v>
      </c>
      <c r="I512" s="345">
        <v>0</v>
      </c>
      <c r="J512" s="345">
        <v>0</v>
      </c>
      <c r="K512" s="345">
        <v>0</v>
      </c>
      <c r="L512" s="345">
        <v>0</v>
      </c>
      <c r="M512" s="345">
        <v>0</v>
      </c>
      <c r="N512" s="345">
        <v>0</v>
      </c>
      <c r="O512" s="345">
        <v>0</v>
      </c>
      <c r="P512" s="345">
        <v>0</v>
      </c>
      <c r="Q512" s="345" t="s">
        <v>805</v>
      </c>
      <c r="R512" s="345" t="s">
        <v>437</v>
      </c>
    </row>
    <row r="513" spans="1:18" x14ac:dyDescent="0.2">
      <c r="A513" s="345" t="s">
        <v>802</v>
      </c>
      <c r="B513" s="345" t="s">
        <v>803</v>
      </c>
      <c r="C513" s="345" t="s">
        <v>793</v>
      </c>
      <c r="D513" s="345" t="s">
        <v>804</v>
      </c>
      <c r="E513" s="345" t="s">
        <v>430</v>
      </c>
      <c r="F513" s="345" t="s">
        <v>474</v>
      </c>
      <c r="G513" s="345" t="s">
        <v>464</v>
      </c>
      <c r="H513" s="345" t="s">
        <v>474</v>
      </c>
      <c r="I513" s="345">
        <v>0</v>
      </c>
      <c r="J513" s="345">
        <v>0</v>
      </c>
      <c r="K513" s="345">
        <v>0</v>
      </c>
      <c r="L513" s="345">
        <v>0</v>
      </c>
      <c r="M513" s="345">
        <v>0</v>
      </c>
      <c r="N513" s="345">
        <v>0</v>
      </c>
      <c r="O513" s="345">
        <v>0</v>
      </c>
      <c r="P513" s="345">
        <v>0</v>
      </c>
      <c r="Q513" s="345" t="s">
        <v>805</v>
      </c>
      <c r="R513" s="345" t="s">
        <v>437</v>
      </c>
    </row>
    <row r="514" spans="1:18" x14ac:dyDescent="0.2">
      <c r="A514" s="345" t="s">
        <v>802</v>
      </c>
      <c r="B514" s="345" t="s">
        <v>803</v>
      </c>
      <c r="C514" s="345" t="s">
        <v>793</v>
      </c>
      <c r="D514" s="345" t="s">
        <v>804</v>
      </c>
      <c r="E514" s="345" t="s">
        <v>430</v>
      </c>
      <c r="F514" s="345" t="s">
        <v>475</v>
      </c>
      <c r="G514" s="345" t="s">
        <v>443</v>
      </c>
      <c r="H514" s="345" t="s">
        <v>476</v>
      </c>
      <c r="I514" s="345">
        <v>0</v>
      </c>
      <c r="J514" s="345">
        <v>0</v>
      </c>
      <c r="K514" s="345">
        <v>0</v>
      </c>
      <c r="L514" s="345">
        <v>0</v>
      </c>
      <c r="M514" s="345">
        <v>0</v>
      </c>
      <c r="N514" s="345">
        <v>0</v>
      </c>
      <c r="O514" s="345">
        <v>0</v>
      </c>
      <c r="P514" s="345">
        <v>0</v>
      </c>
      <c r="Q514" s="345" t="s">
        <v>805</v>
      </c>
      <c r="R514" s="345" t="s">
        <v>437</v>
      </c>
    </row>
    <row r="515" spans="1:18" x14ac:dyDescent="0.2">
      <c r="A515" s="345" t="s">
        <v>802</v>
      </c>
      <c r="B515" s="345" t="s">
        <v>803</v>
      </c>
      <c r="C515" s="345" t="s">
        <v>793</v>
      </c>
      <c r="D515" s="345" t="s">
        <v>804</v>
      </c>
      <c r="E515" s="345" t="s">
        <v>430</v>
      </c>
      <c r="F515" s="345" t="s">
        <v>477</v>
      </c>
      <c r="G515" s="345" t="s">
        <v>464</v>
      </c>
      <c r="H515" s="345" t="s">
        <v>477</v>
      </c>
      <c r="I515" s="345">
        <v>0</v>
      </c>
      <c r="J515" s="345">
        <v>0</v>
      </c>
      <c r="K515" s="345">
        <v>0</v>
      </c>
      <c r="L515" s="345">
        <v>0</v>
      </c>
      <c r="M515" s="345">
        <v>0</v>
      </c>
      <c r="N515" s="345">
        <v>0</v>
      </c>
      <c r="O515" s="345">
        <v>0</v>
      </c>
      <c r="P515" s="345">
        <v>0</v>
      </c>
      <c r="Q515" s="345" t="s">
        <v>805</v>
      </c>
      <c r="R515" s="345" t="s">
        <v>437</v>
      </c>
    </row>
    <row r="516" spans="1:18" x14ac:dyDescent="0.2">
      <c r="A516" s="345" t="s">
        <v>802</v>
      </c>
      <c r="B516" s="345" t="s">
        <v>803</v>
      </c>
      <c r="C516" s="345" t="s">
        <v>793</v>
      </c>
      <c r="D516" s="345" t="s">
        <v>804</v>
      </c>
      <c r="E516" s="345" t="s">
        <v>430</v>
      </c>
      <c r="F516" s="345" t="s">
        <v>478</v>
      </c>
      <c r="G516" s="345" t="s">
        <v>432</v>
      </c>
      <c r="H516" s="345" t="s">
        <v>479</v>
      </c>
      <c r="I516" s="345">
        <v>31</v>
      </c>
      <c r="J516" s="345">
        <v>36</v>
      </c>
      <c r="K516" s="345">
        <v>46</v>
      </c>
      <c r="L516" s="345">
        <v>56</v>
      </c>
      <c r="M516" s="345">
        <v>66</v>
      </c>
      <c r="N516" s="345">
        <v>76</v>
      </c>
      <c r="O516" s="345">
        <v>82</v>
      </c>
      <c r="P516" s="345">
        <v>88</v>
      </c>
      <c r="Q516" s="345" t="s">
        <v>805</v>
      </c>
      <c r="R516" s="345" t="s">
        <v>434</v>
      </c>
    </row>
    <row r="517" spans="1:18" x14ac:dyDescent="0.2">
      <c r="A517" s="345" t="s">
        <v>802</v>
      </c>
      <c r="B517" s="345" t="s">
        <v>803</v>
      </c>
      <c r="C517" s="345" t="s">
        <v>793</v>
      </c>
      <c r="D517" s="345" t="s">
        <v>804</v>
      </c>
      <c r="E517" s="345" t="s">
        <v>430</v>
      </c>
      <c r="F517" s="345" t="s">
        <v>478</v>
      </c>
      <c r="G517" s="345" t="s">
        <v>440</v>
      </c>
      <c r="H517" s="345" t="s">
        <v>480</v>
      </c>
      <c r="I517" s="345">
        <v>10</v>
      </c>
      <c r="J517" s="345">
        <v>12</v>
      </c>
      <c r="K517" s="345">
        <v>17</v>
      </c>
      <c r="L517" s="345">
        <v>23</v>
      </c>
      <c r="M517" s="345">
        <v>29</v>
      </c>
      <c r="N517" s="345">
        <v>33</v>
      </c>
      <c r="O517" s="345">
        <v>35</v>
      </c>
      <c r="P517" s="345">
        <v>37</v>
      </c>
      <c r="Q517" s="345" t="s">
        <v>805</v>
      </c>
      <c r="R517" s="345" t="s">
        <v>434</v>
      </c>
    </row>
    <row r="518" spans="1:18" x14ac:dyDescent="0.2">
      <c r="A518" s="345" t="s">
        <v>802</v>
      </c>
      <c r="B518" s="345" t="s">
        <v>803</v>
      </c>
      <c r="C518" s="345" t="s">
        <v>793</v>
      </c>
      <c r="D518" s="345" t="s">
        <v>804</v>
      </c>
      <c r="E518" s="345" t="s">
        <v>430</v>
      </c>
      <c r="F518" s="345" t="s">
        <v>478</v>
      </c>
      <c r="G518" s="345" t="s">
        <v>470</v>
      </c>
      <c r="H518" s="345" t="s">
        <v>481</v>
      </c>
      <c r="I518" s="345">
        <v>0</v>
      </c>
      <c r="J518" s="345">
        <v>0</v>
      </c>
      <c r="K518" s="345">
        <v>0</v>
      </c>
      <c r="L518" s="345">
        <v>0</v>
      </c>
      <c r="M518" s="345">
        <v>0</v>
      </c>
      <c r="N518" s="345">
        <v>0</v>
      </c>
      <c r="O518" s="345">
        <v>0</v>
      </c>
      <c r="P518" s="345">
        <v>0</v>
      </c>
      <c r="Q518" s="345" t="s">
        <v>805</v>
      </c>
      <c r="R518" s="345" t="s">
        <v>437</v>
      </c>
    </row>
    <row r="519" spans="1:18" x14ac:dyDescent="0.2">
      <c r="A519" s="345" t="s">
        <v>806</v>
      </c>
      <c r="B519" s="345" t="s">
        <v>807</v>
      </c>
      <c r="C519" s="345" t="s">
        <v>808</v>
      </c>
      <c r="D519" s="345" t="s">
        <v>809</v>
      </c>
      <c r="E519" s="345" t="s">
        <v>430</v>
      </c>
      <c r="F519" s="345" t="s">
        <v>431</v>
      </c>
      <c r="G519" s="345" t="s">
        <v>432</v>
      </c>
      <c r="H519" s="345" t="s">
        <v>433</v>
      </c>
      <c r="I519" s="345">
        <v>0</v>
      </c>
      <c r="J519" s="345">
        <v>0</v>
      </c>
      <c r="K519" s="345">
        <v>0</v>
      </c>
      <c r="L519" s="345">
        <v>0</v>
      </c>
      <c r="M519" s="345">
        <v>0</v>
      </c>
      <c r="N519" s="345">
        <v>0</v>
      </c>
      <c r="O519" s="345">
        <v>0</v>
      </c>
      <c r="P519" s="345">
        <v>0</v>
      </c>
      <c r="Q519" s="345" t="s">
        <v>810</v>
      </c>
      <c r="R519" s="345" t="s">
        <v>437</v>
      </c>
    </row>
    <row r="520" spans="1:18" x14ac:dyDescent="0.2">
      <c r="A520" s="345" t="s">
        <v>806</v>
      </c>
      <c r="B520" s="345" t="s">
        <v>807</v>
      </c>
      <c r="C520" s="345" t="s">
        <v>808</v>
      </c>
      <c r="D520" s="345" t="s">
        <v>809</v>
      </c>
      <c r="E520" s="345" t="s">
        <v>430</v>
      </c>
      <c r="F520" s="345" t="s">
        <v>431</v>
      </c>
      <c r="G520" s="345" t="s">
        <v>435</v>
      </c>
      <c r="H520" s="345" t="s">
        <v>436</v>
      </c>
      <c r="I520" s="345">
        <v>0</v>
      </c>
      <c r="J520" s="345">
        <v>0</v>
      </c>
      <c r="K520" s="345">
        <v>0</v>
      </c>
      <c r="L520" s="345">
        <v>0</v>
      </c>
      <c r="M520" s="345">
        <v>0</v>
      </c>
      <c r="N520" s="345">
        <v>0</v>
      </c>
      <c r="O520" s="345">
        <v>0</v>
      </c>
      <c r="P520" s="345">
        <v>0</v>
      </c>
      <c r="Q520" s="345" t="s">
        <v>810</v>
      </c>
      <c r="R520" s="345" t="s">
        <v>437</v>
      </c>
    </row>
    <row r="521" spans="1:18" x14ac:dyDescent="0.2">
      <c r="A521" s="345" t="s">
        <v>806</v>
      </c>
      <c r="B521" s="345" t="s">
        <v>807</v>
      </c>
      <c r="C521" s="345" t="s">
        <v>808</v>
      </c>
      <c r="D521" s="345" t="s">
        <v>809</v>
      </c>
      <c r="E521" s="345" t="s">
        <v>430</v>
      </c>
      <c r="F521" s="345" t="s">
        <v>438</v>
      </c>
      <c r="G521" s="345" t="s">
        <v>432</v>
      </c>
      <c r="H521" s="345" t="s">
        <v>439</v>
      </c>
      <c r="I521" s="345">
        <v>6</v>
      </c>
      <c r="J521" s="345">
        <v>9</v>
      </c>
      <c r="K521" s="345">
        <v>11</v>
      </c>
      <c r="L521" s="345">
        <v>12</v>
      </c>
      <c r="M521" s="345">
        <v>13</v>
      </c>
      <c r="N521" s="345">
        <v>16</v>
      </c>
      <c r="O521" s="345">
        <v>0</v>
      </c>
      <c r="P521" s="345">
        <v>0</v>
      </c>
      <c r="Q521" s="345" t="s">
        <v>810</v>
      </c>
      <c r="R521" s="345" t="s">
        <v>434</v>
      </c>
    </row>
    <row r="522" spans="1:18" x14ac:dyDescent="0.2">
      <c r="A522" s="345" t="s">
        <v>806</v>
      </c>
      <c r="B522" s="345" t="s">
        <v>807</v>
      </c>
      <c r="C522" s="345" t="s">
        <v>808</v>
      </c>
      <c r="D522" s="345" t="s">
        <v>809</v>
      </c>
      <c r="E522" s="345" t="s">
        <v>430</v>
      </c>
      <c r="F522" s="345" t="s">
        <v>438</v>
      </c>
      <c r="G522" s="345" t="s">
        <v>440</v>
      </c>
      <c r="H522" s="345" t="s">
        <v>441</v>
      </c>
      <c r="I522" s="345">
        <v>5</v>
      </c>
      <c r="J522" s="345">
        <v>8</v>
      </c>
      <c r="K522" s="345">
        <v>8</v>
      </c>
      <c r="L522" s="345">
        <v>8</v>
      </c>
      <c r="M522" s="345">
        <v>8</v>
      </c>
      <c r="N522" s="345">
        <v>8</v>
      </c>
      <c r="O522" s="345">
        <v>0</v>
      </c>
      <c r="P522" s="345">
        <v>0</v>
      </c>
      <c r="Q522" s="345" t="s">
        <v>810</v>
      </c>
      <c r="R522" s="345" t="s">
        <v>434</v>
      </c>
    </row>
    <row r="523" spans="1:18" x14ac:dyDescent="0.2">
      <c r="A523" s="345" t="s">
        <v>806</v>
      </c>
      <c r="B523" s="345" t="s">
        <v>807</v>
      </c>
      <c r="C523" s="345" t="s">
        <v>808</v>
      </c>
      <c r="D523" s="345" t="s">
        <v>809</v>
      </c>
      <c r="E523" s="345" t="s">
        <v>430</v>
      </c>
      <c r="F523" s="345" t="s">
        <v>442</v>
      </c>
      <c r="G523" s="345" t="s">
        <v>443</v>
      </c>
      <c r="H523" s="345" t="s">
        <v>444</v>
      </c>
      <c r="I523" s="345">
        <v>0</v>
      </c>
      <c r="J523" s="345">
        <v>0</v>
      </c>
      <c r="K523" s="345">
        <v>0</v>
      </c>
      <c r="L523" s="345">
        <v>0</v>
      </c>
      <c r="M523" s="345">
        <v>0</v>
      </c>
      <c r="N523" s="345">
        <v>0</v>
      </c>
      <c r="O523" s="345">
        <v>0</v>
      </c>
      <c r="P523" s="345">
        <v>0</v>
      </c>
      <c r="Q523" s="345" t="s">
        <v>810</v>
      </c>
      <c r="R523" s="345" t="s">
        <v>437</v>
      </c>
    </row>
    <row r="524" spans="1:18" x14ac:dyDescent="0.2">
      <c r="A524" s="345" t="s">
        <v>806</v>
      </c>
      <c r="B524" s="345" t="s">
        <v>807</v>
      </c>
      <c r="C524" s="345" t="s">
        <v>808</v>
      </c>
      <c r="D524" s="345" t="s">
        <v>809</v>
      </c>
      <c r="E524" s="345" t="s">
        <v>430</v>
      </c>
      <c r="F524" s="345" t="s">
        <v>445</v>
      </c>
      <c r="G524" s="345" t="s">
        <v>443</v>
      </c>
      <c r="H524" s="345" t="s">
        <v>446</v>
      </c>
      <c r="I524" s="345">
        <v>0</v>
      </c>
      <c r="J524" s="345">
        <v>0</v>
      </c>
      <c r="K524" s="345">
        <v>0</v>
      </c>
      <c r="L524" s="345">
        <v>0</v>
      </c>
      <c r="M524" s="345">
        <v>0</v>
      </c>
      <c r="N524" s="345">
        <v>0</v>
      </c>
      <c r="O524" s="345">
        <v>0</v>
      </c>
      <c r="P524" s="345">
        <v>0</v>
      </c>
      <c r="Q524" s="345" t="s">
        <v>810</v>
      </c>
      <c r="R524" s="345" t="s">
        <v>437</v>
      </c>
    </row>
    <row r="525" spans="1:18" x14ac:dyDescent="0.2">
      <c r="A525" s="345" t="s">
        <v>806</v>
      </c>
      <c r="B525" s="345" t="s">
        <v>807</v>
      </c>
      <c r="C525" s="345" t="s">
        <v>808</v>
      </c>
      <c r="D525" s="345" t="s">
        <v>809</v>
      </c>
      <c r="E525" s="345" t="s">
        <v>430</v>
      </c>
      <c r="F525" s="345" t="s">
        <v>447</v>
      </c>
      <c r="G525" s="345" t="s">
        <v>443</v>
      </c>
      <c r="H525" s="345" t="s">
        <v>448</v>
      </c>
      <c r="I525" s="345">
        <v>0</v>
      </c>
      <c r="J525" s="345">
        <v>0</v>
      </c>
      <c r="K525" s="345">
        <v>0</v>
      </c>
      <c r="L525" s="345">
        <v>0</v>
      </c>
      <c r="M525" s="345">
        <v>0</v>
      </c>
      <c r="N525" s="345">
        <v>0</v>
      </c>
      <c r="O525" s="345">
        <v>0</v>
      </c>
      <c r="P525" s="345">
        <v>0</v>
      </c>
      <c r="Q525" s="345" t="s">
        <v>810</v>
      </c>
      <c r="R525" s="345" t="s">
        <v>437</v>
      </c>
    </row>
    <row r="526" spans="1:18" x14ac:dyDescent="0.2">
      <c r="A526" s="345" t="s">
        <v>806</v>
      </c>
      <c r="B526" s="345" t="s">
        <v>807</v>
      </c>
      <c r="C526" s="345" t="s">
        <v>808</v>
      </c>
      <c r="D526" s="345" t="s">
        <v>809</v>
      </c>
      <c r="E526" s="345" t="s">
        <v>430</v>
      </c>
      <c r="F526" s="345" t="s">
        <v>449</v>
      </c>
      <c r="G526" s="345" t="s">
        <v>450</v>
      </c>
      <c r="H526" s="345" t="s">
        <v>451</v>
      </c>
      <c r="I526" s="345">
        <v>0</v>
      </c>
      <c r="J526" s="345">
        <v>0</v>
      </c>
      <c r="K526" s="345">
        <v>0</v>
      </c>
      <c r="L526" s="345">
        <v>0</v>
      </c>
      <c r="M526" s="345">
        <v>0</v>
      </c>
      <c r="N526" s="345">
        <v>0</v>
      </c>
      <c r="O526" s="345">
        <v>0</v>
      </c>
      <c r="P526" s="345">
        <v>0</v>
      </c>
      <c r="Q526" s="345" t="s">
        <v>810</v>
      </c>
      <c r="R526" s="345" t="s">
        <v>437</v>
      </c>
    </row>
    <row r="527" spans="1:18" x14ac:dyDescent="0.2">
      <c r="A527" s="345" t="s">
        <v>806</v>
      </c>
      <c r="B527" s="345" t="s">
        <v>807</v>
      </c>
      <c r="C527" s="345" t="s">
        <v>808</v>
      </c>
      <c r="D527" s="345" t="s">
        <v>809</v>
      </c>
      <c r="E527" s="345" t="s">
        <v>430</v>
      </c>
      <c r="F527" s="345" t="s">
        <v>449</v>
      </c>
      <c r="G527" s="345" t="s">
        <v>452</v>
      </c>
      <c r="H527" s="345" t="s">
        <v>453</v>
      </c>
      <c r="I527" s="345">
        <v>0</v>
      </c>
      <c r="J527" s="345">
        <v>0</v>
      </c>
      <c r="K527" s="345">
        <v>0</v>
      </c>
      <c r="L527" s="345">
        <v>0</v>
      </c>
      <c r="M527" s="345">
        <v>0</v>
      </c>
      <c r="N527" s="345">
        <v>0</v>
      </c>
      <c r="O527" s="345">
        <v>0</v>
      </c>
      <c r="P527" s="345">
        <v>0</v>
      </c>
      <c r="Q527" s="345" t="s">
        <v>810</v>
      </c>
      <c r="R527" s="345" t="s">
        <v>437</v>
      </c>
    </row>
    <row r="528" spans="1:18" x14ac:dyDescent="0.2">
      <c r="A528" s="345" t="s">
        <v>806</v>
      </c>
      <c r="B528" s="345" t="s">
        <v>807</v>
      </c>
      <c r="C528" s="345" t="s">
        <v>808</v>
      </c>
      <c r="D528" s="345" t="s">
        <v>809</v>
      </c>
      <c r="E528" s="345" t="s">
        <v>430</v>
      </c>
      <c r="F528" s="345" t="s">
        <v>449</v>
      </c>
      <c r="G528" s="345" t="s">
        <v>454</v>
      </c>
      <c r="H528" s="345" t="s">
        <v>455</v>
      </c>
      <c r="I528" s="345">
        <v>0</v>
      </c>
      <c r="J528" s="345">
        <v>0</v>
      </c>
      <c r="K528" s="345">
        <v>0</v>
      </c>
      <c r="L528" s="345">
        <v>0</v>
      </c>
      <c r="M528" s="345">
        <v>0</v>
      </c>
      <c r="N528" s="345">
        <v>0</v>
      </c>
      <c r="O528" s="345">
        <v>0</v>
      </c>
      <c r="P528" s="345">
        <v>0</v>
      </c>
      <c r="Q528" s="345" t="s">
        <v>810</v>
      </c>
      <c r="R528" s="345" t="s">
        <v>437</v>
      </c>
    </row>
    <row r="529" spans="1:18" x14ac:dyDescent="0.2">
      <c r="A529" s="345" t="s">
        <v>806</v>
      </c>
      <c r="B529" s="345" t="s">
        <v>807</v>
      </c>
      <c r="C529" s="345" t="s">
        <v>808</v>
      </c>
      <c r="D529" s="345" t="s">
        <v>809</v>
      </c>
      <c r="E529" s="345" t="s">
        <v>430</v>
      </c>
      <c r="F529" s="345" t="s">
        <v>456</v>
      </c>
      <c r="G529" s="345" t="s">
        <v>457</v>
      </c>
      <c r="H529" s="345" t="s">
        <v>458</v>
      </c>
      <c r="I529" s="345">
        <v>50</v>
      </c>
      <c r="J529" s="345">
        <v>65</v>
      </c>
      <c r="K529" s="345">
        <v>89</v>
      </c>
      <c r="L529" s="345">
        <v>110</v>
      </c>
      <c r="M529" s="345">
        <v>127</v>
      </c>
      <c r="N529" s="345">
        <v>138</v>
      </c>
      <c r="O529" s="345">
        <v>0</v>
      </c>
      <c r="P529" s="345">
        <v>0</v>
      </c>
      <c r="Q529" s="345" t="s">
        <v>810</v>
      </c>
      <c r="R529" s="345" t="s">
        <v>434</v>
      </c>
    </row>
    <row r="530" spans="1:18" x14ac:dyDescent="0.2">
      <c r="A530" s="345" t="s">
        <v>806</v>
      </c>
      <c r="B530" s="345" t="s">
        <v>807</v>
      </c>
      <c r="C530" s="345" t="s">
        <v>808</v>
      </c>
      <c r="D530" s="345" t="s">
        <v>809</v>
      </c>
      <c r="E530" s="345" t="s">
        <v>430</v>
      </c>
      <c r="F530" s="345" t="s">
        <v>459</v>
      </c>
      <c r="G530" s="345" t="s">
        <v>443</v>
      </c>
      <c r="H530" s="345" t="s">
        <v>460</v>
      </c>
      <c r="I530" s="345">
        <v>9</v>
      </c>
      <c r="J530" s="345">
        <v>9</v>
      </c>
      <c r="K530" s="345">
        <v>9</v>
      </c>
      <c r="L530" s="345">
        <v>9</v>
      </c>
      <c r="M530" s="345">
        <v>9</v>
      </c>
      <c r="N530" s="345">
        <v>9</v>
      </c>
      <c r="O530" s="345">
        <v>0</v>
      </c>
      <c r="P530" s="345">
        <v>0</v>
      </c>
      <c r="Q530" s="345" t="s">
        <v>810</v>
      </c>
      <c r="R530" s="345" t="s">
        <v>434</v>
      </c>
    </row>
    <row r="531" spans="1:18" x14ac:dyDescent="0.2">
      <c r="A531" s="345" t="s">
        <v>806</v>
      </c>
      <c r="B531" s="345" t="s">
        <v>807</v>
      </c>
      <c r="C531" s="345" t="s">
        <v>808</v>
      </c>
      <c r="D531" s="345" t="s">
        <v>809</v>
      </c>
      <c r="E531" s="345" t="s">
        <v>430</v>
      </c>
      <c r="F531" s="345" t="s">
        <v>461</v>
      </c>
      <c r="G531" s="345" t="s">
        <v>443</v>
      </c>
      <c r="H531" s="345" t="s">
        <v>462</v>
      </c>
      <c r="I531" s="345">
        <v>9</v>
      </c>
      <c r="J531" s="345">
        <v>9</v>
      </c>
      <c r="K531" s="345">
        <v>9</v>
      </c>
      <c r="L531" s="345">
        <v>9</v>
      </c>
      <c r="M531" s="345">
        <v>9</v>
      </c>
      <c r="N531" s="345">
        <v>9</v>
      </c>
      <c r="O531" s="345">
        <v>0</v>
      </c>
      <c r="P531" s="345">
        <v>0</v>
      </c>
      <c r="Q531" s="345" t="s">
        <v>810</v>
      </c>
      <c r="R531" s="345" t="s">
        <v>434</v>
      </c>
    </row>
    <row r="532" spans="1:18" x14ac:dyDescent="0.2">
      <c r="A532" s="345" t="s">
        <v>806</v>
      </c>
      <c r="B532" s="345" t="s">
        <v>807</v>
      </c>
      <c r="C532" s="345" t="s">
        <v>808</v>
      </c>
      <c r="D532" s="345" t="s">
        <v>809</v>
      </c>
      <c r="E532" s="345" t="s">
        <v>430</v>
      </c>
      <c r="F532" s="345" t="s">
        <v>463</v>
      </c>
      <c r="G532" s="345" t="s">
        <v>464</v>
      </c>
      <c r="H532" s="345" t="s">
        <v>463</v>
      </c>
      <c r="I532" s="345">
        <v>38</v>
      </c>
      <c r="J532" s="345">
        <v>38</v>
      </c>
      <c r="K532" s="345">
        <v>38</v>
      </c>
      <c r="L532" s="345">
        <v>38</v>
      </c>
      <c r="M532" s="345">
        <v>38</v>
      </c>
      <c r="N532" s="345">
        <v>38</v>
      </c>
      <c r="O532" s="345">
        <v>0</v>
      </c>
      <c r="P532" s="345">
        <v>0</v>
      </c>
      <c r="Q532" s="345" t="s">
        <v>810</v>
      </c>
      <c r="R532" s="345" t="s">
        <v>434</v>
      </c>
    </row>
    <row r="533" spans="1:18" x14ac:dyDescent="0.2">
      <c r="A533" s="345" t="s">
        <v>806</v>
      </c>
      <c r="B533" s="345" t="s">
        <v>807</v>
      </c>
      <c r="C533" s="345" t="s">
        <v>808</v>
      </c>
      <c r="D533" s="345" t="s">
        <v>809</v>
      </c>
      <c r="E533" s="345" t="s">
        <v>430</v>
      </c>
      <c r="F533" s="345" t="s">
        <v>465</v>
      </c>
      <c r="G533" s="345" t="s">
        <v>432</v>
      </c>
      <c r="H533" s="345" t="s">
        <v>466</v>
      </c>
      <c r="I533" s="345">
        <v>36</v>
      </c>
      <c r="J533" s="345">
        <v>37</v>
      </c>
      <c r="K533" s="345">
        <v>52</v>
      </c>
      <c r="L533" s="345">
        <v>68</v>
      </c>
      <c r="M533" s="345">
        <v>81</v>
      </c>
      <c r="N533" s="345">
        <v>124</v>
      </c>
      <c r="O533" s="345">
        <v>0</v>
      </c>
      <c r="P533" s="345">
        <v>0</v>
      </c>
      <c r="Q533" s="345" t="s">
        <v>810</v>
      </c>
      <c r="R533" s="345" t="s">
        <v>434</v>
      </c>
    </row>
    <row r="534" spans="1:18" x14ac:dyDescent="0.2">
      <c r="A534" s="345" t="s">
        <v>806</v>
      </c>
      <c r="B534" s="345" t="s">
        <v>807</v>
      </c>
      <c r="C534" s="345" t="s">
        <v>808</v>
      </c>
      <c r="D534" s="345" t="s">
        <v>809</v>
      </c>
      <c r="E534" s="345" t="s">
        <v>430</v>
      </c>
      <c r="F534" s="345" t="s">
        <v>465</v>
      </c>
      <c r="G534" s="345" t="s">
        <v>467</v>
      </c>
      <c r="H534" s="345" t="s">
        <v>468</v>
      </c>
      <c r="I534" s="345">
        <v>0</v>
      </c>
      <c r="J534" s="345">
        <v>0</v>
      </c>
      <c r="K534" s="345">
        <v>0</v>
      </c>
      <c r="L534" s="345">
        <v>0</v>
      </c>
      <c r="M534" s="345">
        <v>0</v>
      </c>
      <c r="N534" s="345">
        <v>0</v>
      </c>
      <c r="O534" s="345">
        <v>0</v>
      </c>
      <c r="P534" s="345">
        <v>0</v>
      </c>
      <c r="Q534" s="345" t="s">
        <v>810</v>
      </c>
      <c r="R534" s="345" t="s">
        <v>437</v>
      </c>
    </row>
    <row r="535" spans="1:18" x14ac:dyDescent="0.2">
      <c r="A535" s="345" t="s">
        <v>806</v>
      </c>
      <c r="B535" s="345" t="s">
        <v>807</v>
      </c>
      <c r="C535" s="345" t="s">
        <v>808</v>
      </c>
      <c r="D535" s="345" t="s">
        <v>809</v>
      </c>
      <c r="E535" s="345" t="s">
        <v>430</v>
      </c>
      <c r="F535" s="345" t="s">
        <v>465</v>
      </c>
      <c r="G535" s="345" t="s">
        <v>440</v>
      </c>
      <c r="H535" s="345" t="s">
        <v>469</v>
      </c>
      <c r="I535" s="345">
        <v>30</v>
      </c>
      <c r="J535" s="345">
        <v>40</v>
      </c>
      <c r="K535" s="345">
        <v>45</v>
      </c>
      <c r="L535" s="345">
        <v>53</v>
      </c>
      <c r="M535" s="345">
        <v>60</v>
      </c>
      <c r="N535" s="345">
        <v>63</v>
      </c>
      <c r="O535" s="345">
        <v>0</v>
      </c>
      <c r="P535" s="345">
        <v>0</v>
      </c>
      <c r="Q535" s="345" t="s">
        <v>810</v>
      </c>
      <c r="R535" s="345" t="s">
        <v>434</v>
      </c>
    </row>
    <row r="536" spans="1:18" x14ac:dyDescent="0.2">
      <c r="A536" s="345" t="s">
        <v>806</v>
      </c>
      <c r="B536" s="345" t="s">
        <v>807</v>
      </c>
      <c r="C536" s="345" t="s">
        <v>808</v>
      </c>
      <c r="D536" s="345" t="s">
        <v>809</v>
      </c>
      <c r="E536" s="345" t="s">
        <v>430</v>
      </c>
      <c r="F536" s="345" t="s">
        <v>465</v>
      </c>
      <c r="G536" s="345" t="s">
        <v>470</v>
      </c>
      <c r="H536" s="345" t="s">
        <v>471</v>
      </c>
      <c r="I536" s="345">
        <v>0</v>
      </c>
      <c r="J536" s="345">
        <v>0</v>
      </c>
      <c r="K536" s="345">
        <v>0</v>
      </c>
      <c r="L536" s="345">
        <v>0</v>
      </c>
      <c r="M536" s="345">
        <v>0</v>
      </c>
      <c r="N536" s="345">
        <v>0</v>
      </c>
      <c r="O536" s="345">
        <v>0</v>
      </c>
      <c r="P536" s="345">
        <v>0</v>
      </c>
      <c r="Q536" s="345" t="s">
        <v>810</v>
      </c>
      <c r="R536" s="345" t="s">
        <v>437</v>
      </c>
    </row>
    <row r="537" spans="1:18" x14ac:dyDescent="0.2">
      <c r="A537" s="345" t="s">
        <v>806</v>
      </c>
      <c r="B537" s="345" t="s">
        <v>807</v>
      </c>
      <c r="C537" s="345" t="s">
        <v>808</v>
      </c>
      <c r="D537" s="345" t="s">
        <v>809</v>
      </c>
      <c r="E537" s="345" t="s">
        <v>430</v>
      </c>
      <c r="F537" s="345" t="s">
        <v>465</v>
      </c>
      <c r="G537" s="345" t="s">
        <v>472</v>
      </c>
      <c r="H537" s="345" t="s">
        <v>473</v>
      </c>
      <c r="I537" s="345">
        <v>0</v>
      </c>
      <c r="J537" s="345">
        <v>0</v>
      </c>
      <c r="K537" s="345">
        <v>0</v>
      </c>
      <c r="L537" s="345">
        <v>0</v>
      </c>
      <c r="M537" s="345">
        <v>0</v>
      </c>
      <c r="N537" s="345">
        <v>0</v>
      </c>
      <c r="O537" s="345">
        <v>0</v>
      </c>
      <c r="P537" s="345">
        <v>0</v>
      </c>
      <c r="Q537" s="345" t="s">
        <v>810</v>
      </c>
      <c r="R537" s="345" t="s">
        <v>437</v>
      </c>
    </row>
    <row r="538" spans="1:18" x14ac:dyDescent="0.2">
      <c r="A538" s="345" t="s">
        <v>806</v>
      </c>
      <c r="B538" s="345" t="s">
        <v>807</v>
      </c>
      <c r="C538" s="345" t="s">
        <v>808</v>
      </c>
      <c r="D538" s="345" t="s">
        <v>809</v>
      </c>
      <c r="E538" s="345" t="s">
        <v>430</v>
      </c>
      <c r="F538" s="345" t="s">
        <v>474</v>
      </c>
      <c r="G538" s="345" t="s">
        <v>464</v>
      </c>
      <c r="H538" s="345" t="s">
        <v>474</v>
      </c>
      <c r="I538" s="345">
        <v>44</v>
      </c>
      <c r="J538" s="345">
        <v>44</v>
      </c>
      <c r="K538" s="345">
        <v>44</v>
      </c>
      <c r="L538" s="345">
        <v>77</v>
      </c>
      <c r="M538" s="345">
        <v>77</v>
      </c>
      <c r="N538" s="345">
        <v>120</v>
      </c>
      <c r="O538" s="345">
        <v>0</v>
      </c>
      <c r="P538" s="345">
        <v>0</v>
      </c>
      <c r="Q538" s="345" t="s">
        <v>810</v>
      </c>
      <c r="R538" s="345" t="s">
        <v>434</v>
      </c>
    </row>
    <row r="539" spans="1:18" x14ac:dyDescent="0.2">
      <c r="A539" s="345" t="s">
        <v>806</v>
      </c>
      <c r="B539" s="345" t="s">
        <v>807</v>
      </c>
      <c r="C539" s="345" t="s">
        <v>808</v>
      </c>
      <c r="D539" s="345" t="s">
        <v>809</v>
      </c>
      <c r="E539" s="345" t="s">
        <v>430</v>
      </c>
      <c r="F539" s="345" t="s">
        <v>475</v>
      </c>
      <c r="G539" s="345" t="s">
        <v>443</v>
      </c>
      <c r="H539" s="345" t="s">
        <v>476</v>
      </c>
      <c r="I539" s="345">
        <v>0</v>
      </c>
      <c r="J539" s="345">
        <v>0</v>
      </c>
      <c r="K539" s="345">
        <v>0</v>
      </c>
      <c r="L539" s="345">
        <v>0</v>
      </c>
      <c r="M539" s="345">
        <v>0</v>
      </c>
      <c r="N539" s="345">
        <v>0</v>
      </c>
      <c r="O539" s="345">
        <v>0</v>
      </c>
      <c r="P539" s="345">
        <v>0</v>
      </c>
      <c r="Q539" s="345" t="s">
        <v>810</v>
      </c>
      <c r="R539" s="345" t="s">
        <v>437</v>
      </c>
    </row>
    <row r="540" spans="1:18" x14ac:dyDescent="0.2">
      <c r="A540" s="345" t="s">
        <v>806</v>
      </c>
      <c r="B540" s="345" t="s">
        <v>807</v>
      </c>
      <c r="C540" s="345" t="s">
        <v>808</v>
      </c>
      <c r="D540" s="345" t="s">
        <v>809</v>
      </c>
      <c r="E540" s="345" t="s">
        <v>430</v>
      </c>
      <c r="F540" s="345" t="s">
        <v>477</v>
      </c>
      <c r="G540" s="345" t="s">
        <v>464</v>
      </c>
      <c r="H540" s="345" t="s">
        <v>477</v>
      </c>
      <c r="I540" s="345">
        <v>49</v>
      </c>
      <c r="J540" s="345">
        <v>69</v>
      </c>
      <c r="K540" s="345">
        <v>89</v>
      </c>
      <c r="L540" s="345">
        <v>109</v>
      </c>
      <c r="M540" s="345">
        <v>138</v>
      </c>
      <c r="N540" s="345">
        <v>158</v>
      </c>
      <c r="O540" s="345">
        <v>0</v>
      </c>
      <c r="P540" s="345">
        <v>0</v>
      </c>
      <c r="Q540" s="345" t="s">
        <v>810</v>
      </c>
      <c r="R540" s="345" t="s">
        <v>434</v>
      </c>
    </row>
    <row r="541" spans="1:18" x14ac:dyDescent="0.2">
      <c r="A541" s="345" t="s">
        <v>806</v>
      </c>
      <c r="B541" s="345" t="s">
        <v>807</v>
      </c>
      <c r="C541" s="345" t="s">
        <v>808</v>
      </c>
      <c r="D541" s="345" t="s">
        <v>809</v>
      </c>
      <c r="E541" s="345" t="s">
        <v>430</v>
      </c>
      <c r="F541" s="345" t="s">
        <v>478</v>
      </c>
      <c r="G541" s="345" t="s">
        <v>432</v>
      </c>
      <c r="H541" s="345" t="s">
        <v>479</v>
      </c>
      <c r="I541" s="345">
        <v>46</v>
      </c>
      <c r="J541" s="345">
        <v>52</v>
      </c>
      <c r="K541" s="345">
        <v>94</v>
      </c>
      <c r="L541" s="345">
        <v>123</v>
      </c>
      <c r="M541" s="345">
        <v>129</v>
      </c>
      <c r="N541" s="345">
        <v>130</v>
      </c>
      <c r="O541" s="345">
        <v>0</v>
      </c>
      <c r="P541" s="345">
        <v>0</v>
      </c>
      <c r="Q541" s="345" t="s">
        <v>810</v>
      </c>
      <c r="R541" s="345" t="s">
        <v>434</v>
      </c>
    </row>
    <row r="542" spans="1:18" x14ac:dyDescent="0.2">
      <c r="A542" s="345" t="s">
        <v>806</v>
      </c>
      <c r="B542" s="345" t="s">
        <v>807</v>
      </c>
      <c r="C542" s="345" t="s">
        <v>808</v>
      </c>
      <c r="D542" s="345" t="s">
        <v>809</v>
      </c>
      <c r="E542" s="345" t="s">
        <v>430</v>
      </c>
      <c r="F542" s="345" t="s">
        <v>478</v>
      </c>
      <c r="G542" s="345" t="s">
        <v>440</v>
      </c>
      <c r="H542" s="345" t="s">
        <v>480</v>
      </c>
      <c r="I542" s="345">
        <v>20</v>
      </c>
      <c r="J542" s="345">
        <v>28</v>
      </c>
      <c r="K542" s="345">
        <v>35</v>
      </c>
      <c r="L542" s="345">
        <v>47</v>
      </c>
      <c r="M542" s="345">
        <v>56</v>
      </c>
      <c r="N542" s="345">
        <v>62</v>
      </c>
      <c r="O542" s="345">
        <v>0</v>
      </c>
      <c r="P542" s="345">
        <v>0</v>
      </c>
      <c r="Q542" s="345" t="s">
        <v>810</v>
      </c>
      <c r="R542" s="345" t="s">
        <v>434</v>
      </c>
    </row>
    <row r="543" spans="1:18" x14ac:dyDescent="0.2">
      <c r="A543" s="345" t="s">
        <v>806</v>
      </c>
      <c r="B543" s="345" t="s">
        <v>807</v>
      </c>
      <c r="C543" s="345" t="s">
        <v>808</v>
      </c>
      <c r="D543" s="345" t="s">
        <v>809</v>
      </c>
      <c r="E543" s="345" t="s">
        <v>430</v>
      </c>
      <c r="F543" s="345" t="s">
        <v>478</v>
      </c>
      <c r="G543" s="345" t="s">
        <v>470</v>
      </c>
      <c r="H543" s="345" t="s">
        <v>481</v>
      </c>
      <c r="I543" s="345">
        <v>0</v>
      </c>
      <c r="J543" s="345">
        <v>0</v>
      </c>
      <c r="K543" s="345">
        <v>0</v>
      </c>
      <c r="L543" s="345">
        <v>0</v>
      </c>
      <c r="M543" s="345">
        <v>0</v>
      </c>
      <c r="N543" s="345">
        <v>0</v>
      </c>
      <c r="O543" s="345">
        <v>0</v>
      </c>
      <c r="P543" s="345">
        <v>0</v>
      </c>
      <c r="Q543" s="345" t="s">
        <v>810</v>
      </c>
      <c r="R543" s="345" t="s">
        <v>437</v>
      </c>
    </row>
    <row r="544" spans="1:18" x14ac:dyDescent="0.2">
      <c r="A544" s="345" t="s">
        <v>811</v>
      </c>
      <c r="B544" s="345" t="s">
        <v>812</v>
      </c>
      <c r="C544" s="345" t="s">
        <v>486</v>
      </c>
      <c r="D544" s="345" t="s">
        <v>813</v>
      </c>
      <c r="E544" s="345" t="s">
        <v>430</v>
      </c>
      <c r="F544" s="345" t="s">
        <v>431</v>
      </c>
      <c r="G544" s="345" t="s">
        <v>432</v>
      </c>
      <c r="H544" s="345" t="s">
        <v>433</v>
      </c>
      <c r="I544" s="345">
        <v>6</v>
      </c>
      <c r="J544" s="345">
        <v>7</v>
      </c>
      <c r="K544" s="345">
        <v>10</v>
      </c>
      <c r="L544" s="345">
        <v>12</v>
      </c>
      <c r="M544" s="345">
        <v>15</v>
      </c>
      <c r="N544" s="345">
        <v>18</v>
      </c>
      <c r="O544" s="345">
        <v>19</v>
      </c>
      <c r="P544" s="345">
        <v>20</v>
      </c>
      <c r="Q544" s="345" t="s">
        <v>814</v>
      </c>
      <c r="R544" s="345" t="s">
        <v>434</v>
      </c>
    </row>
    <row r="545" spans="1:18" x14ac:dyDescent="0.2">
      <c r="A545" s="345" t="s">
        <v>811</v>
      </c>
      <c r="B545" s="345" t="s">
        <v>812</v>
      </c>
      <c r="C545" s="345" t="s">
        <v>486</v>
      </c>
      <c r="D545" s="345" t="s">
        <v>813</v>
      </c>
      <c r="E545" s="345" t="s">
        <v>430</v>
      </c>
      <c r="F545" s="345" t="s">
        <v>431</v>
      </c>
      <c r="G545" s="345" t="s">
        <v>435</v>
      </c>
      <c r="H545" s="345" t="s">
        <v>436</v>
      </c>
      <c r="I545" s="345">
        <v>0</v>
      </c>
      <c r="J545" s="345">
        <v>0</v>
      </c>
      <c r="K545" s="345">
        <v>0</v>
      </c>
      <c r="L545" s="345">
        <v>0</v>
      </c>
      <c r="M545" s="345">
        <v>0</v>
      </c>
      <c r="N545" s="345">
        <v>0</v>
      </c>
      <c r="O545" s="345">
        <v>0</v>
      </c>
      <c r="P545" s="345">
        <v>0</v>
      </c>
      <c r="Q545" s="345" t="s">
        <v>814</v>
      </c>
      <c r="R545" s="345" t="s">
        <v>437</v>
      </c>
    </row>
    <row r="546" spans="1:18" x14ac:dyDescent="0.2">
      <c r="A546" s="345" t="s">
        <v>811</v>
      </c>
      <c r="B546" s="345" t="s">
        <v>812</v>
      </c>
      <c r="C546" s="345" t="s">
        <v>486</v>
      </c>
      <c r="D546" s="345" t="s">
        <v>813</v>
      </c>
      <c r="E546" s="345" t="s">
        <v>430</v>
      </c>
      <c r="F546" s="345" t="s">
        <v>438</v>
      </c>
      <c r="G546" s="345" t="s">
        <v>432</v>
      </c>
      <c r="H546" s="345" t="s">
        <v>439</v>
      </c>
      <c r="I546" s="345">
        <v>10</v>
      </c>
      <c r="J546" s="345">
        <v>12</v>
      </c>
      <c r="K546" s="345">
        <v>18</v>
      </c>
      <c r="L546" s="345">
        <v>23</v>
      </c>
      <c r="M546" s="345">
        <v>29</v>
      </c>
      <c r="N546" s="345">
        <v>34</v>
      </c>
      <c r="O546" s="345">
        <v>37</v>
      </c>
      <c r="P546" s="345">
        <v>39</v>
      </c>
      <c r="Q546" s="345" t="s">
        <v>814</v>
      </c>
      <c r="R546" s="345" t="s">
        <v>434</v>
      </c>
    </row>
    <row r="547" spans="1:18" x14ac:dyDescent="0.2">
      <c r="A547" s="345" t="s">
        <v>811</v>
      </c>
      <c r="B547" s="345" t="s">
        <v>812</v>
      </c>
      <c r="C547" s="345" t="s">
        <v>486</v>
      </c>
      <c r="D547" s="345" t="s">
        <v>813</v>
      </c>
      <c r="E547" s="345" t="s">
        <v>430</v>
      </c>
      <c r="F547" s="345" t="s">
        <v>438</v>
      </c>
      <c r="G547" s="345" t="s">
        <v>440</v>
      </c>
      <c r="H547" s="345" t="s">
        <v>441</v>
      </c>
      <c r="I547" s="345">
        <v>6</v>
      </c>
      <c r="J547" s="345">
        <v>6</v>
      </c>
      <c r="K547" s="345">
        <v>9</v>
      </c>
      <c r="L547" s="345">
        <v>11</v>
      </c>
      <c r="M547" s="345">
        <v>15</v>
      </c>
      <c r="N547" s="345">
        <v>17</v>
      </c>
      <c r="O547" s="345">
        <v>19</v>
      </c>
      <c r="P547" s="345">
        <v>21</v>
      </c>
      <c r="Q547" s="345" t="s">
        <v>814</v>
      </c>
      <c r="R547" s="345" t="s">
        <v>434</v>
      </c>
    </row>
    <row r="548" spans="1:18" x14ac:dyDescent="0.2">
      <c r="A548" s="345" t="s">
        <v>811</v>
      </c>
      <c r="B548" s="345" t="s">
        <v>812</v>
      </c>
      <c r="C548" s="345" t="s">
        <v>486</v>
      </c>
      <c r="D548" s="345" t="s">
        <v>813</v>
      </c>
      <c r="E548" s="345" t="s">
        <v>430</v>
      </c>
      <c r="F548" s="345" t="s">
        <v>442</v>
      </c>
      <c r="G548" s="345" t="s">
        <v>443</v>
      </c>
      <c r="H548" s="345" t="s">
        <v>444</v>
      </c>
      <c r="I548" s="345">
        <v>0</v>
      </c>
      <c r="J548" s="345">
        <v>0</v>
      </c>
      <c r="K548" s="345">
        <v>0</v>
      </c>
      <c r="L548" s="345">
        <v>0</v>
      </c>
      <c r="M548" s="345">
        <v>0</v>
      </c>
      <c r="N548" s="345">
        <v>0</v>
      </c>
      <c r="O548" s="345">
        <v>0</v>
      </c>
      <c r="P548" s="345">
        <v>0</v>
      </c>
      <c r="Q548" s="345" t="s">
        <v>814</v>
      </c>
      <c r="R548" s="345" t="s">
        <v>437</v>
      </c>
    </row>
    <row r="549" spans="1:18" x14ac:dyDescent="0.2">
      <c r="A549" s="345" t="s">
        <v>811</v>
      </c>
      <c r="B549" s="345" t="s">
        <v>812</v>
      </c>
      <c r="C549" s="345" t="s">
        <v>486</v>
      </c>
      <c r="D549" s="345" t="s">
        <v>813</v>
      </c>
      <c r="E549" s="345" t="s">
        <v>430</v>
      </c>
      <c r="F549" s="345" t="s">
        <v>445</v>
      </c>
      <c r="G549" s="345" t="s">
        <v>443</v>
      </c>
      <c r="H549" s="345" t="s">
        <v>446</v>
      </c>
      <c r="I549" s="345">
        <v>0</v>
      </c>
      <c r="J549" s="345">
        <v>0</v>
      </c>
      <c r="K549" s="345">
        <v>0</v>
      </c>
      <c r="L549" s="345">
        <v>0</v>
      </c>
      <c r="M549" s="345">
        <v>0</v>
      </c>
      <c r="N549" s="345">
        <v>0</v>
      </c>
      <c r="O549" s="345">
        <v>0</v>
      </c>
      <c r="P549" s="345">
        <v>0</v>
      </c>
      <c r="Q549" s="345" t="s">
        <v>814</v>
      </c>
      <c r="R549" s="345" t="s">
        <v>437</v>
      </c>
    </row>
    <row r="550" spans="1:18" x14ac:dyDescent="0.2">
      <c r="A550" s="345" t="s">
        <v>811</v>
      </c>
      <c r="B550" s="345" t="s">
        <v>812</v>
      </c>
      <c r="C550" s="345" t="s">
        <v>486</v>
      </c>
      <c r="D550" s="345" t="s">
        <v>813</v>
      </c>
      <c r="E550" s="345" t="s">
        <v>430</v>
      </c>
      <c r="F550" s="345" t="s">
        <v>447</v>
      </c>
      <c r="G550" s="345" t="s">
        <v>443</v>
      </c>
      <c r="H550" s="345" t="s">
        <v>448</v>
      </c>
      <c r="I550" s="345">
        <v>0</v>
      </c>
      <c r="J550" s="345">
        <v>0</v>
      </c>
      <c r="K550" s="345">
        <v>0</v>
      </c>
      <c r="L550" s="345">
        <v>0</v>
      </c>
      <c r="M550" s="345">
        <v>0</v>
      </c>
      <c r="N550" s="345">
        <v>0</v>
      </c>
      <c r="O550" s="345">
        <v>0</v>
      </c>
      <c r="P550" s="345">
        <v>0</v>
      </c>
      <c r="Q550" s="345" t="s">
        <v>814</v>
      </c>
      <c r="R550" s="345" t="s">
        <v>437</v>
      </c>
    </row>
    <row r="551" spans="1:18" x14ac:dyDescent="0.2">
      <c r="A551" s="345" t="s">
        <v>811</v>
      </c>
      <c r="B551" s="345" t="s">
        <v>812</v>
      </c>
      <c r="C551" s="345" t="s">
        <v>486</v>
      </c>
      <c r="D551" s="345" t="s">
        <v>813</v>
      </c>
      <c r="E551" s="345" t="s">
        <v>430</v>
      </c>
      <c r="F551" s="345" t="s">
        <v>449</v>
      </c>
      <c r="G551" s="345" t="s">
        <v>450</v>
      </c>
      <c r="H551" s="345" t="s">
        <v>451</v>
      </c>
      <c r="I551" s="345">
        <v>0</v>
      </c>
      <c r="J551" s="345">
        <v>0</v>
      </c>
      <c r="K551" s="345">
        <v>0</v>
      </c>
      <c r="L551" s="345">
        <v>0</v>
      </c>
      <c r="M551" s="345">
        <v>0</v>
      </c>
      <c r="N551" s="345">
        <v>0</v>
      </c>
      <c r="O551" s="345">
        <v>0</v>
      </c>
      <c r="P551" s="345">
        <v>0</v>
      </c>
      <c r="Q551" s="345" t="s">
        <v>814</v>
      </c>
      <c r="R551" s="345" t="s">
        <v>437</v>
      </c>
    </row>
    <row r="552" spans="1:18" x14ac:dyDescent="0.2">
      <c r="A552" s="345" t="s">
        <v>811</v>
      </c>
      <c r="B552" s="345" t="s">
        <v>812</v>
      </c>
      <c r="C552" s="345" t="s">
        <v>486</v>
      </c>
      <c r="D552" s="345" t="s">
        <v>813</v>
      </c>
      <c r="E552" s="345" t="s">
        <v>430</v>
      </c>
      <c r="F552" s="345" t="s">
        <v>449</v>
      </c>
      <c r="G552" s="345" t="s">
        <v>452</v>
      </c>
      <c r="H552" s="345" t="s">
        <v>453</v>
      </c>
      <c r="I552" s="345">
        <v>0</v>
      </c>
      <c r="J552" s="345">
        <v>0</v>
      </c>
      <c r="K552" s="345">
        <v>0</v>
      </c>
      <c r="L552" s="345">
        <v>0</v>
      </c>
      <c r="M552" s="345">
        <v>0</v>
      </c>
      <c r="N552" s="345">
        <v>0</v>
      </c>
      <c r="O552" s="345">
        <v>0</v>
      </c>
      <c r="P552" s="345">
        <v>0</v>
      </c>
      <c r="Q552" s="345" t="s">
        <v>814</v>
      </c>
      <c r="R552" s="345" t="s">
        <v>437</v>
      </c>
    </row>
    <row r="553" spans="1:18" x14ac:dyDescent="0.2">
      <c r="A553" s="345" t="s">
        <v>811</v>
      </c>
      <c r="B553" s="345" t="s">
        <v>812</v>
      </c>
      <c r="C553" s="345" t="s">
        <v>486</v>
      </c>
      <c r="D553" s="345" t="s">
        <v>813</v>
      </c>
      <c r="E553" s="345" t="s">
        <v>430</v>
      </c>
      <c r="F553" s="345" t="s">
        <v>449</v>
      </c>
      <c r="G553" s="345" t="s">
        <v>454</v>
      </c>
      <c r="H553" s="345" t="s">
        <v>455</v>
      </c>
      <c r="I553" s="345">
        <v>0</v>
      </c>
      <c r="J553" s="345">
        <v>0</v>
      </c>
      <c r="K553" s="345">
        <v>0</v>
      </c>
      <c r="L553" s="345">
        <v>0</v>
      </c>
      <c r="M553" s="345">
        <v>0</v>
      </c>
      <c r="N553" s="345">
        <v>0</v>
      </c>
      <c r="O553" s="345">
        <v>0</v>
      </c>
      <c r="P553" s="345">
        <v>0</v>
      </c>
      <c r="Q553" s="345" t="s">
        <v>814</v>
      </c>
      <c r="R553" s="345" t="s">
        <v>437</v>
      </c>
    </row>
    <row r="554" spans="1:18" x14ac:dyDescent="0.2">
      <c r="A554" s="345" t="s">
        <v>811</v>
      </c>
      <c r="B554" s="345" t="s">
        <v>812</v>
      </c>
      <c r="C554" s="345" t="s">
        <v>486</v>
      </c>
      <c r="D554" s="345" t="s">
        <v>813</v>
      </c>
      <c r="E554" s="345" t="s">
        <v>430</v>
      </c>
      <c r="F554" s="345" t="s">
        <v>456</v>
      </c>
      <c r="G554" s="345" t="s">
        <v>457</v>
      </c>
      <c r="H554" s="345" t="s">
        <v>458</v>
      </c>
      <c r="I554" s="345">
        <v>30</v>
      </c>
      <c r="J554" s="345">
        <v>37</v>
      </c>
      <c r="K554" s="345">
        <v>55</v>
      </c>
      <c r="L554" s="345">
        <v>74</v>
      </c>
      <c r="M554" s="345">
        <v>97</v>
      </c>
      <c r="N554" s="345">
        <v>119</v>
      </c>
      <c r="O554" s="345">
        <v>131</v>
      </c>
      <c r="P554" s="345">
        <v>142</v>
      </c>
      <c r="Q554" s="345" t="s">
        <v>814</v>
      </c>
      <c r="R554" s="345" t="s">
        <v>434</v>
      </c>
    </row>
    <row r="555" spans="1:18" x14ac:dyDescent="0.2">
      <c r="A555" s="345" t="s">
        <v>811</v>
      </c>
      <c r="B555" s="345" t="s">
        <v>812</v>
      </c>
      <c r="C555" s="345" t="s">
        <v>486</v>
      </c>
      <c r="D555" s="345" t="s">
        <v>813</v>
      </c>
      <c r="E555" s="345" t="s">
        <v>430</v>
      </c>
      <c r="F555" s="345" t="s">
        <v>459</v>
      </c>
      <c r="G555" s="345" t="s">
        <v>443</v>
      </c>
      <c r="H555" s="345" t="s">
        <v>460</v>
      </c>
      <c r="I555" s="345">
        <v>11</v>
      </c>
      <c r="J555" s="345">
        <v>11</v>
      </c>
      <c r="K555" s="345">
        <v>11</v>
      </c>
      <c r="L555" s="345">
        <v>11</v>
      </c>
      <c r="M555" s="345">
        <v>11</v>
      </c>
      <c r="N555" s="345">
        <v>11</v>
      </c>
      <c r="O555" s="345">
        <v>11</v>
      </c>
      <c r="P555" s="345">
        <v>11</v>
      </c>
      <c r="Q555" s="345" t="s">
        <v>814</v>
      </c>
      <c r="R555" s="345" t="s">
        <v>434</v>
      </c>
    </row>
    <row r="556" spans="1:18" x14ac:dyDescent="0.2">
      <c r="A556" s="345" t="s">
        <v>811</v>
      </c>
      <c r="B556" s="345" t="s">
        <v>812</v>
      </c>
      <c r="C556" s="345" t="s">
        <v>486</v>
      </c>
      <c r="D556" s="345" t="s">
        <v>813</v>
      </c>
      <c r="E556" s="345" t="s">
        <v>430</v>
      </c>
      <c r="F556" s="345" t="s">
        <v>461</v>
      </c>
      <c r="G556" s="345" t="s">
        <v>443</v>
      </c>
      <c r="H556" s="345" t="s">
        <v>462</v>
      </c>
      <c r="I556" s="345">
        <v>12</v>
      </c>
      <c r="J556" s="345">
        <v>12</v>
      </c>
      <c r="K556" s="345">
        <v>12</v>
      </c>
      <c r="L556" s="345">
        <v>12</v>
      </c>
      <c r="M556" s="345">
        <v>12</v>
      </c>
      <c r="N556" s="345">
        <v>12</v>
      </c>
      <c r="O556" s="345">
        <v>12</v>
      </c>
      <c r="P556" s="345">
        <v>12</v>
      </c>
      <c r="Q556" s="345" t="s">
        <v>814</v>
      </c>
      <c r="R556" s="345" t="s">
        <v>434</v>
      </c>
    </row>
    <row r="557" spans="1:18" x14ac:dyDescent="0.2">
      <c r="A557" s="345" t="s">
        <v>811</v>
      </c>
      <c r="B557" s="345" t="s">
        <v>812</v>
      </c>
      <c r="C557" s="345" t="s">
        <v>486</v>
      </c>
      <c r="D557" s="345" t="s">
        <v>813</v>
      </c>
      <c r="E557" s="345" t="s">
        <v>430</v>
      </c>
      <c r="F557" s="345" t="s">
        <v>463</v>
      </c>
      <c r="G557" s="345" t="s">
        <v>464</v>
      </c>
      <c r="H557" s="345" t="s">
        <v>463</v>
      </c>
      <c r="I557" s="345">
        <v>21</v>
      </c>
      <c r="J557" s="345">
        <v>21</v>
      </c>
      <c r="K557" s="345">
        <v>22</v>
      </c>
      <c r="L557" s="345">
        <v>22</v>
      </c>
      <c r="M557" s="345">
        <v>22</v>
      </c>
      <c r="N557" s="345">
        <v>22</v>
      </c>
      <c r="O557" s="345">
        <v>22</v>
      </c>
      <c r="P557" s="345">
        <v>22</v>
      </c>
      <c r="Q557" s="345" t="s">
        <v>814</v>
      </c>
      <c r="R557" s="345" t="s">
        <v>434</v>
      </c>
    </row>
    <row r="558" spans="1:18" x14ac:dyDescent="0.2">
      <c r="A558" s="345" t="s">
        <v>811</v>
      </c>
      <c r="B558" s="345" t="s">
        <v>812</v>
      </c>
      <c r="C558" s="345" t="s">
        <v>486</v>
      </c>
      <c r="D558" s="345" t="s">
        <v>813</v>
      </c>
      <c r="E558" s="345" t="s">
        <v>430</v>
      </c>
      <c r="F558" s="345" t="s">
        <v>465</v>
      </c>
      <c r="G558" s="345" t="s">
        <v>432</v>
      </c>
      <c r="H558" s="345" t="s">
        <v>466</v>
      </c>
      <c r="I558" s="345">
        <v>25</v>
      </c>
      <c r="J558" s="345">
        <v>29</v>
      </c>
      <c r="K558" s="345">
        <v>37</v>
      </c>
      <c r="L558" s="345">
        <v>45</v>
      </c>
      <c r="M558" s="345">
        <v>53</v>
      </c>
      <c r="N558" s="345">
        <v>61</v>
      </c>
      <c r="O558" s="345">
        <v>65</v>
      </c>
      <c r="P558" s="345">
        <v>70</v>
      </c>
      <c r="Q558" s="345" t="s">
        <v>814</v>
      </c>
      <c r="R558" s="345" t="s">
        <v>434</v>
      </c>
    </row>
    <row r="559" spans="1:18" x14ac:dyDescent="0.2">
      <c r="A559" s="345" t="s">
        <v>811</v>
      </c>
      <c r="B559" s="345" t="s">
        <v>812</v>
      </c>
      <c r="C559" s="345" t="s">
        <v>486</v>
      </c>
      <c r="D559" s="345" t="s">
        <v>813</v>
      </c>
      <c r="E559" s="345" t="s">
        <v>430</v>
      </c>
      <c r="F559" s="345" t="s">
        <v>465</v>
      </c>
      <c r="G559" s="345" t="s">
        <v>467</v>
      </c>
      <c r="H559" s="345" t="s">
        <v>468</v>
      </c>
      <c r="I559" s="345">
        <v>21</v>
      </c>
      <c r="J559" s="345">
        <v>25</v>
      </c>
      <c r="K559" s="345">
        <v>30</v>
      </c>
      <c r="L559" s="345">
        <v>33</v>
      </c>
      <c r="M559" s="345">
        <v>37</v>
      </c>
      <c r="N559" s="345">
        <v>41</v>
      </c>
      <c r="O559" s="345">
        <v>44</v>
      </c>
      <c r="P559" s="345">
        <v>47</v>
      </c>
      <c r="Q559" s="345" t="s">
        <v>814</v>
      </c>
      <c r="R559" s="345" t="s">
        <v>434</v>
      </c>
    </row>
    <row r="560" spans="1:18" x14ac:dyDescent="0.2">
      <c r="A560" s="345" t="s">
        <v>811</v>
      </c>
      <c r="B560" s="345" t="s">
        <v>812</v>
      </c>
      <c r="C560" s="345" t="s">
        <v>486</v>
      </c>
      <c r="D560" s="345" t="s">
        <v>813</v>
      </c>
      <c r="E560" s="345" t="s">
        <v>430</v>
      </c>
      <c r="F560" s="345" t="s">
        <v>465</v>
      </c>
      <c r="G560" s="345" t="s">
        <v>440</v>
      </c>
      <c r="H560" s="345" t="s">
        <v>469</v>
      </c>
      <c r="I560" s="345">
        <v>21</v>
      </c>
      <c r="J560" s="345">
        <v>25</v>
      </c>
      <c r="K560" s="345">
        <v>29</v>
      </c>
      <c r="L560" s="345">
        <v>33</v>
      </c>
      <c r="M560" s="345">
        <v>38</v>
      </c>
      <c r="N560" s="345">
        <v>42</v>
      </c>
      <c r="O560" s="345">
        <v>46</v>
      </c>
      <c r="P560" s="345">
        <v>50</v>
      </c>
      <c r="Q560" s="345" t="s">
        <v>814</v>
      </c>
      <c r="R560" s="345" t="s">
        <v>434</v>
      </c>
    </row>
    <row r="561" spans="1:18" x14ac:dyDescent="0.2">
      <c r="A561" s="345" t="s">
        <v>811</v>
      </c>
      <c r="B561" s="345" t="s">
        <v>812</v>
      </c>
      <c r="C561" s="345" t="s">
        <v>486</v>
      </c>
      <c r="D561" s="345" t="s">
        <v>813</v>
      </c>
      <c r="E561" s="345" t="s">
        <v>430</v>
      </c>
      <c r="F561" s="345" t="s">
        <v>465</v>
      </c>
      <c r="G561" s="345" t="s">
        <v>470</v>
      </c>
      <c r="H561" s="345" t="s">
        <v>471</v>
      </c>
      <c r="I561" s="345">
        <v>0</v>
      </c>
      <c r="J561" s="345">
        <v>0</v>
      </c>
      <c r="K561" s="345">
        <v>0</v>
      </c>
      <c r="L561" s="345">
        <v>0</v>
      </c>
      <c r="M561" s="345">
        <v>0</v>
      </c>
      <c r="N561" s="345">
        <v>0</v>
      </c>
      <c r="O561" s="345">
        <v>0</v>
      </c>
      <c r="P561" s="345">
        <v>0</v>
      </c>
      <c r="Q561" s="345" t="s">
        <v>814</v>
      </c>
      <c r="R561" s="345" t="s">
        <v>437</v>
      </c>
    </row>
    <row r="562" spans="1:18" x14ac:dyDescent="0.2">
      <c r="A562" s="345" t="s">
        <v>811</v>
      </c>
      <c r="B562" s="345" t="s">
        <v>812</v>
      </c>
      <c r="C562" s="345" t="s">
        <v>486</v>
      </c>
      <c r="D562" s="345" t="s">
        <v>813</v>
      </c>
      <c r="E562" s="345" t="s">
        <v>430</v>
      </c>
      <c r="F562" s="345" t="s">
        <v>465</v>
      </c>
      <c r="G562" s="345" t="s">
        <v>472</v>
      </c>
      <c r="H562" s="345" t="s">
        <v>473</v>
      </c>
      <c r="I562" s="345">
        <v>0</v>
      </c>
      <c r="J562" s="345">
        <v>0</v>
      </c>
      <c r="K562" s="345">
        <v>0</v>
      </c>
      <c r="L562" s="345">
        <v>0</v>
      </c>
      <c r="M562" s="345">
        <v>0</v>
      </c>
      <c r="N562" s="345">
        <v>0</v>
      </c>
      <c r="O562" s="345">
        <v>0</v>
      </c>
      <c r="P562" s="345">
        <v>0</v>
      </c>
      <c r="Q562" s="345" t="s">
        <v>814</v>
      </c>
      <c r="R562" s="345" t="s">
        <v>437</v>
      </c>
    </row>
    <row r="563" spans="1:18" x14ac:dyDescent="0.2">
      <c r="A563" s="345" t="s">
        <v>811</v>
      </c>
      <c r="B563" s="345" t="s">
        <v>812</v>
      </c>
      <c r="C563" s="345" t="s">
        <v>486</v>
      </c>
      <c r="D563" s="345" t="s">
        <v>813</v>
      </c>
      <c r="E563" s="345" t="s">
        <v>430</v>
      </c>
      <c r="F563" s="345" t="s">
        <v>474</v>
      </c>
      <c r="G563" s="345" t="s">
        <v>464</v>
      </c>
      <c r="H563" s="345" t="s">
        <v>474</v>
      </c>
      <c r="I563" s="345">
        <v>44</v>
      </c>
      <c r="J563" s="345">
        <v>44</v>
      </c>
      <c r="K563" s="345">
        <v>44</v>
      </c>
      <c r="L563" s="345">
        <v>44</v>
      </c>
      <c r="M563" s="345">
        <v>44</v>
      </c>
      <c r="N563" s="345">
        <v>44</v>
      </c>
      <c r="O563" s="345">
        <v>44</v>
      </c>
      <c r="P563" s="345">
        <v>44</v>
      </c>
      <c r="Q563" s="345" t="s">
        <v>814</v>
      </c>
      <c r="R563" s="345" t="s">
        <v>434</v>
      </c>
    </row>
    <row r="564" spans="1:18" x14ac:dyDescent="0.2">
      <c r="A564" s="345" t="s">
        <v>811</v>
      </c>
      <c r="B564" s="345" t="s">
        <v>812</v>
      </c>
      <c r="C564" s="345" t="s">
        <v>486</v>
      </c>
      <c r="D564" s="345" t="s">
        <v>813</v>
      </c>
      <c r="E564" s="345" t="s">
        <v>430</v>
      </c>
      <c r="F564" s="345" t="s">
        <v>475</v>
      </c>
      <c r="G564" s="345" t="s">
        <v>443</v>
      </c>
      <c r="H564" s="345" t="s">
        <v>476</v>
      </c>
      <c r="I564" s="345">
        <v>0</v>
      </c>
      <c r="J564" s="345">
        <v>0</v>
      </c>
      <c r="K564" s="345">
        <v>0</v>
      </c>
      <c r="L564" s="345">
        <v>0</v>
      </c>
      <c r="M564" s="345">
        <v>0</v>
      </c>
      <c r="N564" s="345">
        <v>0</v>
      </c>
      <c r="O564" s="345">
        <v>0</v>
      </c>
      <c r="P564" s="345">
        <v>0</v>
      </c>
      <c r="Q564" s="345" t="s">
        <v>814</v>
      </c>
      <c r="R564" s="345" t="s">
        <v>437</v>
      </c>
    </row>
    <row r="565" spans="1:18" x14ac:dyDescent="0.2">
      <c r="A565" s="345" t="s">
        <v>811</v>
      </c>
      <c r="B565" s="345" t="s">
        <v>812</v>
      </c>
      <c r="C565" s="345" t="s">
        <v>486</v>
      </c>
      <c r="D565" s="345" t="s">
        <v>813</v>
      </c>
      <c r="E565" s="345" t="s">
        <v>430</v>
      </c>
      <c r="F565" s="345" t="s">
        <v>477</v>
      </c>
      <c r="G565" s="345" t="s">
        <v>464</v>
      </c>
      <c r="H565" s="345" t="s">
        <v>477</v>
      </c>
      <c r="I565" s="345">
        <v>52</v>
      </c>
      <c r="J565" s="345">
        <v>53</v>
      </c>
      <c r="K565" s="345">
        <v>64</v>
      </c>
      <c r="L565" s="345">
        <v>77</v>
      </c>
      <c r="M565" s="345">
        <v>90</v>
      </c>
      <c r="N565" s="345">
        <v>102</v>
      </c>
      <c r="O565" s="345">
        <v>111</v>
      </c>
      <c r="P565" s="345">
        <v>119</v>
      </c>
      <c r="Q565" s="345" t="s">
        <v>814</v>
      </c>
      <c r="R565" s="345" t="s">
        <v>434</v>
      </c>
    </row>
    <row r="566" spans="1:18" x14ac:dyDescent="0.2">
      <c r="A566" s="345" t="s">
        <v>811</v>
      </c>
      <c r="B566" s="345" t="s">
        <v>812</v>
      </c>
      <c r="C566" s="345" t="s">
        <v>486</v>
      </c>
      <c r="D566" s="345" t="s">
        <v>813</v>
      </c>
      <c r="E566" s="345" t="s">
        <v>430</v>
      </c>
      <c r="F566" s="345" t="s">
        <v>478</v>
      </c>
      <c r="G566" s="345" t="s">
        <v>432</v>
      </c>
      <c r="H566" s="345" t="s">
        <v>479</v>
      </c>
      <c r="I566" s="345">
        <v>24</v>
      </c>
      <c r="J566" s="345">
        <v>28</v>
      </c>
      <c r="K566" s="345">
        <v>36</v>
      </c>
      <c r="L566" s="345">
        <v>44</v>
      </c>
      <c r="M566" s="345">
        <v>52</v>
      </c>
      <c r="N566" s="345">
        <v>60</v>
      </c>
      <c r="O566" s="345">
        <v>65</v>
      </c>
      <c r="P566" s="345">
        <v>69</v>
      </c>
      <c r="Q566" s="345" t="s">
        <v>814</v>
      </c>
      <c r="R566" s="345" t="s">
        <v>434</v>
      </c>
    </row>
    <row r="567" spans="1:18" x14ac:dyDescent="0.2">
      <c r="A567" s="345" t="s">
        <v>811</v>
      </c>
      <c r="B567" s="345" t="s">
        <v>812</v>
      </c>
      <c r="C567" s="345" t="s">
        <v>486</v>
      </c>
      <c r="D567" s="345" t="s">
        <v>813</v>
      </c>
      <c r="E567" s="345" t="s">
        <v>430</v>
      </c>
      <c r="F567" s="345" t="s">
        <v>478</v>
      </c>
      <c r="G567" s="345" t="s">
        <v>440</v>
      </c>
      <c r="H567" s="345" t="s">
        <v>480</v>
      </c>
      <c r="I567" s="345">
        <v>11</v>
      </c>
      <c r="J567" s="345">
        <v>13</v>
      </c>
      <c r="K567" s="345">
        <v>19</v>
      </c>
      <c r="L567" s="345">
        <v>27</v>
      </c>
      <c r="M567" s="345">
        <v>32</v>
      </c>
      <c r="N567" s="345">
        <v>38</v>
      </c>
      <c r="O567" s="345">
        <v>42</v>
      </c>
      <c r="P567" s="345">
        <v>46</v>
      </c>
      <c r="Q567" s="345" t="s">
        <v>814</v>
      </c>
      <c r="R567" s="345" t="s">
        <v>434</v>
      </c>
    </row>
    <row r="568" spans="1:18" x14ac:dyDescent="0.2">
      <c r="A568" s="345" t="s">
        <v>811</v>
      </c>
      <c r="B568" s="345" t="s">
        <v>812</v>
      </c>
      <c r="C568" s="345" t="s">
        <v>486</v>
      </c>
      <c r="D568" s="345" t="s">
        <v>813</v>
      </c>
      <c r="E568" s="345" t="s">
        <v>430</v>
      </c>
      <c r="F568" s="345" t="s">
        <v>478</v>
      </c>
      <c r="G568" s="345" t="s">
        <v>470</v>
      </c>
      <c r="H568" s="345" t="s">
        <v>481</v>
      </c>
      <c r="I568" s="345">
        <v>0</v>
      </c>
      <c r="J568" s="345">
        <v>0</v>
      </c>
      <c r="K568" s="345">
        <v>0</v>
      </c>
      <c r="L568" s="345">
        <v>0</v>
      </c>
      <c r="M568" s="345">
        <v>0</v>
      </c>
      <c r="N568" s="345">
        <v>0</v>
      </c>
      <c r="O568" s="345">
        <v>0</v>
      </c>
      <c r="P568" s="345">
        <v>0</v>
      </c>
      <c r="Q568" s="345" t="s">
        <v>814</v>
      </c>
      <c r="R568" s="345" t="s">
        <v>437</v>
      </c>
    </row>
    <row r="569" spans="1:18" x14ac:dyDescent="0.2">
      <c r="A569" s="345" t="s">
        <v>815</v>
      </c>
      <c r="B569" s="345" t="s">
        <v>816</v>
      </c>
      <c r="C569" s="345" t="s">
        <v>817</v>
      </c>
      <c r="D569" s="345" t="s">
        <v>818</v>
      </c>
      <c r="E569" s="345" t="s">
        <v>430</v>
      </c>
      <c r="F569" s="345" t="s">
        <v>431</v>
      </c>
      <c r="G569" s="345" t="s">
        <v>432</v>
      </c>
      <c r="H569" s="345" t="s">
        <v>433</v>
      </c>
      <c r="I569" s="345">
        <v>1</v>
      </c>
      <c r="J569" s="345">
        <v>1</v>
      </c>
      <c r="K569" s="345">
        <v>1</v>
      </c>
      <c r="L569" s="345">
        <v>1</v>
      </c>
      <c r="M569" s="345">
        <v>1</v>
      </c>
      <c r="N569" s="345">
        <v>1</v>
      </c>
      <c r="O569" s="345">
        <v>0</v>
      </c>
      <c r="P569" s="345">
        <v>0</v>
      </c>
      <c r="Q569" s="345" t="s">
        <v>819</v>
      </c>
      <c r="R569" s="345" t="s">
        <v>434</v>
      </c>
    </row>
    <row r="570" spans="1:18" x14ac:dyDescent="0.2">
      <c r="A570" s="345" t="s">
        <v>815</v>
      </c>
      <c r="B570" s="345" t="s">
        <v>816</v>
      </c>
      <c r="C570" s="345" t="s">
        <v>817</v>
      </c>
      <c r="D570" s="345" t="s">
        <v>818</v>
      </c>
      <c r="E570" s="345" t="s">
        <v>430</v>
      </c>
      <c r="F570" s="345" t="s">
        <v>431</v>
      </c>
      <c r="G570" s="345" t="s">
        <v>435</v>
      </c>
      <c r="H570" s="345" t="s">
        <v>436</v>
      </c>
      <c r="I570" s="345">
        <v>0</v>
      </c>
      <c r="J570" s="345">
        <v>0</v>
      </c>
      <c r="K570" s="345">
        <v>0</v>
      </c>
      <c r="L570" s="345">
        <v>0</v>
      </c>
      <c r="M570" s="345">
        <v>0</v>
      </c>
      <c r="N570" s="345">
        <v>0</v>
      </c>
      <c r="O570" s="345">
        <v>0</v>
      </c>
      <c r="P570" s="345">
        <v>0</v>
      </c>
      <c r="Q570" s="345" t="s">
        <v>819</v>
      </c>
      <c r="R570" s="345" t="s">
        <v>437</v>
      </c>
    </row>
    <row r="571" spans="1:18" x14ac:dyDescent="0.2">
      <c r="A571" s="345" t="s">
        <v>815</v>
      </c>
      <c r="B571" s="345" t="s">
        <v>816</v>
      </c>
      <c r="C571" s="345" t="s">
        <v>817</v>
      </c>
      <c r="D571" s="345" t="s">
        <v>818</v>
      </c>
      <c r="E571" s="345" t="s">
        <v>430</v>
      </c>
      <c r="F571" s="345" t="s">
        <v>438</v>
      </c>
      <c r="G571" s="345" t="s">
        <v>432</v>
      </c>
      <c r="H571" s="345" t="s">
        <v>439</v>
      </c>
      <c r="I571" s="345">
        <v>9</v>
      </c>
      <c r="J571" s="345">
        <v>10</v>
      </c>
      <c r="K571" s="345">
        <v>15</v>
      </c>
      <c r="L571" s="345">
        <v>19</v>
      </c>
      <c r="M571" s="345">
        <v>24</v>
      </c>
      <c r="N571" s="345">
        <v>28</v>
      </c>
      <c r="O571" s="345">
        <v>0</v>
      </c>
      <c r="P571" s="345">
        <v>0</v>
      </c>
      <c r="Q571" s="345" t="s">
        <v>819</v>
      </c>
      <c r="R571" s="345" t="s">
        <v>434</v>
      </c>
    </row>
    <row r="572" spans="1:18" x14ac:dyDescent="0.2">
      <c r="A572" s="345" t="s">
        <v>815</v>
      </c>
      <c r="B572" s="345" t="s">
        <v>816</v>
      </c>
      <c r="C572" s="345" t="s">
        <v>817</v>
      </c>
      <c r="D572" s="345" t="s">
        <v>818</v>
      </c>
      <c r="E572" s="345" t="s">
        <v>430</v>
      </c>
      <c r="F572" s="345" t="s">
        <v>438</v>
      </c>
      <c r="G572" s="345" t="s">
        <v>440</v>
      </c>
      <c r="H572" s="345" t="s">
        <v>441</v>
      </c>
      <c r="I572" s="345">
        <v>2</v>
      </c>
      <c r="J572" s="345">
        <v>4</v>
      </c>
      <c r="K572" s="345">
        <v>5</v>
      </c>
      <c r="L572" s="345">
        <v>6</v>
      </c>
      <c r="M572" s="345">
        <v>7</v>
      </c>
      <c r="N572" s="345">
        <v>10</v>
      </c>
      <c r="O572" s="345">
        <v>0</v>
      </c>
      <c r="P572" s="345">
        <v>0</v>
      </c>
      <c r="Q572" s="345" t="s">
        <v>819</v>
      </c>
      <c r="R572" s="345" t="s">
        <v>434</v>
      </c>
    </row>
    <row r="573" spans="1:18" x14ac:dyDescent="0.2">
      <c r="A573" s="345" t="s">
        <v>815</v>
      </c>
      <c r="B573" s="345" t="s">
        <v>816</v>
      </c>
      <c r="C573" s="345" t="s">
        <v>817</v>
      </c>
      <c r="D573" s="345" t="s">
        <v>818</v>
      </c>
      <c r="E573" s="345" t="s">
        <v>430</v>
      </c>
      <c r="F573" s="345" t="s">
        <v>442</v>
      </c>
      <c r="G573" s="345" t="s">
        <v>443</v>
      </c>
      <c r="H573" s="345" t="s">
        <v>444</v>
      </c>
      <c r="I573" s="345">
        <v>0</v>
      </c>
      <c r="J573" s="345">
        <v>0</v>
      </c>
      <c r="K573" s="345">
        <v>0</v>
      </c>
      <c r="L573" s="345">
        <v>0</v>
      </c>
      <c r="M573" s="345">
        <v>0</v>
      </c>
      <c r="N573" s="345">
        <v>0</v>
      </c>
      <c r="O573" s="345">
        <v>0</v>
      </c>
      <c r="P573" s="345">
        <v>0</v>
      </c>
      <c r="Q573" s="345" t="s">
        <v>819</v>
      </c>
      <c r="R573" s="345" t="s">
        <v>437</v>
      </c>
    </row>
    <row r="574" spans="1:18" x14ac:dyDescent="0.2">
      <c r="A574" s="345" t="s">
        <v>815</v>
      </c>
      <c r="B574" s="345" t="s">
        <v>816</v>
      </c>
      <c r="C574" s="345" t="s">
        <v>817</v>
      </c>
      <c r="D574" s="345" t="s">
        <v>818</v>
      </c>
      <c r="E574" s="345" t="s">
        <v>430</v>
      </c>
      <c r="F574" s="345" t="s">
        <v>445</v>
      </c>
      <c r="G574" s="345" t="s">
        <v>443</v>
      </c>
      <c r="H574" s="345" t="s">
        <v>446</v>
      </c>
      <c r="I574" s="345">
        <v>0</v>
      </c>
      <c r="J574" s="345">
        <v>0</v>
      </c>
      <c r="K574" s="345">
        <v>0</v>
      </c>
      <c r="L574" s="345">
        <v>0</v>
      </c>
      <c r="M574" s="345">
        <v>0</v>
      </c>
      <c r="N574" s="345">
        <v>0</v>
      </c>
      <c r="O574" s="345">
        <v>0</v>
      </c>
      <c r="P574" s="345">
        <v>0</v>
      </c>
      <c r="Q574" s="345" t="s">
        <v>819</v>
      </c>
      <c r="R574" s="345" t="s">
        <v>437</v>
      </c>
    </row>
    <row r="575" spans="1:18" x14ac:dyDescent="0.2">
      <c r="A575" s="345" t="s">
        <v>815</v>
      </c>
      <c r="B575" s="345" t="s">
        <v>816</v>
      </c>
      <c r="C575" s="345" t="s">
        <v>817</v>
      </c>
      <c r="D575" s="345" t="s">
        <v>818</v>
      </c>
      <c r="E575" s="345" t="s">
        <v>430</v>
      </c>
      <c r="F575" s="345" t="s">
        <v>447</v>
      </c>
      <c r="G575" s="345" t="s">
        <v>443</v>
      </c>
      <c r="H575" s="345" t="s">
        <v>448</v>
      </c>
      <c r="I575" s="345">
        <v>0</v>
      </c>
      <c r="J575" s="345">
        <v>0</v>
      </c>
      <c r="K575" s="345">
        <v>0</v>
      </c>
      <c r="L575" s="345">
        <v>0</v>
      </c>
      <c r="M575" s="345">
        <v>0</v>
      </c>
      <c r="N575" s="345">
        <v>0</v>
      </c>
      <c r="O575" s="345">
        <v>0</v>
      </c>
      <c r="P575" s="345">
        <v>0</v>
      </c>
      <c r="Q575" s="345" t="s">
        <v>819</v>
      </c>
      <c r="R575" s="345" t="s">
        <v>437</v>
      </c>
    </row>
    <row r="576" spans="1:18" x14ac:dyDescent="0.2">
      <c r="A576" s="345" t="s">
        <v>815</v>
      </c>
      <c r="B576" s="345" t="s">
        <v>816</v>
      </c>
      <c r="C576" s="345" t="s">
        <v>817</v>
      </c>
      <c r="D576" s="345" t="s">
        <v>818</v>
      </c>
      <c r="E576" s="345" t="s">
        <v>430</v>
      </c>
      <c r="F576" s="345" t="s">
        <v>449</v>
      </c>
      <c r="G576" s="345" t="s">
        <v>450</v>
      </c>
      <c r="H576" s="345" t="s">
        <v>451</v>
      </c>
      <c r="I576" s="345">
        <v>0</v>
      </c>
      <c r="J576" s="345">
        <v>0</v>
      </c>
      <c r="K576" s="345">
        <v>0</v>
      </c>
      <c r="L576" s="345">
        <v>0</v>
      </c>
      <c r="M576" s="345">
        <v>0</v>
      </c>
      <c r="N576" s="345">
        <v>0</v>
      </c>
      <c r="O576" s="345">
        <v>0</v>
      </c>
      <c r="P576" s="345">
        <v>0</v>
      </c>
      <c r="Q576" s="345" t="s">
        <v>819</v>
      </c>
      <c r="R576" s="345" t="s">
        <v>437</v>
      </c>
    </row>
    <row r="577" spans="1:18" x14ac:dyDescent="0.2">
      <c r="A577" s="345" t="s">
        <v>815</v>
      </c>
      <c r="B577" s="345" t="s">
        <v>816</v>
      </c>
      <c r="C577" s="345" t="s">
        <v>817</v>
      </c>
      <c r="D577" s="345" t="s">
        <v>818</v>
      </c>
      <c r="E577" s="345" t="s">
        <v>430</v>
      </c>
      <c r="F577" s="345" t="s">
        <v>449</v>
      </c>
      <c r="G577" s="345" t="s">
        <v>452</v>
      </c>
      <c r="H577" s="345" t="s">
        <v>453</v>
      </c>
      <c r="I577" s="345">
        <v>0</v>
      </c>
      <c r="J577" s="345">
        <v>0</v>
      </c>
      <c r="K577" s="345">
        <v>0</v>
      </c>
      <c r="L577" s="345">
        <v>0</v>
      </c>
      <c r="M577" s="345">
        <v>0</v>
      </c>
      <c r="N577" s="345">
        <v>0</v>
      </c>
      <c r="O577" s="345">
        <v>0</v>
      </c>
      <c r="P577" s="345">
        <v>0</v>
      </c>
      <c r="Q577" s="345" t="s">
        <v>819</v>
      </c>
      <c r="R577" s="345" t="s">
        <v>437</v>
      </c>
    </row>
    <row r="578" spans="1:18" x14ac:dyDescent="0.2">
      <c r="A578" s="345" t="s">
        <v>815</v>
      </c>
      <c r="B578" s="345" t="s">
        <v>816</v>
      </c>
      <c r="C578" s="345" t="s">
        <v>817</v>
      </c>
      <c r="D578" s="345" t="s">
        <v>818</v>
      </c>
      <c r="E578" s="345" t="s">
        <v>430</v>
      </c>
      <c r="F578" s="345" t="s">
        <v>449</v>
      </c>
      <c r="G578" s="345" t="s">
        <v>454</v>
      </c>
      <c r="H578" s="345" t="s">
        <v>455</v>
      </c>
      <c r="I578" s="345">
        <v>4</v>
      </c>
      <c r="J578" s="345">
        <v>4</v>
      </c>
      <c r="K578" s="345">
        <v>4</v>
      </c>
      <c r="L578" s="345">
        <v>4</v>
      </c>
      <c r="M578" s="345">
        <v>4</v>
      </c>
      <c r="N578" s="345">
        <v>4</v>
      </c>
      <c r="O578" s="345">
        <v>0</v>
      </c>
      <c r="P578" s="345">
        <v>0</v>
      </c>
      <c r="Q578" s="345" t="s">
        <v>819</v>
      </c>
      <c r="R578" s="345" t="s">
        <v>434</v>
      </c>
    </row>
    <row r="579" spans="1:18" x14ac:dyDescent="0.2">
      <c r="A579" s="345" t="s">
        <v>815</v>
      </c>
      <c r="B579" s="345" t="s">
        <v>816</v>
      </c>
      <c r="C579" s="345" t="s">
        <v>817</v>
      </c>
      <c r="D579" s="345" t="s">
        <v>818</v>
      </c>
      <c r="E579" s="345" t="s">
        <v>430</v>
      </c>
      <c r="F579" s="345" t="s">
        <v>456</v>
      </c>
      <c r="G579" s="345" t="s">
        <v>457</v>
      </c>
      <c r="H579" s="345" t="s">
        <v>458</v>
      </c>
      <c r="I579" s="345">
        <v>33</v>
      </c>
      <c r="J579" s="345">
        <v>39</v>
      </c>
      <c r="K579" s="345">
        <v>53</v>
      </c>
      <c r="L579" s="345">
        <v>68</v>
      </c>
      <c r="M579" s="345">
        <v>84</v>
      </c>
      <c r="N579" s="345">
        <v>101</v>
      </c>
      <c r="O579" s="345">
        <v>0</v>
      </c>
      <c r="P579" s="345">
        <v>0</v>
      </c>
      <c r="Q579" s="345" t="s">
        <v>819</v>
      </c>
      <c r="R579" s="345" t="s">
        <v>434</v>
      </c>
    </row>
    <row r="580" spans="1:18" x14ac:dyDescent="0.2">
      <c r="A580" s="345" t="s">
        <v>815</v>
      </c>
      <c r="B580" s="345" t="s">
        <v>816</v>
      </c>
      <c r="C580" s="345" t="s">
        <v>817</v>
      </c>
      <c r="D580" s="345" t="s">
        <v>818</v>
      </c>
      <c r="E580" s="345" t="s">
        <v>430</v>
      </c>
      <c r="F580" s="345" t="s">
        <v>459</v>
      </c>
      <c r="G580" s="345" t="s">
        <v>443</v>
      </c>
      <c r="H580" s="345" t="s">
        <v>460</v>
      </c>
      <c r="I580" s="345">
        <v>11</v>
      </c>
      <c r="J580" s="345">
        <v>11</v>
      </c>
      <c r="K580" s="345">
        <v>11</v>
      </c>
      <c r="L580" s="345">
        <v>11</v>
      </c>
      <c r="M580" s="345">
        <v>11</v>
      </c>
      <c r="N580" s="345">
        <v>11</v>
      </c>
      <c r="O580" s="345">
        <v>0</v>
      </c>
      <c r="P580" s="345">
        <v>0</v>
      </c>
      <c r="Q580" s="345" t="s">
        <v>819</v>
      </c>
      <c r="R580" s="345" t="s">
        <v>434</v>
      </c>
    </row>
    <row r="581" spans="1:18" x14ac:dyDescent="0.2">
      <c r="A581" s="345" t="s">
        <v>815</v>
      </c>
      <c r="B581" s="345" t="s">
        <v>816</v>
      </c>
      <c r="C581" s="345" t="s">
        <v>817</v>
      </c>
      <c r="D581" s="345" t="s">
        <v>818</v>
      </c>
      <c r="E581" s="345" t="s">
        <v>430</v>
      </c>
      <c r="F581" s="345" t="s">
        <v>461</v>
      </c>
      <c r="G581" s="345" t="s">
        <v>443</v>
      </c>
      <c r="H581" s="345" t="s">
        <v>462</v>
      </c>
      <c r="I581" s="345">
        <v>12</v>
      </c>
      <c r="J581" s="345">
        <v>12</v>
      </c>
      <c r="K581" s="345">
        <v>12</v>
      </c>
      <c r="L581" s="345">
        <v>12</v>
      </c>
      <c r="M581" s="345">
        <v>12</v>
      </c>
      <c r="N581" s="345">
        <v>12</v>
      </c>
      <c r="O581" s="345">
        <v>0</v>
      </c>
      <c r="P581" s="345">
        <v>0</v>
      </c>
      <c r="Q581" s="345" t="s">
        <v>819</v>
      </c>
      <c r="R581" s="345" t="s">
        <v>434</v>
      </c>
    </row>
    <row r="582" spans="1:18" x14ac:dyDescent="0.2">
      <c r="A582" s="345" t="s">
        <v>815</v>
      </c>
      <c r="B582" s="345" t="s">
        <v>816</v>
      </c>
      <c r="C582" s="345" t="s">
        <v>817</v>
      </c>
      <c r="D582" s="345" t="s">
        <v>818</v>
      </c>
      <c r="E582" s="345" t="s">
        <v>430</v>
      </c>
      <c r="F582" s="345" t="s">
        <v>463</v>
      </c>
      <c r="G582" s="345" t="s">
        <v>464</v>
      </c>
      <c r="H582" s="345" t="s">
        <v>463</v>
      </c>
      <c r="I582" s="345">
        <v>37</v>
      </c>
      <c r="J582" s="345">
        <v>41</v>
      </c>
      <c r="K582" s="345">
        <v>50</v>
      </c>
      <c r="L582" s="345">
        <v>58</v>
      </c>
      <c r="M582" s="345">
        <v>67</v>
      </c>
      <c r="N582" s="345">
        <v>72</v>
      </c>
      <c r="O582" s="345">
        <v>0</v>
      </c>
      <c r="P582" s="345">
        <v>0</v>
      </c>
      <c r="Q582" s="345" t="s">
        <v>819</v>
      </c>
      <c r="R582" s="345" t="s">
        <v>434</v>
      </c>
    </row>
    <row r="583" spans="1:18" x14ac:dyDescent="0.2">
      <c r="A583" s="345" t="s">
        <v>815</v>
      </c>
      <c r="B583" s="345" t="s">
        <v>816</v>
      </c>
      <c r="C583" s="345" t="s">
        <v>817</v>
      </c>
      <c r="D583" s="345" t="s">
        <v>818</v>
      </c>
      <c r="E583" s="345" t="s">
        <v>430</v>
      </c>
      <c r="F583" s="345" t="s">
        <v>465</v>
      </c>
      <c r="G583" s="345" t="s">
        <v>432</v>
      </c>
      <c r="H583" s="345" t="s">
        <v>466</v>
      </c>
      <c r="I583" s="345">
        <v>18</v>
      </c>
      <c r="J583" s="345">
        <v>21</v>
      </c>
      <c r="K583" s="345">
        <v>26</v>
      </c>
      <c r="L583" s="345">
        <v>31</v>
      </c>
      <c r="M583" s="345">
        <v>36</v>
      </c>
      <c r="N583" s="345">
        <v>41</v>
      </c>
      <c r="O583" s="345">
        <v>0</v>
      </c>
      <c r="P583" s="345">
        <v>0</v>
      </c>
      <c r="Q583" s="345" t="s">
        <v>819</v>
      </c>
      <c r="R583" s="345" t="s">
        <v>434</v>
      </c>
    </row>
    <row r="584" spans="1:18" x14ac:dyDescent="0.2">
      <c r="A584" s="345" t="s">
        <v>815</v>
      </c>
      <c r="B584" s="345" t="s">
        <v>816</v>
      </c>
      <c r="C584" s="345" t="s">
        <v>817</v>
      </c>
      <c r="D584" s="345" t="s">
        <v>818</v>
      </c>
      <c r="E584" s="345" t="s">
        <v>430</v>
      </c>
      <c r="F584" s="345" t="s">
        <v>465</v>
      </c>
      <c r="G584" s="345" t="s">
        <v>467</v>
      </c>
      <c r="H584" s="345" t="s">
        <v>468</v>
      </c>
      <c r="I584" s="345">
        <v>15</v>
      </c>
      <c r="J584" s="345">
        <v>18</v>
      </c>
      <c r="K584" s="345">
        <v>21</v>
      </c>
      <c r="L584" s="345">
        <v>24</v>
      </c>
      <c r="M584" s="345">
        <v>27</v>
      </c>
      <c r="N584" s="345">
        <v>29</v>
      </c>
      <c r="O584" s="345">
        <v>0</v>
      </c>
      <c r="P584" s="345">
        <v>0</v>
      </c>
      <c r="Q584" s="345" t="s">
        <v>819</v>
      </c>
      <c r="R584" s="345" t="s">
        <v>434</v>
      </c>
    </row>
    <row r="585" spans="1:18" x14ac:dyDescent="0.2">
      <c r="A585" s="345" t="s">
        <v>815</v>
      </c>
      <c r="B585" s="345" t="s">
        <v>816</v>
      </c>
      <c r="C585" s="345" t="s">
        <v>817</v>
      </c>
      <c r="D585" s="345" t="s">
        <v>818</v>
      </c>
      <c r="E585" s="345" t="s">
        <v>430</v>
      </c>
      <c r="F585" s="345" t="s">
        <v>465</v>
      </c>
      <c r="G585" s="345" t="s">
        <v>440</v>
      </c>
      <c r="H585" s="345" t="s">
        <v>469</v>
      </c>
      <c r="I585" s="345">
        <v>14</v>
      </c>
      <c r="J585" s="345">
        <v>15</v>
      </c>
      <c r="K585" s="345">
        <v>17</v>
      </c>
      <c r="L585" s="345">
        <v>19</v>
      </c>
      <c r="M585" s="345">
        <v>20</v>
      </c>
      <c r="N585" s="345">
        <v>22</v>
      </c>
      <c r="O585" s="345">
        <v>0</v>
      </c>
      <c r="P585" s="345">
        <v>0</v>
      </c>
      <c r="Q585" s="345" t="s">
        <v>819</v>
      </c>
      <c r="R585" s="345" t="s">
        <v>434</v>
      </c>
    </row>
    <row r="586" spans="1:18" x14ac:dyDescent="0.2">
      <c r="A586" s="345" t="s">
        <v>815</v>
      </c>
      <c r="B586" s="345" t="s">
        <v>816</v>
      </c>
      <c r="C586" s="345" t="s">
        <v>817</v>
      </c>
      <c r="D586" s="345" t="s">
        <v>818</v>
      </c>
      <c r="E586" s="345" t="s">
        <v>430</v>
      </c>
      <c r="F586" s="345" t="s">
        <v>465</v>
      </c>
      <c r="G586" s="345" t="s">
        <v>470</v>
      </c>
      <c r="H586" s="345" t="s">
        <v>471</v>
      </c>
      <c r="I586" s="345">
        <v>0</v>
      </c>
      <c r="J586" s="345">
        <v>0</v>
      </c>
      <c r="K586" s="345">
        <v>0</v>
      </c>
      <c r="L586" s="345">
        <v>0</v>
      </c>
      <c r="M586" s="345">
        <v>0</v>
      </c>
      <c r="N586" s="345">
        <v>0</v>
      </c>
      <c r="O586" s="345">
        <v>0</v>
      </c>
      <c r="P586" s="345">
        <v>0</v>
      </c>
      <c r="Q586" s="345" t="s">
        <v>819</v>
      </c>
      <c r="R586" s="345" t="s">
        <v>437</v>
      </c>
    </row>
    <row r="587" spans="1:18" x14ac:dyDescent="0.2">
      <c r="A587" s="345" t="s">
        <v>815</v>
      </c>
      <c r="B587" s="345" t="s">
        <v>816</v>
      </c>
      <c r="C587" s="345" t="s">
        <v>817</v>
      </c>
      <c r="D587" s="345" t="s">
        <v>818</v>
      </c>
      <c r="E587" s="345" t="s">
        <v>430</v>
      </c>
      <c r="F587" s="345" t="s">
        <v>465</v>
      </c>
      <c r="G587" s="345" t="s">
        <v>472</v>
      </c>
      <c r="H587" s="345" t="s">
        <v>473</v>
      </c>
      <c r="I587" s="345">
        <v>0</v>
      </c>
      <c r="J587" s="345">
        <v>0</v>
      </c>
      <c r="K587" s="345">
        <v>0</v>
      </c>
      <c r="L587" s="345">
        <v>0</v>
      </c>
      <c r="M587" s="345">
        <v>0</v>
      </c>
      <c r="N587" s="345">
        <v>0</v>
      </c>
      <c r="O587" s="345">
        <v>0</v>
      </c>
      <c r="P587" s="345">
        <v>0</v>
      </c>
      <c r="Q587" s="345" t="s">
        <v>819</v>
      </c>
      <c r="R587" s="345" t="s">
        <v>437</v>
      </c>
    </row>
    <row r="588" spans="1:18" x14ac:dyDescent="0.2">
      <c r="A588" s="345" t="s">
        <v>815</v>
      </c>
      <c r="B588" s="345" t="s">
        <v>816</v>
      </c>
      <c r="C588" s="345" t="s">
        <v>817</v>
      </c>
      <c r="D588" s="345" t="s">
        <v>818</v>
      </c>
      <c r="E588" s="345" t="s">
        <v>430</v>
      </c>
      <c r="F588" s="345" t="s">
        <v>474</v>
      </c>
      <c r="G588" s="345" t="s">
        <v>464</v>
      </c>
      <c r="H588" s="345" t="s">
        <v>474</v>
      </c>
      <c r="I588" s="345">
        <v>33</v>
      </c>
      <c r="J588" s="345">
        <v>33</v>
      </c>
      <c r="K588" s="345">
        <v>36</v>
      </c>
      <c r="L588" s="345">
        <v>36</v>
      </c>
      <c r="M588" s="345">
        <v>36</v>
      </c>
      <c r="N588" s="345">
        <v>36</v>
      </c>
      <c r="O588" s="345">
        <v>0</v>
      </c>
      <c r="P588" s="345">
        <v>0</v>
      </c>
      <c r="Q588" s="345" t="s">
        <v>819</v>
      </c>
      <c r="R588" s="345" t="s">
        <v>434</v>
      </c>
    </row>
    <row r="589" spans="1:18" x14ac:dyDescent="0.2">
      <c r="A589" s="345" t="s">
        <v>815</v>
      </c>
      <c r="B589" s="345" t="s">
        <v>816</v>
      </c>
      <c r="C589" s="345" t="s">
        <v>817</v>
      </c>
      <c r="D589" s="345" t="s">
        <v>818</v>
      </c>
      <c r="E589" s="345" t="s">
        <v>430</v>
      </c>
      <c r="F589" s="345" t="s">
        <v>475</v>
      </c>
      <c r="G589" s="345" t="s">
        <v>443</v>
      </c>
      <c r="H589" s="345" t="s">
        <v>476</v>
      </c>
      <c r="I589" s="345">
        <v>0</v>
      </c>
      <c r="J589" s="345">
        <v>0</v>
      </c>
      <c r="K589" s="345">
        <v>0</v>
      </c>
      <c r="L589" s="345">
        <v>0</v>
      </c>
      <c r="M589" s="345">
        <v>0</v>
      </c>
      <c r="N589" s="345">
        <v>0</v>
      </c>
      <c r="O589" s="345">
        <v>0</v>
      </c>
      <c r="P589" s="345">
        <v>0</v>
      </c>
      <c r="Q589" s="345" t="s">
        <v>819</v>
      </c>
      <c r="R589" s="345" t="s">
        <v>437</v>
      </c>
    </row>
    <row r="590" spans="1:18" x14ac:dyDescent="0.2">
      <c r="A590" s="345" t="s">
        <v>815</v>
      </c>
      <c r="B590" s="345" t="s">
        <v>816</v>
      </c>
      <c r="C590" s="345" t="s">
        <v>817</v>
      </c>
      <c r="D590" s="345" t="s">
        <v>818</v>
      </c>
      <c r="E590" s="345" t="s">
        <v>430</v>
      </c>
      <c r="F590" s="345" t="s">
        <v>477</v>
      </c>
      <c r="G590" s="345" t="s">
        <v>464</v>
      </c>
      <c r="H590" s="345" t="s">
        <v>477</v>
      </c>
      <c r="I590" s="345">
        <v>37</v>
      </c>
      <c r="J590" s="345">
        <v>40</v>
      </c>
      <c r="K590" s="345">
        <v>49</v>
      </c>
      <c r="L590" s="345">
        <v>61</v>
      </c>
      <c r="M590" s="345">
        <v>72</v>
      </c>
      <c r="N590" s="345">
        <v>85</v>
      </c>
      <c r="O590" s="345">
        <v>0</v>
      </c>
      <c r="P590" s="345">
        <v>0</v>
      </c>
      <c r="Q590" s="345" t="s">
        <v>819</v>
      </c>
      <c r="R590" s="345" t="s">
        <v>434</v>
      </c>
    </row>
    <row r="591" spans="1:18" x14ac:dyDescent="0.2">
      <c r="A591" s="345" t="s">
        <v>815</v>
      </c>
      <c r="B591" s="345" t="s">
        <v>816</v>
      </c>
      <c r="C591" s="345" t="s">
        <v>817</v>
      </c>
      <c r="D591" s="345" t="s">
        <v>818</v>
      </c>
      <c r="E591" s="345" t="s">
        <v>430</v>
      </c>
      <c r="F591" s="345" t="s">
        <v>478</v>
      </c>
      <c r="G591" s="345" t="s">
        <v>432</v>
      </c>
      <c r="H591" s="345" t="s">
        <v>479</v>
      </c>
      <c r="I591" s="345">
        <v>20</v>
      </c>
      <c r="J591" s="345">
        <v>23</v>
      </c>
      <c r="K591" s="345">
        <v>30</v>
      </c>
      <c r="L591" s="345">
        <v>36</v>
      </c>
      <c r="M591" s="345">
        <v>43</v>
      </c>
      <c r="N591" s="345">
        <v>49</v>
      </c>
      <c r="O591" s="345">
        <v>0</v>
      </c>
      <c r="P591" s="345">
        <v>0</v>
      </c>
      <c r="Q591" s="345" t="s">
        <v>819</v>
      </c>
      <c r="R591" s="345" t="s">
        <v>434</v>
      </c>
    </row>
    <row r="592" spans="1:18" x14ac:dyDescent="0.2">
      <c r="A592" s="345" t="s">
        <v>815</v>
      </c>
      <c r="B592" s="345" t="s">
        <v>816</v>
      </c>
      <c r="C592" s="345" t="s">
        <v>817</v>
      </c>
      <c r="D592" s="345" t="s">
        <v>818</v>
      </c>
      <c r="E592" s="345" t="s">
        <v>430</v>
      </c>
      <c r="F592" s="345" t="s">
        <v>478</v>
      </c>
      <c r="G592" s="345" t="s">
        <v>440</v>
      </c>
      <c r="H592" s="345" t="s">
        <v>480</v>
      </c>
      <c r="I592" s="345">
        <v>6</v>
      </c>
      <c r="J592" s="345">
        <v>7</v>
      </c>
      <c r="K592" s="345">
        <v>10</v>
      </c>
      <c r="L592" s="345">
        <v>14</v>
      </c>
      <c r="M592" s="345">
        <v>16</v>
      </c>
      <c r="N592" s="345">
        <v>20</v>
      </c>
      <c r="O592" s="345">
        <v>0</v>
      </c>
      <c r="P592" s="345">
        <v>0</v>
      </c>
      <c r="Q592" s="345" t="s">
        <v>819</v>
      </c>
      <c r="R592" s="345" t="s">
        <v>434</v>
      </c>
    </row>
    <row r="593" spans="1:18" x14ac:dyDescent="0.2">
      <c r="A593" s="345" t="s">
        <v>815</v>
      </c>
      <c r="B593" s="345" t="s">
        <v>816</v>
      </c>
      <c r="C593" s="345" t="s">
        <v>817</v>
      </c>
      <c r="D593" s="345" t="s">
        <v>818</v>
      </c>
      <c r="E593" s="345" t="s">
        <v>430</v>
      </c>
      <c r="F593" s="345" t="s">
        <v>478</v>
      </c>
      <c r="G593" s="345" t="s">
        <v>470</v>
      </c>
      <c r="H593" s="345" t="s">
        <v>481</v>
      </c>
      <c r="I593" s="345">
        <v>0</v>
      </c>
      <c r="J593" s="345">
        <v>0</v>
      </c>
      <c r="K593" s="345">
        <v>0</v>
      </c>
      <c r="L593" s="345">
        <v>0</v>
      </c>
      <c r="M593" s="345">
        <v>0</v>
      </c>
      <c r="N593" s="345">
        <v>0</v>
      </c>
      <c r="O593" s="345">
        <v>0</v>
      </c>
      <c r="P593" s="345">
        <v>0</v>
      </c>
      <c r="Q593" s="345" t="s">
        <v>819</v>
      </c>
      <c r="R593" s="345" t="s">
        <v>437</v>
      </c>
    </row>
    <row r="594" spans="1:18" x14ac:dyDescent="0.2">
      <c r="A594" s="345" t="s">
        <v>820</v>
      </c>
      <c r="B594" s="345" t="s">
        <v>821</v>
      </c>
      <c r="C594" s="345" t="s">
        <v>822</v>
      </c>
      <c r="D594" s="345" t="s">
        <v>823</v>
      </c>
      <c r="E594" s="345" t="s">
        <v>430</v>
      </c>
      <c r="F594" s="345" t="s">
        <v>431</v>
      </c>
      <c r="G594" s="345" t="s">
        <v>432</v>
      </c>
      <c r="H594" s="345" t="s">
        <v>433</v>
      </c>
      <c r="I594" s="345">
        <v>10</v>
      </c>
      <c r="J594" s="345">
        <v>12</v>
      </c>
      <c r="K594" s="345">
        <v>17</v>
      </c>
      <c r="L594" s="345">
        <v>21</v>
      </c>
      <c r="M594" s="345">
        <v>26</v>
      </c>
      <c r="N594" s="345">
        <v>30</v>
      </c>
      <c r="O594" s="345">
        <v>0</v>
      </c>
      <c r="P594" s="345">
        <v>0</v>
      </c>
      <c r="Q594" s="345" t="s">
        <v>824</v>
      </c>
      <c r="R594" s="345" t="s">
        <v>434</v>
      </c>
    </row>
    <row r="595" spans="1:18" x14ac:dyDescent="0.2">
      <c r="A595" s="345" t="s">
        <v>820</v>
      </c>
      <c r="B595" s="345" t="s">
        <v>821</v>
      </c>
      <c r="C595" s="345" t="s">
        <v>822</v>
      </c>
      <c r="D595" s="345" t="s">
        <v>823</v>
      </c>
      <c r="E595" s="345" t="s">
        <v>430</v>
      </c>
      <c r="F595" s="345" t="s">
        <v>431</v>
      </c>
      <c r="G595" s="345" t="s">
        <v>435</v>
      </c>
      <c r="H595" s="345" t="s">
        <v>436</v>
      </c>
      <c r="I595" s="345">
        <v>0</v>
      </c>
      <c r="J595" s="345">
        <v>0</v>
      </c>
      <c r="K595" s="345">
        <v>0</v>
      </c>
      <c r="L595" s="345">
        <v>0</v>
      </c>
      <c r="M595" s="345">
        <v>0</v>
      </c>
      <c r="N595" s="345">
        <v>0</v>
      </c>
      <c r="O595" s="345">
        <v>0</v>
      </c>
      <c r="P595" s="345">
        <v>0</v>
      </c>
      <c r="Q595" s="345" t="s">
        <v>824</v>
      </c>
      <c r="R595" s="345" t="s">
        <v>437</v>
      </c>
    </row>
    <row r="596" spans="1:18" x14ac:dyDescent="0.2">
      <c r="A596" s="345" t="s">
        <v>820</v>
      </c>
      <c r="B596" s="345" t="s">
        <v>821</v>
      </c>
      <c r="C596" s="345" t="s">
        <v>822</v>
      </c>
      <c r="D596" s="345" t="s">
        <v>823</v>
      </c>
      <c r="E596" s="345" t="s">
        <v>430</v>
      </c>
      <c r="F596" s="345" t="s">
        <v>438</v>
      </c>
      <c r="G596" s="345" t="s">
        <v>432</v>
      </c>
      <c r="H596" s="345" t="s">
        <v>439</v>
      </c>
      <c r="I596" s="345">
        <v>6</v>
      </c>
      <c r="J596" s="345">
        <v>7</v>
      </c>
      <c r="K596" s="345">
        <v>11</v>
      </c>
      <c r="L596" s="345">
        <v>14</v>
      </c>
      <c r="M596" s="345">
        <v>17</v>
      </c>
      <c r="N596" s="345">
        <v>20</v>
      </c>
      <c r="O596" s="345">
        <v>0</v>
      </c>
      <c r="P596" s="345">
        <v>0</v>
      </c>
      <c r="Q596" s="345" t="s">
        <v>824</v>
      </c>
      <c r="R596" s="345" t="s">
        <v>434</v>
      </c>
    </row>
    <row r="597" spans="1:18" x14ac:dyDescent="0.2">
      <c r="A597" s="345" t="s">
        <v>820</v>
      </c>
      <c r="B597" s="345" t="s">
        <v>821</v>
      </c>
      <c r="C597" s="345" t="s">
        <v>822</v>
      </c>
      <c r="D597" s="345" t="s">
        <v>823</v>
      </c>
      <c r="E597" s="345" t="s">
        <v>430</v>
      </c>
      <c r="F597" s="345" t="s">
        <v>438</v>
      </c>
      <c r="G597" s="345" t="s">
        <v>440</v>
      </c>
      <c r="H597" s="345" t="s">
        <v>441</v>
      </c>
      <c r="I597" s="345">
        <v>4</v>
      </c>
      <c r="J597" s="345">
        <v>4</v>
      </c>
      <c r="K597" s="345">
        <v>6</v>
      </c>
      <c r="L597" s="345">
        <v>8</v>
      </c>
      <c r="M597" s="345">
        <v>10</v>
      </c>
      <c r="N597" s="345">
        <v>11</v>
      </c>
      <c r="O597" s="345">
        <v>0</v>
      </c>
      <c r="P597" s="345">
        <v>0</v>
      </c>
      <c r="Q597" s="345" t="s">
        <v>824</v>
      </c>
      <c r="R597" s="345" t="s">
        <v>434</v>
      </c>
    </row>
    <row r="598" spans="1:18" x14ac:dyDescent="0.2">
      <c r="A598" s="345" t="s">
        <v>820</v>
      </c>
      <c r="B598" s="345" t="s">
        <v>821</v>
      </c>
      <c r="C598" s="345" t="s">
        <v>822</v>
      </c>
      <c r="D598" s="345" t="s">
        <v>823</v>
      </c>
      <c r="E598" s="345" t="s">
        <v>430</v>
      </c>
      <c r="F598" s="345" t="s">
        <v>442</v>
      </c>
      <c r="G598" s="345" t="s">
        <v>443</v>
      </c>
      <c r="H598" s="345" t="s">
        <v>444</v>
      </c>
      <c r="I598" s="345">
        <v>0</v>
      </c>
      <c r="J598" s="345">
        <v>0</v>
      </c>
      <c r="K598" s="345">
        <v>0</v>
      </c>
      <c r="L598" s="345">
        <v>0</v>
      </c>
      <c r="M598" s="345">
        <v>0</v>
      </c>
      <c r="N598" s="345">
        <v>0</v>
      </c>
      <c r="O598" s="345">
        <v>0</v>
      </c>
      <c r="P598" s="345">
        <v>0</v>
      </c>
      <c r="Q598" s="345" t="s">
        <v>824</v>
      </c>
      <c r="R598" s="345" t="s">
        <v>437</v>
      </c>
    </row>
    <row r="599" spans="1:18" x14ac:dyDescent="0.2">
      <c r="A599" s="345" t="s">
        <v>820</v>
      </c>
      <c r="B599" s="345" t="s">
        <v>821</v>
      </c>
      <c r="C599" s="345" t="s">
        <v>822</v>
      </c>
      <c r="D599" s="345" t="s">
        <v>823</v>
      </c>
      <c r="E599" s="345" t="s">
        <v>430</v>
      </c>
      <c r="F599" s="345" t="s">
        <v>445</v>
      </c>
      <c r="G599" s="345" t="s">
        <v>443</v>
      </c>
      <c r="H599" s="345" t="s">
        <v>446</v>
      </c>
      <c r="I599" s="345">
        <v>0</v>
      </c>
      <c r="J599" s="345">
        <v>0</v>
      </c>
      <c r="K599" s="345">
        <v>0</v>
      </c>
      <c r="L599" s="345">
        <v>0</v>
      </c>
      <c r="M599" s="345">
        <v>0</v>
      </c>
      <c r="N599" s="345">
        <v>0</v>
      </c>
      <c r="O599" s="345">
        <v>0</v>
      </c>
      <c r="P599" s="345">
        <v>0</v>
      </c>
      <c r="Q599" s="345" t="s">
        <v>824</v>
      </c>
      <c r="R599" s="345" t="s">
        <v>437</v>
      </c>
    </row>
    <row r="600" spans="1:18" x14ac:dyDescent="0.2">
      <c r="A600" s="345" t="s">
        <v>820</v>
      </c>
      <c r="B600" s="345" t="s">
        <v>821</v>
      </c>
      <c r="C600" s="345" t="s">
        <v>822</v>
      </c>
      <c r="D600" s="345" t="s">
        <v>823</v>
      </c>
      <c r="E600" s="345" t="s">
        <v>430</v>
      </c>
      <c r="F600" s="345" t="s">
        <v>447</v>
      </c>
      <c r="G600" s="345" t="s">
        <v>443</v>
      </c>
      <c r="H600" s="345" t="s">
        <v>448</v>
      </c>
      <c r="I600" s="345">
        <v>0</v>
      </c>
      <c r="J600" s="345">
        <v>0</v>
      </c>
      <c r="K600" s="345">
        <v>0</v>
      </c>
      <c r="L600" s="345">
        <v>0</v>
      </c>
      <c r="M600" s="345">
        <v>0</v>
      </c>
      <c r="N600" s="345">
        <v>0</v>
      </c>
      <c r="O600" s="345">
        <v>0</v>
      </c>
      <c r="P600" s="345">
        <v>0</v>
      </c>
      <c r="Q600" s="345" t="s">
        <v>824</v>
      </c>
      <c r="R600" s="345" t="s">
        <v>437</v>
      </c>
    </row>
    <row r="601" spans="1:18" x14ac:dyDescent="0.2">
      <c r="A601" s="345" t="s">
        <v>820</v>
      </c>
      <c r="B601" s="345" t="s">
        <v>821</v>
      </c>
      <c r="C601" s="345" t="s">
        <v>822</v>
      </c>
      <c r="D601" s="345" t="s">
        <v>823</v>
      </c>
      <c r="E601" s="345" t="s">
        <v>430</v>
      </c>
      <c r="F601" s="345" t="s">
        <v>449</v>
      </c>
      <c r="G601" s="345" t="s">
        <v>450</v>
      </c>
      <c r="H601" s="345" t="s">
        <v>451</v>
      </c>
      <c r="I601" s="345">
        <v>0</v>
      </c>
      <c r="J601" s="345">
        <v>0</v>
      </c>
      <c r="K601" s="345">
        <v>0</v>
      </c>
      <c r="L601" s="345">
        <v>0</v>
      </c>
      <c r="M601" s="345">
        <v>0</v>
      </c>
      <c r="N601" s="345">
        <v>0</v>
      </c>
      <c r="O601" s="345">
        <v>0</v>
      </c>
      <c r="P601" s="345">
        <v>0</v>
      </c>
      <c r="Q601" s="345" t="s">
        <v>824</v>
      </c>
      <c r="R601" s="345" t="s">
        <v>437</v>
      </c>
    </row>
    <row r="602" spans="1:18" x14ac:dyDescent="0.2">
      <c r="A602" s="345" t="s">
        <v>820</v>
      </c>
      <c r="B602" s="345" t="s">
        <v>821</v>
      </c>
      <c r="C602" s="345" t="s">
        <v>822</v>
      </c>
      <c r="D602" s="345" t="s">
        <v>823</v>
      </c>
      <c r="E602" s="345" t="s">
        <v>430</v>
      </c>
      <c r="F602" s="345" t="s">
        <v>449</v>
      </c>
      <c r="G602" s="345" t="s">
        <v>452</v>
      </c>
      <c r="H602" s="345" t="s">
        <v>453</v>
      </c>
      <c r="I602" s="345">
        <v>0</v>
      </c>
      <c r="J602" s="345">
        <v>0</v>
      </c>
      <c r="K602" s="345">
        <v>0</v>
      </c>
      <c r="L602" s="345">
        <v>0</v>
      </c>
      <c r="M602" s="345">
        <v>0</v>
      </c>
      <c r="N602" s="345">
        <v>0</v>
      </c>
      <c r="O602" s="345">
        <v>0</v>
      </c>
      <c r="P602" s="345">
        <v>0</v>
      </c>
      <c r="Q602" s="345" t="s">
        <v>824</v>
      </c>
      <c r="R602" s="345" t="s">
        <v>437</v>
      </c>
    </row>
    <row r="603" spans="1:18" x14ac:dyDescent="0.2">
      <c r="A603" s="345" t="s">
        <v>820</v>
      </c>
      <c r="B603" s="345" t="s">
        <v>821</v>
      </c>
      <c r="C603" s="345" t="s">
        <v>822</v>
      </c>
      <c r="D603" s="345" t="s">
        <v>823</v>
      </c>
      <c r="E603" s="345" t="s">
        <v>430</v>
      </c>
      <c r="F603" s="345" t="s">
        <v>449</v>
      </c>
      <c r="G603" s="345" t="s">
        <v>454</v>
      </c>
      <c r="H603" s="345" t="s">
        <v>455</v>
      </c>
      <c r="I603" s="345">
        <v>9</v>
      </c>
      <c r="J603" s="345">
        <v>9</v>
      </c>
      <c r="K603" s="345">
        <v>9</v>
      </c>
      <c r="L603" s="345">
        <v>9</v>
      </c>
      <c r="M603" s="345">
        <v>9</v>
      </c>
      <c r="N603" s="345">
        <v>9</v>
      </c>
      <c r="O603" s="345">
        <v>0</v>
      </c>
      <c r="P603" s="345">
        <v>0</v>
      </c>
      <c r="Q603" s="345" t="s">
        <v>824</v>
      </c>
      <c r="R603" s="345" t="s">
        <v>434</v>
      </c>
    </row>
    <row r="604" spans="1:18" x14ac:dyDescent="0.2">
      <c r="A604" s="345" t="s">
        <v>820</v>
      </c>
      <c r="B604" s="345" t="s">
        <v>821</v>
      </c>
      <c r="C604" s="345" t="s">
        <v>822</v>
      </c>
      <c r="D604" s="345" t="s">
        <v>823</v>
      </c>
      <c r="E604" s="345" t="s">
        <v>430</v>
      </c>
      <c r="F604" s="345" t="s">
        <v>456</v>
      </c>
      <c r="G604" s="345" t="s">
        <v>457</v>
      </c>
      <c r="H604" s="345" t="s">
        <v>458</v>
      </c>
      <c r="I604" s="345">
        <v>22</v>
      </c>
      <c r="J604" s="345">
        <v>26</v>
      </c>
      <c r="K604" s="345">
        <v>37</v>
      </c>
      <c r="L604" s="345">
        <v>48</v>
      </c>
      <c r="M604" s="345">
        <v>59</v>
      </c>
      <c r="N604" s="345">
        <v>71</v>
      </c>
      <c r="O604" s="345">
        <v>0</v>
      </c>
      <c r="P604" s="345">
        <v>0</v>
      </c>
      <c r="Q604" s="345" t="s">
        <v>824</v>
      </c>
      <c r="R604" s="345" t="s">
        <v>434</v>
      </c>
    </row>
    <row r="605" spans="1:18" x14ac:dyDescent="0.2">
      <c r="A605" s="345" t="s">
        <v>820</v>
      </c>
      <c r="B605" s="345" t="s">
        <v>821</v>
      </c>
      <c r="C605" s="345" t="s">
        <v>822</v>
      </c>
      <c r="D605" s="345" t="s">
        <v>823</v>
      </c>
      <c r="E605" s="345" t="s">
        <v>430</v>
      </c>
      <c r="F605" s="345" t="s">
        <v>459</v>
      </c>
      <c r="G605" s="345" t="s">
        <v>443</v>
      </c>
      <c r="H605" s="345" t="s">
        <v>460</v>
      </c>
      <c r="I605" s="345">
        <v>11</v>
      </c>
      <c r="J605" s="345">
        <v>11</v>
      </c>
      <c r="K605" s="345">
        <v>11</v>
      </c>
      <c r="L605" s="345">
        <v>11</v>
      </c>
      <c r="M605" s="345">
        <v>11</v>
      </c>
      <c r="N605" s="345">
        <v>11</v>
      </c>
      <c r="O605" s="345">
        <v>0</v>
      </c>
      <c r="P605" s="345">
        <v>0</v>
      </c>
      <c r="Q605" s="345" t="s">
        <v>824</v>
      </c>
      <c r="R605" s="345" t="s">
        <v>434</v>
      </c>
    </row>
    <row r="606" spans="1:18" x14ac:dyDescent="0.2">
      <c r="A606" s="345" t="s">
        <v>820</v>
      </c>
      <c r="B606" s="345" t="s">
        <v>821</v>
      </c>
      <c r="C606" s="345" t="s">
        <v>822</v>
      </c>
      <c r="D606" s="345" t="s">
        <v>823</v>
      </c>
      <c r="E606" s="345" t="s">
        <v>430</v>
      </c>
      <c r="F606" s="345" t="s">
        <v>461</v>
      </c>
      <c r="G606" s="345" t="s">
        <v>443</v>
      </c>
      <c r="H606" s="345" t="s">
        <v>462</v>
      </c>
      <c r="I606" s="345">
        <v>12</v>
      </c>
      <c r="J606" s="345">
        <v>12</v>
      </c>
      <c r="K606" s="345">
        <v>12</v>
      </c>
      <c r="L606" s="345">
        <v>12</v>
      </c>
      <c r="M606" s="345">
        <v>12</v>
      </c>
      <c r="N606" s="345">
        <v>12</v>
      </c>
      <c r="O606" s="345">
        <v>0</v>
      </c>
      <c r="P606" s="345">
        <v>0</v>
      </c>
      <c r="Q606" s="345" t="s">
        <v>824</v>
      </c>
      <c r="R606" s="345" t="s">
        <v>434</v>
      </c>
    </row>
    <row r="607" spans="1:18" x14ac:dyDescent="0.2">
      <c r="A607" s="345" t="s">
        <v>820</v>
      </c>
      <c r="B607" s="345" t="s">
        <v>821</v>
      </c>
      <c r="C607" s="345" t="s">
        <v>822</v>
      </c>
      <c r="D607" s="345" t="s">
        <v>823</v>
      </c>
      <c r="E607" s="345" t="s">
        <v>430</v>
      </c>
      <c r="F607" s="345" t="s">
        <v>463</v>
      </c>
      <c r="G607" s="345" t="s">
        <v>464</v>
      </c>
      <c r="H607" s="345" t="s">
        <v>463</v>
      </c>
      <c r="I607" s="345">
        <v>54</v>
      </c>
      <c r="J607" s="345">
        <v>54</v>
      </c>
      <c r="K607" s="345">
        <v>54</v>
      </c>
      <c r="L607" s="345">
        <v>54</v>
      </c>
      <c r="M607" s="345">
        <v>54</v>
      </c>
      <c r="N607" s="345">
        <v>54</v>
      </c>
      <c r="O607" s="345">
        <v>0</v>
      </c>
      <c r="P607" s="345">
        <v>0</v>
      </c>
      <c r="Q607" s="345" t="s">
        <v>824</v>
      </c>
      <c r="R607" s="345" t="s">
        <v>434</v>
      </c>
    </row>
    <row r="608" spans="1:18" x14ac:dyDescent="0.2">
      <c r="A608" s="345" t="s">
        <v>820</v>
      </c>
      <c r="B608" s="345" t="s">
        <v>821</v>
      </c>
      <c r="C608" s="345" t="s">
        <v>822</v>
      </c>
      <c r="D608" s="345" t="s">
        <v>823</v>
      </c>
      <c r="E608" s="345" t="s">
        <v>430</v>
      </c>
      <c r="F608" s="345" t="s">
        <v>465</v>
      </c>
      <c r="G608" s="345" t="s">
        <v>432</v>
      </c>
      <c r="H608" s="345" t="s">
        <v>466</v>
      </c>
      <c r="I608" s="345">
        <v>13</v>
      </c>
      <c r="J608" s="345">
        <v>16</v>
      </c>
      <c r="K608" s="345">
        <v>20</v>
      </c>
      <c r="L608" s="345">
        <v>24</v>
      </c>
      <c r="M608" s="345">
        <v>28</v>
      </c>
      <c r="N608" s="345">
        <v>32</v>
      </c>
      <c r="O608" s="345">
        <v>0</v>
      </c>
      <c r="P608" s="345">
        <v>0</v>
      </c>
      <c r="Q608" s="345" t="s">
        <v>824</v>
      </c>
      <c r="R608" s="345" t="s">
        <v>434</v>
      </c>
    </row>
    <row r="609" spans="1:18" x14ac:dyDescent="0.2">
      <c r="A609" s="345" t="s">
        <v>820</v>
      </c>
      <c r="B609" s="345" t="s">
        <v>821</v>
      </c>
      <c r="C609" s="345" t="s">
        <v>822</v>
      </c>
      <c r="D609" s="345" t="s">
        <v>823</v>
      </c>
      <c r="E609" s="345" t="s">
        <v>430</v>
      </c>
      <c r="F609" s="345" t="s">
        <v>465</v>
      </c>
      <c r="G609" s="345" t="s">
        <v>467</v>
      </c>
      <c r="H609" s="345" t="s">
        <v>468</v>
      </c>
      <c r="I609" s="345">
        <v>0</v>
      </c>
      <c r="J609" s="345">
        <v>0</v>
      </c>
      <c r="K609" s="345">
        <v>0</v>
      </c>
      <c r="L609" s="345">
        <v>0</v>
      </c>
      <c r="M609" s="345">
        <v>0</v>
      </c>
      <c r="N609" s="345">
        <v>0</v>
      </c>
      <c r="O609" s="345">
        <v>0</v>
      </c>
      <c r="P609" s="345">
        <v>0</v>
      </c>
      <c r="Q609" s="345" t="s">
        <v>824</v>
      </c>
      <c r="R609" s="345" t="s">
        <v>437</v>
      </c>
    </row>
    <row r="610" spans="1:18" x14ac:dyDescent="0.2">
      <c r="A610" s="345" t="s">
        <v>820</v>
      </c>
      <c r="B610" s="345" t="s">
        <v>821</v>
      </c>
      <c r="C610" s="345" t="s">
        <v>822</v>
      </c>
      <c r="D610" s="345" t="s">
        <v>823</v>
      </c>
      <c r="E610" s="345" t="s">
        <v>430</v>
      </c>
      <c r="F610" s="345" t="s">
        <v>465</v>
      </c>
      <c r="G610" s="345" t="s">
        <v>440</v>
      </c>
      <c r="H610" s="345" t="s">
        <v>469</v>
      </c>
      <c r="I610" s="345">
        <v>13</v>
      </c>
      <c r="J610" s="345">
        <v>16</v>
      </c>
      <c r="K610" s="345">
        <v>18</v>
      </c>
      <c r="L610" s="345">
        <v>21</v>
      </c>
      <c r="M610" s="345">
        <v>23</v>
      </c>
      <c r="N610" s="345">
        <v>26</v>
      </c>
      <c r="O610" s="345">
        <v>0</v>
      </c>
      <c r="P610" s="345">
        <v>0</v>
      </c>
      <c r="Q610" s="345" t="s">
        <v>824</v>
      </c>
      <c r="R610" s="345" t="s">
        <v>434</v>
      </c>
    </row>
    <row r="611" spans="1:18" x14ac:dyDescent="0.2">
      <c r="A611" s="345" t="s">
        <v>820</v>
      </c>
      <c r="B611" s="345" t="s">
        <v>821</v>
      </c>
      <c r="C611" s="345" t="s">
        <v>822</v>
      </c>
      <c r="D611" s="345" t="s">
        <v>823</v>
      </c>
      <c r="E611" s="345" t="s">
        <v>430</v>
      </c>
      <c r="F611" s="345" t="s">
        <v>465</v>
      </c>
      <c r="G611" s="345" t="s">
        <v>470</v>
      </c>
      <c r="H611" s="345" t="s">
        <v>471</v>
      </c>
      <c r="I611" s="345">
        <v>0</v>
      </c>
      <c r="J611" s="345">
        <v>0</v>
      </c>
      <c r="K611" s="345">
        <v>0</v>
      </c>
      <c r="L611" s="345">
        <v>0</v>
      </c>
      <c r="M611" s="345">
        <v>0</v>
      </c>
      <c r="N611" s="345">
        <v>0</v>
      </c>
      <c r="O611" s="345">
        <v>0</v>
      </c>
      <c r="P611" s="345">
        <v>0</v>
      </c>
      <c r="Q611" s="345" t="s">
        <v>824</v>
      </c>
      <c r="R611" s="345" t="s">
        <v>437</v>
      </c>
    </row>
    <row r="612" spans="1:18" x14ac:dyDescent="0.2">
      <c r="A612" s="345" t="s">
        <v>820</v>
      </c>
      <c r="B612" s="345" t="s">
        <v>821</v>
      </c>
      <c r="C612" s="345" t="s">
        <v>822</v>
      </c>
      <c r="D612" s="345" t="s">
        <v>823</v>
      </c>
      <c r="E612" s="345" t="s">
        <v>430</v>
      </c>
      <c r="F612" s="345" t="s">
        <v>465</v>
      </c>
      <c r="G612" s="345" t="s">
        <v>472</v>
      </c>
      <c r="H612" s="345" t="s">
        <v>473</v>
      </c>
      <c r="I612" s="345">
        <v>0</v>
      </c>
      <c r="J612" s="345">
        <v>0</v>
      </c>
      <c r="K612" s="345">
        <v>0</v>
      </c>
      <c r="L612" s="345">
        <v>0</v>
      </c>
      <c r="M612" s="345">
        <v>0</v>
      </c>
      <c r="N612" s="345">
        <v>0</v>
      </c>
      <c r="O612" s="345">
        <v>0</v>
      </c>
      <c r="P612" s="345">
        <v>0</v>
      </c>
      <c r="Q612" s="345" t="s">
        <v>824</v>
      </c>
      <c r="R612" s="345" t="s">
        <v>437</v>
      </c>
    </row>
    <row r="613" spans="1:18" x14ac:dyDescent="0.2">
      <c r="A613" s="345" t="s">
        <v>820</v>
      </c>
      <c r="B613" s="345" t="s">
        <v>821</v>
      </c>
      <c r="C613" s="345" t="s">
        <v>822</v>
      </c>
      <c r="D613" s="345" t="s">
        <v>823</v>
      </c>
      <c r="E613" s="345" t="s">
        <v>430</v>
      </c>
      <c r="F613" s="345" t="s">
        <v>474</v>
      </c>
      <c r="G613" s="345" t="s">
        <v>464</v>
      </c>
      <c r="H613" s="345" t="s">
        <v>474</v>
      </c>
      <c r="I613" s="345">
        <v>35</v>
      </c>
      <c r="J613" s="345">
        <v>35</v>
      </c>
      <c r="K613" s="345">
        <v>35</v>
      </c>
      <c r="L613" s="345">
        <v>35</v>
      </c>
      <c r="M613" s="345">
        <v>35</v>
      </c>
      <c r="N613" s="345">
        <v>35</v>
      </c>
      <c r="O613" s="345">
        <v>0</v>
      </c>
      <c r="P613" s="345">
        <v>0</v>
      </c>
      <c r="Q613" s="345" t="s">
        <v>824</v>
      </c>
      <c r="R613" s="345" t="s">
        <v>434</v>
      </c>
    </row>
    <row r="614" spans="1:18" x14ac:dyDescent="0.2">
      <c r="A614" s="345" t="s">
        <v>820</v>
      </c>
      <c r="B614" s="345" t="s">
        <v>821</v>
      </c>
      <c r="C614" s="345" t="s">
        <v>822</v>
      </c>
      <c r="D614" s="345" t="s">
        <v>823</v>
      </c>
      <c r="E614" s="345" t="s">
        <v>430</v>
      </c>
      <c r="F614" s="345" t="s">
        <v>475</v>
      </c>
      <c r="G614" s="345" t="s">
        <v>443</v>
      </c>
      <c r="H614" s="345" t="s">
        <v>476</v>
      </c>
      <c r="I614" s="345">
        <v>0</v>
      </c>
      <c r="J614" s="345">
        <v>0</v>
      </c>
      <c r="K614" s="345">
        <v>0</v>
      </c>
      <c r="L614" s="345">
        <v>0</v>
      </c>
      <c r="M614" s="345">
        <v>0</v>
      </c>
      <c r="N614" s="345">
        <v>0</v>
      </c>
      <c r="O614" s="345">
        <v>0</v>
      </c>
      <c r="P614" s="345">
        <v>0</v>
      </c>
      <c r="Q614" s="345" t="s">
        <v>824</v>
      </c>
      <c r="R614" s="345" t="s">
        <v>437</v>
      </c>
    </row>
    <row r="615" spans="1:18" x14ac:dyDescent="0.2">
      <c r="A615" s="345" t="s">
        <v>820</v>
      </c>
      <c r="B615" s="345" t="s">
        <v>821</v>
      </c>
      <c r="C615" s="345" t="s">
        <v>822</v>
      </c>
      <c r="D615" s="345" t="s">
        <v>823</v>
      </c>
      <c r="E615" s="345" t="s">
        <v>430</v>
      </c>
      <c r="F615" s="345" t="s">
        <v>477</v>
      </c>
      <c r="G615" s="345" t="s">
        <v>464</v>
      </c>
      <c r="H615" s="345" t="s">
        <v>477</v>
      </c>
      <c r="I615" s="345">
        <v>43</v>
      </c>
      <c r="J615" s="345">
        <v>44</v>
      </c>
      <c r="K615" s="345">
        <v>48</v>
      </c>
      <c r="L615" s="345">
        <v>53</v>
      </c>
      <c r="M615" s="345">
        <v>57</v>
      </c>
      <c r="N615" s="345">
        <v>61</v>
      </c>
      <c r="O615" s="345">
        <v>0</v>
      </c>
      <c r="P615" s="345">
        <v>0</v>
      </c>
      <c r="Q615" s="345" t="s">
        <v>824</v>
      </c>
      <c r="R615" s="345" t="s">
        <v>434</v>
      </c>
    </row>
    <row r="616" spans="1:18" x14ac:dyDescent="0.2">
      <c r="A616" s="345" t="s">
        <v>820</v>
      </c>
      <c r="B616" s="345" t="s">
        <v>821</v>
      </c>
      <c r="C616" s="345" t="s">
        <v>822</v>
      </c>
      <c r="D616" s="345" t="s">
        <v>823</v>
      </c>
      <c r="E616" s="345" t="s">
        <v>430</v>
      </c>
      <c r="F616" s="345" t="s">
        <v>478</v>
      </c>
      <c r="G616" s="345" t="s">
        <v>432</v>
      </c>
      <c r="H616" s="345" t="s">
        <v>479</v>
      </c>
      <c r="I616" s="345">
        <v>14</v>
      </c>
      <c r="J616" s="345">
        <v>17</v>
      </c>
      <c r="K616" s="345">
        <v>22</v>
      </c>
      <c r="L616" s="345">
        <v>26</v>
      </c>
      <c r="M616" s="345">
        <v>31</v>
      </c>
      <c r="N616" s="345">
        <v>36</v>
      </c>
      <c r="O616" s="345">
        <v>0</v>
      </c>
      <c r="P616" s="345">
        <v>0</v>
      </c>
      <c r="Q616" s="345" t="s">
        <v>824</v>
      </c>
      <c r="R616" s="345" t="s">
        <v>434</v>
      </c>
    </row>
    <row r="617" spans="1:18" x14ac:dyDescent="0.2">
      <c r="A617" s="345" t="s">
        <v>820</v>
      </c>
      <c r="B617" s="345" t="s">
        <v>821</v>
      </c>
      <c r="C617" s="345" t="s">
        <v>822</v>
      </c>
      <c r="D617" s="345" t="s">
        <v>823</v>
      </c>
      <c r="E617" s="345" t="s">
        <v>430</v>
      </c>
      <c r="F617" s="345" t="s">
        <v>478</v>
      </c>
      <c r="G617" s="345" t="s">
        <v>440</v>
      </c>
      <c r="H617" s="345" t="s">
        <v>480</v>
      </c>
      <c r="I617" s="345">
        <v>8</v>
      </c>
      <c r="J617" s="345">
        <v>9</v>
      </c>
      <c r="K617" s="345">
        <v>13</v>
      </c>
      <c r="L617" s="345">
        <v>16</v>
      </c>
      <c r="M617" s="345">
        <v>21</v>
      </c>
      <c r="N617" s="345">
        <v>25</v>
      </c>
      <c r="O617" s="345">
        <v>0</v>
      </c>
      <c r="P617" s="345">
        <v>0</v>
      </c>
      <c r="Q617" s="345" t="s">
        <v>824</v>
      </c>
      <c r="R617" s="345" t="s">
        <v>434</v>
      </c>
    </row>
    <row r="618" spans="1:18" x14ac:dyDescent="0.2">
      <c r="A618" s="345" t="s">
        <v>820</v>
      </c>
      <c r="B618" s="345" t="s">
        <v>821</v>
      </c>
      <c r="C618" s="345" t="s">
        <v>822</v>
      </c>
      <c r="D618" s="345" t="s">
        <v>823</v>
      </c>
      <c r="E618" s="345" t="s">
        <v>430</v>
      </c>
      <c r="F618" s="345" t="s">
        <v>478</v>
      </c>
      <c r="G618" s="345" t="s">
        <v>470</v>
      </c>
      <c r="H618" s="345" t="s">
        <v>481</v>
      </c>
      <c r="I618" s="345">
        <v>0</v>
      </c>
      <c r="J618" s="345">
        <v>0</v>
      </c>
      <c r="K618" s="345">
        <v>0</v>
      </c>
      <c r="L618" s="345">
        <v>0</v>
      </c>
      <c r="M618" s="345">
        <v>0</v>
      </c>
      <c r="N618" s="345">
        <v>0</v>
      </c>
      <c r="O618" s="345">
        <v>0</v>
      </c>
      <c r="P618" s="345">
        <v>0</v>
      </c>
      <c r="Q618" s="345" t="s">
        <v>824</v>
      </c>
      <c r="R618" s="345" t="s">
        <v>437</v>
      </c>
    </row>
    <row r="619" spans="1:18" x14ac:dyDescent="0.2">
      <c r="A619" s="345" t="s">
        <v>825</v>
      </c>
      <c r="B619" s="345" t="s">
        <v>826</v>
      </c>
      <c r="C619" s="345" t="s">
        <v>502</v>
      </c>
      <c r="D619" s="345" t="s">
        <v>827</v>
      </c>
      <c r="E619" s="345" t="s">
        <v>430</v>
      </c>
      <c r="F619" s="345" t="s">
        <v>431</v>
      </c>
      <c r="G619" s="345" t="s">
        <v>432</v>
      </c>
      <c r="H619" s="345" t="s">
        <v>433</v>
      </c>
      <c r="I619" s="345">
        <v>3</v>
      </c>
      <c r="J619" s="345">
        <v>3</v>
      </c>
      <c r="K619" s="345">
        <v>4</v>
      </c>
      <c r="L619" s="345">
        <v>5</v>
      </c>
      <c r="M619" s="345">
        <v>7</v>
      </c>
      <c r="N619" s="345">
        <v>8</v>
      </c>
      <c r="O619" s="345">
        <v>0</v>
      </c>
      <c r="P619" s="345">
        <v>0</v>
      </c>
      <c r="Q619" s="345" t="s">
        <v>828</v>
      </c>
      <c r="R619" s="345" t="s">
        <v>434</v>
      </c>
    </row>
    <row r="620" spans="1:18" x14ac:dyDescent="0.2">
      <c r="A620" s="345" t="s">
        <v>825</v>
      </c>
      <c r="B620" s="345" t="s">
        <v>826</v>
      </c>
      <c r="C620" s="345" t="s">
        <v>502</v>
      </c>
      <c r="D620" s="345" t="s">
        <v>827</v>
      </c>
      <c r="E620" s="345" t="s">
        <v>430</v>
      </c>
      <c r="F620" s="345" t="s">
        <v>431</v>
      </c>
      <c r="G620" s="345" t="s">
        <v>435</v>
      </c>
      <c r="H620" s="345" t="s">
        <v>436</v>
      </c>
      <c r="I620" s="345">
        <v>0</v>
      </c>
      <c r="J620" s="345">
        <v>0</v>
      </c>
      <c r="K620" s="345">
        <v>0</v>
      </c>
      <c r="L620" s="345">
        <v>0</v>
      </c>
      <c r="M620" s="345">
        <v>0</v>
      </c>
      <c r="N620" s="345">
        <v>0</v>
      </c>
      <c r="O620" s="345">
        <v>0</v>
      </c>
      <c r="P620" s="345">
        <v>0</v>
      </c>
      <c r="Q620" s="345" t="s">
        <v>828</v>
      </c>
      <c r="R620" s="345" t="s">
        <v>437</v>
      </c>
    </row>
    <row r="621" spans="1:18" x14ac:dyDescent="0.2">
      <c r="A621" s="345" t="s">
        <v>825</v>
      </c>
      <c r="B621" s="345" t="s">
        <v>826</v>
      </c>
      <c r="C621" s="345" t="s">
        <v>502</v>
      </c>
      <c r="D621" s="345" t="s">
        <v>827</v>
      </c>
      <c r="E621" s="345" t="s">
        <v>430</v>
      </c>
      <c r="F621" s="345" t="s">
        <v>438</v>
      </c>
      <c r="G621" s="345" t="s">
        <v>432</v>
      </c>
      <c r="H621" s="345" t="s">
        <v>439</v>
      </c>
      <c r="I621" s="345">
        <v>12</v>
      </c>
      <c r="J621" s="345">
        <v>15</v>
      </c>
      <c r="K621" s="345">
        <v>23</v>
      </c>
      <c r="L621" s="345">
        <v>34</v>
      </c>
      <c r="M621" s="345">
        <v>42</v>
      </c>
      <c r="N621" s="345">
        <v>50</v>
      </c>
      <c r="O621" s="345">
        <v>0</v>
      </c>
      <c r="P621" s="345">
        <v>0</v>
      </c>
      <c r="Q621" s="345" t="s">
        <v>828</v>
      </c>
      <c r="R621" s="345" t="s">
        <v>434</v>
      </c>
    </row>
    <row r="622" spans="1:18" x14ac:dyDescent="0.2">
      <c r="A622" s="345" t="s">
        <v>825</v>
      </c>
      <c r="B622" s="345" t="s">
        <v>826</v>
      </c>
      <c r="C622" s="345" t="s">
        <v>502</v>
      </c>
      <c r="D622" s="345" t="s">
        <v>827</v>
      </c>
      <c r="E622" s="345" t="s">
        <v>430</v>
      </c>
      <c r="F622" s="345" t="s">
        <v>438</v>
      </c>
      <c r="G622" s="345" t="s">
        <v>440</v>
      </c>
      <c r="H622" s="345" t="s">
        <v>441</v>
      </c>
      <c r="I622" s="345">
        <v>5</v>
      </c>
      <c r="J622" s="345">
        <v>6</v>
      </c>
      <c r="K622" s="345">
        <v>8</v>
      </c>
      <c r="L622" s="345">
        <v>11</v>
      </c>
      <c r="M622" s="345">
        <v>14</v>
      </c>
      <c r="N622" s="345">
        <v>16</v>
      </c>
      <c r="O622" s="345">
        <v>0</v>
      </c>
      <c r="P622" s="345">
        <v>0</v>
      </c>
      <c r="Q622" s="345" t="s">
        <v>828</v>
      </c>
      <c r="R622" s="345" t="s">
        <v>434</v>
      </c>
    </row>
    <row r="623" spans="1:18" x14ac:dyDescent="0.2">
      <c r="A623" s="345" t="s">
        <v>825</v>
      </c>
      <c r="B623" s="345" t="s">
        <v>826</v>
      </c>
      <c r="C623" s="345" t="s">
        <v>502</v>
      </c>
      <c r="D623" s="345" t="s">
        <v>827</v>
      </c>
      <c r="E623" s="345" t="s">
        <v>430</v>
      </c>
      <c r="F623" s="345" t="s">
        <v>442</v>
      </c>
      <c r="G623" s="345" t="s">
        <v>443</v>
      </c>
      <c r="H623" s="345" t="s">
        <v>444</v>
      </c>
      <c r="I623" s="345">
        <v>0</v>
      </c>
      <c r="J623" s="345">
        <v>0</v>
      </c>
      <c r="K623" s="345">
        <v>0</v>
      </c>
      <c r="L623" s="345">
        <v>0</v>
      </c>
      <c r="M623" s="345">
        <v>0</v>
      </c>
      <c r="N623" s="345">
        <v>0</v>
      </c>
      <c r="O623" s="345">
        <v>0</v>
      </c>
      <c r="P623" s="345">
        <v>0</v>
      </c>
      <c r="Q623" s="345" t="s">
        <v>828</v>
      </c>
      <c r="R623" s="345" t="s">
        <v>437</v>
      </c>
    </row>
    <row r="624" spans="1:18" x14ac:dyDescent="0.2">
      <c r="A624" s="345" t="s">
        <v>825</v>
      </c>
      <c r="B624" s="345" t="s">
        <v>826</v>
      </c>
      <c r="C624" s="345" t="s">
        <v>502</v>
      </c>
      <c r="D624" s="345" t="s">
        <v>827</v>
      </c>
      <c r="E624" s="345" t="s">
        <v>430</v>
      </c>
      <c r="F624" s="345" t="s">
        <v>445</v>
      </c>
      <c r="G624" s="345" t="s">
        <v>443</v>
      </c>
      <c r="H624" s="345" t="s">
        <v>446</v>
      </c>
      <c r="I624" s="345">
        <v>0</v>
      </c>
      <c r="J624" s="345">
        <v>0</v>
      </c>
      <c r="K624" s="345">
        <v>0</v>
      </c>
      <c r="L624" s="345">
        <v>0</v>
      </c>
      <c r="M624" s="345">
        <v>0</v>
      </c>
      <c r="N624" s="345">
        <v>0</v>
      </c>
      <c r="O624" s="345">
        <v>0</v>
      </c>
      <c r="P624" s="345">
        <v>0</v>
      </c>
      <c r="Q624" s="345" t="s">
        <v>828</v>
      </c>
      <c r="R624" s="345" t="s">
        <v>437</v>
      </c>
    </row>
    <row r="625" spans="1:18" x14ac:dyDescent="0.2">
      <c r="A625" s="345" t="s">
        <v>825</v>
      </c>
      <c r="B625" s="345" t="s">
        <v>826</v>
      </c>
      <c r="C625" s="345" t="s">
        <v>502</v>
      </c>
      <c r="D625" s="345" t="s">
        <v>827</v>
      </c>
      <c r="E625" s="345" t="s">
        <v>430</v>
      </c>
      <c r="F625" s="345" t="s">
        <v>447</v>
      </c>
      <c r="G625" s="345" t="s">
        <v>443</v>
      </c>
      <c r="H625" s="345" t="s">
        <v>448</v>
      </c>
      <c r="I625" s="345">
        <v>0</v>
      </c>
      <c r="J625" s="345">
        <v>0</v>
      </c>
      <c r="K625" s="345">
        <v>0</v>
      </c>
      <c r="L625" s="345">
        <v>0</v>
      </c>
      <c r="M625" s="345">
        <v>0</v>
      </c>
      <c r="N625" s="345">
        <v>0</v>
      </c>
      <c r="O625" s="345">
        <v>0</v>
      </c>
      <c r="P625" s="345">
        <v>0</v>
      </c>
      <c r="Q625" s="345" t="s">
        <v>828</v>
      </c>
      <c r="R625" s="345" t="s">
        <v>437</v>
      </c>
    </row>
    <row r="626" spans="1:18" x14ac:dyDescent="0.2">
      <c r="A626" s="345" t="s">
        <v>825</v>
      </c>
      <c r="B626" s="345" t="s">
        <v>826</v>
      </c>
      <c r="C626" s="345" t="s">
        <v>502</v>
      </c>
      <c r="D626" s="345" t="s">
        <v>827</v>
      </c>
      <c r="E626" s="345" t="s">
        <v>430</v>
      </c>
      <c r="F626" s="345" t="s">
        <v>449</v>
      </c>
      <c r="G626" s="345" t="s">
        <v>450</v>
      </c>
      <c r="H626" s="345" t="s">
        <v>451</v>
      </c>
      <c r="I626" s="345">
        <v>0</v>
      </c>
      <c r="J626" s="345">
        <v>0</v>
      </c>
      <c r="K626" s="345">
        <v>0</v>
      </c>
      <c r="L626" s="345">
        <v>0</v>
      </c>
      <c r="M626" s="345">
        <v>0</v>
      </c>
      <c r="N626" s="345">
        <v>0</v>
      </c>
      <c r="O626" s="345">
        <v>0</v>
      </c>
      <c r="P626" s="345">
        <v>0</v>
      </c>
      <c r="Q626" s="345" t="s">
        <v>828</v>
      </c>
      <c r="R626" s="345" t="s">
        <v>437</v>
      </c>
    </row>
    <row r="627" spans="1:18" x14ac:dyDescent="0.2">
      <c r="A627" s="345" t="s">
        <v>825</v>
      </c>
      <c r="B627" s="345" t="s">
        <v>826</v>
      </c>
      <c r="C627" s="345" t="s">
        <v>502</v>
      </c>
      <c r="D627" s="345" t="s">
        <v>827</v>
      </c>
      <c r="E627" s="345" t="s">
        <v>430</v>
      </c>
      <c r="F627" s="345" t="s">
        <v>449</v>
      </c>
      <c r="G627" s="345" t="s">
        <v>452</v>
      </c>
      <c r="H627" s="345" t="s">
        <v>453</v>
      </c>
      <c r="I627" s="345">
        <v>0</v>
      </c>
      <c r="J627" s="345">
        <v>0</v>
      </c>
      <c r="K627" s="345">
        <v>0</v>
      </c>
      <c r="L627" s="345">
        <v>0</v>
      </c>
      <c r="M627" s="345">
        <v>0</v>
      </c>
      <c r="N627" s="345">
        <v>0</v>
      </c>
      <c r="O627" s="345">
        <v>0</v>
      </c>
      <c r="P627" s="345">
        <v>0</v>
      </c>
      <c r="Q627" s="345" t="s">
        <v>828</v>
      </c>
      <c r="R627" s="345" t="s">
        <v>437</v>
      </c>
    </row>
    <row r="628" spans="1:18" x14ac:dyDescent="0.2">
      <c r="A628" s="345" t="s">
        <v>825</v>
      </c>
      <c r="B628" s="345" t="s">
        <v>826</v>
      </c>
      <c r="C628" s="345" t="s">
        <v>502</v>
      </c>
      <c r="D628" s="345" t="s">
        <v>827</v>
      </c>
      <c r="E628" s="345" t="s">
        <v>430</v>
      </c>
      <c r="F628" s="345" t="s">
        <v>449</v>
      </c>
      <c r="G628" s="345" t="s">
        <v>454</v>
      </c>
      <c r="H628" s="345" t="s">
        <v>455</v>
      </c>
      <c r="I628" s="345">
        <v>0</v>
      </c>
      <c r="J628" s="345">
        <v>0</v>
      </c>
      <c r="K628" s="345">
        <v>0</v>
      </c>
      <c r="L628" s="345">
        <v>0</v>
      </c>
      <c r="M628" s="345">
        <v>0</v>
      </c>
      <c r="N628" s="345">
        <v>0</v>
      </c>
      <c r="O628" s="345">
        <v>0</v>
      </c>
      <c r="P628" s="345">
        <v>0</v>
      </c>
      <c r="Q628" s="345" t="s">
        <v>828</v>
      </c>
      <c r="R628" s="345" t="s">
        <v>437</v>
      </c>
    </row>
    <row r="629" spans="1:18" x14ac:dyDescent="0.2">
      <c r="A629" s="345" t="s">
        <v>825</v>
      </c>
      <c r="B629" s="345" t="s">
        <v>826</v>
      </c>
      <c r="C629" s="345" t="s">
        <v>502</v>
      </c>
      <c r="D629" s="345" t="s">
        <v>827</v>
      </c>
      <c r="E629" s="345" t="s">
        <v>430</v>
      </c>
      <c r="F629" s="345" t="s">
        <v>456</v>
      </c>
      <c r="G629" s="345" t="s">
        <v>457</v>
      </c>
      <c r="H629" s="345" t="s">
        <v>458</v>
      </c>
      <c r="I629" s="345">
        <v>47</v>
      </c>
      <c r="J629" s="345">
        <v>55</v>
      </c>
      <c r="K629" s="345">
        <v>77</v>
      </c>
      <c r="L629" s="345">
        <v>101</v>
      </c>
      <c r="M629" s="345">
        <v>128</v>
      </c>
      <c r="N629" s="345">
        <v>155</v>
      </c>
      <c r="O629" s="345">
        <v>0</v>
      </c>
      <c r="P629" s="345">
        <v>0</v>
      </c>
      <c r="Q629" s="345" t="s">
        <v>828</v>
      </c>
      <c r="R629" s="345" t="s">
        <v>434</v>
      </c>
    </row>
    <row r="630" spans="1:18" x14ac:dyDescent="0.2">
      <c r="A630" s="345" t="s">
        <v>825</v>
      </c>
      <c r="B630" s="345" t="s">
        <v>826</v>
      </c>
      <c r="C630" s="345" t="s">
        <v>502</v>
      </c>
      <c r="D630" s="345" t="s">
        <v>827</v>
      </c>
      <c r="E630" s="345" t="s">
        <v>430</v>
      </c>
      <c r="F630" s="345" t="s">
        <v>459</v>
      </c>
      <c r="G630" s="345" t="s">
        <v>443</v>
      </c>
      <c r="H630" s="345" t="s">
        <v>460</v>
      </c>
      <c r="I630" s="345">
        <v>23</v>
      </c>
      <c r="J630" s="345">
        <v>23</v>
      </c>
      <c r="K630" s="345">
        <v>23</v>
      </c>
      <c r="L630" s="345">
        <v>23</v>
      </c>
      <c r="M630" s="345">
        <v>23</v>
      </c>
      <c r="N630" s="345">
        <v>23</v>
      </c>
      <c r="O630" s="345">
        <v>0</v>
      </c>
      <c r="P630" s="345">
        <v>0</v>
      </c>
      <c r="Q630" s="345" t="s">
        <v>828</v>
      </c>
      <c r="R630" s="345" t="s">
        <v>434</v>
      </c>
    </row>
    <row r="631" spans="1:18" x14ac:dyDescent="0.2">
      <c r="A631" s="345" t="s">
        <v>825</v>
      </c>
      <c r="B631" s="345" t="s">
        <v>826</v>
      </c>
      <c r="C631" s="345" t="s">
        <v>502</v>
      </c>
      <c r="D631" s="345" t="s">
        <v>827</v>
      </c>
      <c r="E631" s="345" t="s">
        <v>430</v>
      </c>
      <c r="F631" s="345" t="s">
        <v>461</v>
      </c>
      <c r="G631" s="345" t="s">
        <v>443</v>
      </c>
      <c r="H631" s="345" t="s">
        <v>462</v>
      </c>
      <c r="I631" s="345">
        <v>25</v>
      </c>
      <c r="J631" s="345">
        <v>25</v>
      </c>
      <c r="K631" s="345">
        <v>25</v>
      </c>
      <c r="L631" s="345">
        <v>25</v>
      </c>
      <c r="M631" s="345">
        <v>25</v>
      </c>
      <c r="N631" s="345">
        <v>25</v>
      </c>
      <c r="O631" s="345">
        <v>0</v>
      </c>
      <c r="P631" s="345">
        <v>0</v>
      </c>
      <c r="Q631" s="345" t="s">
        <v>828</v>
      </c>
      <c r="R631" s="345" t="s">
        <v>434</v>
      </c>
    </row>
    <row r="632" spans="1:18" x14ac:dyDescent="0.2">
      <c r="A632" s="345" t="s">
        <v>825</v>
      </c>
      <c r="B632" s="345" t="s">
        <v>826</v>
      </c>
      <c r="C632" s="345" t="s">
        <v>502</v>
      </c>
      <c r="D632" s="345" t="s">
        <v>827</v>
      </c>
      <c r="E632" s="345" t="s">
        <v>430</v>
      </c>
      <c r="F632" s="345" t="s">
        <v>463</v>
      </c>
      <c r="G632" s="345" t="s">
        <v>464</v>
      </c>
      <c r="H632" s="345" t="s">
        <v>463</v>
      </c>
      <c r="I632" s="345">
        <v>24</v>
      </c>
      <c r="J632" s="345">
        <v>24</v>
      </c>
      <c r="K632" s="345">
        <v>24</v>
      </c>
      <c r="L632" s="345">
        <v>24</v>
      </c>
      <c r="M632" s="345">
        <v>24</v>
      </c>
      <c r="N632" s="345">
        <v>24</v>
      </c>
      <c r="O632" s="345">
        <v>0</v>
      </c>
      <c r="P632" s="345">
        <v>0</v>
      </c>
      <c r="Q632" s="345" t="s">
        <v>828</v>
      </c>
      <c r="R632" s="345" t="s">
        <v>434</v>
      </c>
    </row>
    <row r="633" spans="1:18" x14ac:dyDescent="0.2">
      <c r="A633" s="345" t="s">
        <v>825</v>
      </c>
      <c r="B633" s="345" t="s">
        <v>826</v>
      </c>
      <c r="C633" s="345" t="s">
        <v>502</v>
      </c>
      <c r="D633" s="345" t="s">
        <v>827</v>
      </c>
      <c r="E633" s="345" t="s">
        <v>430</v>
      </c>
      <c r="F633" s="345" t="s">
        <v>465</v>
      </c>
      <c r="G633" s="345" t="s">
        <v>432</v>
      </c>
      <c r="H633" s="345" t="s">
        <v>466</v>
      </c>
      <c r="I633" s="345">
        <v>36</v>
      </c>
      <c r="J633" s="345">
        <v>44</v>
      </c>
      <c r="K633" s="345">
        <v>56</v>
      </c>
      <c r="L633" s="345">
        <v>68</v>
      </c>
      <c r="M633" s="345">
        <v>80</v>
      </c>
      <c r="N633" s="345">
        <v>92</v>
      </c>
      <c r="O633" s="345">
        <v>0</v>
      </c>
      <c r="P633" s="345">
        <v>0</v>
      </c>
      <c r="Q633" s="345" t="s">
        <v>828</v>
      </c>
      <c r="R633" s="345" t="s">
        <v>434</v>
      </c>
    </row>
    <row r="634" spans="1:18" x14ac:dyDescent="0.2">
      <c r="A634" s="345" t="s">
        <v>825</v>
      </c>
      <c r="B634" s="345" t="s">
        <v>826</v>
      </c>
      <c r="C634" s="345" t="s">
        <v>502</v>
      </c>
      <c r="D634" s="345" t="s">
        <v>827</v>
      </c>
      <c r="E634" s="345" t="s">
        <v>430</v>
      </c>
      <c r="F634" s="345" t="s">
        <v>465</v>
      </c>
      <c r="G634" s="345" t="s">
        <v>467</v>
      </c>
      <c r="H634" s="345" t="s">
        <v>468</v>
      </c>
      <c r="I634" s="345">
        <v>31</v>
      </c>
      <c r="J634" s="345">
        <v>38</v>
      </c>
      <c r="K634" s="345">
        <v>45</v>
      </c>
      <c r="L634" s="345">
        <v>50</v>
      </c>
      <c r="M634" s="345">
        <v>56</v>
      </c>
      <c r="N634" s="345">
        <v>61</v>
      </c>
      <c r="O634" s="345">
        <v>0</v>
      </c>
      <c r="P634" s="345">
        <v>0</v>
      </c>
      <c r="Q634" s="345" t="s">
        <v>828</v>
      </c>
      <c r="R634" s="345" t="s">
        <v>434</v>
      </c>
    </row>
    <row r="635" spans="1:18" x14ac:dyDescent="0.2">
      <c r="A635" s="345" t="s">
        <v>825</v>
      </c>
      <c r="B635" s="345" t="s">
        <v>826</v>
      </c>
      <c r="C635" s="345" t="s">
        <v>502</v>
      </c>
      <c r="D635" s="345" t="s">
        <v>827</v>
      </c>
      <c r="E635" s="345" t="s">
        <v>430</v>
      </c>
      <c r="F635" s="345" t="s">
        <v>465</v>
      </c>
      <c r="G635" s="345" t="s">
        <v>440</v>
      </c>
      <c r="H635" s="345" t="s">
        <v>469</v>
      </c>
      <c r="I635" s="345">
        <v>27</v>
      </c>
      <c r="J635" s="345">
        <v>32</v>
      </c>
      <c r="K635" s="345">
        <v>37</v>
      </c>
      <c r="L635" s="345">
        <v>43</v>
      </c>
      <c r="M635" s="345">
        <v>48</v>
      </c>
      <c r="N635" s="345">
        <v>53</v>
      </c>
      <c r="O635" s="345">
        <v>0</v>
      </c>
      <c r="P635" s="345">
        <v>0</v>
      </c>
      <c r="Q635" s="345" t="s">
        <v>828</v>
      </c>
      <c r="R635" s="345" t="s">
        <v>434</v>
      </c>
    </row>
    <row r="636" spans="1:18" x14ac:dyDescent="0.2">
      <c r="A636" s="345" t="s">
        <v>825</v>
      </c>
      <c r="B636" s="345" t="s">
        <v>826</v>
      </c>
      <c r="C636" s="345" t="s">
        <v>502</v>
      </c>
      <c r="D636" s="345" t="s">
        <v>827</v>
      </c>
      <c r="E636" s="345" t="s">
        <v>430</v>
      </c>
      <c r="F636" s="345" t="s">
        <v>465</v>
      </c>
      <c r="G636" s="345" t="s">
        <v>470</v>
      </c>
      <c r="H636" s="345" t="s">
        <v>471</v>
      </c>
      <c r="I636" s="345">
        <v>0</v>
      </c>
      <c r="J636" s="345">
        <v>0</v>
      </c>
      <c r="K636" s="345">
        <v>0</v>
      </c>
      <c r="L636" s="345">
        <v>0</v>
      </c>
      <c r="M636" s="345">
        <v>0</v>
      </c>
      <c r="N636" s="345">
        <v>0</v>
      </c>
      <c r="O636" s="345">
        <v>0</v>
      </c>
      <c r="P636" s="345">
        <v>0</v>
      </c>
      <c r="Q636" s="345" t="s">
        <v>828</v>
      </c>
      <c r="R636" s="345" t="s">
        <v>437</v>
      </c>
    </row>
    <row r="637" spans="1:18" x14ac:dyDescent="0.2">
      <c r="A637" s="345" t="s">
        <v>825</v>
      </c>
      <c r="B637" s="345" t="s">
        <v>826</v>
      </c>
      <c r="C637" s="345" t="s">
        <v>502</v>
      </c>
      <c r="D637" s="345" t="s">
        <v>827</v>
      </c>
      <c r="E637" s="345" t="s">
        <v>430</v>
      </c>
      <c r="F637" s="345" t="s">
        <v>465</v>
      </c>
      <c r="G637" s="345" t="s">
        <v>472</v>
      </c>
      <c r="H637" s="345" t="s">
        <v>473</v>
      </c>
      <c r="I637" s="345">
        <v>0</v>
      </c>
      <c r="J637" s="345">
        <v>0</v>
      </c>
      <c r="K637" s="345">
        <v>0</v>
      </c>
      <c r="L637" s="345">
        <v>0</v>
      </c>
      <c r="M637" s="345">
        <v>0</v>
      </c>
      <c r="N637" s="345">
        <v>0</v>
      </c>
      <c r="O637" s="345">
        <v>0</v>
      </c>
      <c r="P637" s="345">
        <v>0</v>
      </c>
      <c r="Q637" s="345" t="s">
        <v>828</v>
      </c>
      <c r="R637" s="345" t="s">
        <v>437</v>
      </c>
    </row>
    <row r="638" spans="1:18" x14ac:dyDescent="0.2">
      <c r="A638" s="345" t="s">
        <v>825</v>
      </c>
      <c r="B638" s="345" t="s">
        <v>826</v>
      </c>
      <c r="C638" s="345" t="s">
        <v>502</v>
      </c>
      <c r="D638" s="345" t="s">
        <v>827</v>
      </c>
      <c r="E638" s="345" t="s">
        <v>430</v>
      </c>
      <c r="F638" s="345" t="s">
        <v>474</v>
      </c>
      <c r="G638" s="345" t="s">
        <v>464</v>
      </c>
      <c r="H638" s="345" t="s">
        <v>474</v>
      </c>
      <c r="I638" s="345">
        <v>62</v>
      </c>
      <c r="J638" s="345">
        <v>62</v>
      </c>
      <c r="K638" s="345">
        <v>62</v>
      </c>
      <c r="L638" s="345">
        <v>88</v>
      </c>
      <c r="M638" s="345">
        <v>88</v>
      </c>
      <c r="N638" s="345">
        <v>106</v>
      </c>
      <c r="O638" s="345">
        <v>0</v>
      </c>
      <c r="P638" s="345">
        <v>0</v>
      </c>
      <c r="Q638" s="345" t="s">
        <v>828</v>
      </c>
      <c r="R638" s="345" t="s">
        <v>434</v>
      </c>
    </row>
    <row r="639" spans="1:18" x14ac:dyDescent="0.2">
      <c r="A639" s="345" t="s">
        <v>825</v>
      </c>
      <c r="B639" s="345" t="s">
        <v>826</v>
      </c>
      <c r="C639" s="345" t="s">
        <v>502</v>
      </c>
      <c r="D639" s="345" t="s">
        <v>827</v>
      </c>
      <c r="E639" s="345" t="s">
        <v>430</v>
      </c>
      <c r="F639" s="345" t="s">
        <v>475</v>
      </c>
      <c r="G639" s="345" t="s">
        <v>443</v>
      </c>
      <c r="H639" s="345" t="s">
        <v>476</v>
      </c>
      <c r="I639" s="345">
        <v>0</v>
      </c>
      <c r="J639" s="345">
        <v>0</v>
      </c>
      <c r="K639" s="345">
        <v>0</v>
      </c>
      <c r="L639" s="345">
        <v>0</v>
      </c>
      <c r="M639" s="345">
        <v>0</v>
      </c>
      <c r="N639" s="345">
        <v>0</v>
      </c>
      <c r="O639" s="345">
        <v>0</v>
      </c>
      <c r="P639" s="345">
        <v>0</v>
      </c>
      <c r="Q639" s="345" t="s">
        <v>828</v>
      </c>
      <c r="R639" s="345" t="s">
        <v>437</v>
      </c>
    </row>
    <row r="640" spans="1:18" x14ac:dyDescent="0.2">
      <c r="A640" s="345" t="s">
        <v>825</v>
      </c>
      <c r="B640" s="345" t="s">
        <v>826</v>
      </c>
      <c r="C640" s="345" t="s">
        <v>502</v>
      </c>
      <c r="D640" s="345" t="s">
        <v>827</v>
      </c>
      <c r="E640" s="345" t="s">
        <v>430</v>
      </c>
      <c r="F640" s="345" t="s">
        <v>477</v>
      </c>
      <c r="G640" s="345" t="s">
        <v>464</v>
      </c>
      <c r="H640" s="345" t="s">
        <v>477</v>
      </c>
      <c r="I640" s="345">
        <v>56</v>
      </c>
      <c r="J640" s="345">
        <v>60</v>
      </c>
      <c r="K640" s="345">
        <v>93</v>
      </c>
      <c r="L640" s="345">
        <v>148</v>
      </c>
      <c r="M640" s="345">
        <v>204</v>
      </c>
      <c r="N640" s="345">
        <v>259</v>
      </c>
      <c r="O640" s="345">
        <v>0</v>
      </c>
      <c r="P640" s="345">
        <v>0</v>
      </c>
      <c r="Q640" s="345" t="s">
        <v>828</v>
      </c>
      <c r="R640" s="345" t="s">
        <v>434</v>
      </c>
    </row>
    <row r="641" spans="1:18" x14ac:dyDescent="0.2">
      <c r="A641" s="345" t="s">
        <v>825</v>
      </c>
      <c r="B641" s="345" t="s">
        <v>826</v>
      </c>
      <c r="C641" s="345" t="s">
        <v>502</v>
      </c>
      <c r="D641" s="345" t="s">
        <v>827</v>
      </c>
      <c r="E641" s="345" t="s">
        <v>430</v>
      </c>
      <c r="F641" s="345" t="s">
        <v>478</v>
      </c>
      <c r="G641" s="345" t="s">
        <v>432</v>
      </c>
      <c r="H641" s="345" t="s">
        <v>479</v>
      </c>
      <c r="I641" s="345">
        <v>31</v>
      </c>
      <c r="J641" s="345">
        <v>38</v>
      </c>
      <c r="K641" s="345">
        <v>54</v>
      </c>
      <c r="L641" s="345">
        <v>66</v>
      </c>
      <c r="M641" s="345">
        <v>78</v>
      </c>
      <c r="N641" s="345">
        <v>89</v>
      </c>
      <c r="O641" s="345">
        <v>0</v>
      </c>
      <c r="P641" s="345">
        <v>0</v>
      </c>
      <c r="Q641" s="345" t="s">
        <v>828</v>
      </c>
      <c r="R641" s="345" t="s">
        <v>434</v>
      </c>
    </row>
    <row r="642" spans="1:18" x14ac:dyDescent="0.2">
      <c r="A642" s="345" t="s">
        <v>825</v>
      </c>
      <c r="B642" s="345" t="s">
        <v>826</v>
      </c>
      <c r="C642" s="345" t="s">
        <v>502</v>
      </c>
      <c r="D642" s="345" t="s">
        <v>827</v>
      </c>
      <c r="E642" s="345" t="s">
        <v>430</v>
      </c>
      <c r="F642" s="345" t="s">
        <v>478</v>
      </c>
      <c r="G642" s="345" t="s">
        <v>440</v>
      </c>
      <c r="H642" s="345" t="s">
        <v>480</v>
      </c>
      <c r="I642" s="345">
        <v>11</v>
      </c>
      <c r="J642" s="345">
        <v>13</v>
      </c>
      <c r="K642" s="345">
        <v>18</v>
      </c>
      <c r="L642" s="345">
        <v>25</v>
      </c>
      <c r="M642" s="345">
        <v>31</v>
      </c>
      <c r="N642" s="345">
        <v>38</v>
      </c>
      <c r="O642" s="345">
        <v>0</v>
      </c>
      <c r="P642" s="345">
        <v>0</v>
      </c>
      <c r="Q642" s="345" t="s">
        <v>828</v>
      </c>
      <c r="R642" s="345" t="s">
        <v>434</v>
      </c>
    </row>
    <row r="643" spans="1:18" x14ac:dyDescent="0.2">
      <c r="A643" s="345" t="s">
        <v>825</v>
      </c>
      <c r="B643" s="345" t="s">
        <v>826</v>
      </c>
      <c r="C643" s="345" t="s">
        <v>502</v>
      </c>
      <c r="D643" s="345" t="s">
        <v>827</v>
      </c>
      <c r="E643" s="345" t="s">
        <v>430</v>
      </c>
      <c r="F643" s="345" t="s">
        <v>478</v>
      </c>
      <c r="G643" s="345" t="s">
        <v>470</v>
      </c>
      <c r="H643" s="345" t="s">
        <v>481</v>
      </c>
      <c r="I643" s="345">
        <v>0</v>
      </c>
      <c r="J643" s="345">
        <v>0</v>
      </c>
      <c r="K643" s="345">
        <v>0</v>
      </c>
      <c r="L643" s="345">
        <v>0</v>
      </c>
      <c r="M643" s="345">
        <v>0</v>
      </c>
      <c r="N643" s="345">
        <v>0</v>
      </c>
      <c r="O643" s="345">
        <v>0</v>
      </c>
      <c r="P643" s="345">
        <v>0</v>
      </c>
      <c r="Q643" s="345" t="s">
        <v>828</v>
      </c>
      <c r="R643" s="345" t="s">
        <v>437</v>
      </c>
    </row>
    <row r="644" spans="1:18" x14ac:dyDescent="0.2">
      <c r="A644" s="345" t="s">
        <v>829</v>
      </c>
      <c r="B644" s="345" t="s">
        <v>830</v>
      </c>
      <c r="C644" s="345" t="s">
        <v>513</v>
      </c>
      <c r="D644" s="345" t="s">
        <v>831</v>
      </c>
      <c r="E644" s="345" t="s">
        <v>430</v>
      </c>
      <c r="F644" s="345" t="s">
        <v>431</v>
      </c>
      <c r="G644" s="345" t="s">
        <v>432</v>
      </c>
      <c r="H644" s="345" t="s">
        <v>433</v>
      </c>
      <c r="I644" s="345">
        <v>0</v>
      </c>
      <c r="J644" s="345">
        <v>0</v>
      </c>
      <c r="K644" s="345">
        <v>0</v>
      </c>
      <c r="L644" s="345">
        <v>0</v>
      </c>
      <c r="M644" s="345">
        <v>0</v>
      </c>
      <c r="N644" s="345">
        <v>0</v>
      </c>
      <c r="O644" s="345">
        <v>0</v>
      </c>
      <c r="P644" s="345">
        <v>0</v>
      </c>
      <c r="Q644" s="345" t="s">
        <v>832</v>
      </c>
      <c r="R644" s="345" t="s">
        <v>437</v>
      </c>
    </row>
    <row r="645" spans="1:18" x14ac:dyDescent="0.2">
      <c r="A645" s="345" t="s">
        <v>829</v>
      </c>
      <c r="B645" s="345" t="s">
        <v>830</v>
      </c>
      <c r="C645" s="345" t="s">
        <v>513</v>
      </c>
      <c r="D645" s="345" t="s">
        <v>831</v>
      </c>
      <c r="E645" s="345" t="s">
        <v>430</v>
      </c>
      <c r="F645" s="345" t="s">
        <v>431</v>
      </c>
      <c r="G645" s="345" t="s">
        <v>435</v>
      </c>
      <c r="H645" s="345" t="s">
        <v>436</v>
      </c>
      <c r="I645" s="345">
        <v>0</v>
      </c>
      <c r="J645" s="345">
        <v>0</v>
      </c>
      <c r="K645" s="345">
        <v>0</v>
      </c>
      <c r="L645" s="345">
        <v>0</v>
      </c>
      <c r="M645" s="345">
        <v>0</v>
      </c>
      <c r="N645" s="345">
        <v>0</v>
      </c>
      <c r="O645" s="345">
        <v>0</v>
      </c>
      <c r="P645" s="345">
        <v>0</v>
      </c>
      <c r="Q645" s="345" t="s">
        <v>832</v>
      </c>
      <c r="R645" s="345" t="s">
        <v>437</v>
      </c>
    </row>
    <row r="646" spans="1:18" x14ac:dyDescent="0.2">
      <c r="A646" s="345" t="s">
        <v>829</v>
      </c>
      <c r="B646" s="345" t="s">
        <v>830</v>
      </c>
      <c r="C646" s="345" t="s">
        <v>513</v>
      </c>
      <c r="D646" s="345" t="s">
        <v>831</v>
      </c>
      <c r="E646" s="345" t="s">
        <v>430</v>
      </c>
      <c r="F646" s="345" t="s">
        <v>438</v>
      </c>
      <c r="G646" s="345" t="s">
        <v>432</v>
      </c>
      <c r="H646" s="345" t="s">
        <v>439</v>
      </c>
      <c r="I646" s="345">
        <v>18</v>
      </c>
      <c r="J646" s="345">
        <v>21</v>
      </c>
      <c r="K646" s="345">
        <v>30</v>
      </c>
      <c r="L646" s="345">
        <v>39</v>
      </c>
      <c r="M646" s="345">
        <v>48</v>
      </c>
      <c r="N646" s="345">
        <v>57</v>
      </c>
      <c r="O646" s="345">
        <v>62</v>
      </c>
      <c r="P646" s="345">
        <v>66</v>
      </c>
      <c r="Q646" s="345" t="s">
        <v>832</v>
      </c>
      <c r="R646" s="345" t="s">
        <v>434</v>
      </c>
    </row>
    <row r="647" spans="1:18" x14ac:dyDescent="0.2">
      <c r="A647" s="345" t="s">
        <v>829</v>
      </c>
      <c r="B647" s="345" t="s">
        <v>830</v>
      </c>
      <c r="C647" s="345" t="s">
        <v>513</v>
      </c>
      <c r="D647" s="345" t="s">
        <v>831</v>
      </c>
      <c r="E647" s="345" t="s">
        <v>430</v>
      </c>
      <c r="F647" s="345" t="s">
        <v>438</v>
      </c>
      <c r="G647" s="345" t="s">
        <v>440</v>
      </c>
      <c r="H647" s="345" t="s">
        <v>441</v>
      </c>
      <c r="I647" s="345">
        <v>7</v>
      </c>
      <c r="J647" s="345">
        <v>7</v>
      </c>
      <c r="K647" s="345">
        <v>11</v>
      </c>
      <c r="L647" s="345">
        <v>14</v>
      </c>
      <c r="M647" s="345">
        <v>18</v>
      </c>
      <c r="N647" s="345">
        <v>20</v>
      </c>
      <c r="O647" s="345">
        <v>23</v>
      </c>
      <c r="P647" s="345">
        <v>25</v>
      </c>
      <c r="Q647" s="345" t="s">
        <v>832</v>
      </c>
      <c r="R647" s="345" t="s">
        <v>434</v>
      </c>
    </row>
    <row r="648" spans="1:18" x14ac:dyDescent="0.2">
      <c r="A648" s="345" t="s">
        <v>829</v>
      </c>
      <c r="B648" s="345" t="s">
        <v>830</v>
      </c>
      <c r="C648" s="345" t="s">
        <v>513</v>
      </c>
      <c r="D648" s="345" t="s">
        <v>831</v>
      </c>
      <c r="E648" s="345" t="s">
        <v>430</v>
      </c>
      <c r="F648" s="345" t="s">
        <v>442</v>
      </c>
      <c r="G648" s="345" t="s">
        <v>443</v>
      </c>
      <c r="H648" s="345" t="s">
        <v>444</v>
      </c>
      <c r="I648" s="345">
        <v>0</v>
      </c>
      <c r="J648" s="345">
        <v>0</v>
      </c>
      <c r="K648" s="345">
        <v>0</v>
      </c>
      <c r="L648" s="345">
        <v>0</v>
      </c>
      <c r="M648" s="345">
        <v>0</v>
      </c>
      <c r="N648" s="345">
        <v>0</v>
      </c>
      <c r="O648" s="345">
        <v>0</v>
      </c>
      <c r="P648" s="345">
        <v>0</v>
      </c>
      <c r="Q648" s="345" t="s">
        <v>832</v>
      </c>
      <c r="R648" s="345" t="s">
        <v>437</v>
      </c>
    </row>
    <row r="649" spans="1:18" x14ac:dyDescent="0.2">
      <c r="A649" s="345" t="s">
        <v>829</v>
      </c>
      <c r="B649" s="345" t="s">
        <v>830</v>
      </c>
      <c r="C649" s="345" t="s">
        <v>513</v>
      </c>
      <c r="D649" s="345" t="s">
        <v>831</v>
      </c>
      <c r="E649" s="345" t="s">
        <v>430</v>
      </c>
      <c r="F649" s="345" t="s">
        <v>445</v>
      </c>
      <c r="G649" s="345" t="s">
        <v>443</v>
      </c>
      <c r="H649" s="345" t="s">
        <v>446</v>
      </c>
      <c r="I649" s="345">
        <v>0</v>
      </c>
      <c r="J649" s="345">
        <v>0</v>
      </c>
      <c r="K649" s="345">
        <v>0</v>
      </c>
      <c r="L649" s="345">
        <v>0</v>
      </c>
      <c r="M649" s="345">
        <v>0</v>
      </c>
      <c r="N649" s="345">
        <v>0</v>
      </c>
      <c r="O649" s="345">
        <v>0</v>
      </c>
      <c r="P649" s="345">
        <v>0</v>
      </c>
      <c r="Q649" s="345" t="s">
        <v>832</v>
      </c>
      <c r="R649" s="345" t="s">
        <v>437</v>
      </c>
    </row>
    <row r="650" spans="1:18" x14ac:dyDescent="0.2">
      <c r="A650" s="345" t="s">
        <v>829</v>
      </c>
      <c r="B650" s="345" t="s">
        <v>830</v>
      </c>
      <c r="C650" s="345" t="s">
        <v>513</v>
      </c>
      <c r="D650" s="345" t="s">
        <v>831</v>
      </c>
      <c r="E650" s="345" t="s">
        <v>430</v>
      </c>
      <c r="F650" s="345" t="s">
        <v>447</v>
      </c>
      <c r="G650" s="345" t="s">
        <v>443</v>
      </c>
      <c r="H650" s="345" t="s">
        <v>448</v>
      </c>
      <c r="I650" s="345">
        <v>0</v>
      </c>
      <c r="J650" s="345">
        <v>0</v>
      </c>
      <c r="K650" s="345">
        <v>0</v>
      </c>
      <c r="L650" s="345">
        <v>0</v>
      </c>
      <c r="M650" s="345">
        <v>0</v>
      </c>
      <c r="N650" s="345">
        <v>0</v>
      </c>
      <c r="O650" s="345">
        <v>0</v>
      </c>
      <c r="P650" s="345">
        <v>0</v>
      </c>
      <c r="Q650" s="345" t="s">
        <v>832</v>
      </c>
      <c r="R650" s="345" t="s">
        <v>437</v>
      </c>
    </row>
    <row r="651" spans="1:18" x14ac:dyDescent="0.2">
      <c r="A651" s="345" t="s">
        <v>829</v>
      </c>
      <c r="B651" s="345" t="s">
        <v>830</v>
      </c>
      <c r="C651" s="345" t="s">
        <v>513</v>
      </c>
      <c r="D651" s="345" t="s">
        <v>831</v>
      </c>
      <c r="E651" s="345" t="s">
        <v>430</v>
      </c>
      <c r="F651" s="345" t="s">
        <v>449</v>
      </c>
      <c r="G651" s="345" t="s">
        <v>450</v>
      </c>
      <c r="H651" s="345" t="s">
        <v>451</v>
      </c>
      <c r="I651" s="345">
        <v>0</v>
      </c>
      <c r="J651" s="345">
        <v>0</v>
      </c>
      <c r="K651" s="345">
        <v>0</v>
      </c>
      <c r="L651" s="345">
        <v>0</v>
      </c>
      <c r="M651" s="345">
        <v>0</v>
      </c>
      <c r="N651" s="345">
        <v>0</v>
      </c>
      <c r="O651" s="345">
        <v>0</v>
      </c>
      <c r="P651" s="345">
        <v>0</v>
      </c>
      <c r="Q651" s="345" t="s">
        <v>832</v>
      </c>
      <c r="R651" s="345" t="s">
        <v>437</v>
      </c>
    </row>
    <row r="652" spans="1:18" x14ac:dyDescent="0.2">
      <c r="A652" s="345" t="s">
        <v>829</v>
      </c>
      <c r="B652" s="345" t="s">
        <v>830</v>
      </c>
      <c r="C652" s="345" t="s">
        <v>513</v>
      </c>
      <c r="D652" s="345" t="s">
        <v>831</v>
      </c>
      <c r="E652" s="345" t="s">
        <v>430</v>
      </c>
      <c r="F652" s="345" t="s">
        <v>449</v>
      </c>
      <c r="G652" s="345" t="s">
        <v>452</v>
      </c>
      <c r="H652" s="345" t="s">
        <v>453</v>
      </c>
      <c r="I652" s="345">
        <v>0</v>
      </c>
      <c r="J652" s="345">
        <v>0</v>
      </c>
      <c r="K652" s="345">
        <v>0</v>
      </c>
      <c r="L652" s="345">
        <v>0</v>
      </c>
      <c r="M652" s="345">
        <v>0</v>
      </c>
      <c r="N652" s="345">
        <v>0</v>
      </c>
      <c r="O652" s="345">
        <v>0</v>
      </c>
      <c r="P652" s="345">
        <v>0</v>
      </c>
      <c r="Q652" s="345" t="s">
        <v>832</v>
      </c>
      <c r="R652" s="345" t="s">
        <v>437</v>
      </c>
    </row>
    <row r="653" spans="1:18" x14ac:dyDescent="0.2">
      <c r="A653" s="345" t="s">
        <v>829</v>
      </c>
      <c r="B653" s="345" t="s">
        <v>830</v>
      </c>
      <c r="C653" s="345" t="s">
        <v>513</v>
      </c>
      <c r="D653" s="345" t="s">
        <v>831</v>
      </c>
      <c r="E653" s="345" t="s">
        <v>430</v>
      </c>
      <c r="F653" s="345" t="s">
        <v>449</v>
      </c>
      <c r="G653" s="345" t="s">
        <v>454</v>
      </c>
      <c r="H653" s="345" t="s">
        <v>455</v>
      </c>
      <c r="I653" s="345">
        <v>0</v>
      </c>
      <c r="J653" s="345">
        <v>0</v>
      </c>
      <c r="K653" s="345">
        <v>0</v>
      </c>
      <c r="L653" s="345">
        <v>0</v>
      </c>
      <c r="M653" s="345">
        <v>0</v>
      </c>
      <c r="N653" s="345">
        <v>0</v>
      </c>
      <c r="O653" s="345">
        <v>0</v>
      </c>
      <c r="P653" s="345">
        <v>0</v>
      </c>
      <c r="Q653" s="345" t="s">
        <v>832</v>
      </c>
      <c r="R653" s="345" t="s">
        <v>437</v>
      </c>
    </row>
    <row r="654" spans="1:18" x14ac:dyDescent="0.2">
      <c r="A654" s="345" t="s">
        <v>829</v>
      </c>
      <c r="B654" s="345" t="s">
        <v>830</v>
      </c>
      <c r="C654" s="345" t="s">
        <v>513</v>
      </c>
      <c r="D654" s="345" t="s">
        <v>831</v>
      </c>
      <c r="E654" s="345" t="s">
        <v>430</v>
      </c>
      <c r="F654" s="345" t="s">
        <v>456</v>
      </c>
      <c r="G654" s="345" t="s">
        <v>457</v>
      </c>
      <c r="H654" s="345" t="s">
        <v>458</v>
      </c>
      <c r="I654" s="345">
        <v>88</v>
      </c>
      <c r="J654" s="345">
        <v>107</v>
      </c>
      <c r="K654" s="345">
        <v>159</v>
      </c>
      <c r="L654" s="345">
        <v>216</v>
      </c>
      <c r="M654" s="345">
        <v>271</v>
      </c>
      <c r="N654" s="345">
        <v>327</v>
      </c>
      <c r="O654" s="345">
        <v>357</v>
      </c>
      <c r="P654" s="345">
        <v>384</v>
      </c>
      <c r="Q654" s="345" t="s">
        <v>832</v>
      </c>
      <c r="R654" s="345" t="s">
        <v>434</v>
      </c>
    </row>
    <row r="655" spans="1:18" x14ac:dyDescent="0.2">
      <c r="A655" s="345" t="s">
        <v>829</v>
      </c>
      <c r="B655" s="345" t="s">
        <v>830</v>
      </c>
      <c r="C655" s="345" t="s">
        <v>513</v>
      </c>
      <c r="D655" s="345" t="s">
        <v>831</v>
      </c>
      <c r="E655" s="345" t="s">
        <v>430</v>
      </c>
      <c r="F655" s="345" t="s">
        <v>459</v>
      </c>
      <c r="G655" s="345" t="s">
        <v>443</v>
      </c>
      <c r="H655" s="345" t="s">
        <v>460</v>
      </c>
      <c r="I655" s="345">
        <v>11</v>
      </c>
      <c r="J655" s="345">
        <v>11</v>
      </c>
      <c r="K655" s="345">
        <v>11</v>
      </c>
      <c r="L655" s="345">
        <v>11</v>
      </c>
      <c r="M655" s="345">
        <v>11</v>
      </c>
      <c r="N655" s="345">
        <v>11</v>
      </c>
      <c r="O655" s="345">
        <v>11</v>
      </c>
      <c r="P655" s="345">
        <v>11</v>
      </c>
      <c r="Q655" s="345" t="s">
        <v>832</v>
      </c>
      <c r="R655" s="345" t="s">
        <v>434</v>
      </c>
    </row>
    <row r="656" spans="1:18" x14ac:dyDescent="0.2">
      <c r="A656" s="345" t="s">
        <v>829</v>
      </c>
      <c r="B656" s="345" t="s">
        <v>830</v>
      </c>
      <c r="C656" s="345" t="s">
        <v>513</v>
      </c>
      <c r="D656" s="345" t="s">
        <v>831</v>
      </c>
      <c r="E656" s="345" t="s">
        <v>430</v>
      </c>
      <c r="F656" s="345" t="s">
        <v>461</v>
      </c>
      <c r="G656" s="345" t="s">
        <v>443</v>
      </c>
      <c r="H656" s="345" t="s">
        <v>462</v>
      </c>
      <c r="I656" s="345">
        <v>12</v>
      </c>
      <c r="J656" s="345">
        <v>12</v>
      </c>
      <c r="K656" s="345">
        <v>12</v>
      </c>
      <c r="L656" s="345">
        <v>12</v>
      </c>
      <c r="M656" s="345">
        <v>12</v>
      </c>
      <c r="N656" s="345">
        <v>12</v>
      </c>
      <c r="O656" s="345">
        <v>12</v>
      </c>
      <c r="P656" s="345">
        <v>12</v>
      </c>
      <c r="Q656" s="345" t="s">
        <v>832</v>
      </c>
      <c r="R656" s="345" t="s">
        <v>434</v>
      </c>
    </row>
    <row r="657" spans="1:18" x14ac:dyDescent="0.2">
      <c r="A657" s="345" t="s">
        <v>829</v>
      </c>
      <c r="B657" s="345" t="s">
        <v>830</v>
      </c>
      <c r="C657" s="345" t="s">
        <v>513</v>
      </c>
      <c r="D657" s="345" t="s">
        <v>831</v>
      </c>
      <c r="E657" s="345" t="s">
        <v>430</v>
      </c>
      <c r="F657" s="345" t="s">
        <v>463</v>
      </c>
      <c r="G657" s="345" t="s">
        <v>464</v>
      </c>
      <c r="H657" s="345" t="s">
        <v>463</v>
      </c>
      <c r="I657" s="345">
        <v>59</v>
      </c>
      <c r="J657" s="345">
        <v>59</v>
      </c>
      <c r="K657" s="345">
        <v>59</v>
      </c>
      <c r="L657" s="345">
        <v>59</v>
      </c>
      <c r="M657" s="345">
        <v>59</v>
      </c>
      <c r="N657" s="345">
        <v>59</v>
      </c>
      <c r="O657" s="345">
        <v>59</v>
      </c>
      <c r="P657" s="345">
        <v>59</v>
      </c>
      <c r="Q657" s="345" t="s">
        <v>832</v>
      </c>
      <c r="R657" s="345" t="s">
        <v>434</v>
      </c>
    </row>
    <row r="658" spans="1:18" x14ac:dyDescent="0.2">
      <c r="A658" s="345" t="s">
        <v>829</v>
      </c>
      <c r="B658" s="345" t="s">
        <v>830</v>
      </c>
      <c r="C658" s="345" t="s">
        <v>513</v>
      </c>
      <c r="D658" s="345" t="s">
        <v>831</v>
      </c>
      <c r="E658" s="345" t="s">
        <v>430</v>
      </c>
      <c r="F658" s="345" t="s">
        <v>465</v>
      </c>
      <c r="G658" s="345" t="s">
        <v>432</v>
      </c>
      <c r="H658" s="345" t="s">
        <v>466</v>
      </c>
      <c r="I658" s="345">
        <v>86</v>
      </c>
      <c r="J658" s="345">
        <v>102</v>
      </c>
      <c r="K658" s="345">
        <v>118</v>
      </c>
      <c r="L658" s="345">
        <v>135</v>
      </c>
      <c r="M658" s="345">
        <v>151</v>
      </c>
      <c r="N658" s="345">
        <v>170</v>
      </c>
      <c r="O658" s="345">
        <v>186</v>
      </c>
      <c r="P658" s="345">
        <v>201</v>
      </c>
      <c r="Q658" s="345" t="s">
        <v>832</v>
      </c>
      <c r="R658" s="345" t="s">
        <v>434</v>
      </c>
    </row>
    <row r="659" spans="1:18" x14ac:dyDescent="0.2">
      <c r="A659" s="345" t="s">
        <v>829</v>
      </c>
      <c r="B659" s="345" t="s">
        <v>830</v>
      </c>
      <c r="C659" s="345" t="s">
        <v>513</v>
      </c>
      <c r="D659" s="345" t="s">
        <v>831</v>
      </c>
      <c r="E659" s="345" t="s">
        <v>430</v>
      </c>
      <c r="F659" s="345" t="s">
        <v>465</v>
      </c>
      <c r="G659" s="345" t="s">
        <v>467</v>
      </c>
      <c r="H659" s="345" t="s">
        <v>468</v>
      </c>
      <c r="I659" s="345">
        <v>0</v>
      </c>
      <c r="J659" s="345">
        <v>0</v>
      </c>
      <c r="K659" s="345">
        <v>0</v>
      </c>
      <c r="L659" s="345">
        <v>0</v>
      </c>
      <c r="M659" s="345">
        <v>0</v>
      </c>
      <c r="N659" s="345">
        <v>0</v>
      </c>
      <c r="O659" s="345">
        <v>0</v>
      </c>
      <c r="P659" s="345">
        <v>0</v>
      </c>
      <c r="Q659" s="345" t="s">
        <v>832</v>
      </c>
      <c r="R659" s="345" t="s">
        <v>437</v>
      </c>
    </row>
    <row r="660" spans="1:18" x14ac:dyDescent="0.2">
      <c r="A660" s="345" t="s">
        <v>829</v>
      </c>
      <c r="B660" s="345" t="s">
        <v>830</v>
      </c>
      <c r="C660" s="345" t="s">
        <v>513</v>
      </c>
      <c r="D660" s="345" t="s">
        <v>831</v>
      </c>
      <c r="E660" s="345" t="s">
        <v>430</v>
      </c>
      <c r="F660" s="345" t="s">
        <v>465</v>
      </c>
      <c r="G660" s="345" t="s">
        <v>440</v>
      </c>
      <c r="H660" s="345" t="s">
        <v>469</v>
      </c>
      <c r="I660" s="345">
        <v>41</v>
      </c>
      <c r="J660" s="345">
        <v>47</v>
      </c>
      <c r="K660" s="345">
        <v>54</v>
      </c>
      <c r="L660" s="345">
        <v>61</v>
      </c>
      <c r="M660" s="345">
        <v>68</v>
      </c>
      <c r="N660" s="345">
        <v>75</v>
      </c>
      <c r="O660" s="345">
        <v>82</v>
      </c>
      <c r="P660" s="345">
        <v>88</v>
      </c>
      <c r="Q660" s="345" t="s">
        <v>832</v>
      </c>
      <c r="R660" s="345" t="s">
        <v>434</v>
      </c>
    </row>
    <row r="661" spans="1:18" x14ac:dyDescent="0.2">
      <c r="A661" s="345" t="s">
        <v>829</v>
      </c>
      <c r="B661" s="345" t="s">
        <v>830</v>
      </c>
      <c r="C661" s="345" t="s">
        <v>513</v>
      </c>
      <c r="D661" s="345" t="s">
        <v>831</v>
      </c>
      <c r="E661" s="345" t="s">
        <v>430</v>
      </c>
      <c r="F661" s="345" t="s">
        <v>465</v>
      </c>
      <c r="G661" s="345" t="s">
        <v>470</v>
      </c>
      <c r="H661" s="345" t="s">
        <v>471</v>
      </c>
      <c r="I661" s="345">
        <v>69</v>
      </c>
      <c r="J661" s="345">
        <v>78</v>
      </c>
      <c r="K661" s="345">
        <v>87</v>
      </c>
      <c r="L661" s="345">
        <v>99</v>
      </c>
      <c r="M661" s="345">
        <v>108</v>
      </c>
      <c r="N661" s="345">
        <v>117</v>
      </c>
      <c r="O661" s="345">
        <v>129</v>
      </c>
      <c r="P661" s="345">
        <v>138</v>
      </c>
      <c r="Q661" s="345" t="s">
        <v>832</v>
      </c>
      <c r="R661" s="345" t="s">
        <v>434</v>
      </c>
    </row>
    <row r="662" spans="1:18" x14ac:dyDescent="0.2">
      <c r="A662" s="345" t="s">
        <v>829</v>
      </c>
      <c r="B662" s="345" t="s">
        <v>830</v>
      </c>
      <c r="C662" s="345" t="s">
        <v>513</v>
      </c>
      <c r="D662" s="345" t="s">
        <v>831</v>
      </c>
      <c r="E662" s="345" t="s">
        <v>430</v>
      </c>
      <c r="F662" s="345" t="s">
        <v>465</v>
      </c>
      <c r="G662" s="345" t="s">
        <v>472</v>
      </c>
      <c r="H662" s="345" t="s">
        <v>473</v>
      </c>
      <c r="I662" s="345">
        <v>0</v>
      </c>
      <c r="J662" s="345">
        <v>0</v>
      </c>
      <c r="K662" s="345">
        <v>0</v>
      </c>
      <c r="L662" s="345">
        <v>0</v>
      </c>
      <c r="M662" s="345">
        <v>0</v>
      </c>
      <c r="N662" s="345">
        <v>0</v>
      </c>
      <c r="O662" s="345">
        <v>0</v>
      </c>
      <c r="P662" s="345">
        <v>0</v>
      </c>
      <c r="Q662" s="345" t="s">
        <v>832</v>
      </c>
      <c r="R662" s="345" t="s">
        <v>437</v>
      </c>
    </row>
    <row r="663" spans="1:18" x14ac:dyDescent="0.2">
      <c r="A663" s="345" t="s">
        <v>829</v>
      </c>
      <c r="B663" s="345" t="s">
        <v>830</v>
      </c>
      <c r="C663" s="345" t="s">
        <v>513</v>
      </c>
      <c r="D663" s="345" t="s">
        <v>831</v>
      </c>
      <c r="E663" s="345" t="s">
        <v>430</v>
      </c>
      <c r="F663" s="345" t="s">
        <v>474</v>
      </c>
      <c r="G663" s="345" t="s">
        <v>464</v>
      </c>
      <c r="H663" s="345" t="s">
        <v>474</v>
      </c>
      <c r="I663" s="345">
        <v>39</v>
      </c>
      <c r="J663" s="345">
        <v>39</v>
      </c>
      <c r="K663" s="345">
        <v>39</v>
      </c>
      <c r="L663" s="345">
        <v>39</v>
      </c>
      <c r="M663" s="345">
        <v>39</v>
      </c>
      <c r="N663" s="345">
        <v>39</v>
      </c>
      <c r="O663" s="345">
        <v>39</v>
      </c>
      <c r="P663" s="345">
        <v>39</v>
      </c>
      <c r="Q663" s="345" t="s">
        <v>832</v>
      </c>
      <c r="R663" s="345" t="s">
        <v>434</v>
      </c>
    </row>
    <row r="664" spans="1:18" x14ac:dyDescent="0.2">
      <c r="A664" s="345" t="s">
        <v>829</v>
      </c>
      <c r="B664" s="345" t="s">
        <v>830</v>
      </c>
      <c r="C664" s="345" t="s">
        <v>513</v>
      </c>
      <c r="D664" s="345" t="s">
        <v>831</v>
      </c>
      <c r="E664" s="345" t="s">
        <v>430</v>
      </c>
      <c r="F664" s="345" t="s">
        <v>475</v>
      </c>
      <c r="G664" s="345" t="s">
        <v>443</v>
      </c>
      <c r="H664" s="345" t="s">
        <v>476</v>
      </c>
      <c r="I664" s="345">
        <v>0</v>
      </c>
      <c r="J664" s="345">
        <v>0</v>
      </c>
      <c r="K664" s="345">
        <v>0</v>
      </c>
      <c r="L664" s="345">
        <v>0</v>
      </c>
      <c r="M664" s="345">
        <v>0</v>
      </c>
      <c r="N664" s="345">
        <v>0</v>
      </c>
      <c r="O664" s="345">
        <v>0</v>
      </c>
      <c r="P664" s="345">
        <v>0</v>
      </c>
      <c r="Q664" s="345" t="s">
        <v>832</v>
      </c>
      <c r="R664" s="345" t="s">
        <v>437</v>
      </c>
    </row>
    <row r="665" spans="1:18" x14ac:dyDescent="0.2">
      <c r="A665" s="345" t="s">
        <v>829</v>
      </c>
      <c r="B665" s="345" t="s">
        <v>830</v>
      </c>
      <c r="C665" s="345" t="s">
        <v>513</v>
      </c>
      <c r="D665" s="345" t="s">
        <v>831</v>
      </c>
      <c r="E665" s="345" t="s">
        <v>430</v>
      </c>
      <c r="F665" s="345" t="s">
        <v>477</v>
      </c>
      <c r="G665" s="345" t="s">
        <v>464</v>
      </c>
      <c r="H665" s="345" t="s">
        <v>477</v>
      </c>
      <c r="I665" s="345">
        <v>73</v>
      </c>
      <c r="J665" s="345">
        <v>75</v>
      </c>
      <c r="K665" s="345">
        <v>97</v>
      </c>
      <c r="L665" s="345">
        <v>122</v>
      </c>
      <c r="M665" s="345">
        <v>157</v>
      </c>
      <c r="N665" s="345">
        <v>194</v>
      </c>
      <c r="O665" s="345">
        <v>218</v>
      </c>
      <c r="P665" s="345">
        <v>242</v>
      </c>
      <c r="Q665" s="345" t="s">
        <v>832</v>
      </c>
      <c r="R665" s="345" t="s">
        <v>434</v>
      </c>
    </row>
    <row r="666" spans="1:18" x14ac:dyDescent="0.2">
      <c r="A666" s="345" t="s">
        <v>829</v>
      </c>
      <c r="B666" s="345" t="s">
        <v>830</v>
      </c>
      <c r="C666" s="345" t="s">
        <v>513</v>
      </c>
      <c r="D666" s="345" t="s">
        <v>831</v>
      </c>
      <c r="E666" s="345" t="s">
        <v>430</v>
      </c>
      <c r="F666" s="345" t="s">
        <v>478</v>
      </c>
      <c r="G666" s="345" t="s">
        <v>432</v>
      </c>
      <c r="H666" s="345" t="s">
        <v>479</v>
      </c>
      <c r="I666" s="345">
        <v>51</v>
      </c>
      <c r="J666" s="345">
        <v>60</v>
      </c>
      <c r="K666" s="345">
        <v>76</v>
      </c>
      <c r="L666" s="345">
        <v>93</v>
      </c>
      <c r="M666" s="345">
        <v>112</v>
      </c>
      <c r="N666" s="345">
        <v>130</v>
      </c>
      <c r="O666" s="345">
        <v>141</v>
      </c>
      <c r="P666" s="345">
        <v>153</v>
      </c>
      <c r="Q666" s="345" t="s">
        <v>832</v>
      </c>
      <c r="R666" s="345" t="s">
        <v>434</v>
      </c>
    </row>
    <row r="667" spans="1:18" x14ac:dyDescent="0.2">
      <c r="A667" s="345" t="s">
        <v>829</v>
      </c>
      <c r="B667" s="345" t="s">
        <v>830</v>
      </c>
      <c r="C667" s="345" t="s">
        <v>513</v>
      </c>
      <c r="D667" s="345" t="s">
        <v>831</v>
      </c>
      <c r="E667" s="345" t="s">
        <v>430</v>
      </c>
      <c r="F667" s="345" t="s">
        <v>478</v>
      </c>
      <c r="G667" s="345" t="s">
        <v>440</v>
      </c>
      <c r="H667" s="345" t="s">
        <v>480</v>
      </c>
      <c r="I667" s="345">
        <v>18</v>
      </c>
      <c r="J667" s="345">
        <v>20</v>
      </c>
      <c r="K667" s="345">
        <v>30</v>
      </c>
      <c r="L667" s="345">
        <v>39</v>
      </c>
      <c r="M667" s="345">
        <v>48</v>
      </c>
      <c r="N667" s="345">
        <v>57</v>
      </c>
      <c r="O667" s="345">
        <v>61</v>
      </c>
      <c r="P667" s="345">
        <v>66</v>
      </c>
      <c r="Q667" s="345" t="s">
        <v>832</v>
      </c>
      <c r="R667" s="345" t="s">
        <v>434</v>
      </c>
    </row>
    <row r="668" spans="1:18" x14ac:dyDescent="0.2">
      <c r="A668" s="345" t="s">
        <v>829</v>
      </c>
      <c r="B668" s="345" t="s">
        <v>830</v>
      </c>
      <c r="C668" s="345" t="s">
        <v>513</v>
      </c>
      <c r="D668" s="345" t="s">
        <v>831</v>
      </c>
      <c r="E668" s="345" t="s">
        <v>430</v>
      </c>
      <c r="F668" s="345" t="s">
        <v>478</v>
      </c>
      <c r="G668" s="345" t="s">
        <v>470</v>
      </c>
      <c r="H668" s="345" t="s">
        <v>481</v>
      </c>
      <c r="I668" s="345">
        <v>27</v>
      </c>
      <c r="J668" s="345">
        <v>30</v>
      </c>
      <c r="K668" s="345">
        <v>42</v>
      </c>
      <c r="L668" s="345">
        <v>57</v>
      </c>
      <c r="M668" s="345">
        <v>69</v>
      </c>
      <c r="N668" s="345">
        <v>81</v>
      </c>
      <c r="O668" s="345">
        <v>87</v>
      </c>
      <c r="P668" s="345">
        <v>96</v>
      </c>
      <c r="Q668" s="345" t="s">
        <v>832</v>
      </c>
      <c r="R668" s="345" t="s">
        <v>434</v>
      </c>
    </row>
    <row r="669" spans="1:18" x14ac:dyDescent="0.2">
      <c r="A669" s="345" t="s">
        <v>833</v>
      </c>
      <c r="B669" s="345" t="s">
        <v>834</v>
      </c>
      <c r="C669" s="345" t="s">
        <v>835</v>
      </c>
      <c r="D669" s="345" t="s">
        <v>836</v>
      </c>
      <c r="E669" s="345" t="s">
        <v>430</v>
      </c>
      <c r="F669" s="345" t="s">
        <v>431</v>
      </c>
      <c r="G669" s="345" t="s">
        <v>432</v>
      </c>
      <c r="H669" s="345" t="s">
        <v>433</v>
      </c>
      <c r="I669" s="345">
        <v>27</v>
      </c>
      <c r="J669" s="345">
        <v>33</v>
      </c>
      <c r="K669" s="345">
        <v>50</v>
      </c>
      <c r="L669" s="345">
        <v>69</v>
      </c>
      <c r="M669" s="345">
        <v>85</v>
      </c>
      <c r="N669" s="345">
        <v>100</v>
      </c>
      <c r="O669" s="345">
        <v>133</v>
      </c>
      <c r="P669" s="345">
        <v>0</v>
      </c>
      <c r="Q669" s="345" t="s">
        <v>837</v>
      </c>
      <c r="R669" s="345" t="s">
        <v>434</v>
      </c>
    </row>
    <row r="670" spans="1:18" x14ac:dyDescent="0.2">
      <c r="A670" s="345" t="s">
        <v>833</v>
      </c>
      <c r="B670" s="345" t="s">
        <v>834</v>
      </c>
      <c r="C670" s="345" t="s">
        <v>835</v>
      </c>
      <c r="D670" s="345" t="s">
        <v>836</v>
      </c>
      <c r="E670" s="345" t="s">
        <v>430</v>
      </c>
      <c r="F670" s="345" t="s">
        <v>431</v>
      </c>
      <c r="G670" s="345" t="s">
        <v>435</v>
      </c>
      <c r="H670" s="345" t="s">
        <v>436</v>
      </c>
      <c r="I670" s="345">
        <v>0</v>
      </c>
      <c r="J670" s="345">
        <v>0</v>
      </c>
      <c r="K670" s="345">
        <v>0</v>
      </c>
      <c r="L670" s="345">
        <v>0</v>
      </c>
      <c r="M670" s="345">
        <v>0</v>
      </c>
      <c r="N670" s="345">
        <v>0</v>
      </c>
      <c r="O670" s="345">
        <v>0</v>
      </c>
      <c r="P670" s="345">
        <v>0</v>
      </c>
      <c r="Q670" s="345" t="s">
        <v>837</v>
      </c>
      <c r="R670" s="345" t="s">
        <v>437</v>
      </c>
    </row>
    <row r="671" spans="1:18" x14ac:dyDescent="0.2">
      <c r="A671" s="345" t="s">
        <v>833</v>
      </c>
      <c r="B671" s="345" t="s">
        <v>834</v>
      </c>
      <c r="C671" s="345" t="s">
        <v>835</v>
      </c>
      <c r="D671" s="345" t="s">
        <v>836</v>
      </c>
      <c r="E671" s="345" t="s">
        <v>430</v>
      </c>
      <c r="F671" s="345" t="s">
        <v>438</v>
      </c>
      <c r="G671" s="345" t="s">
        <v>432</v>
      </c>
      <c r="H671" s="345" t="s">
        <v>439</v>
      </c>
      <c r="I671" s="345">
        <v>13</v>
      </c>
      <c r="J671" s="345">
        <v>16</v>
      </c>
      <c r="K671" s="345">
        <v>23</v>
      </c>
      <c r="L671" s="345">
        <v>32</v>
      </c>
      <c r="M671" s="345">
        <v>44</v>
      </c>
      <c r="N671" s="345">
        <v>52</v>
      </c>
      <c r="O671" s="345">
        <v>61</v>
      </c>
      <c r="P671" s="345">
        <v>0</v>
      </c>
      <c r="Q671" s="345" t="s">
        <v>837</v>
      </c>
      <c r="R671" s="345" t="s">
        <v>434</v>
      </c>
    </row>
    <row r="672" spans="1:18" x14ac:dyDescent="0.2">
      <c r="A672" s="345" t="s">
        <v>833</v>
      </c>
      <c r="B672" s="345" t="s">
        <v>834</v>
      </c>
      <c r="C672" s="345" t="s">
        <v>835</v>
      </c>
      <c r="D672" s="345" t="s">
        <v>836</v>
      </c>
      <c r="E672" s="345" t="s">
        <v>430</v>
      </c>
      <c r="F672" s="345" t="s">
        <v>438</v>
      </c>
      <c r="G672" s="345" t="s">
        <v>440</v>
      </c>
      <c r="H672" s="345" t="s">
        <v>441</v>
      </c>
      <c r="I672" s="345">
        <v>4</v>
      </c>
      <c r="J672" s="345">
        <v>5</v>
      </c>
      <c r="K672" s="345">
        <v>7</v>
      </c>
      <c r="L672" s="345">
        <v>9</v>
      </c>
      <c r="M672" s="345">
        <v>11</v>
      </c>
      <c r="N672" s="345">
        <v>13</v>
      </c>
      <c r="O672" s="345">
        <v>14</v>
      </c>
      <c r="P672" s="345">
        <v>0</v>
      </c>
      <c r="Q672" s="345" t="s">
        <v>837</v>
      </c>
      <c r="R672" s="345" t="s">
        <v>434</v>
      </c>
    </row>
    <row r="673" spans="1:18" x14ac:dyDescent="0.2">
      <c r="A673" s="345" t="s">
        <v>833</v>
      </c>
      <c r="B673" s="345" t="s">
        <v>834</v>
      </c>
      <c r="C673" s="345" t="s">
        <v>835</v>
      </c>
      <c r="D673" s="345" t="s">
        <v>836</v>
      </c>
      <c r="E673" s="345" t="s">
        <v>430</v>
      </c>
      <c r="F673" s="345" t="s">
        <v>442</v>
      </c>
      <c r="G673" s="345" t="s">
        <v>443</v>
      </c>
      <c r="H673" s="345" t="s">
        <v>444</v>
      </c>
      <c r="I673" s="345">
        <v>0</v>
      </c>
      <c r="J673" s="345">
        <v>0</v>
      </c>
      <c r="K673" s="345">
        <v>0</v>
      </c>
      <c r="L673" s="345">
        <v>0</v>
      </c>
      <c r="M673" s="345">
        <v>0</v>
      </c>
      <c r="N673" s="345">
        <v>0</v>
      </c>
      <c r="O673" s="345">
        <v>0</v>
      </c>
      <c r="P673" s="345">
        <v>0</v>
      </c>
      <c r="Q673" s="345" t="s">
        <v>837</v>
      </c>
      <c r="R673" s="345" t="s">
        <v>437</v>
      </c>
    </row>
    <row r="674" spans="1:18" x14ac:dyDescent="0.2">
      <c r="A674" s="345" t="s">
        <v>833</v>
      </c>
      <c r="B674" s="345" t="s">
        <v>834</v>
      </c>
      <c r="C674" s="345" t="s">
        <v>835</v>
      </c>
      <c r="D674" s="345" t="s">
        <v>836</v>
      </c>
      <c r="E674" s="345" t="s">
        <v>430</v>
      </c>
      <c r="F674" s="345" t="s">
        <v>445</v>
      </c>
      <c r="G674" s="345" t="s">
        <v>443</v>
      </c>
      <c r="H674" s="345" t="s">
        <v>446</v>
      </c>
      <c r="I674" s="345">
        <v>0</v>
      </c>
      <c r="J674" s="345">
        <v>0</v>
      </c>
      <c r="K674" s="345">
        <v>0</v>
      </c>
      <c r="L674" s="345">
        <v>0</v>
      </c>
      <c r="M674" s="345">
        <v>0</v>
      </c>
      <c r="N674" s="345">
        <v>0</v>
      </c>
      <c r="O674" s="345">
        <v>0</v>
      </c>
      <c r="P674" s="345">
        <v>0</v>
      </c>
      <c r="Q674" s="345" t="s">
        <v>837</v>
      </c>
      <c r="R674" s="345" t="s">
        <v>437</v>
      </c>
    </row>
    <row r="675" spans="1:18" x14ac:dyDescent="0.2">
      <c r="A675" s="345" t="s">
        <v>833</v>
      </c>
      <c r="B675" s="345" t="s">
        <v>834</v>
      </c>
      <c r="C675" s="345" t="s">
        <v>835</v>
      </c>
      <c r="D675" s="345" t="s">
        <v>836</v>
      </c>
      <c r="E675" s="345" t="s">
        <v>430</v>
      </c>
      <c r="F675" s="345" t="s">
        <v>447</v>
      </c>
      <c r="G675" s="345" t="s">
        <v>443</v>
      </c>
      <c r="H675" s="345" t="s">
        <v>448</v>
      </c>
      <c r="I675" s="345">
        <v>0</v>
      </c>
      <c r="J675" s="345">
        <v>0</v>
      </c>
      <c r="K675" s="345">
        <v>0</v>
      </c>
      <c r="L675" s="345">
        <v>0</v>
      </c>
      <c r="M675" s="345">
        <v>0</v>
      </c>
      <c r="N675" s="345">
        <v>0</v>
      </c>
      <c r="O675" s="345">
        <v>0</v>
      </c>
      <c r="P675" s="345">
        <v>0</v>
      </c>
      <c r="Q675" s="345" t="s">
        <v>837</v>
      </c>
      <c r="R675" s="345" t="s">
        <v>437</v>
      </c>
    </row>
    <row r="676" spans="1:18" x14ac:dyDescent="0.2">
      <c r="A676" s="345" t="s">
        <v>833</v>
      </c>
      <c r="B676" s="345" t="s">
        <v>834</v>
      </c>
      <c r="C676" s="345" t="s">
        <v>835</v>
      </c>
      <c r="D676" s="345" t="s">
        <v>836</v>
      </c>
      <c r="E676" s="345" t="s">
        <v>430</v>
      </c>
      <c r="F676" s="345" t="s">
        <v>449</v>
      </c>
      <c r="G676" s="345" t="s">
        <v>450</v>
      </c>
      <c r="H676" s="345" t="s">
        <v>451</v>
      </c>
      <c r="I676" s="345">
        <v>0</v>
      </c>
      <c r="J676" s="345">
        <v>0</v>
      </c>
      <c r="K676" s="345">
        <v>0</v>
      </c>
      <c r="L676" s="345">
        <v>0</v>
      </c>
      <c r="M676" s="345">
        <v>0</v>
      </c>
      <c r="N676" s="345">
        <v>0</v>
      </c>
      <c r="O676" s="345">
        <v>0</v>
      </c>
      <c r="P676" s="345">
        <v>0</v>
      </c>
      <c r="Q676" s="345" t="s">
        <v>837</v>
      </c>
      <c r="R676" s="345" t="s">
        <v>437</v>
      </c>
    </row>
    <row r="677" spans="1:18" x14ac:dyDescent="0.2">
      <c r="A677" s="345" t="s">
        <v>833</v>
      </c>
      <c r="B677" s="345" t="s">
        <v>834</v>
      </c>
      <c r="C677" s="345" t="s">
        <v>835</v>
      </c>
      <c r="D677" s="345" t="s">
        <v>836</v>
      </c>
      <c r="E677" s="345" t="s">
        <v>430</v>
      </c>
      <c r="F677" s="345" t="s">
        <v>449</v>
      </c>
      <c r="G677" s="345" t="s">
        <v>452</v>
      </c>
      <c r="H677" s="345" t="s">
        <v>453</v>
      </c>
      <c r="I677" s="345">
        <v>0</v>
      </c>
      <c r="J677" s="345">
        <v>0</v>
      </c>
      <c r="K677" s="345">
        <v>0</v>
      </c>
      <c r="L677" s="345">
        <v>0</v>
      </c>
      <c r="M677" s="345">
        <v>0</v>
      </c>
      <c r="N677" s="345">
        <v>0</v>
      </c>
      <c r="O677" s="345">
        <v>0</v>
      </c>
      <c r="P677" s="345">
        <v>0</v>
      </c>
      <c r="Q677" s="345" t="s">
        <v>837</v>
      </c>
      <c r="R677" s="345" t="s">
        <v>437</v>
      </c>
    </row>
    <row r="678" spans="1:18" x14ac:dyDescent="0.2">
      <c r="A678" s="345" t="s">
        <v>833</v>
      </c>
      <c r="B678" s="345" t="s">
        <v>834</v>
      </c>
      <c r="C678" s="345" t="s">
        <v>835</v>
      </c>
      <c r="D678" s="345" t="s">
        <v>836</v>
      </c>
      <c r="E678" s="345" t="s">
        <v>430</v>
      </c>
      <c r="F678" s="345" t="s">
        <v>449</v>
      </c>
      <c r="G678" s="345" t="s">
        <v>454</v>
      </c>
      <c r="H678" s="345" t="s">
        <v>455</v>
      </c>
      <c r="I678" s="345">
        <v>0</v>
      </c>
      <c r="J678" s="345">
        <v>0</v>
      </c>
      <c r="K678" s="345">
        <v>0</v>
      </c>
      <c r="L678" s="345">
        <v>0</v>
      </c>
      <c r="M678" s="345">
        <v>0</v>
      </c>
      <c r="N678" s="345">
        <v>0</v>
      </c>
      <c r="O678" s="345">
        <v>0</v>
      </c>
      <c r="P678" s="345">
        <v>0</v>
      </c>
      <c r="Q678" s="345" t="s">
        <v>837</v>
      </c>
      <c r="R678" s="345" t="s">
        <v>437</v>
      </c>
    </row>
    <row r="679" spans="1:18" x14ac:dyDescent="0.2">
      <c r="A679" s="345" t="s">
        <v>833</v>
      </c>
      <c r="B679" s="345" t="s">
        <v>834</v>
      </c>
      <c r="C679" s="345" t="s">
        <v>835</v>
      </c>
      <c r="D679" s="345" t="s">
        <v>836</v>
      </c>
      <c r="E679" s="345" t="s">
        <v>430</v>
      </c>
      <c r="F679" s="345" t="s">
        <v>456</v>
      </c>
      <c r="G679" s="345" t="s">
        <v>457</v>
      </c>
      <c r="H679" s="345" t="s">
        <v>458</v>
      </c>
      <c r="I679" s="345">
        <v>51</v>
      </c>
      <c r="J679" s="345">
        <v>60</v>
      </c>
      <c r="K679" s="345">
        <v>83</v>
      </c>
      <c r="L679" s="345">
        <v>107</v>
      </c>
      <c r="M679" s="345">
        <v>131</v>
      </c>
      <c r="N679" s="345">
        <v>159</v>
      </c>
      <c r="O679" s="345">
        <v>180</v>
      </c>
      <c r="P679" s="345">
        <v>0</v>
      </c>
      <c r="Q679" s="345" t="s">
        <v>837</v>
      </c>
      <c r="R679" s="345" t="s">
        <v>434</v>
      </c>
    </row>
    <row r="680" spans="1:18" x14ac:dyDescent="0.2">
      <c r="A680" s="345" t="s">
        <v>833</v>
      </c>
      <c r="B680" s="345" t="s">
        <v>834</v>
      </c>
      <c r="C680" s="345" t="s">
        <v>835</v>
      </c>
      <c r="D680" s="345" t="s">
        <v>836</v>
      </c>
      <c r="E680" s="345" t="s">
        <v>430</v>
      </c>
      <c r="F680" s="345" t="s">
        <v>459</v>
      </c>
      <c r="G680" s="345" t="s">
        <v>443</v>
      </c>
      <c r="H680" s="345" t="s">
        <v>460</v>
      </c>
      <c r="I680" s="345">
        <v>6</v>
      </c>
      <c r="J680" s="345">
        <v>6</v>
      </c>
      <c r="K680" s="345">
        <v>6</v>
      </c>
      <c r="L680" s="345">
        <v>6</v>
      </c>
      <c r="M680" s="345">
        <v>6</v>
      </c>
      <c r="N680" s="345">
        <v>6</v>
      </c>
      <c r="O680" s="345">
        <v>6</v>
      </c>
      <c r="P680" s="345">
        <v>0</v>
      </c>
      <c r="Q680" s="345" t="s">
        <v>837</v>
      </c>
      <c r="R680" s="345" t="s">
        <v>434</v>
      </c>
    </row>
    <row r="681" spans="1:18" x14ac:dyDescent="0.2">
      <c r="A681" s="345" t="s">
        <v>833</v>
      </c>
      <c r="B681" s="345" t="s">
        <v>834</v>
      </c>
      <c r="C681" s="345" t="s">
        <v>835</v>
      </c>
      <c r="D681" s="345" t="s">
        <v>836</v>
      </c>
      <c r="E681" s="345" t="s">
        <v>430</v>
      </c>
      <c r="F681" s="345" t="s">
        <v>461</v>
      </c>
      <c r="G681" s="345" t="s">
        <v>443</v>
      </c>
      <c r="H681" s="345" t="s">
        <v>462</v>
      </c>
      <c r="I681" s="345">
        <v>4</v>
      </c>
      <c r="J681" s="345">
        <v>4</v>
      </c>
      <c r="K681" s="345">
        <v>4</v>
      </c>
      <c r="L681" s="345">
        <v>4</v>
      </c>
      <c r="M681" s="345">
        <v>4</v>
      </c>
      <c r="N681" s="345">
        <v>4</v>
      </c>
      <c r="O681" s="345">
        <v>4</v>
      </c>
      <c r="P681" s="345">
        <v>0</v>
      </c>
      <c r="Q681" s="345" t="s">
        <v>837</v>
      </c>
      <c r="R681" s="345" t="s">
        <v>434</v>
      </c>
    </row>
    <row r="682" spans="1:18" x14ac:dyDescent="0.2">
      <c r="A682" s="345" t="s">
        <v>833</v>
      </c>
      <c r="B682" s="345" t="s">
        <v>834</v>
      </c>
      <c r="C682" s="345" t="s">
        <v>835</v>
      </c>
      <c r="D682" s="345" t="s">
        <v>836</v>
      </c>
      <c r="E682" s="345" t="s">
        <v>430</v>
      </c>
      <c r="F682" s="345" t="s">
        <v>463</v>
      </c>
      <c r="G682" s="345" t="s">
        <v>464</v>
      </c>
      <c r="H682" s="345" t="s">
        <v>463</v>
      </c>
      <c r="I682" s="345">
        <v>40</v>
      </c>
      <c r="J682" s="345">
        <v>40</v>
      </c>
      <c r="K682" s="345">
        <v>40</v>
      </c>
      <c r="L682" s="345">
        <v>40</v>
      </c>
      <c r="M682" s="345">
        <v>40</v>
      </c>
      <c r="N682" s="345">
        <v>40</v>
      </c>
      <c r="O682" s="345">
        <v>40</v>
      </c>
      <c r="P682" s="345">
        <v>0</v>
      </c>
      <c r="Q682" s="345" t="s">
        <v>837</v>
      </c>
      <c r="R682" s="345" t="s">
        <v>434</v>
      </c>
    </row>
    <row r="683" spans="1:18" x14ac:dyDescent="0.2">
      <c r="A683" s="345" t="s">
        <v>833</v>
      </c>
      <c r="B683" s="345" t="s">
        <v>834</v>
      </c>
      <c r="C683" s="345" t="s">
        <v>835</v>
      </c>
      <c r="D683" s="345" t="s">
        <v>836</v>
      </c>
      <c r="E683" s="345" t="s">
        <v>430</v>
      </c>
      <c r="F683" s="345" t="s">
        <v>465</v>
      </c>
      <c r="G683" s="345" t="s">
        <v>432</v>
      </c>
      <c r="H683" s="345" t="s">
        <v>466</v>
      </c>
      <c r="I683" s="345">
        <v>32</v>
      </c>
      <c r="J683" s="345">
        <v>40</v>
      </c>
      <c r="K683" s="345">
        <v>53</v>
      </c>
      <c r="L683" s="345">
        <v>63</v>
      </c>
      <c r="M683" s="345">
        <v>74</v>
      </c>
      <c r="N683" s="345">
        <v>84</v>
      </c>
      <c r="O683" s="345">
        <v>95</v>
      </c>
      <c r="P683" s="345">
        <v>0</v>
      </c>
      <c r="Q683" s="345" t="s">
        <v>837</v>
      </c>
      <c r="R683" s="345" t="s">
        <v>434</v>
      </c>
    </row>
    <row r="684" spans="1:18" x14ac:dyDescent="0.2">
      <c r="A684" s="345" t="s">
        <v>833</v>
      </c>
      <c r="B684" s="345" t="s">
        <v>834</v>
      </c>
      <c r="C684" s="345" t="s">
        <v>835</v>
      </c>
      <c r="D684" s="345" t="s">
        <v>836</v>
      </c>
      <c r="E684" s="345" t="s">
        <v>430</v>
      </c>
      <c r="F684" s="345" t="s">
        <v>465</v>
      </c>
      <c r="G684" s="345" t="s">
        <v>467</v>
      </c>
      <c r="H684" s="345" t="s">
        <v>468</v>
      </c>
      <c r="I684" s="345">
        <v>0</v>
      </c>
      <c r="J684" s="345">
        <v>0</v>
      </c>
      <c r="K684" s="345">
        <v>0</v>
      </c>
      <c r="L684" s="345">
        <v>0</v>
      </c>
      <c r="M684" s="345">
        <v>0</v>
      </c>
      <c r="N684" s="345">
        <v>0</v>
      </c>
      <c r="O684" s="345">
        <v>0</v>
      </c>
      <c r="P684" s="345">
        <v>0</v>
      </c>
      <c r="Q684" s="345" t="s">
        <v>837</v>
      </c>
      <c r="R684" s="345" t="s">
        <v>437</v>
      </c>
    </row>
    <row r="685" spans="1:18" x14ac:dyDescent="0.2">
      <c r="A685" s="345" t="s">
        <v>833</v>
      </c>
      <c r="B685" s="345" t="s">
        <v>834</v>
      </c>
      <c r="C685" s="345" t="s">
        <v>835</v>
      </c>
      <c r="D685" s="345" t="s">
        <v>836</v>
      </c>
      <c r="E685" s="345" t="s">
        <v>430</v>
      </c>
      <c r="F685" s="345" t="s">
        <v>465</v>
      </c>
      <c r="G685" s="345" t="s">
        <v>440</v>
      </c>
      <c r="H685" s="345" t="s">
        <v>469</v>
      </c>
      <c r="I685" s="345">
        <v>24</v>
      </c>
      <c r="J685" s="345">
        <v>28</v>
      </c>
      <c r="K685" s="345">
        <v>30</v>
      </c>
      <c r="L685" s="345">
        <v>33</v>
      </c>
      <c r="M685" s="345">
        <v>37</v>
      </c>
      <c r="N685" s="345">
        <v>40</v>
      </c>
      <c r="O685" s="345">
        <v>42</v>
      </c>
      <c r="P685" s="345">
        <v>0</v>
      </c>
      <c r="Q685" s="345" t="s">
        <v>837</v>
      </c>
      <c r="R685" s="345" t="s">
        <v>434</v>
      </c>
    </row>
    <row r="686" spans="1:18" x14ac:dyDescent="0.2">
      <c r="A686" s="345" t="s">
        <v>833</v>
      </c>
      <c r="B686" s="345" t="s">
        <v>834</v>
      </c>
      <c r="C686" s="345" t="s">
        <v>835</v>
      </c>
      <c r="D686" s="345" t="s">
        <v>836</v>
      </c>
      <c r="E686" s="345" t="s">
        <v>430</v>
      </c>
      <c r="F686" s="345" t="s">
        <v>465</v>
      </c>
      <c r="G686" s="345" t="s">
        <v>470</v>
      </c>
      <c r="H686" s="345" t="s">
        <v>471</v>
      </c>
      <c r="I686" s="345">
        <v>58</v>
      </c>
      <c r="J686" s="345">
        <v>68</v>
      </c>
      <c r="K686" s="345">
        <v>73</v>
      </c>
      <c r="L686" s="345">
        <v>80</v>
      </c>
      <c r="M686" s="345">
        <v>90</v>
      </c>
      <c r="N686" s="345">
        <v>97</v>
      </c>
      <c r="O686" s="345">
        <v>102</v>
      </c>
      <c r="P686" s="345">
        <v>0</v>
      </c>
      <c r="Q686" s="345" t="s">
        <v>837</v>
      </c>
      <c r="R686" s="345" t="s">
        <v>434</v>
      </c>
    </row>
    <row r="687" spans="1:18" x14ac:dyDescent="0.2">
      <c r="A687" s="345" t="s">
        <v>833</v>
      </c>
      <c r="B687" s="345" t="s">
        <v>834</v>
      </c>
      <c r="C687" s="345" t="s">
        <v>835</v>
      </c>
      <c r="D687" s="345" t="s">
        <v>836</v>
      </c>
      <c r="E687" s="345" t="s">
        <v>430</v>
      </c>
      <c r="F687" s="345" t="s">
        <v>465</v>
      </c>
      <c r="G687" s="345" t="s">
        <v>472</v>
      </c>
      <c r="H687" s="345" t="s">
        <v>473</v>
      </c>
      <c r="I687" s="345">
        <v>0</v>
      </c>
      <c r="J687" s="345">
        <v>0</v>
      </c>
      <c r="K687" s="345">
        <v>0</v>
      </c>
      <c r="L687" s="345">
        <v>0</v>
      </c>
      <c r="M687" s="345">
        <v>0</v>
      </c>
      <c r="N687" s="345">
        <v>0</v>
      </c>
      <c r="O687" s="345">
        <v>0</v>
      </c>
      <c r="P687" s="345">
        <v>0</v>
      </c>
      <c r="Q687" s="345" t="s">
        <v>837</v>
      </c>
      <c r="R687" s="345" t="s">
        <v>437</v>
      </c>
    </row>
    <row r="688" spans="1:18" x14ac:dyDescent="0.2">
      <c r="A688" s="345" t="s">
        <v>833</v>
      </c>
      <c r="B688" s="345" t="s">
        <v>834</v>
      </c>
      <c r="C688" s="345" t="s">
        <v>835</v>
      </c>
      <c r="D688" s="345" t="s">
        <v>836</v>
      </c>
      <c r="E688" s="345" t="s">
        <v>430</v>
      </c>
      <c r="F688" s="345" t="s">
        <v>474</v>
      </c>
      <c r="G688" s="345" t="s">
        <v>464</v>
      </c>
      <c r="H688" s="345" t="s">
        <v>474</v>
      </c>
      <c r="I688" s="345">
        <v>28</v>
      </c>
      <c r="J688" s="345">
        <v>28</v>
      </c>
      <c r="K688" s="345">
        <v>28</v>
      </c>
      <c r="L688" s="345">
        <v>28</v>
      </c>
      <c r="M688" s="345">
        <v>28</v>
      </c>
      <c r="N688" s="345">
        <v>28</v>
      </c>
      <c r="O688" s="345">
        <v>28</v>
      </c>
      <c r="P688" s="345">
        <v>0</v>
      </c>
      <c r="Q688" s="345" t="s">
        <v>837</v>
      </c>
      <c r="R688" s="345" t="s">
        <v>434</v>
      </c>
    </row>
    <row r="689" spans="1:18" x14ac:dyDescent="0.2">
      <c r="A689" s="345" t="s">
        <v>833</v>
      </c>
      <c r="B689" s="345" t="s">
        <v>834</v>
      </c>
      <c r="C689" s="345" t="s">
        <v>835</v>
      </c>
      <c r="D689" s="345" t="s">
        <v>836</v>
      </c>
      <c r="E689" s="345" t="s">
        <v>430</v>
      </c>
      <c r="F689" s="345" t="s">
        <v>475</v>
      </c>
      <c r="G689" s="345" t="s">
        <v>443</v>
      </c>
      <c r="H689" s="345" t="s">
        <v>476</v>
      </c>
      <c r="I689" s="345">
        <v>0</v>
      </c>
      <c r="J689" s="345">
        <v>0</v>
      </c>
      <c r="K689" s="345">
        <v>0</v>
      </c>
      <c r="L689" s="345">
        <v>0</v>
      </c>
      <c r="M689" s="345">
        <v>0</v>
      </c>
      <c r="N689" s="345">
        <v>0</v>
      </c>
      <c r="O689" s="345">
        <v>0</v>
      </c>
      <c r="P689" s="345">
        <v>0</v>
      </c>
      <c r="Q689" s="345" t="s">
        <v>837</v>
      </c>
      <c r="R689" s="345" t="s">
        <v>437</v>
      </c>
    </row>
    <row r="690" spans="1:18" x14ac:dyDescent="0.2">
      <c r="A690" s="345" t="s">
        <v>833</v>
      </c>
      <c r="B690" s="345" t="s">
        <v>834</v>
      </c>
      <c r="C690" s="345" t="s">
        <v>835</v>
      </c>
      <c r="D690" s="345" t="s">
        <v>836</v>
      </c>
      <c r="E690" s="345" t="s">
        <v>430</v>
      </c>
      <c r="F690" s="345" t="s">
        <v>477</v>
      </c>
      <c r="G690" s="345" t="s">
        <v>464</v>
      </c>
      <c r="H690" s="345" t="s">
        <v>477</v>
      </c>
      <c r="I690" s="345">
        <v>47</v>
      </c>
      <c r="J690" s="345">
        <v>49</v>
      </c>
      <c r="K690" s="345">
        <v>64</v>
      </c>
      <c r="L690" s="345">
        <v>87</v>
      </c>
      <c r="M690" s="345">
        <v>110</v>
      </c>
      <c r="N690" s="345">
        <v>132</v>
      </c>
      <c r="O690" s="345">
        <v>149</v>
      </c>
      <c r="P690" s="345">
        <v>0</v>
      </c>
      <c r="Q690" s="345" t="s">
        <v>837</v>
      </c>
      <c r="R690" s="345" t="s">
        <v>434</v>
      </c>
    </row>
    <row r="691" spans="1:18" x14ac:dyDescent="0.2">
      <c r="A691" s="345" t="s">
        <v>833</v>
      </c>
      <c r="B691" s="345" t="s">
        <v>834</v>
      </c>
      <c r="C691" s="345" t="s">
        <v>835</v>
      </c>
      <c r="D691" s="345" t="s">
        <v>836</v>
      </c>
      <c r="E691" s="345" t="s">
        <v>430</v>
      </c>
      <c r="F691" s="345" t="s">
        <v>478</v>
      </c>
      <c r="G691" s="345" t="s">
        <v>432</v>
      </c>
      <c r="H691" s="345" t="s">
        <v>479</v>
      </c>
      <c r="I691" s="345">
        <v>31</v>
      </c>
      <c r="J691" s="345">
        <v>36</v>
      </c>
      <c r="K691" s="345">
        <v>52</v>
      </c>
      <c r="L691" s="345">
        <v>67</v>
      </c>
      <c r="M691" s="345">
        <v>82</v>
      </c>
      <c r="N691" s="345">
        <v>98</v>
      </c>
      <c r="O691" s="345">
        <v>112</v>
      </c>
      <c r="P691" s="345">
        <v>0</v>
      </c>
      <c r="Q691" s="345" t="s">
        <v>837</v>
      </c>
      <c r="R691" s="345" t="s">
        <v>434</v>
      </c>
    </row>
    <row r="692" spans="1:18" x14ac:dyDescent="0.2">
      <c r="A692" s="345" t="s">
        <v>833</v>
      </c>
      <c r="B692" s="345" t="s">
        <v>834</v>
      </c>
      <c r="C692" s="345" t="s">
        <v>835</v>
      </c>
      <c r="D692" s="345" t="s">
        <v>836</v>
      </c>
      <c r="E692" s="345" t="s">
        <v>430</v>
      </c>
      <c r="F692" s="345" t="s">
        <v>478</v>
      </c>
      <c r="G692" s="345" t="s">
        <v>440</v>
      </c>
      <c r="H692" s="345" t="s">
        <v>480</v>
      </c>
      <c r="I692" s="345">
        <v>9</v>
      </c>
      <c r="J692" s="345">
        <v>10</v>
      </c>
      <c r="K692" s="345">
        <v>15</v>
      </c>
      <c r="L692" s="345">
        <v>21</v>
      </c>
      <c r="M692" s="345">
        <v>26</v>
      </c>
      <c r="N692" s="345">
        <v>32</v>
      </c>
      <c r="O692" s="345">
        <v>34</v>
      </c>
      <c r="P692" s="345">
        <v>0</v>
      </c>
      <c r="Q692" s="345" t="s">
        <v>837</v>
      </c>
      <c r="R692" s="345" t="s">
        <v>434</v>
      </c>
    </row>
    <row r="693" spans="1:18" x14ac:dyDescent="0.2">
      <c r="A693" s="345" t="s">
        <v>833</v>
      </c>
      <c r="B693" s="345" t="s">
        <v>834</v>
      </c>
      <c r="C693" s="345" t="s">
        <v>835</v>
      </c>
      <c r="D693" s="345" t="s">
        <v>836</v>
      </c>
      <c r="E693" s="345" t="s">
        <v>430</v>
      </c>
      <c r="F693" s="345" t="s">
        <v>478</v>
      </c>
      <c r="G693" s="345" t="s">
        <v>470</v>
      </c>
      <c r="H693" s="345" t="s">
        <v>481</v>
      </c>
      <c r="I693" s="345">
        <v>22</v>
      </c>
      <c r="J693" s="345">
        <v>24</v>
      </c>
      <c r="K693" s="345">
        <v>36</v>
      </c>
      <c r="L693" s="345">
        <v>51</v>
      </c>
      <c r="M693" s="345">
        <v>63</v>
      </c>
      <c r="N693" s="345">
        <v>77</v>
      </c>
      <c r="O693" s="345">
        <v>83</v>
      </c>
      <c r="P693" s="345">
        <v>0</v>
      </c>
      <c r="Q693" s="345" t="s">
        <v>837</v>
      </c>
      <c r="R693" s="345" t="s">
        <v>434</v>
      </c>
    </row>
    <row r="694" spans="1:18" x14ac:dyDescent="0.2">
      <c r="A694" s="345" t="s">
        <v>838</v>
      </c>
      <c r="B694" s="345" t="s">
        <v>839</v>
      </c>
      <c r="C694" s="345" t="s">
        <v>793</v>
      </c>
      <c r="D694" s="345" t="s">
        <v>840</v>
      </c>
      <c r="E694" s="345" t="s">
        <v>430</v>
      </c>
      <c r="F694" s="345" t="s">
        <v>431</v>
      </c>
      <c r="G694" s="345" t="s">
        <v>432</v>
      </c>
      <c r="H694" s="345" t="s">
        <v>433</v>
      </c>
      <c r="I694" s="345">
        <v>22</v>
      </c>
      <c r="J694" s="345">
        <v>26</v>
      </c>
      <c r="K694" s="345">
        <v>36</v>
      </c>
      <c r="L694" s="345">
        <v>46</v>
      </c>
      <c r="M694" s="345">
        <v>56</v>
      </c>
      <c r="N694" s="345">
        <v>66</v>
      </c>
      <c r="O694" s="345">
        <v>0</v>
      </c>
      <c r="P694" s="345">
        <v>0</v>
      </c>
      <c r="Q694" s="345" t="s">
        <v>841</v>
      </c>
      <c r="R694" s="345" t="s">
        <v>434</v>
      </c>
    </row>
    <row r="695" spans="1:18" x14ac:dyDescent="0.2">
      <c r="A695" s="345" t="s">
        <v>838</v>
      </c>
      <c r="B695" s="345" t="s">
        <v>839</v>
      </c>
      <c r="C695" s="345" t="s">
        <v>793</v>
      </c>
      <c r="D695" s="345" t="s">
        <v>840</v>
      </c>
      <c r="E695" s="345" t="s">
        <v>430</v>
      </c>
      <c r="F695" s="345" t="s">
        <v>431</v>
      </c>
      <c r="G695" s="345" t="s">
        <v>435</v>
      </c>
      <c r="H695" s="345" t="s">
        <v>436</v>
      </c>
      <c r="I695" s="345">
        <v>0</v>
      </c>
      <c r="J695" s="345">
        <v>0</v>
      </c>
      <c r="K695" s="345">
        <v>0</v>
      </c>
      <c r="L695" s="345">
        <v>0</v>
      </c>
      <c r="M695" s="345">
        <v>0</v>
      </c>
      <c r="N695" s="345">
        <v>0</v>
      </c>
      <c r="O695" s="345">
        <v>0</v>
      </c>
      <c r="P695" s="345">
        <v>0</v>
      </c>
      <c r="Q695" s="345" t="s">
        <v>841</v>
      </c>
      <c r="R695" s="345" t="s">
        <v>437</v>
      </c>
    </row>
    <row r="696" spans="1:18" x14ac:dyDescent="0.2">
      <c r="A696" s="345" t="s">
        <v>838</v>
      </c>
      <c r="B696" s="345" t="s">
        <v>839</v>
      </c>
      <c r="C696" s="345" t="s">
        <v>793</v>
      </c>
      <c r="D696" s="345" t="s">
        <v>840</v>
      </c>
      <c r="E696" s="345" t="s">
        <v>430</v>
      </c>
      <c r="F696" s="345" t="s">
        <v>438</v>
      </c>
      <c r="G696" s="345" t="s">
        <v>432</v>
      </c>
      <c r="H696" s="345" t="s">
        <v>439</v>
      </c>
      <c r="I696" s="345">
        <v>16</v>
      </c>
      <c r="J696" s="345">
        <v>19</v>
      </c>
      <c r="K696" s="345">
        <v>28</v>
      </c>
      <c r="L696" s="345">
        <v>36</v>
      </c>
      <c r="M696" s="345">
        <v>45</v>
      </c>
      <c r="N696" s="345">
        <v>53</v>
      </c>
      <c r="O696" s="345">
        <v>0</v>
      </c>
      <c r="P696" s="345">
        <v>0</v>
      </c>
      <c r="Q696" s="345" t="s">
        <v>841</v>
      </c>
      <c r="R696" s="345" t="s">
        <v>434</v>
      </c>
    </row>
    <row r="697" spans="1:18" x14ac:dyDescent="0.2">
      <c r="A697" s="345" t="s">
        <v>838</v>
      </c>
      <c r="B697" s="345" t="s">
        <v>839</v>
      </c>
      <c r="C697" s="345" t="s">
        <v>793</v>
      </c>
      <c r="D697" s="345" t="s">
        <v>840</v>
      </c>
      <c r="E697" s="345" t="s">
        <v>430</v>
      </c>
      <c r="F697" s="345" t="s">
        <v>438</v>
      </c>
      <c r="G697" s="345" t="s">
        <v>440</v>
      </c>
      <c r="H697" s="345" t="s">
        <v>441</v>
      </c>
      <c r="I697" s="345">
        <v>6</v>
      </c>
      <c r="J697" s="345">
        <v>6</v>
      </c>
      <c r="K697" s="345">
        <v>10</v>
      </c>
      <c r="L697" s="345">
        <v>12</v>
      </c>
      <c r="M697" s="345">
        <v>17</v>
      </c>
      <c r="N697" s="345">
        <v>19</v>
      </c>
      <c r="O697" s="345">
        <v>0</v>
      </c>
      <c r="P697" s="345">
        <v>0</v>
      </c>
      <c r="Q697" s="345" t="s">
        <v>841</v>
      </c>
      <c r="R697" s="345" t="s">
        <v>434</v>
      </c>
    </row>
    <row r="698" spans="1:18" x14ac:dyDescent="0.2">
      <c r="A698" s="345" t="s">
        <v>838</v>
      </c>
      <c r="B698" s="345" t="s">
        <v>839</v>
      </c>
      <c r="C698" s="345" t="s">
        <v>793</v>
      </c>
      <c r="D698" s="345" t="s">
        <v>840</v>
      </c>
      <c r="E698" s="345" t="s">
        <v>430</v>
      </c>
      <c r="F698" s="345" t="s">
        <v>442</v>
      </c>
      <c r="G698" s="345" t="s">
        <v>443</v>
      </c>
      <c r="H698" s="345" t="s">
        <v>444</v>
      </c>
      <c r="I698" s="345">
        <v>0</v>
      </c>
      <c r="J698" s="345">
        <v>0</v>
      </c>
      <c r="K698" s="345">
        <v>0</v>
      </c>
      <c r="L698" s="345">
        <v>0</v>
      </c>
      <c r="M698" s="345">
        <v>0</v>
      </c>
      <c r="N698" s="345">
        <v>0</v>
      </c>
      <c r="O698" s="345">
        <v>0</v>
      </c>
      <c r="P698" s="345">
        <v>0</v>
      </c>
      <c r="Q698" s="345" t="s">
        <v>841</v>
      </c>
      <c r="R698" s="345" t="s">
        <v>437</v>
      </c>
    </row>
    <row r="699" spans="1:18" x14ac:dyDescent="0.2">
      <c r="A699" s="345" t="s">
        <v>838</v>
      </c>
      <c r="B699" s="345" t="s">
        <v>839</v>
      </c>
      <c r="C699" s="345" t="s">
        <v>793</v>
      </c>
      <c r="D699" s="345" t="s">
        <v>840</v>
      </c>
      <c r="E699" s="345" t="s">
        <v>430</v>
      </c>
      <c r="F699" s="345" t="s">
        <v>445</v>
      </c>
      <c r="G699" s="345" t="s">
        <v>443</v>
      </c>
      <c r="H699" s="345" t="s">
        <v>446</v>
      </c>
      <c r="I699" s="345">
        <v>0</v>
      </c>
      <c r="J699" s="345">
        <v>0</v>
      </c>
      <c r="K699" s="345">
        <v>0</v>
      </c>
      <c r="L699" s="345">
        <v>0</v>
      </c>
      <c r="M699" s="345">
        <v>0</v>
      </c>
      <c r="N699" s="345">
        <v>0</v>
      </c>
      <c r="O699" s="345">
        <v>0</v>
      </c>
      <c r="P699" s="345">
        <v>0</v>
      </c>
      <c r="Q699" s="345" t="s">
        <v>841</v>
      </c>
      <c r="R699" s="345" t="s">
        <v>437</v>
      </c>
    </row>
    <row r="700" spans="1:18" x14ac:dyDescent="0.2">
      <c r="A700" s="345" t="s">
        <v>838</v>
      </c>
      <c r="B700" s="345" t="s">
        <v>839</v>
      </c>
      <c r="C700" s="345" t="s">
        <v>793</v>
      </c>
      <c r="D700" s="345" t="s">
        <v>840</v>
      </c>
      <c r="E700" s="345" t="s">
        <v>430</v>
      </c>
      <c r="F700" s="345" t="s">
        <v>447</v>
      </c>
      <c r="G700" s="345" t="s">
        <v>443</v>
      </c>
      <c r="H700" s="345" t="s">
        <v>448</v>
      </c>
      <c r="I700" s="345">
        <v>0</v>
      </c>
      <c r="J700" s="345">
        <v>0</v>
      </c>
      <c r="K700" s="345">
        <v>0</v>
      </c>
      <c r="L700" s="345">
        <v>0</v>
      </c>
      <c r="M700" s="345">
        <v>0</v>
      </c>
      <c r="N700" s="345">
        <v>0</v>
      </c>
      <c r="O700" s="345">
        <v>0</v>
      </c>
      <c r="P700" s="345">
        <v>0</v>
      </c>
      <c r="Q700" s="345" t="s">
        <v>841</v>
      </c>
      <c r="R700" s="345" t="s">
        <v>437</v>
      </c>
    </row>
    <row r="701" spans="1:18" x14ac:dyDescent="0.2">
      <c r="A701" s="345" t="s">
        <v>838</v>
      </c>
      <c r="B701" s="345" t="s">
        <v>839</v>
      </c>
      <c r="C701" s="345" t="s">
        <v>793</v>
      </c>
      <c r="D701" s="345" t="s">
        <v>840</v>
      </c>
      <c r="E701" s="345" t="s">
        <v>430</v>
      </c>
      <c r="F701" s="345" t="s">
        <v>449</v>
      </c>
      <c r="G701" s="345" t="s">
        <v>450</v>
      </c>
      <c r="H701" s="345" t="s">
        <v>451</v>
      </c>
      <c r="I701" s="345">
        <v>0</v>
      </c>
      <c r="J701" s="345">
        <v>0</v>
      </c>
      <c r="K701" s="345">
        <v>0</v>
      </c>
      <c r="L701" s="345">
        <v>0</v>
      </c>
      <c r="M701" s="345">
        <v>0</v>
      </c>
      <c r="N701" s="345">
        <v>0</v>
      </c>
      <c r="O701" s="345">
        <v>0</v>
      </c>
      <c r="P701" s="345">
        <v>0</v>
      </c>
      <c r="Q701" s="345" t="s">
        <v>841</v>
      </c>
      <c r="R701" s="345" t="s">
        <v>437</v>
      </c>
    </row>
    <row r="702" spans="1:18" x14ac:dyDescent="0.2">
      <c r="A702" s="345" t="s">
        <v>838</v>
      </c>
      <c r="B702" s="345" t="s">
        <v>839</v>
      </c>
      <c r="C702" s="345" t="s">
        <v>793</v>
      </c>
      <c r="D702" s="345" t="s">
        <v>840</v>
      </c>
      <c r="E702" s="345" t="s">
        <v>430</v>
      </c>
      <c r="F702" s="345" t="s">
        <v>449</v>
      </c>
      <c r="G702" s="345" t="s">
        <v>452</v>
      </c>
      <c r="H702" s="345" t="s">
        <v>453</v>
      </c>
      <c r="I702" s="345">
        <v>0</v>
      </c>
      <c r="J702" s="345">
        <v>0</v>
      </c>
      <c r="K702" s="345">
        <v>0</v>
      </c>
      <c r="L702" s="345">
        <v>0</v>
      </c>
      <c r="M702" s="345">
        <v>0</v>
      </c>
      <c r="N702" s="345">
        <v>0</v>
      </c>
      <c r="O702" s="345">
        <v>0</v>
      </c>
      <c r="P702" s="345">
        <v>0</v>
      </c>
      <c r="Q702" s="345" t="s">
        <v>841</v>
      </c>
      <c r="R702" s="345" t="s">
        <v>437</v>
      </c>
    </row>
    <row r="703" spans="1:18" x14ac:dyDescent="0.2">
      <c r="A703" s="345" t="s">
        <v>838</v>
      </c>
      <c r="B703" s="345" t="s">
        <v>839</v>
      </c>
      <c r="C703" s="345" t="s">
        <v>793</v>
      </c>
      <c r="D703" s="345" t="s">
        <v>840</v>
      </c>
      <c r="E703" s="345" t="s">
        <v>430</v>
      </c>
      <c r="F703" s="345" t="s">
        <v>449</v>
      </c>
      <c r="G703" s="345" t="s">
        <v>454</v>
      </c>
      <c r="H703" s="345" t="s">
        <v>455</v>
      </c>
      <c r="I703" s="345">
        <v>0</v>
      </c>
      <c r="J703" s="345">
        <v>0</v>
      </c>
      <c r="K703" s="345">
        <v>0</v>
      </c>
      <c r="L703" s="345">
        <v>0</v>
      </c>
      <c r="M703" s="345">
        <v>0</v>
      </c>
      <c r="N703" s="345">
        <v>0</v>
      </c>
      <c r="O703" s="345">
        <v>0</v>
      </c>
      <c r="P703" s="345">
        <v>0</v>
      </c>
      <c r="Q703" s="345" t="s">
        <v>841</v>
      </c>
      <c r="R703" s="345" t="s">
        <v>437</v>
      </c>
    </row>
    <row r="704" spans="1:18" x14ac:dyDescent="0.2">
      <c r="A704" s="345" t="s">
        <v>838</v>
      </c>
      <c r="B704" s="345" t="s">
        <v>839</v>
      </c>
      <c r="C704" s="345" t="s">
        <v>793</v>
      </c>
      <c r="D704" s="345" t="s">
        <v>840</v>
      </c>
      <c r="E704" s="345" t="s">
        <v>430</v>
      </c>
      <c r="F704" s="345" t="s">
        <v>456</v>
      </c>
      <c r="G704" s="345" t="s">
        <v>457</v>
      </c>
      <c r="H704" s="345" t="s">
        <v>458</v>
      </c>
      <c r="I704" s="345">
        <v>51</v>
      </c>
      <c r="J704" s="345">
        <v>63</v>
      </c>
      <c r="K704" s="345">
        <v>91</v>
      </c>
      <c r="L704" s="345">
        <v>119</v>
      </c>
      <c r="M704" s="345">
        <v>150</v>
      </c>
      <c r="N704" s="345">
        <v>185</v>
      </c>
      <c r="O704" s="345">
        <v>0</v>
      </c>
      <c r="P704" s="345">
        <v>0</v>
      </c>
      <c r="Q704" s="345" t="s">
        <v>841</v>
      </c>
      <c r="R704" s="345" t="s">
        <v>434</v>
      </c>
    </row>
    <row r="705" spans="1:18" x14ac:dyDescent="0.2">
      <c r="A705" s="345" t="s">
        <v>838</v>
      </c>
      <c r="B705" s="345" t="s">
        <v>839</v>
      </c>
      <c r="C705" s="345" t="s">
        <v>793</v>
      </c>
      <c r="D705" s="345" t="s">
        <v>840</v>
      </c>
      <c r="E705" s="345" t="s">
        <v>430</v>
      </c>
      <c r="F705" s="345" t="s">
        <v>459</v>
      </c>
      <c r="G705" s="345" t="s">
        <v>443</v>
      </c>
      <c r="H705" s="345" t="s">
        <v>460</v>
      </c>
      <c r="I705" s="345">
        <v>11</v>
      </c>
      <c r="J705" s="345">
        <v>11</v>
      </c>
      <c r="K705" s="345">
        <v>11</v>
      </c>
      <c r="L705" s="345">
        <v>11</v>
      </c>
      <c r="M705" s="345">
        <v>11</v>
      </c>
      <c r="N705" s="345">
        <v>11</v>
      </c>
      <c r="O705" s="345">
        <v>0</v>
      </c>
      <c r="P705" s="345">
        <v>0</v>
      </c>
      <c r="Q705" s="345" t="s">
        <v>841</v>
      </c>
      <c r="R705" s="345" t="s">
        <v>434</v>
      </c>
    </row>
    <row r="706" spans="1:18" x14ac:dyDescent="0.2">
      <c r="A706" s="345" t="s">
        <v>838</v>
      </c>
      <c r="B706" s="345" t="s">
        <v>839</v>
      </c>
      <c r="C706" s="345" t="s">
        <v>793</v>
      </c>
      <c r="D706" s="345" t="s">
        <v>840</v>
      </c>
      <c r="E706" s="345" t="s">
        <v>430</v>
      </c>
      <c r="F706" s="345" t="s">
        <v>461</v>
      </c>
      <c r="G706" s="345" t="s">
        <v>443</v>
      </c>
      <c r="H706" s="345" t="s">
        <v>462</v>
      </c>
      <c r="I706" s="345">
        <v>12</v>
      </c>
      <c r="J706" s="345">
        <v>12</v>
      </c>
      <c r="K706" s="345">
        <v>12</v>
      </c>
      <c r="L706" s="345">
        <v>12</v>
      </c>
      <c r="M706" s="345">
        <v>12</v>
      </c>
      <c r="N706" s="345">
        <v>12</v>
      </c>
      <c r="O706" s="345">
        <v>0</v>
      </c>
      <c r="P706" s="345">
        <v>0</v>
      </c>
      <c r="Q706" s="345" t="s">
        <v>841</v>
      </c>
      <c r="R706" s="345" t="s">
        <v>434</v>
      </c>
    </row>
    <row r="707" spans="1:18" x14ac:dyDescent="0.2">
      <c r="A707" s="345" t="s">
        <v>838</v>
      </c>
      <c r="B707" s="345" t="s">
        <v>839</v>
      </c>
      <c r="C707" s="345" t="s">
        <v>793</v>
      </c>
      <c r="D707" s="345" t="s">
        <v>840</v>
      </c>
      <c r="E707" s="345" t="s">
        <v>430</v>
      </c>
      <c r="F707" s="345" t="s">
        <v>463</v>
      </c>
      <c r="G707" s="345" t="s">
        <v>464</v>
      </c>
      <c r="H707" s="345" t="s">
        <v>463</v>
      </c>
      <c r="I707" s="345">
        <v>53</v>
      </c>
      <c r="J707" s="345">
        <v>53</v>
      </c>
      <c r="K707" s="345">
        <v>53</v>
      </c>
      <c r="L707" s="345">
        <v>53</v>
      </c>
      <c r="M707" s="345">
        <v>53</v>
      </c>
      <c r="N707" s="345">
        <v>53</v>
      </c>
      <c r="O707" s="345">
        <v>0</v>
      </c>
      <c r="P707" s="345">
        <v>0</v>
      </c>
      <c r="Q707" s="345" t="s">
        <v>841</v>
      </c>
      <c r="R707" s="345" t="s">
        <v>434</v>
      </c>
    </row>
    <row r="708" spans="1:18" x14ac:dyDescent="0.2">
      <c r="A708" s="345" t="s">
        <v>838</v>
      </c>
      <c r="B708" s="345" t="s">
        <v>839</v>
      </c>
      <c r="C708" s="345" t="s">
        <v>793</v>
      </c>
      <c r="D708" s="345" t="s">
        <v>840</v>
      </c>
      <c r="E708" s="345" t="s">
        <v>430</v>
      </c>
      <c r="F708" s="345" t="s">
        <v>465</v>
      </c>
      <c r="G708" s="345" t="s">
        <v>432</v>
      </c>
      <c r="H708" s="345" t="s">
        <v>466</v>
      </c>
      <c r="I708" s="345">
        <v>41</v>
      </c>
      <c r="J708" s="345">
        <v>48</v>
      </c>
      <c r="K708" s="345">
        <v>62</v>
      </c>
      <c r="L708" s="345">
        <v>75</v>
      </c>
      <c r="M708" s="345">
        <v>89</v>
      </c>
      <c r="N708" s="345">
        <v>102</v>
      </c>
      <c r="O708" s="345">
        <v>0</v>
      </c>
      <c r="P708" s="345">
        <v>0</v>
      </c>
      <c r="Q708" s="345" t="s">
        <v>841</v>
      </c>
      <c r="R708" s="345" t="s">
        <v>434</v>
      </c>
    </row>
    <row r="709" spans="1:18" x14ac:dyDescent="0.2">
      <c r="A709" s="345" t="s">
        <v>838</v>
      </c>
      <c r="B709" s="345" t="s">
        <v>839</v>
      </c>
      <c r="C709" s="345" t="s">
        <v>793</v>
      </c>
      <c r="D709" s="345" t="s">
        <v>840</v>
      </c>
      <c r="E709" s="345" t="s">
        <v>430</v>
      </c>
      <c r="F709" s="345" t="s">
        <v>465</v>
      </c>
      <c r="G709" s="345" t="s">
        <v>467</v>
      </c>
      <c r="H709" s="345" t="s">
        <v>468</v>
      </c>
      <c r="I709" s="345">
        <v>35</v>
      </c>
      <c r="J709" s="345">
        <v>42</v>
      </c>
      <c r="K709" s="345">
        <v>49</v>
      </c>
      <c r="L709" s="345">
        <v>56</v>
      </c>
      <c r="M709" s="345">
        <v>62</v>
      </c>
      <c r="N709" s="345">
        <v>68</v>
      </c>
      <c r="O709" s="345">
        <v>0</v>
      </c>
      <c r="P709" s="345">
        <v>0</v>
      </c>
      <c r="Q709" s="345" t="s">
        <v>841</v>
      </c>
      <c r="R709" s="345" t="s">
        <v>434</v>
      </c>
    </row>
    <row r="710" spans="1:18" x14ac:dyDescent="0.2">
      <c r="A710" s="345" t="s">
        <v>838</v>
      </c>
      <c r="B710" s="345" t="s">
        <v>839</v>
      </c>
      <c r="C710" s="345" t="s">
        <v>793</v>
      </c>
      <c r="D710" s="345" t="s">
        <v>840</v>
      </c>
      <c r="E710" s="345" t="s">
        <v>430</v>
      </c>
      <c r="F710" s="345" t="s">
        <v>465</v>
      </c>
      <c r="G710" s="345" t="s">
        <v>440</v>
      </c>
      <c r="H710" s="345" t="s">
        <v>469</v>
      </c>
      <c r="I710" s="345">
        <v>26</v>
      </c>
      <c r="J710" s="345">
        <v>32</v>
      </c>
      <c r="K710" s="345">
        <v>36</v>
      </c>
      <c r="L710" s="345">
        <v>42</v>
      </c>
      <c r="M710" s="345">
        <v>46</v>
      </c>
      <c r="N710" s="345">
        <v>51</v>
      </c>
      <c r="O710" s="345">
        <v>0</v>
      </c>
      <c r="P710" s="345">
        <v>0</v>
      </c>
      <c r="Q710" s="345" t="s">
        <v>841</v>
      </c>
      <c r="R710" s="345" t="s">
        <v>434</v>
      </c>
    </row>
    <row r="711" spans="1:18" x14ac:dyDescent="0.2">
      <c r="A711" s="345" t="s">
        <v>838</v>
      </c>
      <c r="B711" s="345" t="s">
        <v>839</v>
      </c>
      <c r="C711" s="345" t="s">
        <v>793</v>
      </c>
      <c r="D711" s="345" t="s">
        <v>840</v>
      </c>
      <c r="E711" s="345" t="s">
        <v>430</v>
      </c>
      <c r="F711" s="345" t="s">
        <v>465</v>
      </c>
      <c r="G711" s="345" t="s">
        <v>470</v>
      </c>
      <c r="H711" s="345" t="s">
        <v>471</v>
      </c>
      <c r="I711" s="345">
        <v>43</v>
      </c>
      <c r="J711" s="345">
        <v>54</v>
      </c>
      <c r="K711" s="345">
        <v>59</v>
      </c>
      <c r="L711" s="345">
        <v>68</v>
      </c>
      <c r="M711" s="345">
        <v>73</v>
      </c>
      <c r="N711" s="345">
        <v>78</v>
      </c>
      <c r="O711" s="345">
        <v>0</v>
      </c>
      <c r="P711" s="345">
        <v>0</v>
      </c>
      <c r="Q711" s="345" t="s">
        <v>841</v>
      </c>
      <c r="R711" s="345" t="s">
        <v>434</v>
      </c>
    </row>
    <row r="712" spans="1:18" x14ac:dyDescent="0.2">
      <c r="A712" s="345" t="s">
        <v>838</v>
      </c>
      <c r="B712" s="345" t="s">
        <v>839</v>
      </c>
      <c r="C712" s="345" t="s">
        <v>793</v>
      </c>
      <c r="D712" s="345" t="s">
        <v>840</v>
      </c>
      <c r="E712" s="345" t="s">
        <v>430</v>
      </c>
      <c r="F712" s="345" t="s">
        <v>465</v>
      </c>
      <c r="G712" s="345" t="s">
        <v>472</v>
      </c>
      <c r="H712" s="345" t="s">
        <v>473</v>
      </c>
      <c r="I712" s="345">
        <v>10</v>
      </c>
      <c r="J712" s="345">
        <v>13</v>
      </c>
      <c r="K712" s="345">
        <v>16</v>
      </c>
      <c r="L712" s="345">
        <v>19</v>
      </c>
      <c r="M712" s="345">
        <v>23</v>
      </c>
      <c r="N712" s="345">
        <v>27</v>
      </c>
      <c r="O712" s="345">
        <v>0</v>
      </c>
      <c r="P712" s="345">
        <v>0</v>
      </c>
      <c r="Q712" s="345" t="s">
        <v>841</v>
      </c>
      <c r="R712" s="345" t="s">
        <v>434</v>
      </c>
    </row>
    <row r="713" spans="1:18" x14ac:dyDescent="0.2">
      <c r="A713" s="345" t="s">
        <v>838</v>
      </c>
      <c r="B713" s="345" t="s">
        <v>839</v>
      </c>
      <c r="C713" s="345" t="s">
        <v>793</v>
      </c>
      <c r="D713" s="345" t="s">
        <v>840</v>
      </c>
      <c r="E713" s="345" t="s">
        <v>430</v>
      </c>
      <c r="F713" s="345" t="s">
        <v>474</v>
      </c>
      <c r="G713" s="345" t="s">
        <v>464</v>
      </c>
      <c r="H713" s="345" t="s">
        <v>474</v>
      </c>
      <c r="I713" s="345">
        <v>39</v>
      </c>
      <c r="J713" s="345">
        <v>39</v>
      </c>
      <c r="K713" s="345">
        <v>39</v>
      </c>
      <c r="L713" s="345">
        <v>39</v>
      </c>
      <c r="M713" s="345">
        <v>39</v>
      </c>
      <c r="N713" s="345">
        <v>39</v>
      </c>
      <c r="O713" s="345">
        <v>0</v>
      </c>
      <c r="P713" s="345">
        <v>0</v>
      </c>
      <c r="Q713" s="345" t="s">
        <v>841</v>
      </c>
      <c r="R713" s="345" t="s">
        <v>434</v>
      </c>
    </row>
    <row r="714" spans="1:18" x14ac:dyDescent="0.2">
      <c r="A714" s="345" t="s">
        <v>838</v>
      </c>
      <c r="B714" s="345" t="s">
        <v>839</v>
      </c>
      <c r="C714" s="345" t="s">
        <v>793</v>
      </c>
      <c r="D714" s="345" t="s">
        <v>840</v>
      </c>
      <c r="E714" s="345" t="s">
        <v>430</v>
      </c>
      <c r="F714" s="345" t="s">
        <v>475</v>
      </c>
      <c r="G714" s="345" t="s">
        <v>443</v>
      </c>
      <c r="H714" s="345" t="s">
        <v>476</v>
      </c>
      <c r="I714" s="345">
        <v>0</v>
      </c>
      <c r="J714" s="345">
        <v>0</v>
      </c>
      <c r="K714" s="345">
        <v>0</v>
      </c>
      <c r="L714" s="345">
        <v>0</v>
      </c>
      <c r="M714" s="345">
        <v>0</v>
      </c>
      <c r="N714" s="345">
        <v>0</v>
      </c>
      <c r="O714" s="345">
        <v>0</v>
      </c>
      <c r="P714" s="345">
        <v>0</v>
      </c>
      <c r="Q714" s="345" t="s">
        <v>841</v>
      </c>
      <c r="R714" s="345" t="s">
        <v>437</v>
      </c>
    </row>
    <row r="715" spans="1:18" x14ac:dyDescent="0.2">
      <c r="A715" s="345" t="s">
        <v>838</v>
      </c>
      <c r="B715" s="345" t="s">
        <v>839</v>
      </c>
      <c r="C715" s="345" t="s">
        <v>793</v>
      </c>
      <c r="D715" s="345" t="s">
        <v>840</v>
      </c>
      <c r="E715" s="345" t="s">
        <v>430</v>
      </c>
      <c r="F715" s="345" t="s">
        <v>477</v>
      </c>
      <c r="G715" s="345" t="s">
        <v>464</v>
      </c>
      <c r="H715" s="345" t="s">
        <v>477</v>
      </c>
      <c r="I715" s="345">
        <v>49</v>
      </c>
      <c r="J715" s="345">
        <v>49</v>
      </c>
      <c r="K715" s="345">
        <v>54</v>
      </c>
      <c r="L715" s="345">
        <v>60</v>
      </c>
      <c r="M715" s="345">
        <v>66</v>
      </c>
      <c r="N715" s="345">
        <v>71</v>
      </c>
      <c r="O715" s="345">
        <v>0</v>
      </c>
      <c r="P715" s="345">
        <v>0</v>
      </c>
      <c r="Q715" s="345" t="s">
        <v>841</v>
      </c>
      <c r="R715" s="345" t="s">
        <v>434</v>
      </c>
    </row>
    <row r="716" spans="1:18" x14ac:dyDescent="0.2">
      <c r="A716" s="345" t="s">
        <v>838</v>
      </c>
      <c r="B716" s="345" t="s">
        <v>839</v>
      </c>
      <c r="C716" s="345" t="s">
        <v>793</v>
      </c>
      <c r="D716" s="345" t="s">
        <v>840</v>
      </c>
      <c r="E716" s="345" t="s">
        <v>430</v>
      </c>
      <c r="F716" s="345" t="s">
        <v>478</v>
      </c>
      <c r="G716" s="345" t="s">
        <v>432</v>
      </c>
      <c r="H716" s="345" t="s">
        <v>479</v>
      </c>
      <c r="I716" s="345">
        <v>38</v>
      </c>
      <c r="J716" s="345">
        <v>45</v>
      </c>
      <c r="K716" s="345">
        <v>58</v>
      </c>
      <c r="L716" s="345">
        <v>70</v>
      </c>
      <c r="M716" s="345">
        <v>82</v>
      </c>
      <c r="N716" s="345">
        <v>95</v>
      </c>
      <c r="O716" s="345">
        <v>0</v>
      </c>
      <c r="P716" s="345">
        <v>0</v>
      </c>
      <c r="Q716" s="345" t="s">
        <v>841</v>
      </c>
      <c r="R716" s="345" t="s">
        <v>434</v>
      </c>
    </row>
    <row r="717" spans="1:18" x14ac:dyDescent="0.2">
      <c r="A717" s="345" t="s">
        <v>838</v>
      </c>
      <c r="B717" s="345" t="s">
        <v>839</v>
      </c>
      <c r="C717" s="345" t="s">
        <v>793</v>
      </c>
      <c r="D717" s="345" t="s">
        <v>840</v>
      </c>
      <c r="E717" s="345" t="s">
        <v>430</v>
      </c>
      <c r="F717" s="345" t="s">
        <v>478</v>
      </c>
      <c r="G717" s="345" t="s">
        <v>440</v>
      </c>
      <c r="H717" s="345" t="s">
        <v>480</v>
      </c>
      <c r="I717" s="345">
        <v>12</v>
      </c>
      <c r="J717" s="345">
        <v>15</v>
      </c>
      <c r="K717" s="345">
        <v>21</v>
      </c>
      <c r="L717" s="345">
        <v>29</v>
      </c>
      <c r="M717" s="345">
        <v>35</v>
      </c>
      <c r="N717" s="345">
        <v>42</v>
      </c>
      <c r="O717" s="345">
        <v>0</v>
      </c>
      <c r="P717" s="345">
        <v>0</v>
      </c>
      <c r="Q717" s="345" t="s">
        <v>841</v>
      </c>
      <c r="R717" s="345" t="s">
        <v>434</v>
      </c>
    </row>
    <row r="718" spans="1:18" x14ac:dyDescent="0.2">
      <c r="A718" s="345" t="s">
        <v>838</v>
      </c>
      <c r="B718" s="345" t="s">
        <v>839</v>
      </c>
      <c r="C718" s="345" t="s">
        <v>793</v>
      </c>
      <c r="D718" s="345" t="s">
        <v>840</v>
      </c>
      <c r="E718" s="345" t="s">
        <v>430</v>
      </c>
      <c r="F718" s="345" t="s">
        <v>478</v>
      </c>
      <c r="G718" s="345" t="s">
        <v>470</v>
      </c>
      <c r="H718" s="345" t="s">
        <v>481</v>
      </c>
      <c r="I718" s="345">
        <v>19</v>
      </c>
      <c r="J718" s="345">
        <v>22</v>
      </c>
      <c r="K718" s="345">
        <v>30</v>
      </c>
      <c r="L718" s="345">
        <v>41</v>
      </c>
      <c r="M718" s="345">
        <v>51</v>
      </c>
      <c r="N718" s="345">
        <v>59</v>
      </c>
      <c r="O718" s="345">
        <v>0</v>
      </c>
      <c r="P718" s="345">
        <v>0</v>
      </c>
      <c r="Q718" s="345" t="s">
        <v>841</v>
      </c>
      <c r="R718" s="345" t="s">
        <v>434</v>
      </c>
    </row>
  </sheetData>
  <hyperlinks>
    <hyperlink ref="Q3" r:id="rId1" xr:uid="{1D281A8B-B718-4CB9-A064-5400F85C88FC}"/>
    <hyperlink ref="Q6" r:id="rId2" xr:uid="{D57E4EB2-E0E5-44E9-8B8A-0850C0ABF7F2}"/>
    <hyperlink ref="Q7" r:id="rId3" xr:uid="{934ED007-3961-4762-969B-401EB1F84B14}"/>
    <hyperlink ref="Q8" r:id="rId4" xr:uid="{E6D7A525-7531-4FF3-97B2-442AA0E482EE}"/>
    <hyperlink ref="Q9" r:id="rId5" xr:uid="{FF59A5C1-9547-4672-B534-C11F24F7B2C3}"/>
    <hyperlink ref="Q10" r:id="rId6" xr:uid="{766696C7-A35E-4CFD-9182-DB3475BAF8FF}"/>
    <hyperlink ref="Q11" r:id="rId7" xr:uid="{EEFA06A7-AE9E-4258-949E-0311F4C59E3D}"/>
    <hyperlink ref="Q13" r:id="rId8" xr:uid="{275A7FF4-8E19-4252-9D15-B85DB1D1B0CB}"/>
    <hyperlink ref="Q15" r:id="rId9" xr:uid="{6A2AD883-53D9-4012-B13A-6142DAD80134}"/>
    <hyperlink ref="Q17" r:id="rId10" xr:uid="{1B1AA2EE-C308-4126-85C6-4A2074BA50FE}"/>
    <hyperlink ref="Q18" r:id="rId11" xr:uid="{4AD5F6CF-E6E5-4AE4-910D-67F65DF6C549}"/>
    <hyperlink ref="Q20" r:id="rId12" xr:uid="{BBEB1A3A-2F1C-4B68-904B-ADC4CE12E148}"/>
    <hyperlink ref="Q24" r:id="rId13" xr:uid="{39BC8BC5-8517-43B2-B12C-1EACE655ECB8}"/>
    <hyperlink ref="Q26" r:id="rId14" xr:uid="{25053C87-4C99-498F-A29E-CD7BAA95A5E8}"/>
    <hyperlink ref="Q29" r:id="rId15" xr:uid="{B3537A05-C404-4583-B24C-B6ABFB429018}"/>
    <hyperlink ref="Q30" r:id="rId16" xr:uid="{AA5D30CB-716B-4068-88B6-49C1975214E6}"/>
    <hyperlink ref="Q31" r:id="rId17" xr:uid="{A3DC8D12-8FF3-4999-A23E-D714605B6CDF}"/>
    <hyperlink ref="Q32" r:id="rId18" xr:uid="{3F1231E8-7FD6-4A0E-9166-DDEA24DA4232}"/>
    <hyperlink ref="Q33" r:id="rId19" xr:uid="{07E3CF9B-9C94-4598-81C1-FA406FFA0242}"/>
    <hyperlink ref="Q34" r:id="rId20" xr:uid="{D1A49E1E-5D12-4929-A025-F79A5C46312A}"/>
    <hyperlink ref="Q38" r:id="rId21" xr:uid="{E925B5DB-629A-4BD6-AA1A-086414B43887}"/>
    <hyperlink ref="Q40" r:id="rId22" xr:uid="{DF334A24-5890-4ECA-9784-16E0CAC6793D}"/>
    <hyperlink ref="Q42" r:id="rId23" xr:uid="{DAC24101-F392-49B6-90A9-93A0BDABDF4D}"/>
    <hyperlink ref="Q43" r:id="rId24" xr:uid="{B3AABB62-5974-4AFC-A76C-F07EBF38589F}"/>
    <hyperlink ref="Q45" r:id="rId25" xr:uid="{ABFBA8CD-AC76-4245-8948-FF01BE92B10C}"/>
    <hyperlink ref="Q49" r:id="rId26" xr:uid="{2F0639CE-F156-4162-ACB1-BC380417774A}"/>
    <hyperlink ref="Q50" r:id="rId27" xr:uid="{8F239043-35AD-44D5-963B-B6A458046A53}"/>
    <hyperlink ref="Q51" r:id="rId28" xr:uid="{D29991A0-803E-4E7B-BC69-6441EB370140}"/>
    <hyperlink ref="Q52" r:id="rId29" xr:uid="{DC0B5AAA-768A-447F-A45F-88B4CDB4A0E6}"/>
    <hyperlink ref="Q53" r:id="rId30" xr:uid="{10381057-957A-4A2B-84A8-6B3B63B5E88A}"/>
    <hyperlink ref="Q54" r:id="rId31" xr:uid="{B1019F32-388A-48BC-B1AE-4D0C2BA0F1E4}"/>
    <hyperlink ref="Q55" r:id="rId32" xr:uid="{F6770F16-D39E-4EC5-94B9-B332B07F91B4}"/>
    <hyperlink ref="Q56" r:id="rId33" xr:uid="{3F87C617-55D7-44CA-BEAD-D1CA57178AAE}"/>
    <hyperlink ref="Q57" r:id="rId34" xr:uid="{34B08281-86AE-4DB1-B220-81DB4255300E}"/>
    <hyperlink ref="Q58" r:id="rId35" xr:uid="{A9D00196-A4EA-4ABF-988D-B7BA2377BA1B}"/>
    <hyperlink ref="Q59" r:id="rId36" xr:uid="{FF77C814-955E-429D-8F0A-CEB7800C2D3B}"/>
    <hyperlink ref="Q60" r:id="rId37" xr:uid="{FC1EB2A2-9375-4E0A-9F67-3021DBB77359}"/>
    <hyperlink ref="Q61" r:id="rId38" xr:uid="{96B69F9C-4B13-4A8B-ABB2-4140CED59D8C}"/>
    <hyperlink ref="Q62" r:id="rId39" xr:uid="{69E92F9D-C030-44AB-AAD9-4B4AEDE18800}"/>
    <hyperlink ref="Q63" r:id="rId40" xr:uid="{33E678F4-E021-4351-98A8-120B049B37F6}"/>
    <hyperlink ref="Q64" r:id="rId41" xr:uid="{EA7B0D50-6914-45FA-9915-42168853ECCE}"/>
    <hyperlink ref="Q65" r:id="rId42" xr:uid="{63143DB7-DE24-46EF-A73C-9AAA1A512065}"/>
    <hyperlink ref="Q66" r:id="rId43" xr:uid="{CB69776B-4C0F-4A35-A10A-978B0BEAEE61}"/>
    <hyperlink ref="Q67" r:id="rId44" xr:uid="{820AE026-B16B-4E1A-9FC2-0DE57AA51802}"/>
    <hyperlink ref="Q68" r:id="rId45" xr:uid="{FDFE84EA-B5C7-4087-81E1-3AD0A8277E3B}"/>
    <hyperlink ref="Q69" r:id="rId46" xr:uid="{65A724C2-90E6-46F0-9F45-AF9D8B245A45}"/>
    <hyperlink ref="Q70" r:id="rId47" xr:uid="{1FFA5799-BDE1-406E-91B7-5E879BD35FAF}"/>
    <hyperlink ref="Q71" r:id="rId48" xr:uid="{D8D7114D-53B9-4F6C-8D5F-42CD40194329}"/>
    <hyperlink ref="Q72" r:id="rId49" xr:uid="{74A61E58-13EE-4F10-A5F6-BA760702EF29}"/>
    <hyperlink ref="Q73" r:id="rId50" xr:uid="{8D9DDD9A-EC2E-45FA-8F06-A2F1B79469EF}"/>
    <hyperlink ref="Q74" r:id="rId51" xr:uid="{C0757DC1-02DB-4D0D-9F3E-BB97DC2ED0D5}"/>
    <hyperlink ref="Q75" r:id="rId52" xr:uid="{C61C3FE8-835F-4201-96D0-67E6567E6AE4}"/>
    <hyperlink ref="Q76" r:id="rId53" xr:uid="{86846685-BA13-48F6-88C6-7E98E0EDD441}"/>
    <hyperlink ref="Q79" r:id="rId54" xr:uid="{57C8AB6E-F7A3-49B5-8B4B-52B8D87B80EF}"/>
    <hyperlink ref="Q80" r:id="rId55" xr:uid="{F1635AB5-8D0E-4FCB-8C41-78B9DBBB5871}"/>
    <hyperlink ref="Q81" r:id="rId56" xr:uid="{E990A543-EC6E-449B-B33A-AE6347E86B06}"/>
    <hyperlink ref="Q82" r:id="rId57" xr:uid="{8D477EC3-8AAA-4953-853E-74B3584921A1}"/>
    <hyperlink ref="Q83" r:id="rId58" xr:uid="{8EA1B036-0065-4546-824E-B522A4A60A97}"/>
    <hyperlink ref="Q84" r:id="rId59" xr:uid="{270D7C8B-E528-42E0-94DB-5C8E9F7D72D5}"/>
    <hyperlink ref="Q88" r:id="rId60" xr:uid="{9038C7ED-365D-4107-9CAB-97DA31177B10}"/>
    <hyperlink ref="Q90" r:id="rId61" xr:uid="{E93A6F1D-552C-43A0-AC7E-1D13E965C115}"/>
    <hyperlink ref="Q92" r:id="rId62" xr:uid="{F18E0459-BF7F-4B7F-B62B-27DAF203F7FC}"/>
    <hyperlink ref="Q93" r:id="rId63" xr:uid="{7D5DB599-C637-4C3C-9197-8FAB1A135347}"/>
    <hyperlink ref="Q95" r:id="rId64" xr:uid="{FB899A7C-C103-4785-AFED-2D9FFBF66054}"/>
    <hyperlink ref="Q99" r:id="rId65" xr:uid="{92CA3988-8117-42EB-8912-C1C4380A7268}"/>
    <hyperlink ref="Q100" r:id="rId66" xr:uid="{A3C3471A-240B-4DF6-914D-E4A46F35CB35}"/>
    <hyperlink ref="Q101" r:id="rId67" xr:uid="{C53DC889-B4F5-40C4-95D9-90D870C9CCE4}"/>
    <hyperlink ref="Q104" r:id="rId68" xr:uid="{33F7E24A-7E2E-4999-BA85-7BC62F18F461}"/>
    <hyperlink ref="Q105" r:id="rId69" xr:uid="{C9968FFB-45EA-42D8-9031-34DE68E6D671}"/>
    <hyperlink ref="Q106" r:id="rId70" xr:uid="{AAB47D2E-EC35-4F96-BEE5-5233BA93EB63}"/>
    <hyperlink ref="Q107" r:id="rId71" xr:uid="{EB52F585-68CC-4B5C-9E85-51C870DA9213}"/>
    <hyperlink ref="Q108" r:id="rId72" xr:uid="{4E592FDE-62F7-41EA-8E46-D07165CA2D17}"/>
    <hyperlink ref="Q109" r:id="rId73" xr:uid="{4774BC97-B21C-4718-A11C-83F866F95A0A}"/>
    <hyperlink ref="Q113" r:id="rId74" xr:uid="{973AAFCA-DBE7-435E-AD42-3680A704D533}"/>
    <hyperlink ref="Q115" r:id="rId75" xr:uid="{D17ED329-A783-43F2-8680-7F38C71B629F}"/>
    <hyperlink ref="Q117" r:id="rId76" xr:uid="{8726E1F9-72A1-4569-AA21-B144946B0495}"/>
    <hyperlink ref="Q118" r:id="rId77" xr:uid="{85F224B8-7EF8-46EB-9E99-3F52AA69B6C0}"/>
    <hyperlink ref="Q120" r:id="rId78" xr:uid="{E35AFAB7-F5BC-46D8-B1BE-3602FF8D2023}"/>
    <hyperlink ref="Q124" r:id="rId79" xr:uid="{8792BB95-AA35-489D-984A-7C968460A983}"/>
    <hyperlink ref="Q125" r:id="rId80" xr:uid="{C901E0A8-2F83-4BB5-8755-BDA7DF9EFED4}"/>
    <hyperlink ref="Q126" r:id="rId81" xr:uid="{320DFC62-EA75-415A-B49C-23873A0ABEC6}"/>
    <hyperlink ref="Q127" r:id="rId82" xr:uid="{492F5362-556F-433E-A621-1BA520B41E1B}"/>
    <hyperlink ref="Q128" r:id="rId83" xr:uid="{AE8FBE8B-9FB4-4DA8-B800-04CD08968BE6}"/>
    <hyperlink ref="Q129" r:id="rId84" xr:uid="{EDFA75F6-DA58-433E-A29D-B5E213081CDC}"/>
    <hyperlink ref="Q130" r:id="rId85" xr:uid="{6D292553-9581-457E-9B12-53B4540C94A3}"/>
    <hyperlink ref="Q131" r:id="rId86" xr:uid="{582F6076-3235-4D50-B345-C54FB9379E6F}"/>
    <hyperlink ref="Q132" r:id="rId87" xr:uid="{0DFFBEA5-B764-4775-A13E-43E2CF7024DF}"/>
    <hyperlink ref="Q133" r:id="rId88" xr:uid="{2B0D97A9-FFFB-41BB-9380-F8930C9494E8}"/>
    <hyperlink ref="Q134" r:id="rId89" xr:uid="{8A777295-745F-4C2C-8405-A9F5E93DC58E}"/>
    <hyperlink ref="Q135" r:id="rId90" xr:uid="{3A3A1DF8-8039-4240-B2C8-BD25228C4F92}"/>
    <hyperlink ref="Q136" r:id="rId91" xr:uid="{F82C91F7-D70B-475C-99FB-9D01B2B77966}"/>
    <hyperlink ref="Q137" r:id="rId92" xr:uid="{A73BEB7E-DB2A-41C0-8B86-96D1F59C566A}"/>
    <hyperlink ref="Q138" r:id="rId93" xr:uid="{42281865-2689-47C1-AA01-417CB2C58A33}"/>
    <hyperlink ref="Q139" r:id="rId94" xr:uid="{DB0DE37E-C290-4184-802B-A0F61A7EF5FC}"/>
    <hyperlink ref="Q140" r:id="rId95" xr:uid="{226A17CF-1323-431F-9AA0-11FFC933C155}"/>
    <hyperlink ref="Q141" r:id="rId96" xr:uid="{D2927C1C-25E6-449E-BF17-22EADAF3FE2A}"/>
    <hyperlink ref="Q142" r:id="rId97" xr:uid="{EB26A812-2FE7-4244-A253-53C0F2CE8924}"/>
    <hyperlink ref="Q143" r:id="rId98" xr:uid="{E50888EB-A74E-41D8-B805-17FB35746C92}"/>
    <hyperlink ref="Q144" r:id="rId99" xr:uid="{F2383C32-CA1C-477E-B2C5-C2E110874A69}"/>
    <hyperlink ref="Q145" r:id="rId100" xr:uid="{59FAFD4D-0B08-404A-A7AC-F2BC29A34611}"/>
    <hyperlink ref="Q146" r:id="rId101" xr:uid="{EE2F7D27-621F-4B06-B1BB-267BCCB516AE}"/>
    <hyperlink ref="Q147" r:id="rId102" xr:uid="{83B6C4E5-BED6-4813-8954-7075662AAC9E}"/>
    <hyperlink ref="Q148" r:id="rId103" xr:uid="{9A356B4D-BEC7-4E2A-97AE-E73CEC1A53E2}"/>
    <hyperlink ref="Q149" r:id="rId104" xr:uid="{32784604-B87A-4D1F-97BF-E539D3412339}"/>
    <hyperlink ref="Q150" r:id="rId105" xr:uid="{16EAFAEC-D804-41EF-85B5-AE12D412399D}"/>
    <hyperlink ref="Q151" r:id="rId106" xr:uid="{0A7873BF-B59D-4961-AB77-B76EEE4DEE04}"/>
    <hyperlink ref="Q152" r:id="rId107" xr:uid="{EF60D0A3-6A36-4F38-B43E-825ECC805970}"/>
    <hyperlink ref="Q153" r:id="rId108" xr:uid="{D22011A6-2777-4BF8-9CAD-5BB9BD7F2925}"/>
    <hyperlink ref="Q154" r:id="rId109" xr:uid="{AA88DA27-B491-4ADC-91CA-B039E95C1491}"/>
    <hyperlink ref="Q155" r:id="rId110" xr:uid="{0D162E87-2D1F-4D07-ACB5-ED0448BC4A9E}"/>
    <hyperlink ref="Q156" r:id="rId111" xr:uid="{33E9FE90-AE08-4289-9C7F-B7842A2406B4}"/>
    <hyperlink ref="Q157" r:id="rId112" xr:uid="{E36C0CAC-1817-4560-8000-1C1649789BA6}"/>
    <hyperlink ref="Q158" r:id="rId113" xr:uid="{3DCEE283-96C4-4DAD-98F4-F202C930E224}"/>
    <hyperlink ref="Q159" r:id="rId114" xr:uid="{AE363121-D535-4184-9EEB-7392701A2D86}"/>
    <hyperlink ref="Q160" r:id="rId115" xr:uid="{502D6D5E-5ECE-4FE3-B81D-7A13D064B6F8}"/>
    <hyperlink ref="Q161" r:id="rId116" xr:uid="{5F4F76F4-EBB9-4E8D-A2EA-3BA670E8B367}"/>
    <hyperlink ref="Q162" r:id="rId117" xr:uid="{086A8A12-C33A-4F09-A27D-A03589EECBE3}"/>
    <hyperlink ref="Q163" r:id="rId118" xr:uid="{8239CF29-1063-4671-9009-705F8E0B761E}"/>
    <hyperlink ref="Q164" r:id="rId119" xr:uid="{9C91E448-CDB0-4A57-975D-BA59333B2193}"/>
    <hyperlink ref="Q165" r:id="rId120" xr:uid="{B4D16666-C5D9-4670-AB4E-F585E6818C63}"/>
    <hyperlink ref="Q166" r:id="rId121" xr:uid="{118B304A-BB55-448C-BB12-A65E82E55A52}"/>
    <hyperlink ref="Q167" r:id="rId122" xr:uid="{C02FE2EC-508C-47D4-A2E7-07FACB13C15A}"/>
    <hyperlink ref="Q168" r:id="rId123" xr:uid="{C29888E2-618D-42C5-ACFF-7C01F8E1CD42}"/>
    <hyperlink ref="Q169" r:id="rId124" xr:uid="{EE651128-BC3B-4E54-A120-744E2015BA5E}"/>
    <hyperlink ref="Q170" r:id="rId125" xr:uid="{15173E5C-093F-4FF9-94C4-312ECF1156E5}"/>
    <hyperlink ref="Q171" r:id="rId126" xr:uid="{73C89B07-6428-482A-B117-4201F8714785}"/>
    <hyperlink ref="Q172" r:id="rId127" xr:uid="{16ED59CF-6715-48CA-9877-B4A4C633A5E3}"/>
    <hyperlink ref="Q173" r:id="rId128" xr:uid="{F9A58F88-4230-4CA5-A669-B9D791D036E9}"/>
    <hyperlink ref="Q174" r:id="rId129" xr:uid="{DF20387D-F623-4743-8C8E-F2915F1DBF4D}"/>
    <hyperlink ref="Q176" r:id="rId130" xr:uid="{1353F050-229A-4A47-86AD-4297423BD5CF}"/>
    <hyperlink ref="Q179" r:id="rId131" xr:uid="{9CB178F5-4C5D-4482-9D70-8F2FB7D79D8F}"/>
    <hyperlink ref="Q180" r:id="rId132" xr:uid="{18BD3F00-A266-4E82-BA75-ABCCA33ADFCC}"/>
    <hyperlink ref="Q181" r:id="rId133" xr:uid="{AB74EA15-EB32-4FD6-9E4D-098AC369031F}"/>
    <hyperlink ref="Q182" r:id="rId134" xr:uid="{5F032820-B421-4DF4-8D8B-088066B2D807}"/>
    <hyperlink ref="Q183" r:id="rId135" xr:uid="{18121717-E143-4429-B433-9777098D2F30}"/>
    <hyperlink ref="Q195" r:id="rId136" xr:uid="{B2C9FB7F-DDA9-43ED-950C-B052AA23A2FA}"/>
    <hyperlink ref="Q199" r:id="rId137" xr:uid="{107130EE-0651-4685-AB3D-D165191E068F}"/>
    <hyperlink ref="Q200" r:id="rId138" xr:uid="{2C4BD7C8-B1D4-4EBB-87EE-B95A436782F6}"/>
    <hyperlink ref="Q201" r:id="rId139" xr:uid="{7D579BF7-2391-4D20-B045-8C1B41E655A1}"/>
    <hyperlink ref="Q202" r:id="rId140" xr:uid="{E4748711-754C-4126-A22B-F9FDEDAA0B6D}"/>
    <hyperlink ref="Q203" r:id="rId141" xr:uid="{571E95AC-719D-4B0D-A882-19AC8B2EB9FE}"/>
    <hyperlink ref="Q204" r:id="rId142" xr:uid="{95C372B2-FF2D-4C2E-A132-7FC32C29757E}"/>
    <hyperlink ref="Q205" r:id="rId143" xr:uid="{6EEACA71-85A5-4619-A16D-3E28B2915078}"/>
    <hyperlink ref="Q206" r:id="rId144" xr:uid="{B03B5F22-1413-47B3-91B5-788B4E57E770}"/>
    <hyperlink ref="Q207" r:id="rId145" xr:uid="{5C2A3243-2F89-4136-8B14-4FC98431C5AC}"/>
    <hyperlink ref="Q208" r:id="rId146" xr:uid="{0877D63E-0772-42BA-A3AF-92C3A66FE933}"/>
    <hyperlink ref="Q209" r:id="rId147" xr:uid="{BB086F72-FC34-4A40-964E-E7D10EAC5FAE}"/>
    <hyperlink ref="Q210" r:id="rId148" xr:uid="{C03958E6-B320-44FB-A15A-D33B286A5D1C}"/>
    <hyperlink ref="Q211" r:id="rId149" xr:uid="{DDBCB2A9-985C-4061-8801-DAA1143D3E10}"/>
    <hyperlink ref="Q212" r:id="rId150" xr:uid="{5C4F4606-2FE1-42DC-96F2-818A528A788D}"/>
    <hyperlink ref="Q213" r:id="rId151" xr:uid="{AF7FAD7E-1A8E-4FA3-B345-66FA359A5A94}"/>
    <hyperlink ref="Q214" r:id="rId152" xr:uid="{AAD1CE47-4AF5-4002-BFDA-41A948E33202}"/>
    <hyperlink ref="Q215" r:id="rId153" xr:uid="{30560468-4E17-4CE1-90BA-31E0B2C58A1B}"/>
    <hyperlink ref="Q216" r:id="rId154" xr:uid="{4D9A475A-B184-4A16-8D15-BDDCFD959EA7}"/>
    <hyperlink ref="Q217" r:id="rId155" xr:uid="{883D65B5-5F57-41C0-B90D-DB518149DF47}"/>
    <hyperlink ref="Q218" r:id="rId156" xr:uid="{8794FDDB-D06B-43E1-BA57-61F49773CF04}"/>
    <hyperlink ref="Q219" r:id="rId157" xr:uid="{D906C5E4-8D7F-4070-B031-78C0D5034F8F}"/>
    <hyperlink ref="Q220" r:id="rId158" xr:uid="{3391F4E6-2223-478E-BD54-9B03579AAD8D}"/>
    <hyperlink ref="Q221" r:id="rId159" xr:uid="{3C7B0DDB-D761-42AB-A51A-36443AB713A5}"/>
    <hyperlink ref="Q222" r:id="rId160" xr:uid="{13E1A858-EB72-4ACD-8035-AA24066917E7}"/>
    <hyperlink ref="Q223" r:id="rId161" xr:uid="{16869163-0443-4254-8DA9-A84B705F7C0A}"/>
    <hyperlink ref="Q224" r:id="rId162" xr:uid="{E748989A-7239-41F4-A59C-F7035FFC1936}"/>
    <hyperlink ref="Q225" r:id="rId163" xr:uid="{95E31944-AEB0-4975-BE73-FA7AC8196062}"/>
    <hyperlink ref="Q226" r:id="rId164" xr:uid="{CFFB3937-BBCC-432B-84E1-11B87D2543B9}"/>
    <hyperlink ref="Q227" r:id="rId165" xr:uid="{14534B3A-715E-4DB0-A7C2-D51F72343C20}"/>
    <hyperlink ref="Q228" r:id="rId166" xr:uid="{A0AEDCC5-5D48-4804-AB9D-061785930C04}"/>
    <hyperlink ref="Q229" r:id="rId167" xr:uid="{7A9362A9-FB8A-4F5F-ACEA-97A5403FB99A}"/>
    <hyperlink ref="Q230" r:id="rId168" xr:uid="{E0223992-F0B2-488A-952F-206AE7AA210B}"/>
    <hyperlink ref="Q231" r:id="rId169" xr:uid="{2901D768-8B76-424D-9F67-FBB1FA6F62E0}"/>
    <hyperlink ref="Q232" r:id="rId170" xr:uid="{DD340873-F020-402D-B78B-1B6851361CD8}"/>
    <hyperlink ref="Q233" r:id="rId171" xr:uid="{586A04DD-576C-4600-8171-DDAFD0206BE3}"/>
    <hyperlink ref="Q234" r:id="rId172" xr:uid="{FDFB0992-D6A6-482B-8CAE-CDAF86A6E19C}"/>
    <hyperlink ref="Q235" r:id="rId173" xr:uid="{738892E3-A2B9-45C8-BB0A-D41AB76D899B}"/>
    <hyperlink ref="Q236" r:id="rId174" xr:uid="{285F92C3-AD85-43A8-A535-7CC1A8052D30}"/>
    <hyperlink ref="Q237" r:id="rId175" xr:uid="{CAC9E135-81F4-48B7-A2AB-69486E46BAA7}"/>
    <hyperlink ref="Q238" r:id="rId176" xr:uid="{9F638028-2DF2-41FE-875A-8583E3B7A311}"/>
    <hyperlink ref="Q239" r:id="rId177" xr:uid="{401F6819-2B4A-4463-9657-93C59FED809E}"/>
    <hyperlink ref="Q240" r:id="rId178" xr:uid="{55142ACC-FB30-4F2D-A50B-EFB446187378}"/>
    <hyperlink ref="Q241" r:id="rId179" xr:uid="{B658D2D5-AFA5-45BB-8B99-BAA365086EEF}"/>
    <hyperlink ref="Q242" r:id="rId180" xr:uid="{3A4222F0-90DF-4CC5-88F9-7B14EDF4BE5F}"/>
    <hyperlink ref="Q243" r:id="rId181" xr:uid="{BE65E147-7E7B-471C-9340-97E3FDEE38B3}"/>
    <hyperlink ref="Q244" r:id="rId182" xr:uid="{DC3D2CB0-C8CC-44C0-90A0-58D53E341F1B}"/>
    <hyperlink ref="Q245" r:id="rId183" xr:uid="{3032778C-5BE8-4A58-BBE9-7C705392E9A4}"/>
    <hyperlink ref="Q246" r:id="rId184" xr:uid="{78D27F2B-E205-4E2E-A208-09B8EA67D3C9}"/>
    <hyperlink ref="Q247" r:id="rId185" xr:uid="{3B2A8092-42B9-46F9-8882-6AC2EC7E5AA4}"/>
    <hyperlink ref="Q248" r:id="rId186" xr:uid="{CCE052A6-B1AD-4371-B58E-FBFF8132D490}"/>
    <hyperlink ref="Q249" r:id="rId187" xr:uid="{AC20AF05-115F-46D4-A155-313514DB4AF1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FC273-878C-4474-9B68-610AA28B429D}">
  <sheetPr codeName="Sheet5"/>
  <dimension ref="B2:S68"/>
  <sheetViews>
    <sheetView workbookViewId="0">
      <selection activeCell="F24" sqref="F24"/>
    </sheetView>
  </sheetViews>
  <sheetFormatPr baseColWidth="10" defaultColWidth="8.83203125" defaultRowHeight="15" x14ac:dyDescent="0.2"/>
  <cols>
    <col min="2" max="2" width="14.33203125" customWidth="1"/>
    <col min="3" max="3" width="37.5" customWidth="1"/>
    <col min="4" max="13" width="7.33203125" customWidth="1"/>
    <col min="14" max="15" width="14.5" customWidth="1"/>
    <col min="17" max="17" width="13.6640625" customWidth="1"/>
    <col min="18" max="18" width="14.83203125" customWidth="1"/>
    <col min="19" max="19" width="15.5" customWidth="1"/>
  </cols>
  <sheetData>
    <row r="2" spans="2:19" x14ac:dyDescent="0.2">
      <c r="D2" s="175" t="s">
        <v>298</v>
      </c>
      <c r="E2" s="175"/>
      <c r="F2" s="175"/>
      <c r="G2" s="175"/>
      <c r="H2" s="175"/>
      <c r="I2" s="176" t="s">
        <v>200</v>
      </c>
      <c r="J2" s="176"/>
      <c r="K2" s="176"/>
      <c r="L2" s="176"/>
      <c r="M2" s="176"/>
    </row>
    <row r="3" spans="2:19" s="52" customFormat="1" ht="32.25" customHeight="1" x14ac:dyDescent="0.2">
      <c r="B3" s="177" t="s">
        <v>297</v>
      </c>
      <c r="C3" s="177" t="s">
        <v>299</v>
      </c>
      <c r="D3" s="177" t="s">
        <v>157</v>
      </c>
      <c r="E3" s="177" t="s">
        <v>58</v>
      </c>
      <c r="F3" s="177" t="s">
        <v>158</v>
      </c>
      <c r="G3" s="177" t="s">
        <v>287</v>
      </c>
      <c r="H3" s="177" t="s">
        <v>300</v>
      </c>
      <c r="I3" s="177" t="s">
        <v>157</v>
      </c>
      <c r="J3" s="177" t="s">
        <v>58</v>
      </c>
      <c r="K3" s="177" t="s">
        <v>158</v>
      </c>
      <c r="L3" s="177" t="s">
        <v>287</v>
      </c>
      <c r="M3" s="177" t="s">
        <v>300</v>
      </c>
      <c r="N3" s="177" t="s">
        <v>365</v>
      </c>
      <c r="O3" s="177" t="s">
        <v>366</v>
      </c>
      <c r="Q3" s="177" t="s">
        <v>571</v>
      </c>
      <c r="R3" s="177" t="s">
        <v>572</v>
      </c>
      <c r="S3" s="177"/>
    </row>
    <row r="4" spans="2:19" x14ac:dyDescent="0.2">
      <c r="B4" t="s">
        <v>301</v>
      </c>
      <c r="C4" t="s">
        <v>302</v>
      </c>
      <c r="D4" s="267">
        <v>2970</v>
      </c>
      <c r="E4" s="267">
        <v>3182</v>
      </c>
      <c r="F4" s="267">
        <v>3820</v>
      </c>
      <c r="G4" s="267">
        <v>4412</v>
      </c>
      <c r="H4" s="267">
        <v>4922</v>
      </c>
      <c r="I4" s="2">
        <v>2142</v>
      </c>
      <c r="J4" s="2">
        <v>2385</v>
      </c>
      <c r="K4" s="2">
        <v>2912</v>
      </c>
      <c r="L4" s="2">
        <v>3724</v>
      </c>
      <c r="M4" s="2">
        <v>4413</v>
      </c>
      <c r="N4" s="2">
        <v>7140</v>
      </c>
      <c r="O4" s="3">
        <f>+N4+22000/Pro_Forma!$C$14</f>
        <v>7369.166666666667</v>
      </c>
      <c r="Q4" s="224">
        <v>1.1335356600910469</v>
      </c>
      <c r="R4">
        <v>658400</v>
      </c>
    </row>
    <row r="5" spans="2:19" x14ac:dyDescent="0.2">
      <c r="B5" t="s">
        <v>303</v>
      </c>
      <c r="C5" t="s">
        <v>304</v>
      </c>
      <c r="D5" s="267">
        <v>2185</v>
      </c>
      <c r="E5" s="267">
        <v>2341</v>
      </c>
      <c r="F5" s="267">
        <v>2810</v>
      </c>
      <c r="G5" s="267">
        <v>3245</v>
      </c>
      <c r="H5" s="267">
        <v>3620</v>
      </c>
      <c r="I5" s="2">
        <v>1068</v>
      </c>
      <c r="J5" s="2">
        <v>1165</v>
      </c>
      <c r="K5" s="2">
        <v>1529</v>
      </c>
      <c r="L5" s="2">
        <v>2126</v>
      </c>
      <c r="M5" s="2">
        <v>2527</v>
      </c>
      <c r="N5" s="2">
        <v>5400</v>
      </c>
      <c r="O5" s="3">
        <f>+N5+22000/Pro_Forma!$C$14</f>
        <v>5629.166666666667</v>
      </c>
      <c r="Q5" s="224">
        <v>1.047040971168437</v>
      </c>
      <c r="R5">
        <v>489600</v>
      </c>
    </row>
    <row r="6" spans="2:19" x14ac:dyDescent="0.2">
      <c r="B6" t="s">
        <v>305</v>
      </c>
      <c r="C6" t="s">
        <v>304</v>
      </c>
      <c r="D6" s="267">
        <v>1935</v>
      </c>
      <c r="E6" s="267">
        <v>2072</v>
      </c>
      <c r="F6" s="267">
        <v>2487</v>
      </c>
      <c r="G6" s="267">
        <v>2873</v>
      </c>
      <c r="H6" s="267">
        <v>3205</v>
      </c>
      <c r="I6" s="2">
        <v>1387</v>
      </c>
      <c r="J6" s="2">
        <v>1396</v>
      </c>
      <c r="K6" s="2">
        <v>1698</v>
      </c>
      <c r="L6" s="2">
        <v>2220</v>
      </c>
      <c r="M6" s="2">
        <v>2714</v>
      </c>
      <c r="N6" s="2">
        <v>5400</v>
      </c>
      <c r="O6" s="3">
        <f>+N6+22000/Pro_Forma!$C$14</f>
        <v>5629.166666666667</v>
      </c>
      <c r="Q6" s="224">
        <v>1.0379362670713199</v>
      </c>
      <c r="R6">
        <v>489600</v>
      </c>
    </row>
    <row r="7" spans="2:19" x14ac:dyDescent="0.2">
      <c r="B7" t="s">
        <v>306</v>
      </c>
      <c r="C7" t="s">
        <v>307</v>
      </c>
      <c r="D7" s="267">
        <v>1700</v>
      </c>
      <c r="E7" s="267">
        <v>1821</v>
      </c>
      <c r="F7" s="267">
        <v>2185</v>
      </c>
      <c r="G7" s="267">
        <v>2525</v>
      </c>
      <c r="H7" s="267">
        <v>2817</v>
      </c>
      <c r="I7" s="2">
        <v>1155</v>
      </c>
      <c r="J7" s="2">
        <v>1270</v>
      </c>
      <c r="K7" s="2">
        <v>1625</v>
      </c>
      <c r="L7" s="2">
        <v>2260</v>
      </c>
      <c r="M7" s="2">
        <v>2726</v>
      </c>
      <c r="N7" s="2">
        <v>5300</v>
      </c>
      <c r="O7" s="3">
        <f>+N7+22000/Pro_Forma!$C$14</f>
        <v>5529.166666666667</v>
      </c>
      <c r="Q7" s="224">
        <v>1.0379362670713199</v>
      </c>
      <c r="R7">
        <v>444000</v>
      </c>
    </row>
    <row r="8" spans="2:19" x14ac:dyDescent="0.2">
      <c r="B8" t="s">
        <v>308</v>
      </c>
      <c r="C8" t="s">
        <v>304</v>
      </c>
      <c r="D8" s="267">
        <v>1797</v>
      </c>
      <c r="E8" s="267">
        <v>1925</v>
      </c>
      <c r="F8" s="267">
        <v>2310</v>
      </c>
      <c r="G8" s="267">
        <v>2668</v>
      </c>
      <c r="H8" s="267">
        <v>2977</v>
      </c>
      <c r="I8" s="2">
        <v>1078</v>
      </c>
      <c r="J8" s="2">
        <v>1175</v>
      </c>
      <c r="K8" s="2">
        <v>1542</v>
      </c>
      <c r="L8" s="2">
        <v>2145</v>
      </c>
      <c r="M8" s="2">
        <v>2316</v>
      </c>
      <c r="N8" s="2">
        <v>5400</v>
      </c>
      <c r="O8" s="3">
        <f>+N8+22000/Pro_Forma!$C$14</f>
        <v>5629.166666666667</v>
      </c>
      <c r="Q8" s="224">
        <v>1.0379362670713199</v>
      </c>
      <c r="R8">
        <v>489600</v>
      </c>
    </row>
    <row r="9" spans="2:19" x14ac:dyDescent="0.2">
      <c r="B9" t="s">
        <v>309</v>
      </c>
      <c r="C9" t="s">
        <v>304</v>
      </c>
      <c r="D9" s="267">
        <v>1700</v>
      </c>
      <c r="E9" s="267">
        <v>1821</v>
      </c>
      <c r="F9" s="267">
        <v>2185</v>
      </c>
      <c r="G9" s="267">
        <v>2525</v>
      </c>
      <c r="H9" s="267">
        <v>2817</v>
      </c>
      <c r="I9" s="2">
        <v>989</v>
      </c>
      <c r="J9" s="2">
        <v>995</v>
      </c>
      <c r="K9" s="2">
        <v>1306</v>
      </c>
      <c r="L9" s="2">
        <v>1723</v>
      </c>
      <c r="M9" s="2">
        <v>1729</v>
      </c>
      <c r="N9" s="2">
        <v>5400</v>
      </c>
      <c r="O9" s="3">
        <f>+N9+22000/Pro_Forma!$C$14</f>
        <v>5629.166666666667</v>
      </c>
      <c r="Q9" s="224">
        <v>1.047040971168437</v>
      </c>
      <c r="R9">
        <v>489600</v>
      </c>
    </row>
    <row r="10" spans="2:19" x14ac:dyDescent="0.2">
      <c r="B10" t="s">
        <v>310</v>
      </c>
      <c r="C10" t="s">
        <v>302</v>
      </c>
      <c r="D10" s="267">
        <v>2970</v>
      </c>
      <c r="E10" s="267">
        <v>3182</v>
      </c>
      <c r="F10" s="267">
        <v>3820</v>
      </c>
      <c r="G10" s="267">
        <v>4412</v>
      </c>
      <c r="H10" s="267">
        <v>4922</v>
      </c>
      <c r="I10" s="2">
        <v>2142</v>
      </c>
      <c r="J10" s="2">
        <v>2385</v>
      </c>
      <c r="K10" s="2">
        <v>2912</v>
      </c>
      <c r="L10" s="2">
        <v>3724</v>
      </c>
      <c r="M10" s="2">
        <v>4413</v>
      </c>
      <c r="N10" s="2">
        <v>7140</v>
      </c>
      <c r="O10" s="3">
        <f>+N10+22000/Pro_Forma!$C$14</f>
        <v>7369.166666666667</v>
      </c>
      <c r="Q10" s="224">
        <v>1.110773899848255</v>
      </c>
      <c r="R10">
        <v>658400</v>
      </c>
    </row>
    <row r="11" spans="2:19" x14ac:dyDescent="0.2">
      <c r="B11" t="s">
        <v>311</v>
      </c>
      <c r="C11" t="s">
        <v>304</v>
      </c>
      <c r="D11" s="267">
        <v>1700</v>
      </c>
      <c r="E11" s="267">
        <v>1821</v>
      </c>
      <c r="F11" s="267">
        <v>2185</v>
      </c>
      <c r="G11" s="267">
        <v>2525</v>
      </c>
      <c r="H11" s="267">
        <v>2817</v>
      </c>
      <c r="I11" s="2">
        <v>957</v>
      </c>
      <c r="J11" s="2">
        <v>1222</v>
      </c>
      <c r="K11" s="2">
        <v>1370</v>
      </c>
      <c r="L11" s="2">
        <v>1905</v>
      </c>
      <c r="M11" s="2">
        <v>2277</v>
      </c>
      <c r="N11" s="2">
        <v>5400</v>
      </c>
      <c r="O11" s="3">
        <f>+N11+22000/Pro_Forma!$C$14</f>
        <v>5629.166666666667</v>
      </c>
      <c r="Q11" s="224">
        <v>1.0743550834597879</v>
      </c>
      <c r="R11">
        <v>489600</v>
      </c>
    </row>
    <row r="12" spans="2:19" x14ac:dyDescent="0.2">
      <c r="B12" t="s">
        <v>312</v>
      </c>
      <c r="C12" t="s">
        <v>307</v>
      </c>
      <c r="D12" s="267">
        <v>2300</v>
      </c>
      <c r="E12" s="267">
        <v>2465</v>
      </c>
      <c r="F12" s="267">
        <v>2957</v>
      </c>
      <c r="G12" s="267">
        <v>3417</v>
      </c>
      <c r="H12" s="267">
        <v>3812</v>
      </c>
      <c r="I12" s="2">
        <v>1748</v>
      </c>
      <c r="J12" s="2">
        <v>1832</v>
      </c>
      <c r="K12" s="2">
        <v>2255</v>
      </c>
      <c r="L12" s="2">
        <v>3002</v>
      </c>
      <c r="M12" s="2">
        <v>3460</v>
      </c>
      <c r="N12" s="2">
        <v>5300</v>
      </c>
      <c r="O12" s="3">
        <f>+N12+22000/Pro_Forma!$C$14</f>
        <v>5529.166666666667</v>
      </c>
      <c r="Q12" s="224">
        <v>1.047040971168437</v>
      </c>
      <c r="R12">
        <v>461600</v>
      </c>
    </row>
    <row r="13" spans="2:19" x14ac:dyDescent="0.2">
      <c r="B13" t="s">
        <v>313</v>
      </c>
      <c r="C13" t="s">
        <v>314</v>
      </c>
      <c r="D13" s="267">
        <v>1700</v>
      </c>
      <c r="E13" s="267">
        <v>1821</v>
      </c>
      <c r="F13" s="267">
        <v>2185</v>
      </c>
      <c r="G13" s="267">
        <v>2525</v>
      </c>
      <c r="H13" s="267">
        <v>2817</v>
      </c>
      <c r="I13" s="2">
        <v>1347</v>
      </c>
      <c r="J13" s="2">
        <v>1355</v>
      </c>
      <c r="K13" s="2">
        <v>1664</v>
      </c>
      <c r="L13" s="2">
        <v>2314</v>
      </c>
      <c r="M13" s="2">
        <v>2660</v>
      </c>
      <c r="N13" s="2">
        <v>5000</v>
      </c>
      <c r="O13" s="3">
        <f>+N13+22000/Pro_Forma!$C$14</f>
        <v>5229.166666666667</v>
      </c>
      <c r="Q13" s="224">
        <v>1.0288315629742031</v>
      </c>
      <c r="R13">
        <v>428000</v>
      </c>
    </row>
    <row r="14" spans="2:19" x14ac:dyDescent="0.2">
      <c r="B14" t="s">
        <v>315</v>
      </c>
      <c r="C14" t="s">
        <v>304</v>
      </c>
      <c r="D14" s="267">
        <v>1700</v>
      </c>
      <c r="E14" s="267">
        <v>1821</v>
      </c>
      <c r="F14" s="267">
        <v>2185</v>
      </c>
      <c r="G14" s="267">
        <v>2525</v>
      </c>
      <c r="H14" s="267">
        <v>2817</v>
      </c>
      <c r="I14" s="2">
        <v>939</v>
      </c>
      <c r="J14" s="2">
        <v>1038</v>
      </c>
      <c r="K14" s="2">
        <v>1362</v>
      </c>
      <c r="L14" s="2">
        <v>1807</v>
      </c>
      <c r="M14" s="2">
        <v>2179</v>
      </c>
      <c r="N14" s="2">
        <v>5400</v>
      </c>
      <c r="O14" s="3">
        <f>+N14+22000/Pro_Forma!$C$14</f>
        <v>5629.166666666667</v>
      </c>
      <c r="Q14" s="224">
        <v>1.083459787556905</v>
      </c>
      <c r="R14">
        <v>489600</v>
      </c>
    </row>
    <row r="15" spans="2:19" x14ac:dyDescent="0.2">
      <c r="B15" t="s">
        <v>316</v>
      </c>
      <c r="C15" t="s">
        <v>304</v>
      </c>
      <c r="D15" s="267">
        <v>1700</v>
      </c>
      <c r="E15" s="267">
        <v>1821</v>
      </c>
      <c r="F15" s="267">
        <v>2185</v>
      </c>
      <c r="G15" s="267">
        <v>2525</v>
      </c>
      <c r="H15" s="267">
        <v>2817</v>
      </c>
      <c r="I15" s="2">
        <v>1112</v>
      </c>
      <c r="J15" s="2">
        <v>1186</v>
      </c>
      <c r="K15" s="2">
        <v>1550</v>
      </c>
      <c r="L15" s="2">
        <v>2156</v>
      </c>
      <c r="M15" s="2">
        <v>2600</v>
      </c>
      <c r="N15" s="2">
        <v>5400</v>
      </c>
      <c r="O15" s="3">
        <f>+N15+22000/Pro_Forma!$C$14</f>
        <v>5629.166666666667</v>
      </c>
      <c r="Q15" s="224">
        <v>1.0743550834597879</v>
      </c>
      <c r="R15">
        <v>489600</v>
      </c>
    </row>
    <row r="16" spans="2:19" x14ac:dyDescent="0.2">
      <c r="B16" t="s">
        <v>317</v>
      </c>
      <c r="C16" t="s">
        <v>314</v>
      </c>
      <c r="D16" s="267">
        <v>1700</v>
      </c>
      <c r="E16" s="267">
        <v>1821</v>
      </c>
      <c r="F16" s="267">
        <v>2185</v>
      </c>
      <c r="G16" s="267">
        <v>2525</v>
      </c>
      <c r="H16" s="267">
        <v>2817</v>
      </c>
      <c r="I16" s="2">
        <v>939</v>
      </c>
      <c r="J16" s="2">
        <v>1038</v>
      </c>
      <c r="K16" s="2">
        <v>1362</v>
      </c>
      <c r="L16" s="2">
        <v>1845</v>
      </c>
      <c r="M16" s="2">
        <v>2285</v>
      </c>
      <c r="N16" s="2">
        <v>5200</v>
      </c>
      <c r="O16" s="3">
        <f>+N16+22000/Pro_Forma!$C$14</f>
        <v>5429.166666666667</v>
      </c>
      <c r="Q16" s="224">
        <v>0.99241274658573619</v>
      </c>
      <c r="R16">
        <v>452000</v>
      </c>
    </row>
    <row r="17" spans="2:18" x14ac:dyDescent="0.2">
      <c r="B17" t="s">
        <v>318</v>
      </c>
      <c r="C17" t="s">
        <v>304</v>
      </c>
      <c r="D17" s="267">
        <v>1700</v>
      </c>
      <c r="E17" s="267">
        <v>1821</v>
      </c>
      <c r="F17" s="267">
        <v>2185</v>
      </c>
      <c r="G17" s="267">
        <v>2525</v>
      </c>
      <c r="H17" s="267">
        <v>2817</v>
      </c>
      <c r="I17" s="2">
        <v>1058</v>
      </c>
      <c r="J17" s="2">
        <v>1381</v>
      </c>
      <c r="K17" s="2">
        <v>1514</v>
      </c>
      <c r="L17" s="2">
        <v>1940</v>
      </c>
      <c r="M17" s="2">
        <v>2540</v>
      </c>
      <c r="N17" s="2">
        <v>5400</v>
      </c>
      <c r="O17" s="3">
        <f>+N17+22000/Pro_Forma!$C$14</f>
        <v>5629.166666666667</v>
      </c>
      <c r="Q17" s="224">
        <v>0.98330804248861936</v>
      </c>
      <c r="R17">
        <v>489600</v>
      </c>
    </row>
    <row r="18" spans="2:18" x14ac:dyDescent="0.2">
      <c r="B18" t="s">
        <v>319</v>
      </c>
      <c r="C18" t="s">
        <v>314</v>
      </c>
      <c r="D18" s="267">
        <v>1700</v>
      </c>
      <c r="E18" s="267">
        <v>1821</v>
      </c>
      <c r="F18" s="267">
        <v>2185</v>
      </c>
      <c r="G18" s="267">
        <v>2525</v>
      </c>
      <c r="H18" s="267">
        <v>2817</v>
      </c>
      <c r="I18" s="2">
        <v>1132</v>
      </c>
      <c r="J18" s="2">
        <v>1140</v>
      </c>
      <c r="K18" s="2">
        <v>1483</v>
      </c>
      <c r="L18" s="2">
        <v>2062</v>
      </c>
      <c r="M18" s="2">
        <v>2488</v>
      </c>
      <c r="N18" s="2">
        <v>5000</v>
      </c>
      <c r="O18" s="3">
        <f>+N18+22000/Pro_Forma!$C$14</f>
        <v>5229.166666666667</v>
      </c>
      <c r="Q18" s="224">
        <v>0.98330804248861936</v>
      </c>
      <c r="R18">
        <v>428000</v>
      </c>
    </row>
    <row r="19" spans="2:18" x14ac:dyDescent="0.2">
      <c r="B19" t="s">
        <v>320</v>
      </c>
      <c r="C19" t="s">
        <v>314</v>
      </c>
      <c r="D19" s="267">
        <v>1700</v>
      </c>
      <c r="E19" s="267">
        <v>1821</v>
      </c>
      <c r="F19" s="267">
        <v>2185</v>
      </c>
      <c r="G19" s="267">
        <v>2525</v>
      </c>
      <c r="H19" s="267">
        <v>2817</v>
      </c>
      <c r="I19" s="2">
        <v>1150</v>
      </c>
      <c r="J19" s="2">
        <v>1157</v>
      </c>
      <c r="K19" s="2">
        <v>1469</v>
      </c>
      <c r="L19" s="2">
        <v>2043</v>
      </c>
      <c r="M19" s="2">
        <v>2451</v>
      </c>
      <c r="N19" s="2">
        <v>5000</v>
      </c>
      <c r="O19" s="3">
        <f>+N19+22000/Pro_Forma!$C$14</f>
        <v>5229.166666666667</v>
      </c>
      <c r="Q19" s="224">
        <v>1.0288315629742031</v>
      </c>
      <c r="R19">
        <v>428000</v>
      </c>
    </row>
    <row r="20" spans="2:18" x14ac:dyDescent="0.2">
      <c r="B20" t="s">
        <v>321</v>
      </c>
      <c r="C20" t="s">
        <v>304</v>
      </c>
      <c r="D20" s="267">
        <v>1700</v>
      </c>
      <c r="E20" s="267">
        <v>1821</v>
      </c>
      <c r="F20" s="267">
        <v>2185</v>
      </c>
      <c r="G20" s="267">
        <v>2525</v>
      </c>
      <c r="H20" s="267">
        <v>2817</v>
      </c>
      <c r="I20" s="2">
        <v>1173</v>
      </c>
      <c r="J20" s="2">
        <v>1181</v>
      </c>
      <c r="K20" s="2">
        <v>1549</v>
      </c>
      <c r="L20" s="2">
        <v>2154</v>
      </c>
      <c r="M20" s="2">
        <v>2599</v>
      </c>
      <c r="N20" s="2">
        <v>5400</v>
      </c>
      <c r="O20" s="3">
        <f>+N20+22000/Pro_Forma!$C$14</f>
        <v>5629.166666666667</v>
      </c>
      <c r="Q20" s="224">
        <v>1.110773899848255</v>
      </c>
      <c r="R20">
        <v>489600</v>
      </c>
    </row>
    <row r="21" spans="2:18" x14ac:dyDescent="0.2">
      <c r="B21" t="s">
        <v>322</v>
      </c>
      <c r="C21" t="s">
        <v>304</v>
      </c>
      <c r="D21" s="267">
        <v>1700</v>
      </c>
      <c r="E21" s="267">
        <v>1821</v>
      </c>
      <c r="F21" s="267">
        <v>2185</v>
      </c>
      <c r="G21" s="267">
        <v>2525</v>
      </c>
      <c r="H21" s="267">
        <v>2817</v>
      </c>
      <c r="I21" s="2">
        <v>882</v>
      </c>
      <c r="J21" s="2">
        <v>1016</v>
      </c>
      <c r="K21" s="2">
        <v>1279</v>
      </c>
      <c r="L21" s="2">
        <v>1779</v>
      </c>
      <c r="M21" s="2">
        <v>2146</v>
      </c>
      <c r="N21" s="2">
        <v>5400</v>
      </c>
      <c r="O21" s="3">
        <f>+N21+22000/Pro_Forma!$C$14</f>
        <v>5629.166666666667</v>
      </c>
      <c r="Q21" s="224">
        <v>1.0743550834597879</v>
      </c>
      <c r="R21">
        <v>489600</v>
      </c>
    </row>
    <row r="22" spans="2:18" x14ac:dyDescent="0.2">
      <c r="B22" t="s">
        <v>323</v>
      </c>
      <c r="C22" t="s">
        <v>324</v>
      </c>
      <c r="D22" s="267">
        <v>2915</v>
      </c>
      <c r="E22" s="267">
        <v>3123</v>
      </c>
      <c r="F22" s="267">
        <v>3747</v>
      </c>
      <c r="G22" s="267">
        <v>4331</v>
      </c>
      <c r="H22" s="267">
        <v>4830</v>
      </c>
      <c r="I22" s="2">
        <v>1863</v>
      </c>
      <c r="J22" s="2">
        <v>2085</v>
      </c>
      <c r="K22" s="2">
        <v>2601</v>
      </c>
      <c r="L22" s="2">
        <v>3298</v>
      </c>
      <c r="M22" s="2">
        <v>3672</v>
      </c>
      <c r="N22" s="2">
        <v>6300</v>
      </c>
      <c r="O22" s="3">
        <f>+N22+22000/Pro_Forma!$C$14</f>
        <v>6529.166666666667</v>
      </c>
      <c r="Q22" s="224">
        <v>0.99999999999999978</v>
      </c>
      <c r="R22">
        <v>608800</v>
      </c>
    </row>
    <row r="23" spans="2:18" x14ac:dyDescent="0.2">
      <c r="B23" t="s">
        <v>325</v>
      </c>
      <c r="C23" t="s">
        <v>314</v>
      </c>
      <c r="D23" s="267">
        <v>1700</v>
      </c>
      <c r="E23" s="267">
        <v>1821</v>
      </c>
      <c r="F23" s="267">
        <v>2185</v>
      </c>
      <c r="G23" s="267">
        <v>2525</v>
      </c>
      <c r="H23" s="267">
        <v>2817</v>
      </c>
      <c r="I23" s="2">
        <v>1055</v>
      </c>
      <c r="J23" s="2">
        <v>1062</v>
      </c>
      <c r="K23" s="2">
        <v>1376</v>
      </c>
      <c r="L23" s="2">
        <v>1914</v>
      </c>
      <c r="M23" s="2">
        <v>2275</v>
      </c>
      <c r="N23" s="2">
        <v>5000</v>
      </c>
      <c r="O23" s="3">
        <f>+N23+22000/Pro_Forma!$C$14</f>
        <v>5229.166666666667</v>
      </c>
      <c r="Q23" s="224">
        <v>1.0288315629742031</v>
      </c>
      <c r="R23">
        <v>428000</v>
      </c>
    </row>
    <row r="24" spans="2:18" x14ac:dyDescent="0.2">
      <c r="B24" t="s">
        <v>326</v>
      </c>
      <c r="C24" t="s">
        <v>302</v>
      </c>
      <c r="D24" s="267">
        <v>3677</v>
      </c>
      <c r="E24" s="267">
        <v>3940</v>
      </c>
      <c r="F24" s="267">
        <v>4727</v>
      </c>
      <c r="G24" s="267">
        <v>5463</v>
      </c>
      <c r="H24" s="267">
        <v>6095</v>
      </c>
      <c r="I24" s="2">
        <v>2485</v>
      </c>
      <c r="J24" s="2">
        <v>2977</v>
      </c>
      <c r="K24" s="2">
        <v>3604</v>
      </c>
      <c r="L24" s="2">
        <v>4604</v>
      </c>
      <c r="M24" s="2">
        <v>4772</v>
      </c>
      <c r="N24" s="2">
        <v>5300</v>
      </c>
      <c r="O24" s="3">
        <f>+N24+22000/Pro_Forma!$C$14</f>
        <v>5529.166666666667</v>
      </c>
      <c r="Q24" s="224">
        <v>1.138088012139606</v>
      </c>
      <c r="R24">
        <v>534400</v>
      </c>
    </row>
    <row r="25" spans="2:18" x14ac:dyDescent="0.2">
      <c r="B25" t="s">
        <v>327</v>
      </c>
      <c r="C25" t="s">
        <v>304</v>
      </c>
      <c r="D25" s="267">
        <v>1700</v>
      </c>
      <c r="E25" s="267">
        <v>1821</v>
      </c>
      <c r="F25" s="267">
        <v>2185</v>
      </c>
      <c r="G25" s="267">
        <v>2525</v>
      </c>
      <c r="H25" s="267">
        <v>2817</v>
      </c>
      <c r="I25" s="2">
        <v>1016</v>
      </c>
      <c r="J25" s="2">
        <v>1148</v>
      </c>
      <c r="K25" s="2">
        <v>1454</v>
      </c>
      <c r="L25" s="2">
        <v>2022</v>
      </c>
      <c r="M25" s="2">
        <v>2439</v>
      </c>
      <c r="N25" s="2">
        <v>5400</v>
      </c>
      <c r="O25" s="3">
        <f>+N25+22000/Pro_Forma!$C$14</f>
        <v>5629.166666666667</v>
      </c>
      <c r="Q25" s="224">
        <v>1.0379362670713199</v>
      </c>
      <c r="R25">
        <v>489600</v>
      </c>
    </row>
    <row r="26" spans="2:18" x14ac:dyDescent="0.2">
      <c r="B26" t="s">
        <v>328</v>
      </c>
      <c r="C26" t="s">
        <v>304</v>
      </c>
      <c r="D26" s="267">
        <v>1747</v>
      </c>
      <c r="E26" s="267">
        <v>1872</v>
      </c>
      <c r="F26" s="267">
        <v>2247</v>
      </c>
      <c r="G26" s="267">
        <v>2595</v>
      </c>
      <c r="H26" s="267">
        <v>2895</v>
      </c>
      <c r="I26" s="2">
        <v>1269</v>
      </c>
      <c r="J26" s="2">
        <v>1306</v>
      </c>
      <c r="K26" s="2">
        <v>1713</v>
      </c>
      <c r="L26" s="2">
        <v>2382</v>
      </c>
      <c r="M26" s="2">
        <v>2789</v>
      </c>
      <c r="N26" s="2">
        <v>5400</v>
      </c>
      <c r="O26" s="3">
        <f>+N26+22000/Pro_Forma!$C$14</f>
        <v>5629.166666666667</v>
      </c>
      <c r="Q26" s="224">
        <v>1.110773899848255</v>
      </c>
      <c r="R26">
        <v>489600</v>
      </c>
    </row>
    <row r="27" spans="2:18" x14ac:dyDescent="0.2">
      <c r="B27" t="s">
        <v>329</v>
      </c>
      <c r="C27" t="s">
        <v>314</v>
      </c>
      <c r="D27" s="267">
        <v>1700</v>
      </c>
      <c r="E27" s="267">
        <v>1821</v>
      </c>
      <c r="F27" s="267">
        <v>2185</v>
      </c>
      <c r="G27" s="267">
        <v>2525</v>
      </c>
      <c r="H27" s="267">
        <v>2817</v>
      </c>
      <c r="I27" s="2">
        <v>1116</v>
      </c>
      <c r="J27" s="2">
        <v>1213</v>
      </c>
      <c r="K27" s="2">
        <v>1503</v>
      </c>
      <c r="L27" s="2">
        <v>2067</v>
      </c>
      <c r="M27" s="2">
        <v>2503</v>
      </c>
      <c r="N27" s="2">
        <v>5000</v>
      </c>
      <c r="O27" s="3">
        <f>+N27+22000/Pro_Forma!$C$14</f>
        <v>5229.166666666667</v>
      </c>
      <c r="Q27" s="224">
        <v>1.0379362670713199</v>
      </c>
      <c r="R27">
        <v>428000</v>
      </c>
    </row>
    <row r="28" spans="2:18" x14ac:dyDescent="0.2">
      <c r="B28" t="s">
        <v>330</v>
      </c>
      <c r="C28" t="s">
        <v>304</v>
      </c>
      <c r="D28" s="267">
        <v>1700</v>
      </c>
      <c r="E28" s="267">
        <v>1821</v>
      </c>
      <c r="F28" s="267">
        <v>2185</v>
      </c>
      <c r="G28" s="267">
        <v>2525</v>
      </c>
      <c r="H28" s="267">
        <v>2817</v>
      </c>
      <c r="I28" s="2">
        <v>774</v>
      </c>
      <c r="J28" s="2">
        <v>883</v>
      </c>
      <c r="K28" s="2">
        <v>1108</v>
      </c>
      <c r="L28" s="2">
        <v>1434</v>
      </c>
      <c r="M28" s="2">
        <v>1831</v>
      </c>
      <c r="N28" s="2">
        <v>5400</v>
      </c>
      <c r="O28" s="3">
        <f>+N28+22000/Pro_Forma!$C$14</f>
        <v>5629.166666666667</v>
      </c>
      <c r="Q28" s="224">
        <v>1.0743550834597879</v>
      </c>
      <c r="R28">
        <v>489600</v>
      </c>
    </row>
    <row r="29" spans="2:18" x14ac:dyDescent="0.2">
      <c r="B29" t="s">
        <v>331</v>
      </c>
      <c r="C29" t="s">
        <v>304</v>
      </c>
      <c r="D29" s="267">
        <v>1962</v>
      </c>
      <c r="E29" s="267">
        <v>2103</v>
      </c>
      <c r="F29" s="267">
        <v>2522</v>
      </c>
      <c r="G29" s="267">
        <v>2918</v>
      </c>
      <c r="H29" s="267">
        <v>3255</v>
      </c>
      <c r="I29" s="2">
        <v>1171</v>
      </c>
      <c r="J29" s="2">
        <v>1528</v>
      </c>
      <c r="K29" s="2">
        <v>1675</v>
      </c>
      <c r="L29" s="2">
        <v>2330</v>
      </c>
      <c r="M29" s="2">
        <v>2769</v>
      </c>
      <c r="N29" s="2">
        <v>5400</v>
      </c>
      <c r="O29" s="3">
        <f>+N29+22000/Pro_Forma!$C$14</f>
        <v>5629.166666666667</v>
      </c>
      <c r="Q29" s="224">
        <v>1.0288315629742031</v>
      </c>
      <c r="R29">
        <v>489600</v>
      </c>
    </row>
    <row r="30" spans="2:18" x14ac:dyDescent="0.2">
      <c r="B30" t="s">
        <v>332</v>
      </c>
      <c r="C30" t="s">
        <v>333</v>
      </c>
      <c r="D30" s="267">
        <v>2737</v>
      </c>
      <c r="E30" s="267">
        <v>2933</v>
      </c>
      <c r="F30" s="267">
        <v>3520</v>
      </c>
      <c r="G30" s="267">
        <v>4067</v>
      </c>
      <c r="H30" s="267">
        <v>4537</v>
      </c>
      <c r="I30" s="2">
        <v>2173</v>
      </c>
      <c r="J30" s="2">
        <v>2232</v>
      </c>
      <c r="K30" s="2">
        <v>2684</v>
      </c>
      <c r="L30" s="2">
        <v>3623</v>
      </c>
      <c r="M30" s="2">
        <v>3945</v>
      </c>
      <c r="N30" s="2">
        <v>5670</v>
      </c>
      <c r="O30" s="3">
        <f>+N30+22000/Pro_Forma!$C$14</f>
        <v>5899.166666666667</v>
      </c>
      <c r="Q30" s="224">
        <v>1.056145675265554</v>
      </c>
      <c r="R30">
        <v>562400</v>
      </c>
    </row>
    <row r="31" spans="2:18" x14ac:dyDescent="0.2">
      <c r="B31" t="s">
        <v>334</v>
      </c>
      <c r="C31" t="s">
        <v>333</v>
      </c>
      <c r="D31" s="267">
        <v>3085</v>
      </c>
      <c r="E31" s="267">
        <v>3305</v>
      </c>
      <c r="F31" s="267">
        <v>3967</v>
      </c>
      <c r="G31" s="267">
        <v>4585</v>
      </c>
      <c r="H31" s="267">
        <v>5115</v>
      </c>
      <c r="I31" s="2">
        <v>1912</v>
      </c>
      <c r="J31" s="2">
        <v>2113</v>
      </c>
      <c r="K31" s="2">
        <v>2773</v>
      </c>
      <c r="L31" s="2">
        <v>3532</v>
      </c>
      <c r="M31" s="2">
        <v>4134</v>
      </c>
      <c r="N31" s="2">
        <v>5300</v>
      </c>
      <c r="O31" s="3">
        <f>+N31+22000/Pro_Forma!$C$14</f>
        <v>5529.166666666667</v>
      </c>
      <c r="Q31" s="224">
        <v>1.083459787556905</v>
      </c>
      <c r="R31">
        <v>534400</v>
      </c>
    </row>
    <row r="32" spans="2:18" x14ac:dyDescent="0.2">
      <c r="B32" t="s">
        <v>335</v>
      </c>
      <c r="C32" t="s">
        <v>304</v>
      </c>
      <c r="D32" s="267">
        <v>2190</v>
      </c>
      <c r="E32" s="267">
        <v>2346</v>
      </c>
      <c r="F32" s="267">
        <v>2815</v>
      </c>
      <c r="G32" s="267">
        <v>3252</v>
      </c>
      <c r="H32" s="267">
        <v>3630</v>
      </c>
      <c r="I32" s="2">
        <v>1373</v>
      </c>
      <c r="J32" s="2">
        <v>1382</v>
      </c>
      <c r="K32" s="2">
        <v>1813</v>
      </c>
      <c r="L32" s="2">
        <v>2521</v>
      </c>
      <c r="M32" s="2">
        <v>3041</v>
      </c>
      <c r="N32" s="2">
        <v>5400</v>
      </c>
      <c r="O32" s="3">
        <f>+N32+22000/Pro_Forma!$C$14</f>
        <v>5629.166666666667</v>
      </c>
      <c r="Q32" s="224">
        <v>1.047040971168437</v>
      </c>
      <c r="R32">
        <v>489600</v>
      </c>
    </row>
    <row r="33" spans="2:18" x14ac:dyDescent="0.2">
      <c r="B33" t="s">
        <v>336</v>
      </c>
      <c r="C33" t="s">
        <v>333</v>
      </c>
      <c r="D33" s="267">
        <v>3257</v>
      </c>
      <c r="E33" s="267">
        <v>3490</v>
      </c>
      <c r="F33" s="267">
        <v>4187</v>
      </c>
      <c r="G33" s="267">
        <v>4838</v>
      </c>
      <c r="H33" s="267">
        <v>5397</v>
      </c>
      <c r="I33" s="2">
        <v>2682</v>
      </c>
      <c r="J33" s="2">
        <v>2746</v>
      </c>
      <c r="K33" s="2">
        <v>3236</v>
      </c>
      <c r="L33" s="2">
        <v>4393</v>
      </c>
      <c r="M33" s="2">
        <v>5246</v>
      </c>
      <c r="N33" s="2">
        <v>5500</v>
      </c>
      <c r="O33" s="3">
        <f>+N33+22000/Pro_Forma!$C$14</f>
        <v>5729.166666666667</v>
      </c>
      <c r="Q33" s="224">
        <v>1.006069802731411</v>
      </c>
      <c r="R33">
        <v>552000</v>
      </c>
    </row>
    <row r="34" spans="2:18" x14ac:dyDescent="0.2">
      <c r="B34" t="s">
        <v>337</v>
      </c>
      <c r="C34" t="s">
        <v>307</v>
      </c>
      <c r="D34" s="267">
        <v>2300</v>
      </c>
      <c r="E34" s="267">
        <v>2465</v>
      </c>
      <c r="F34" s="267">
        <v>2957</v>
      </c>
      <c r="G34" s="267">
        <v>3417</v>
      </c>
      <c r="H34" s="267">
        <v>3812</v>
      </c>
      <c r="I34" s="2">
        <v>1748</v>
      </c>
      <c r="J34" s="2">
        <v>1832</v>
      </c>
      <c r="K34" s="2">
        <v>2255</v>
      </c>
      <c r="L34" s="2">
        <v>3002</v>
      </c>
      <c r="M34" s="2">
        <v>3460</v>
      </c>
      <c r="N34" s="2">
        <v>5300</v>
      </c>
      <c r="O34" s="3">
        <f>+N34+22000/Pro_Forma!$C$14</f>
        <v>5529.166666666667</v>
      </c>
      <c r="Q34" s="224">
        <v>1.047040971168437</v>
      </c>
      <c r="R34">
        <v>461600</v>
      </c>
    </row>
    <row r="35" spans="2:18" x14ac:dyDescent="0.2">
      <c r="B35" t="s">
        <v>338</v>
      </c>
      <c r="C35" t="s">
        <v>304</v>
      </c>
      <c r="D35" s="267">
        <v>1700</v>
      </c>
      <c r="E35" s="267">
        <v>1821</v>
      </c>
      <c r="F35" s="267">
        <v>2185</v>
      </c>
      <c r="G35" s="267">
        <v>2525</v>
      </c>
      <c r="H35" s="267">
        <v>2817</v>
      </c>
      <c r="I35" s="2">
        <v>973</v>
      </c>
      <c r="J35" s="2">
        <v>1075</v>
      </c>
      <c r="K35" s="2">
        <v>1411</v>
      </c>
      <c r="L35" s="2">
        <v>1962</v>
      </c>
      <c r="M35" s="2">
        <v>1995</v>
      </c>
      <c r="N35" s="2">
        <v>5400</v>
      </c>
      <c r="O35" s="3">
        <f>+N35+22000/Pro_Forma!$C$14</f>
        <v>5629.166666666667</v>
      </c>
      <c r="Q35" s="224">
        <v>1.0379362670713199</v>
      </c>
      <c r="R35">
        <v>489600</v>
      </c>
    </row>
    <row r="36" spans="2:18" x14ac:dyDescent="0.2">
      <c r="B36" t="s">
        <v>339</v>
      </c>
      <c r="C36" t="s">
        <v>314</v>
      </c>
      <c r="D36" s="267">
        <v>2152</v>
      </c>
      <c r="E36" s="267">
        <v>2306</v>
      </c>
      <c r="F36" s="267">
        <v>2767</v>
      </c>
      <c r="G36" s="267">
        <v>3198</v>
      </c>
      <c r="H36" s="267">
        <v>3567</v>
      </c>
      <c r="I36" s="2">
        <v>1692</v>
      </c>
      <c r="J36" s="2">
        <v>1777</v>
      </c>
      <c r="K36" s="2">
        <v>2201</v>
      </c>
      <c r="L36" s="2">
        <v>2912</v>
      </c>
      <c r="M36" s="2">
        <v>3514</v>
      </c>
      <c r="N36" s="2">
        <v>5200</v>
      </c>
      <c r="O36" s="3">
        <f>+N36+22000/Pro_Forma!$C$14</f>
        <v>5429.166666666667</v>
      </c>
      <c r="Q36" s="224">
        <v>0.9969650986342945</v>
      </c>
      <c r="R36">
        <v>452000</v>
      </c>
    </row>
    <row r="37" spans="2:18" x14ac:dyDescent="0.2">
      <c r="B37" t="s">
        <v>340</v>
      </c>
      <c r="C37" t="s">
        <v>307</v>
      </c>
      <c r="D37" s="267">
        <v>2300</v>
      </c>
      <c r="E37" s="267">
        <v>2465</v>
      </c>
      <c r="F37" s="267">
        <v>2957</v>
      </c>
      <c r="G37" s="267">
        <v>3417</v>
      </c>
      <c r="H37" s="267">
        <v>3812</v>
      </c>
      <c r="I37" s="2">
        <v>1748</v>
      </c>
      <c r="J37" s="2">
        <v>1832</v>
      </c>
      <c r="K37" s="2">
        <v>2255</v>
      </c>
      <c r="L37" s="2">
        <v>3002</v>
      </c>
      <c r="M37" s="2">
        <v>3460</v>
      </c>
      <c r="N37" s="2">
        <v>5300</v>
      </c>
      <c r="O37" s="3">
        <f>+N37+22000/Pro_Forma!$C$14</f>
        <v>5529.166666666667</v>
      </c>
      <c r="Q37" s="224">
        <v>1.047040971168437</v>
      </c>
      <c r="R37">
        <v>461600</v>
      </c>
    </row>
    <row r="38" spans="2:18" x14ac:dyDescent="0.2">
      <c r="B38" t="s">
        <v>341</v>
      </c>
      <c r="C38" t="s">
        <v>333</v>
      </c>
      <c r="D38" s="267">
        <v>2572</v>
      </c>
      <c r="E38" s="267">
        <v>2755</v>
      </c>
      <c r="F38" s="267">
        <v>3307</v>
      </c>
      <c r="G38" s="267">
        <v>3820</v>
      </c>
      <c r="H38" s="267">
        <v>4262</v>
      </c>
      <c r="I38" s="2">
        <v>2205</v>
      </c>
      <c r="J38" s="2">
        <v>2212</v>
      </c>
      <c r="K38" s="2">
        <v>2902</v>
      </c>
      <c r="L38" s="2">
        <v>3944</v>
      </c>
      <c r="M38" s="2">
        <v>4190</v>
      </c>
      <c r="N38" s="2">
        <v>5400</v>
      </c>
      <c r="O38" s="3">
        <f>+N38+22000/Pro_Forma!$C$14</f>
        <v>5629.166666666667</v>
      </c>
      <c r="Q38" s="224">
        <v>1.056145675265554</v>
      </c>
      <c r="R38">
        <v>489600</v>
      </c>
    </row>
    <row r="39" spans="2:18" x14ac:dyDescent="0.2">
      <c r="B39" t="s">
        <v>342</v>
      </c>
      <c r="C39" t="s">
        <v>314</v>
      </c>
      <c r="D39" s="267">
        <v>2152</v>
      </c>
      <c r="E39" s="267">
        <v>2306</v>
      </c>
      <c r="F39" s="267">
        <v>2767</v>
      </c>
      <c r="G39" s="267">
        <v>3198</v>
      </c>
      <c r="H39" s="267">
        <v>3567</v>
      </c>
      <c r="I39" s="2">
        <v>1692</v>
      </c>
      <c r="J39" s="2">
        <v>1777</v>
      </c>
      <c r="K39" s="2">
        <v>2201</v>
      </c>
      <c r="L39" s="2">
        <v>2912</v>
      </c>
      <c r="M39" s="2">
        <v>3514</v>
      </c>
      <c r="N39" s="2">
        <v>5200</v>
      </c>
      <c r="O39" s="3">
        <f>+N39+22000/Pro_Forma!$C$14</f>
        <v>5429.166666666667</v>
      </c>
      <c r="Q39" s="224">
        <v>0.98330804248861936</v>
      </c>
      <c r="R39">
        <v>452000</v>
      </c>
    </row>
    <row r="40" spans="2:18" x14ac:dyDescent="0.2">
      <c r="B40" t="s">
        <v>343</v>
      </c>
      <c r="C40" t="s">
        <v>333</v>
      </c>
      <c r="D40" s="267">
        <v>3062</v>
      </c>
      <c r="E40" s="267">
        <v>3281</v>
      </c>
      <c r="F40" s="267">
        <v>3937</v>
      </c>
      <c r="G40" s="267">
        <v>4547</v>
      </c>
      <c r="H40" s="267">
        <v>5072</v>
      </c>
      <c r="I40" s="2">
        <v>2288</v>
      </c>
      <c r="J40" s="2">
        <v>2459</v>
      </c>
      <c r="K40" s="2">
        <v>3001</v>
      </c>
      <c r="L40" s="2">
        <v>3998</v>
      </c>
      <c r="M40" s="2">
        <v>4845</v>
      </c>
      <c r="N40" s="2">
        <v>6100</v>
      </c>
      <c r="O40" s="3">
        <f>+N40+22000/Pro_Forma!$C$14</f>
        <v>6329.166666666667</v>
      </c>
      <c r="Q40" s="224">
        <v>0.99241274658573619</v>
      </c>
      <c r="R40">
        <v>491200</v>
      </c>
    </row>
    <row r="41" spans="2:18" x14ac:dyDescent="0.2">
      <c r="B41" t="s">
        <v>344</v>
      </c>
      <c r="C41" t="s">
        <v>302</v>
      </c>
      <c r="D41" s="267">
        <v>3677</v>
      </c>
      <c r="E41" s="267">
        <v>3940</v>
      </c>
      <c r="F41" s="267">
        <v>4727</v>
      </c>
      <c r="G41" s="267">
        <v>5463</v>
      </c>
      <c r="H41" s="267">
        <v>6095</v>
      </c>
      <c r="I41" s="2">
        <v>2485</v>
      </c>
      <c r="J41" s="2">
        <v>2977</v>
      </c>
      <c r="K41" s="2">
        <v>3604</v>
      </c>
      <c r="L41" s="2">
        <v>4604</v>
      </c>
      <c r="M41" s="2">
        <v>4772</v>
      </c>
      <c r="N41" s="2">
        <v>8925</v>
      </c>
      <c r="O41" s="3">
        <f>+N41+22000/Pro_Forma!$C$14</f>
        <v>9154.1666666666661</v>
      </c>
      <c r="Q41" s="224">
        <v>1.1836115326251899</v>
      </c>
      <c r="R41">
        <v>959200</v>
      </c>
    </row>
    <row r="42" spans="2:18" x14ac:dyDescent="0.2">
      <c r="B42" t="s">
        <v>345</v>
      </c>
      <c r="C42" t="s">
        <v>307</v>
      </c>
      <c r="D42" s="267">
        <v>1892</v>
      </c>
      <c r="E42" s="267">
        <v>2027</v>
      </c>
      <c r="F42" s="267">
        <v>2432</v>
      </c>
      <c r="G42" s="267">
        <v>2811</v>
      </c>
      <c r="H42" s="267">
        <v>3135</v>
      </c>
      <c r="I42" s="2">
        <v>1288</v>
      </c>
      <c r="J42" s="2">
        <v>1395</v>
      </c>
      <c r="K42" s="2">
        <v>1742</v>
      </c>
      <c r="L42" s="2">
        <v>2423</v>
      </c>
      <c r="M42" s="2">
        <v>2922</v>
      </c>
      <c r="N42" s="2">
        <v>5000</v>
      </c>
      <c r="O42" s="3">
        <f>+N42+22000/Pro_Forma!$C$14</f>
        <v>5229.166666666667</v>
      </c>
      <c r="Q42" s="224">
        <v>1.0379362670713199</v>
      </c>
      <c r="R42">
        <v>428000</v>
      </c>
    </row>
    <row r="43" spans="2:18" x14ac:dyDescent="0.2">
      <c r="B43" t="s">
        <v>346</v>
      </c>
      <c r="C43" t="s">
        <v>333</v>
      </c>
      <c r="D43" s="267">
        <v>2675</v>
      </c>
      <c r="E43" s="267">
        <v>2866</v>
      </c>
      <c r="F43" s="267">
        <v>3440</v>
      </c>
      <c r="G43" s="267">
        <v>3975</v>
      </c>
      <c r="H43" s="267">
        <v>4435</v>
      </c>
      <c r="I43" s="2">
        <v>1732</v>
      </c>
      <c r="J43" s="2">
        <v>1914</v>
      </c>
      <c r="K43" s="2">
        <v>2512</v>
      </c>
      <c r="L43" s="2">
        <v>3370</v>
      </c>
      <c r="M43" s="2">
        <v>3861</v>
      </c>
      <c r="N43" s="2">
        <v>5670</v>
      </c>
      <c r="O43" s="3">
        <f>+N43+22000/Pro_Forma!$C$14</f>
        <v>5899.166666666667</v>
      </c>
      <c r="Q43" s="224">
        <v>1.001517450682853</v>
      </c>
      <c r="R43">
        <v>562400</v>
      </c>
    </row>
    <row r="44" spans="2:18" x14ac:dyDescent="0.2">
      <c r="B44" t="s">
        <v>347</v>
      </c>
      <c r="C44" t="s">
        <v>302</v>
      </c>
      <c r="D44" s="267">
        <v>3677</v>
      </c>
      <c r="E44" s="267">
        <v>3940</v>
      </c>
      <c r="F44" s="267">
        <v>4727</v>
      </c>
      <c r="G44" s="267">
        <v>5463</v>
      </c>
      <c r="H44" s="267">
        <v>6095</v>
      </c>
      <c r="I44" s="2">
        <v>2485</v>
      </c>
      <c r="J44" s="2">
        <v>2977</v>
      </c>
      <c r="K44" s="2">
        <v>3604</v>
      </c>
      <c r="L44" s="2">
        <v>4604</v>
      </c>
      <c r="M44" s="2">
        <v>4772</v>
      </c>
      <c r="N44" s="2">
        <v>6930</v>
      </c>
      <c r="O44" s="3">
        <f>+N44+22000/Pro_Forma!$C$14</f>
        <v>7159.166666666667</v>
      </c>
      <c r="Q44" s="224">
        <v>1.147192716236723</v>
      </c>
      <c r="R44">
        <v>740000</v>
      </c>
    </row>
    <row r="45" spans="2:18" x14ac:dyDescent="0.2">
      <c r="B45" t="s">
        <v>348</v>
      </c>
      <c r="C45" t="s">
        <v>333</v>
      </c>
      <c r="D45" s="267">
        <v>3187</v>
      </c>
      <c r="E45" s="267">
        <v>3415</v>
      </c>
      <c r="F45" s="267">
        <v>4097</v>
      </c>
      <c r="G45" s="267">
        <v>4735</v>
      </c>
      <c r="H45" s="267">
        <v>5282</v>
      </c>
      <c r="I45" s="2">
        <v>2459</v>
      </c>
      <c r="J45" s="2">
        <v>2746</v>
      </c>
      <c r="K45" s="2">
        <v>3124</v>
      </c>
      <c r="L45" s="2">
        <v>4075</v>
      </c>
      <c r="M45" s="2">
        <v>4647</v>
      </c>
      <c r="N45" s="2">
        <v>5670</v>
      </c>
      <c r="O45" s="3">
        <f>+N45+22000/Pro_Forma!$C$14</f>
        <v>5899.166666666667</v>
      </c>
      <c r="Q45" s="224">
        <v>0.99241274658573619</v>
      </c>
      <c r="R45">
        <v>562400</v>
      </c>
    </row>
    <row r="46" spans="2:18" x14ac:dyDescent="0.2">
      <c r="B46" t="s">
        <v>349</v>
      </c>
      <c r="C46" t="s">
        <v>302</v>
      </c>
      <c r="D46" s="267">
        <v>3597</v>
      </c>
      <c r="E46" s="267">
        <v>3853</v>
      </c>
      <c r="F46" s="267">
        <v>4625</v>
      </c>
      <c r="G46" s="267">
        <v>5343</v>
      </c>
      <c r="H46" s="267">
        <v>5960</v>
      </c>
      <c r="I46" s="2">
        <v>2621</v>
      </c>
      <c r="J46" s="2">
        <v>2982</v>
      </c>
      <c r="K46" s="2">
        <v>3483</v>
      </c>
      <c r="L46" s="2">
        <v>4602</v>
      </c>
      <c r="M46" s="2">
        <v>5010</v>
      </c>
      <c r="N46" s="2">
        <v>6930</v>
      </c>
      <c r="O46" s="3">
        <f>+N46+22000/Pro_Forma!$C$14</f>
        <v>7159.166666666667</v>
      </c>
      <c r="Q46" s="224">
        <v>1.1335356600910469</v>
      </c>
      <c r="R46">
        <v>740000</v>
      </c>
    </row>
    <row r="47" spans="2:18" x14ac:dyDescent="0.2">
      <c r="B47" t="s">
        <v>350</v>
      </c>
      <c r="C47" t="s">
        <v>302</v>
      </c>
      <c r="D47" s="267">
        <v>3807</v>
      </c>
      <c r="E47" s="267">
        <v>4078</v>
      </c>
      <c r="F47" s="267">
        <v>4895</v>
      </c>
      <c r="G47" s="267">
        <v>5655</v>
      </c>
      <c r="H47" s="267">
        <v>6307</v>
      </c>
      <c r="I47" s="2">
        <v>3179</v>
      </c>
      <c r="J47" s="2">
        <v>3298</v>
      </c>
      <c r="K47" s="2">
        <v>4214</v>
      </c>
      <c r="L47" s="2">
        <v>5377</v>
      </c>
      <c r="M47" s="2">
        <v>5659</v>
      </c>
      <c r="N47" s="2">
        <v>5670</v>
      </c>
      <c r="O47" s="3">
        <f>+N47+22000/Pro_Forma!$C$14</f>
        <v>5899.166666666667</v>
      </c>
      <c r="Q47" s="224">
        <v>1.083459787556905</v>
      </c>
      <c r="R47">
        <v>562400</v>
      </c>
    </row>
    <row r="48" spans="2:18" x14ac:dyDescent="0.2">
      <c r="B48" t="s">
        <v>351</v>
      </c>
      <c r="C48" t="s">
        <v>307</v>
      </c>
      <c r="D48" s="267">
        <v>1700</v>
      </c>
      <c r="E48" s="267">
        <v>1821</v>
      </c>
      <c r="F48" s="267">
        <v>2185</v>
      </c>
      <c r="G48" s="267">
        <v>2525</v>
      </c>
      <c r="H48" s="267">
        <v>2817</v>
      </c>
      <c r="I48" s="2">
        <v>1172</v>
      </c>
      <c r="J48" s="2">
        <v>1212</v>
      </c>
      <c r="K48" s="2">
        <v>1590</v>
      </c>
      <c r="L48" s="2">
        <v>2211</v>
      </c>
      <c r="M48" s="2">
        <v>2667</v>
      </c>
      <c r="N48" s="2">
        <v>5300</v>
      </c>
      <c r="O48" s="3">
        <f>+N48+22000/Pro_Forma!$C$14</f>
        <v>5529.166666666667</v>
      </c>
      <c r="Q48" s="224">
        <v>1.083459787556905</v>
      </c>
      <c r="R48">
        <v>444000</v>
      </c>
    </row>
    <row r="49" spans="2:18" x14ac:dyDescent="0.2">
      <c r="B49" t="s">
        <v>352</v>
      </c>
      <c r="C49" t="s">
        <v>304</v>
      </c>
      <c r="D49" s="267">
        <v>1700</v>
      </c>
      <c r="E49" s="267">
        <v>1821</v>
      </c>
      <c r="F49" s="267">
        <v>2185</v>
      </c>
      <c r="G49" s="267">
        <v>2525</v>
      </c>
      <c r="H49" s="267">
        <v>2817</v>
      </c>
      <c r="I49" s="2">
        <v>1068</v>
      </c>
      <c r="J49" s="2">
        <v>1165</v>
      </c>
      <c r="K49" s="2">
        <v>1529</v>
      </c>
      <c r="L49" s="2">
        <v>2126</v>
      </c>
      <c r="M49" s="2">
        <v>2527</v>
      </c>
      <c r="N49" s="2">
        <v>5400</v>
      </c>
      <c r="O49" s="3">
        <f>+N49+22000/Pro_Forma!$C$14</f>
        <v>5629.166666666667</v>
      </c>
      <c r="Q49" s="224">
        <v>1.0379362670713199</v>
      </c>
      <c r="R49">
        <v>489600</v>
      </c>
    </row>
    <row r="50" spans="2:18" x14ac:dyDescent="0.2">
      <c r="B50" t="s">
        <v>353</v>
      </c>
      <c r="C50" t="s">
        <v>304</v>
      </c>
      <c r="D50" s="267">
        <v>1700</v>
      </c>
      <c r="E50" s="267">
        <v>1821</v>
      </c>
      <c r="F50" s="267">
        <v>2185</v>
      </c>
      <c r="G50" s="267">
        <v>2525</v>
      </c>
      <c r="H50" s="267">
        <v>2817</v>
      </c>
      <c r="I50" s="2">
        <v>962</v>
      </c>
      <c r="J50" s="2">
        <v>969</v>
      </c>
      <c r="K50" s="2">
        <v>1249</v>
      </c>
      <c r="L50" s="2">
        <v>1737</v>
      </c>
      <c r="M50" s="2">
        <v>1915</v>
      </c>
      <c r="N50" s="2">
        <v>5400</v>
      </c>
      <c r="O50" s="3">
        <f>+N50+22000/Pro_Forma!$C$14</f>
        <v>5629.166666666667</v>
      </c>
      <c r="Q50" s="224">
        <v>1.083459787556905</v>
      </c>
      <c r="R50">
        <v>489600</v>
      </c>
    </row>
    <row r="51" spans="2:18" x14ac:dyDescent="0.2">
      <c r="B51" t="s">
        <v>354</v>
      </c>
      <c r="C51" t="s">
        <v>307</v>
      </c>
      <c r="D51" s="267">
        <v>2287</v>
      </c>
      <c r="E51" s="267">
        <v>2450</v>
      </c>
      <c r="F51" s="267">
        <v>2940</v>
      </c>
      <c r="G51" s="267">
        <v>3396</v>
      </c>
      <c r="H51" s="267">
        <v>3787</v>
      </c>
      <c r="I51" s="2">
        <v>1567</v>
      </c>
      <c r="J51" s="2">
        <v>1705</v>
      </c>
      <c r="K51" s="2">
        <v>2178</v>
      </c>
      <c r="L51" s="2">
        <v>2911</v>
      </c>
      <c r="M51" s="2">
        <v>3297</v>
      </c>
      <c r="N51" s="2">
        <v>5300</v>
      </c>
      <c r="O51" s="3">
        <f>+N51+22000/Pro_Forma!$C$14</f>
        <v>5529.166666666667</v>
      </c>
      <c r="Q51" s="224">
        <v>1.083459787556905</v>
      </c>
      <c r="R51">
        <v>534400</v>
      </c>
    </row>
    <row r="52" spans="2:18" x14ac:dyDescent="0.2">
      <c r="B52" t="s">
        <v>355</v>
      </c>
      <c r="C52" t="s">
        <v>333</v>
      </c>
      <c r="D52" s="267">
        <v>2885</v>
      </c>
      <c r="E52" s="267">
        <v>3091</v>
      </c>
      <c r="F52" s="267">
        <v>3710</v>
      </c>
      <c r="G52" s="267">
        <v>4285</v>
      </c>
      <c r="H52" s="267">
        <v>4780</v>
      </c>
      <c r="I52" s="2">
        <v>1949</v>
      </c>
      <c r="J52" s="2">
        <v>2155</v>
      </c>
      <c r="K52" s="2">
        <v>2827</v>
      </c>
      <c r="L52" s="2">
        <v>3887</v>
      </c>
      <c r="M52" s="2">
        <v>4147</v>
      </c>
      <c r="N52" s="2">
        <v>5300</v>
      </c>
      <c r="O52" s="3">
        <f>+N52+22000/Pro_Forma!$C$14</f>
        <v>5529.166666666667</v>
      </c>
      <c r="Q52" s="224">
        <v>1.110773899848255</v>
      </c>
      <c r="R52">
        <v>534400</v>
      </c>
    </row>
    <row r="53" spans="2:18" x14ac:dyDescent="0.2">
      <c r="B53" t="s">
        <v>356</v>
      </c>
      <c r="C53" t="s">
        <v>314</v>
      </c>
      <c r="D53" s="267">
        <v>1795</v>
      </c>
      <c r="E53" s="267">
        <v>1922</v>
      </c>
      <c r="F53" s="267">
        <v>2307</v>
      </c>
      <c r="G53" s="267">
        <v>2665</v>
      </c>
      <c r="H53" s="267">
        <v>2972</v>
      </c>
      <c r="I53" s="2">
        <v>1255</v>
      </c>
      <c r="J53" s="2">
        <v>1356</v>
      </c>
      <c r="K53" s="2">
        <v>1758</v>
      </c>
      <c r="L53" s="2">
        <v>2442</v>
      </c>
      <c r="M53" s="2">
        <v>2823</v>
      </c>
      <c r="N53" s="2">
        <v>5000</v>
      </c>
      <c r="O53" s="3">
        <f>+N53+22000/Pro_Forma!$C$14</f>
        <v>5229.166666666667</v>
      </c>
      <c r="Q53" s="224">
        <v>1.0379362670713199</v>
      </c>
      <c r="R53">
        <v>428000</v>
      </c>
    </row>
    <row r="54" spans="2:18" x14ac:dyDescent="0.2">
      <c r="B54" t="s">
        <v>357</v>
      </c>
      <c r="C54" t="s">
        <v>307</v>
      </c>
      <c r="D54" s="267">
        <v>1785</v>
      </c>
      <c r="E54" s="267">
        <v>1912</v>
      </c>
      <c r="F54" s="267">
        <v>2295</v>
      </c>
      <c r="G54" s="267">
        <v>2650</v>
      </c>
      <c r="H54" s="267">
        <v>2957</v>
      </c>
      <c r="I54" s="2">
        <v>1166</v>
      </c>
      <c r="J54" s="2">
        <v>1272</v>
      </c>
      <c r="K54" s="2">
        <v>1550</v>
      </c>
      <c r="L54" s="2">
        <v>2156</v>
      </c>
      <c r="M54" s="2">
        <v>2600</v>
      </c>
      <c r="N54" s="2">
        <v>5300</v>
      </c>
      <c r="O54" s="3">
        <f>+N54+22000/Pro_Forma!$C$14</f>
        <v>5529.166666666667</v>
      </c>
      <c r="Q54" s="224">
        <v>1.0379362670713199</v>
      </c>
      <c r="R54">
        <v>461600</v>
      </c>
    </row>
    <row r="55" spans="2:18" x14ac:dyDescent="0.2">
      <c r="B55" t="s">
        <v>358</v>
      </c>
      <c r="C55" t="s">
        <v>304</v>
      </c>
      <c r="D55" s="267">
        <v>1700</v>
      </c>
      <c r="E55" s="267">
        <v>1821</v>
      </c>
      <c r="F55" s="267">
        <v>2185</v>
      </c>
      <c r="G55" s="267">
        <v>2525</v>
      </c>
      <c r="H55" s="267">
        <v>2817</v>
      </c>
      <c r="I55" s="2">
        <v>952</v>
      </c>
      <c r="J55" s="2">
        <v>1038</v>
      </c>
      <c r="K55" s="2">
        <v>1362</v>
      </c>
      <c r="L55" s="2">
        <v>1865</v>
      </c>
      <c r="M55" s="2">
        <v>2285</v>
      </c>
      <c r="N55" s="2">
        <v>5400</v>
      </c>
      <c r="O55" s="3">
        <f>+N55+22000/Pro_Forma!$C$14</f>
        <v>5629.166666666667</v>
      </c>
      <c r="Q55" s="224">
        <v>1.083459787556905</v>
      </c>
      <c r="R55">
        <v>489600</v>
      </c>
    </row>
    <row r="56" spans="2:18" x14ac:dyDescent="0.2">
      <c r="B56" t="s">
        <v>359</v>
      </c>
      <c r="C56" t="s">
        <v>304</v>
      </c>
      <c r="D56" s="267">
        <v>1700</v>
      </c>
      <c r="E56" s="267">
        <v>1821</v>
      </c>
      <c r="F56" s="267">
        <v>2185</v>
      </c>
      <c r="G56" s="267">
        <v>2525</v>
      </c>
      <c r="H56" s="267">
        <v>2817</v>
      </c>
      <c r="I56" s="2">
        <v>829</v>
      </c>
      <c r="J56" s="2">
        <v>916</v>
      </c>
      <c r="K56" s="2">
        <v>1202</v>
      </c>
      <c r="L56" s="2">
        <v>1636</v>
      </c>
      <c r="M56" s="2">
        <v>1655</v>
      </c>
      <c r="N56" s="2">
        <v>5400</v>
      </c>
      <c r="O56" s="3">
        <f>+N56+22000/Pro_Forma!$C$14</f>
        <v>5629.166666666667</v>
      </c>
      <c r="Q56" s="224">
        <v>1.083459787556905</v>
      </c>
      <c r="R56">
        <v>489600</v>
      </c>
    </row>
    <row r="57" spans="2:18" x14ac:dyDescent="0.2">
      <c r="B57" t="s">
        <v>360</v>
      </c>
      <c r="C57" t="s">
        <v>314</v>
      </c>
      <c r="D57" s="267">
        <v>1700</v>
      </c>
      <c r="E57" s="267">
        <v>1821</v>
      </c>
      <c r="F57" s="267">
        <v>2185</v>
      </c>
      <c r="G57" s="267">
        <v>2525</v>
      </c>
      <c r="H57" s="267">
        <v>2817</v>
      </c>
      <c r="I57" s="2">
        <v>1116</v>
      </c>
      <c r="J57" s="2">
        <v>1123</v>
      </c>
      <c r="K57" s="2">
        <v>1474</v>
      </c>
      <c r="L57" s="2">
        <v>2028</v>
      </c>
      <c r="M57" s="2">
        <v>2393</v>
      </c>
      <c r="N57" s="2">
        <v>5000</v>
      </c>
      <c r="O57" s="3">
        <f>+N57+22000/Pro_Forma!$C$14</f>
        <v>5229.166666666667</v>
      </c>
      <c r="Q57" s="224">
        <v>1.0288315629742031</v>
      </c>
      <c r="R57">
        <v>428000</v>
      </c>
    </row>
    <row r="58" spans="2:18" x14ac:dyDescent="0.2">
      <c r="B58" t="s">
        <v>361</v>
      </c>
      <c r="C58" t="s">
        <v>304</v>
      </c>
      <c r="D58" s="267">
        <v>1790</v>
      </c>
      <c r="E58" s="267">
        <v>1917</v>
      </c>
      <c r="F58" s="267">
        <v>2300</v>
      </c>
      <c r="G58" s="267">
        <v>2657</v>
      </c>
      <c r="H58" s="267">
        <v>2965</v>
      </c>
      <c r="I58" s="2">
        <v>1096</v>
      </c>
      <c r="J58" s="2">
        <v>1257</v>
      </c>
      <c r="K58" s="2">
        <v>1589</v>
      </c>
      <c r="L58" s="2">
        <v>2078</v>
      </c>
      <c r="M58" s="2">
        <v>2666</v>
      </c>
      <c r="N58" s="2">
        <v>5400</v>
      </c>
      <c r="O58" s="3">
        <f>+N58+22000/Pro_Forma!$C$14</f>
        <v>5629.166666666667</v>
      </c>
      <c r="Q58" s="224">
        <v>1.0379362670713199</v>
      </c>
      <c r="R58">
        <v>489600</v>
      </c>
    </row>
    <row r="59" spans="2:18" x14ac:dyDescent="0.2">
      <c r="B59" t="s">
        <v>362</v>
      </c>
      <c r="C59" t="s">
        <v>333</v>
      </c>
      <c r="D59" s="267">
        <v>2747</v>
      </c>
      <c r="E59" s="267">
        <v>2943</v>
      </c>
      <c r="F59" s="267">
        <v>3532</v>
      </c>
      <c r="G59" s="267">
        <v>4082</v>
      </c>
      <c r="H59" s="267">
        <v>4555</v>
      </c>
      <c r="I59" s="2">
        <v>1998</v>
      </c>
      <c r="J59" s="2">
        <v>2250</v>
      </c>
      <c r="K59" s="2">
        <v>2693</v>
      </c>
      <c r="L59" s="2">
        <v>3652</v>
      </c>
      <c r="M59" s="2">
        <v>4240</v>
      </c>
      <c r="N59" s="2">
        <v>5670</v>
      </c>
      <c r="O59" s="3">
        <f>+N59+22000/Pro_Forma!$C$14</f>
        <v>5899.166666666667</v>
      </c>
      <c r="Q59" s="224">
        <v>1.001517450682853</v>
      </c>
      <c r="R59">
        <v>562400</v>
      </c>
    </row>
    <row r="60" spans="2:18" x14ac:dyDescent="0.2">
      <c r="B60" t="s">
        <v>363</v>
      </c>
      <c r="C60" t="s">
        <v>307</v>
      </c>
      <c r="D60" s="267">
        <v>2270</v>
      </c>
      <c r="E60" s="267">
        <v>2431</v>
      </c>
      <c r="F60" s="267">
        <v>2917</v>
      </c>
      <c r="G60" s="267">
        <v>3370</v>
      </c>
      <c r="H60" s="267">
        <v>3760</v>
      </c>
      <c r="I60" s="2">
        <v>1604</v>
      </c>
      <c r="J60" s="2">
        <v>1615</v>
      </c>
      <c r="K60" s="2">
        <v>2104</v>
      </c>
      <c r="L60" s="2">
        <v>2917</v>
      </c>
      <c r="M60" s="2">
        <v>3178</v>
      </c>
      <c r="N60" s="2">
        <v>5300</v>
      </c>
      <c r="O60" s="3">
        <f>+N60+22000/Pro_Forma!$C$14</f>
        <v>5529.166666666667</v>
      </c>
      <c r="Q60" s="224">
        <v>1.047040971168437</v>
      </c>
      <c r="R60">
        <v>461600</v>
      </c>
    </row>
    <row r="61" spans="2:18" x14ac:dyDescent="0.2">
      <c r="B61" t="s">
        <v>364</v>
      </c>
      <c r="C61" t="s">
        <v>307</v>
      </c>
      <c r="D61" s="267">
        <v>1785</v>
      </c>
      <c r="E61" s="267">
        <v>1912</v>
      </c>
      <c r="F61" s="267">
        <v>2295</v>
      </c>
      <c r="G61" s="267">
        <v>2650</v>
      </c>
      <c r="H61" s="267">
        <v>2957</v>
      </c>
      <c r="I61" s="2">
        <v>1166</v>
      </c>
      <c r="J61" s="2">
        <v>1272</v>
      </c>
      <c r="K61" s="2">
        <v>1550</v>
      </c>
      <c r="L61" s="2">
        <v>2156</v>
      </c>
      <c r="M61" s="2">
        <v>2600</v>
      </c>
      <c r="N61" s="2">
        <v>5300</v>
      </c>
      <c r="O61" s="3">
        <f>+N61+22000/Pro_Forma!$C$14</f>
        <v>5529.166666666667</v>
      </c>
      <c r="Q61" s="224">
        <v>1.0379362670713199</v>
      </c>
      <c r="R61">
        <v>461600</v>
      </c>
    </row>
    <row r="62" spans="2:18" x14ac:dyDescent="0.2">
      <c r="Q62" s="224"/>
    </row>
    <row r="63" spans="2:18" x14ac:dyDescent="0.2">
      <c r="C63" t="str" cm="1">
        <f t="array" ref="C63:C68">+_xlfn.UNIQUE(C4:C61)</f>
        <v>Bay Area Region</v>
      </c>
    </row>
    <row r="64" spans="2:18" x14ac:dyDescent="0.2">
      <c r="C64" t="str">
        <v>None</v>
      </c>
    </row>
    <row r="65" spans="3:3" x14ac:dyDescent="0.2">
      <c r="C65" t="str">
        <v>Northern Region</v>
      </c>
    </row>
    <row r="66" spans="3:3" x14ac:dyDescent="0.2">
      <c r="C66" t="str">
        <v>Inland Region</v>
      </c>
    </row>
    <row r="67" spans="3:3" x14ac:dyDescent="0.2">
      <c r="C67" t="str">
        <v>City of Los Angeles (if within city limits); Balance of Los Angeles County (if outside city limits)</v>
      </c>
    </row>
    <row r="68" spans="3:3" x14ac:dyDescent="0.2">
      <c r="C68" t="str">
        <v>Coastal Region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B767ADC-60F7-4CBA-9B51-E7B991A4E7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Model Changelog</vt:lpstr>
      <vt:lpstr>Sheet1</vt:lpstr>
      <vt:lpstr>Pro_Forma</vt:lpstr>
      <vt:lpstr>Tiebreak</vt:lpstr>
      <vt:lpstr>Draws_Module</vt:lpstr>
      <vt:lpstr>Cell Mapping</vt:lpstr>
      <vt:lpstr>UA</vt:lpstr>
      <vt:lpstr>Market Inputs</vt:lpstr>
      <vt:lpstr>Pro_Forma!Print_Area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Cazalis</dc:creator>
  <cp:lastModifiedBy>Nicolas Cazalis</cp:lastModifiedBy>
  <cp:lastPrinted>2025-10-29T22:58:30Z</cp:lastPrinted>
  <dcterms:created xsi:type="dcterms:W3CDTF">2025-06-25T18:17:51Z</dcterms:created>
  <dcterms:modified xsi:type="dcterms:W3CDTF">2026-06-30T22:10:04Z</dcterms:modified>
</cp:coreProperties>
</file>